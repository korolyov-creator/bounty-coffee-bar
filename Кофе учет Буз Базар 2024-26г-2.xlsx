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itrijkorolev/Desktop/BOUNTY/"/>
    </mc:Choice>
  </mc:AlternateContent>
  <xr:revisionPtr revIDLastSave="0" documentId="13_ncr:1_{19369237-CD92-464F-A512-93EF7EDD1D4E}" xr6:coauthVersionLast="47" xr6:coauthVersionMax="47" xr10:uidLastSave="{00000000-0000-0000-0000-000000000000}"/>
  <bookViews>
    <workbookView xWindow="0" yWindow="600" windowWidth="33600" windowHeight="18820" firstSheet="11" activeTab="24" xr2:uid="{00000000-000D-0000-FFFF-FFFF00000000}"/>
  </bookViews>
  <sheets>
    <sheet name="Апрель 2024" sheetId="2" r:id="rId1"/>
    <sheet name="Май 2024" sheetId="4" r:id="rId2"/>
    <sheet name="Июнь 2024" sheetId="5" r:id="rId3"/>
    <sheet name="Июль 2024" sheetId="6" r:id="rId4"/>
    <sheet name="Август 2024" sheetId="7" r:id="rId5"/>
    <sheet name="Сентябрь 2024" sheetId="8" r:id="rId6"/>
    <sheet name="Октябрь 2024" sheetId="9" r:id="rId7"/>
    <sheet name="Ноябрь 2024" sheetId="10" r:id="rId8"/>
    <sheet name="Декабрь 2024" sheetId="11" r:id="rId9"/>
    <sheet name="Январь 2025" sheetId="12" r:id="rId10"/>
    <sheet name="Февраль 2025" sheetId="13" r:id="rId11"/>
    <sheet name="Март 2025" sheetId="14" r:id="rId12"/>
    <sheet name="Апрель 2025" sheetId="15" r:id="rId13"/>
    <sheet name="Май 2025" sheetId="16" r:id="rId14"/>
    <sheet name="Июнь 2025" sheetId="17" r:id="rId15"/>
    <sheet name="Июль 2025" sheetId="18" r:id="rId16"/>
    <sheet name="Август 2025" sheetId="19" r:id="rId17"/>
    <sheet name="Сентябрь 2025" sheetId="20" r:id="rId18"/>
    <sheet name="Октябрь 2025" sheetId="21" r:id="rId19"/>
    <sheet name="Ноябрь 2025" sheetId="22" r:id="rId20"/>
    <sheet name="Декабрь 2025" sheetId="23" r:id="rId21"/>
    <sheet name="Январь 2026" sheetId="24" r:id="rId22"/>
    <sheet name="Февраль 2026" sheetId="25" r:id="rId23"/>
    <sheet name="Март 2026" sheetId="26" r:id="rId24"/>
    <sheet name="Апрель 2026" sheetId="27" r:id="rId2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7" l="1"/>
  <c r="H10" i="27"/>
  <c r="G10" i="27"/>
  <c r="F10" i="27"/>
  <c r="E10" i="27"/>
  <c r="A10" i="27"/>
  <c r="J3" i="27" s="1"/>
  <c r="K5" i="27"/>
  <c r="K4" i="27"/>
  <c r="J10" i="26"/>
  <c r="H10" i="26"/>
  <c r="G10" i="26"/>
  <c r="F10" i="26"/>
  <c r="E10" i="26"/>
  <c r="A10" i="26"/>
  <c r="J3" i="26" s="1"/>
  <c r="K5" i="26"/>
  <c r="K4" i="26"/>
  <c r="J10" i="25" l="1"/>
  <c r="H10" i="25"/>
  <c r="G10" i="25"/>
  <c r="F10" i="25"/>
  <c r="E10" i="25"/>
  <c r="A10" i="25"/>
  <c r="J3" i="25" s="1"/>
  <c r="K5" i="25"/>
  <c r="K4" i="25"/>
  <c r="J10" i="24"/>
  <c r="H10" i="24"/>
  <c r="G10" i="24"/>
  <c r="F10" i="24"/>
  <c r="E10" i="24"/>
  <c r="A10" i="24"/>
  <c r="J3" i="24" s="1"/>
  <c r="K5" i="24"/>
  <c r="K4" i="24"/>
  <c r="J10" i="23" l="1"/>
  <c r="H10" i="23"/>
  <c r="G10" i="23"/>
  <c r="F10" i="23"/>
  <c r="E10" i="23"/>
  <c r="A10" i="23"/>
  <c r="J3" i="23" s="1"/>
  <c r="K5" i="23"/>
  <c r="K4" i="23"/>
  <c r="J10" i="22" l="1"/>
  <c r="H10" i="22"/>
  <c r="G10" i="22"/>
  <c r="F10" i="22"/>
  <c r="E10" i="22"/>
  <c r="A10" i="22"/>
  <c r="J3" i="22" s="1"/>
  <c r="K5" i="22"/>
  <c r="K4" i="22"/>
  <c r="J10" i="21"/>
  <c r="H10" i="21"/>
  <c r="G10" i="21"/>
  <c r="F10" i="21"/>
  <c r="E10" i="21"/>
  <c r="A10" i="21"/>
  <c r="J3" i="21" s="1"/>
  <c r="K5" i="21"/>
  <c r="K4" i="21"/>
  <c r="J10" i="20" l="1"/>
  <c r="H10" i="20"/>
  <c r="G10" i="20"/>
  <c r="F10" i="20"/>
  <c r="E10" i="20"/>
  <c r="A10" i="20"/>
  <c r="J3" i="20" s="1"/>
  <c r="K5" i="20"/>
  <c r="K4" i="20"/>
  <c r="J10" i="19" l="1"/>
  <c r="H10" i="19"/>
  <c r="G10" i="19"/>
  <c r="F10" i="19"/>
  <c r="E10" i="19"/>
  <c r="A10" i="19"/>
  <c r="J3" i="19" s="1"/>
  <c r="K5" i="19"/>
  <c r="K4" i="19"/>
  <c r="J10" i="18" l="1"/>
  <c r="H10" i="18"/>
  <c r="G10" i="18"/>
  <c r="F10" i="18"/>
  <c r="E10" i="18"/>
  <c r="A10" i="18"/>
  <c r="J3" i="18" s="1"/>
  <c r="K5" i="18"/>
  <c r="K4" i="18"/>
  <c r="J10" i="17" l="1"/>
  <c r="H10" i="17"/>
  <c r="G10" i="17"/>
  <c r="F10" i="17"/>
  <c r="E10" i="17"/>
  <c r="A10" i="17"/>
  <c r="J3" i="17" s="1"/>
  <c r="K5" i="17"/>
  <c r="K4" i="17"/>
  <c r="J10" i="16" l="1"/>
  <c r="H10" i="16"/>
  <c r="G10" i="16"/>
  <c r="F10" i="16"/>
  <c r="E10" i="16"/>
  <c r="A10" i="16"/>
  <c r="J3" i="16" s="1"/>
  <c r="K5" i="16"/>
  <c r="K4" i="16"/>
  <c r="J10" i="15" l="1"/>
  <c r="H10" i="15"/>
  <c r="G10" i="15"/>
  <c r="F10" i="15"/>
  <c r="E10" i="15"/>
  <c r="A10" i="15"/>
  <c r="J3" i="15" s="1"/>
  <c r="K5" i="15"/>
  <c r="K4" i="15"/>
  <c r="J10" i="14" l="1"/>
  <c r="H10" i="14"/>
  <c r="G10" i="14"/>
  <c r="F10" i="14"/>
  <c r="E10" i="14"/>
  <c r="A10" i="14"/>
  <c r="J3" i="14" s="1"/>
  <c r="K5" i="14"/>
  <c r="K4" i="14"/>
  <c r="J10" i="13" l="1"/>
  <c r="H10" i="13"/>
  <c r="G10" i="13"/>
  <c r="F10" i="13"/>
  <c r="E10" i="13"/>
  <c r="A10" i="13"/>
  <c r="J3" i="13" s="1"/>
  <c r="K5" i="13"/>
  <c r="K4" i="13"/>
  <c r="J10" i="12" l="1"/>
  <c r="H10" i="12"/>
  <c r="G10" i="12"/>
  <c r="F10" i="12"/>
  <c r="E10" i="12"/>
  <c r="A10" i="12"/>
  <c r="J3" i="12" s="1"/>
  <c r="K5" i="12"/>
  <c r="K4" i="12"/>
  <c r="J10" i="11" l="1"/>
  <c r="H10" i="11"/>
  <c r="G10" i="11"/>
  <c r="F10" i="11"/>
  <c r="E10" i="11"/>
  <c r="A10" i="11"/>
  <c r="J3" i="11" s="1"/>
  <c r="K5" i="11"/>
  <c r="K4" i="11"/>
  <c r="J10" i="10" l="1"/>
  <c r="H10" i="10"/>
  <c r="G10" i="10"/>
  <c r="F10" i="10"/>
  <c r="E10" i="10"/>
  <c r="A10" i="10"/>
  <c r="J3" i="10" s="1"/>
  <c r="K5" i="10"/>
  <c r="K4" i="10"/>
  <c r="J10" i="9" l="1"/>
  <c r="H10" i="9"/>
  <c r="G10" i="9"/>
  <c r="F10" i="9"/>
  <c r="E10" i="9"/>
  <c r="A10" i="9"/>
  <c r="J3" i="9" s="1"/>
  <c r="K5" i="9"/>
  <c r="K4" i="9"/>
  <c r="J11" i="8" l="1"/>
  <c r="H11" i="8"/>
  <c r="G11" i="8"/>
  <c r="F11" i="8"/>
  <c r="E11" i="8"/>
  <c r="A11" i="8"/>
  <c r="J3" i="8" s="1"/>
  <c r="K5" i="8"/>
  <c r="K4" i="8"/>
  <c r="J11" i="7" l="1"/>
  <c r="H11" i="7"/>
  <c r="G11" i="7"/>
  <c r="F11" i="7"/>
  <c r="E11" i="7"/>
  <c r="A11" i="7"/>
  <c r="J3" i="7" s="1"/>
  <c r="K5" i="7"/>
  <c r="K4" i="7"/>
  <c r="J11" i="6" l="1"/>
  <c r="H11" i="6"/>
  <c r="G11" i="6"/>
  <c r="F11" i="6"/>
  <c r="E11" i="6"/>
  <c r="A11" i="6"/>
  <c r="J3" i="6" s="1"/>
  <c r="K5" i="6"/>
  <c r="K4" i="6"/>
  <c r="J11" i="5" l="1"/>
  <c r="H11" i="5"/>
  <c r="G11" i="5"/>
  <c r="F11" i="5"/>
  <c r="E11" i="5"/>
  <c r="A11" i="5"/>
  <c r="J3" i="5" s="1"/>
  <c r="K5" i="5"/>
  <c r="K4" i="5"/>
  <c r="J11" i="4" l="1"/>
  <c r="H11" i="4"/>
  <c r="G11" i="4"/>
  <c r="F11" i="4"/>
  <c r="E11" i="4"/>
  <c r="A11" i="4"/>
  <c r="J3" i="4" s="1"/>
  <c r="K5" i="4"/>
  <c r="K4" i="4"/>
  <c r="I10" i="2" l="1"/>
  <c r="G10" i="2"/>
  <c r="F10" i="2"/>
  <c r="E10" i="2"/>
  <c r="A10" i="2"/>
  <c r="I3" i="2" s="1"/>
  <c r="J5" i="2"/>
  <c r="J4" i="2"/>
</calcChain>
</file>

<file path=xl/sharedStrings.xml><?xml version="1.0" encoding="utf-8"?>
<sst xmlns="http://schemas.openxmlformats.org/spreadsheetml/2006/main" count="3706" uniqueCount="1076">
  <si>
    <t xml:space="preserve">рентабильность </t>
  </si>
  <si>
    <t>курс на 01.05.2023 = 11 410сум</t>
  </si>
  <si>
    <t>Алексей 70%</t>
  </si>
  <si>
    <t>Ульяна 30%</t>
  </si>
  <si>
    <t>остаток на счету</t>
  </si>
  <si>
    <t>Месяц</t>
  </si>
  <si>
    <t>Дата</t>
  </si>
  <si>
    <t>Время суток</t>
  </si>
  <si>
    <t>Смена</t>
  </si>
  <si>
    <t>Нал</t>
  </si>
  <si>
    <t>Терминал</t>
  </si>
  <si>
    <t>Расход</t>
  </si>
  <si>
    <t>Коментарии</t>
  </si>
  <si>
    <t>Закуп</t>
  </si>
  <si>
    <t>Коментарии2</t>
  </si>
  <si>
    <t>ИТОГО</t>
  </si>
  <si>
    <t>день</t>
  </si>
  <si>
    <t>Пакиза</t>
  </si>
  <si>
    <t>ночь</t>
  </si>
  <si>
    <t>сэндвичи - 8шт</t>
  </si>
  <si>
    <t>Салават</t>
  </si>
  <si>
    <t>орешки со сгущенкой - 160шт</t>
  </si>
  <si>
    <t>кофейные орешки - 25шт</t>
  </si>
  <si>
    <t>муравейники - 10уп</t>
  </si>
  <si>
    <t>мята - 2пуч</t>
  </si>
  <si>
    <t>апельсины - 2750гр</t>
  </si>
  <si>
    <t>десерты - 12шт</t>
  </si>
  <si>
    <t>шоколадные печеньки - 20шт</t>
  </si>
  <si>
    <t>овсяные печеньки - 15шт</t>
  </si>
  <si>
    <t>брауни - 16шт</t>
  </si>
  <si>
    <t>апельсины - 3352гр</t>
  </si>
  <si>
    <t>стикеры</t>
  </si>
  <si>
    <t>тетрадь</t>
  </si>
  <si>
    <t>скобки для степлера</t>
  </si>
  <si>
    <t>степлер</t>
  </si>
  <si>
    <t>десерты - 10шт</t>
  </si>
  <si>
    <t>вода - 12шт</t>
  </si>
  <si>
    <t>Red Bull - 10шт</t>
  </si>
  <si>
    <t>горячий шоколад</t>
  </si>
  <si>
    <t>апельсины - 3216гр</t>
  </si>
  <si>
    <t>мороженое - 1кг</t>
  </si>
  <si>
    <t>18+ - 10шт</t>
  </si>
  <si>
    <t>Выходной!</t>
  </si>
  <si>
    <t>Зарплата Пакизе за 8 смен</t>
  </si>
  <si>
    <t>Зарплата Салавату за 8 смен</t>
  </si>
  <si>
    <t>Общая сумма инкассации ц14: 660 000 сум за апрель</t>
  </si>
  <si>
    <t xml:space="preserve">Инкассация </t>
  </si>
  <si>
    <t xml:space="preserve">Прибыль нал: 235 000 сум  </t>
  </si>
  <si>
    <t>от 13.05.2024</t>
  </si>
  <si>
    <t>CLIK/ PAY ME</t>
  </si>
  <si>
    <t>яблоки - 1764гр</t>
  </si>
  <si>
    <t>апельсины - 3940гр</t>
  </si>
  <si>
    <t>мята - 3пуч</t>
  </si>
  <si>
    <t>десерты - 3шт</t>
  </si>
  <si>
    <t>сендвичи - 7шт</t>
  </si>
  <si>
    <t>вода с газом - 12шт</t>
  </si>
  <si>
    <t>вода 0,5 - 12шт</t>
  </si>
  <si>
    <t>яблоки - 2105гр</t>
  </si>
  <si>
    <t>18+ - 12шт</t>
  </si>
  <si>
    <t>кола - 10шт</t>
  </si>
  <si>
    <t>отвертка</t>
  </si>
  <si>
    <t>тряпочки</t>
  </si>
  <si>
    <t>полотенце для посуды - 1бол</t>
  </si>
  <si>
    <t>полотенце для посуды мал - 2шт</t>
  </si>
  <si>
    <t>сэндвичи -9шт</t>
  </si>
  <si>
    <t>муравейники - 5уп</t>
  </si>
  <si>
    <t>Пакизза</t>
  </si>
  <si>
    <t>лимоны - 890гр</t>
  </si>
  <si>
    <t>Аванс Пакиза</t>
  </si>
  <si>
    <t>Coca-Cola - 10шт</t>
  </si>
  <si>
    <t>сахар - 4кг</t>
  </si>
  <si>
    <t>яблоки - 1632гр</t>
  </si>
  <si>
    <t>сироп мохито</t>
  </si>
  <si>
    <t>Разработка рекламы (Дизайн)</t>
  </si>
  <si>
    <t>Red Bull - 7шт</t>
  </si>
  <si>
    <t>вода 0,5 -- 5шт</t>
  </si>
  <si>
    <t>18+ - 5шт</t>
  </si>
  <si>
    <t>бананы - 1220гр</t>
  </si>
  <si>
    <t>Сэндвичи - 9шт</t>
  </si>
  <si>
    <t>десерты - 5шт</t>
  </si>
  <si>
    <t>печеньки - 30шт</t>
  </si>
  <si>
    <t>Зарплата Салавату за 9 смен</t>
  </si>
  <si>
    <t>Зарплата Пакизе за 13 смен</t>
  </si>
  <si>
    <t>вода 0,5 - 6шт</t>
  </si>
  <si>
    <t>Саша</t>
  </si>
  <si>
    <t>Зарплата Саше за 1 смену</t>
  </si>
  <si>
    <t>Coca Cola - 10 шт</t>
  </si>
  <si>
    <t xml:space="preserve">Пакиза </t>
  </si>
  <si>
    <t>18+ - 7шт</t>
  </si>
  <si>
    <t>Овсяное печенье - 20шт</t>
  </si>
  <si>
    <t>Брауни - 16шт</t>
  </si>
  <si>
    <t>Вода с газом 0.5мл - 5шт</t>
  </si>
  <si>
    <t>Мороженое - 1кг</t>
  </si>
  <si>
    <t>сэндвичи - 9шт</t>
  </si>
  <si>
    <t xml:space="preserve">Кофе - 5кг </t>
  </si>
  <si>
    <t>апельсины - 2482гр</t>
  </si>
  <si>
    <t>Coca Cola - 10шт</t>
  </si>
  <si>
    <t>десерты - 6шт</t>
  </si>
  <si>
    <t>лимоны - 616гр</t>
  </si>
  <si>
    <t xml:space="preserve">мята </t>
  </si>
  <si>
    <t>сэндвичи - 7шт</t>
  </si>
  <si>
    <t>трубочки</t>
  </si>
  <si>
    <t>сэндвичи - 6шт</t>
  </si>
  <si>
    <t>Кофе  - 5кг</t>
  </si>
  <si>
    <t>пакеты - 3уп</t>
  </si>
  <si>
    <t>подставка для губки</t>
  </si>
  <si>
    <t>Coca Cola - 10in</t>
  </si>
  <si>
    <t>18+ - 12in</t>
  </si>
  <si>
    <t>вода с газом - 3шт</t>
  </si>
  <si>
    <t>сухие полотенца</t>
  </si>
  <si>
    <t>мыло для рук</t>
  </si>
  <si>
    <t>яблоки - 1500гр</t>
  </si>
  <si>
    <t>Общая сумма инкассации Сайрам: 763 000 сум за май</t>
  </si>
  <si>
    <t xml:space="preserve">Инкассация за май </t>
  </si>
  <si>
    <t>от 09.06.2024</t>
  </si>
  <si>
    <t>(Доп сняла со счета 22.05)  8 000 000 - аренда 7 106 000 (нал) = остаток 894 000 сум</t>
  </si>
  <si>
    <t>Влажные салфетки - 1 упаковка</t>
  </si>
  <si>
    <t>Средство для мытья пола - 1шт</t>
  </si>
  <si>
    <t>Вода без газом 0.5мл - 12шт</t>
  </si>
  <si>
    <t>Мята - 2 пучка</t>
  </si>
  <si>
    <t>Апльсины - 1625гр</t>
  </si>
  <si>
    <t>Бананы - 995гр</t>
  </si>
  <si>
    <t>чай черный - 100шт</t>
  </si>
  <si>
    <t>Red Bull - 12шт</t>
  </si>
  <si>
    <t>Coca Cola - 5шт</t>
  </si>
  <si>
    <t>ВЫХОДНОЙ</t>
  </si>
  <si>
    <t>яблоки - 1180гр</t>
  </si>
  <si>
    <t>доставка десерты</t>
  </si>
  <si>
    <t>апельсины - 2128гр</t>
  </si>
  <si>
    <t>пакеты одноразовые - 2уп</t>
  </si>
  <si>
    <t>лимоны - 351гр</t>
  </si>
  <si>
    <t>яблоки - 1825гр</t>
  </si>
  <si>
    <t>Кофейные орешки - 25шт</t>
  </si>
  <si>
    <t xml:space="preserve">Саша зарплата за 12 смен  </t>
  </si>
  <si>
    <t>апельсины - 2114гр</t>
  </si>
  <si>
    <t>выходной</t>
  </si>
  <si>
    <t>Кристина</t>
  </si>
  <si>
    <t>бананы - 666гр</t>
  </si>
  <si>
    <t>морковь - 660гр</t>
  </si>
  <si>
    <t>вода 0,5 - 24шт</t>
  </si>
  <si>
    <t>сухие салфетки - 12шт</t>
  </si>
  <si>
    <t>брауни - 12шт</t>
  </si>
  <si>
    <t>шоколадные печеньки - 8шт</t>
  </si>
  <si>
    <t>овсянные печеньки - 1шт</t>
  </si>
  <si>
    <t>чеки для терминала - 16шт</t>
  </si>
  <si>
    <t>чеки для R-keeper - 4шт</t>
  </si>
  <si>
    <t>сироп лесной орех - 1406гр</t>
  </si>
  <si>
    <t>сироп карамель - 1860гр</t>
  </si>
  <si>
    <t>апельсины - 1876гр</t>
  </si>
  <si>
    <t>сироп гренадин - 1421гр</t>
  </si>
  <si>
    <t>сироп  ваниль - 1404гр</t>
  </si>
  <si>
    <t>сингл стаканчики - 200шт</t>
  </si>
  <si>
    <t>трубочки черные - 1000шт</t>
  </si>
  <si>
    <t>яблоки - 1024гр</t>
  </si>
  <si>
    <t>морковь - 738гр</t>
  </si>
  <si>
    <t>лимоны - 342гр</t>
  </si>
  <si>
    <t>веник</t>
  </si>
  <si>
    <t>чистилка</t>
  </si>
  <si>
    <t>Зарплата Кристине за 9 смен</t>
  </si>
  <si>
    <t>Уборка окон</t>
  </si>
  <si>
    <t>Свет за 2 месяца (май и июнь)</t>
  </si>
  <si>
    <t>Оплата за интернет май и июнь</t>
  </si>
  <si>
    <t xml:space="preserve">Прибыль нал: 194 000 сум  + (остаток от 22.05) 894 000 сум + 235 000 (прибыль за апрель) = 1 323 000 сум </t>
  </si>
  <si>
    <t>R-Keeper за 2 месяца (май и июнь)</t>
  </si>
  <si>
    <t>Общая сумма инкассации ц14:  1 846 000 сум за июнь</t>
  </si>
  <si>
    <t>(Доп сняла со счета 20.06)  10 000 000 - аренда 7 106 000 (нал) = остаток 2 894 000 сум</t>
  </si>
  <si>
    <t xml:space="preserve">Прибыль нал: - 2 382 000 сум + 2 894 000 сум (остаток от 20.06) + 1 323 000 (остаток с мая и апеля) = 1 835 000 сум </t>
  </si>
  <si>
    <t>от 05.07.2024</t>
  </si>
  <si>
    <t>Умида</t>
  </si>
  <si>
    <t>сироп мохито - 1925гр</t>
  </si>
  <si>
    <t>бананы - 956гр</t>
  </si>
  <si>
    <t>лайм - 4шт</t>
  </si>
  <si>
    <t xml:space="preserve"> </t>
  </si>
  <si>
    <t>лимоны - 344гр</t>
  </si>
  <si>
    <t>киви - 4шт</t>
  </si>
  <si>
    <t>базилик</t>
  </si>
  <si>
    <t>Coca Cola - 8шт</t>
  </si>
  <si>
    <t>Овсяные печеньки - 10шт</t>
  </si>
  <si>
    <t>Брауни - 8 шт</t>
  </si>
  <si>
    <t>Вода без газа 0.5мл - 12шт</t>
  </si>
  <si>
    <t>Пакеты для мусора - 4 упк</t>
  </si>
  <si>
    <t>Апельсины - 2815гр</t>
  </si>
  <si>
    <t xml:space="preserve"> Бананы - 1246гр</t>
  </si>
  <si>
    <t>Напиток 18+ - 12шт</t>
  </si>
  <si>
    <t>Яблоки - 2236гр</t>
  </si>
  <si>
    <t>Имбирь - 274гр</t>
  </si>
  <si>
    <t>Мята - 3 пучка</t>
  </si>
  <si>
    <t>Вода без газа 0.5 мл - 12шт</t>
  </si>
  <si>
    <t>Вода с газом 0.5мл - 24шт</t>
  </si>
  <si>
    <t>шоколадные печеньки - 10шт</t>
  </si>
  <si>
    <t>овсянные печеньки - 9шт</t>
  </si>
  <si>
    <t>лимоны - 350гр</t>
  </si>
  <si>
    <t>морковь - 868гр</t>
  </si>
  <si>
    <t>Coca Cola - 24шт</t>
  </si>
  <si>
    <t>18+ - 20шт</t>
  </si>
  <si>
    <t>Red Bull - 24шт</t>
  </si>
  <si>
    <t>дубликат ключей</t>
  </si>
  <si>
    <t>окна</t>
  </si>
  <si>
    <t>доставка закуп</t>
  </si>
  <si>
    <t>мороженое -1кг</t>
  </si>
  <si>
    <t>яблоки - 1080гр</t>
  </si>
  <si>
    <t>лимоны - 872гр</t>
  </si>
  <si>
    <t>ветки</t>
  </si>
  <si>
    <t>мороженое - 2кг</t>
  </si>
  <si>
    <t>яблоки - 1012гр</t>
  </si>
  <si>
    <t>лимоны - 992гр</t>
  </si>
  <si>
    <t>овсянные печеньки - 19шт</t>
  </si>
  <si>
    <t>шоколадные печеньки - 25шт</t>
  </si>
  <si>
    <t>доставка</t>
  </si>
  <si>
    <t>вода с газом - 24шт</t>
  </si>
  <si>
    <t>Морковь - 986гр</t>
  </si>
  <si>
    <t>Зарплата Умиде за 12 смен (- офц зп 1 050 000 сум)</t>
  </si>
  <si>
    <t>Яблоки - 2100гр</t>
  </si>
  <si>
    <t>Сахар - 4кг</t>
  </si>
  <si>
    <t xml:space="preserve">Оплата за R-Keeper за июль </t>
  </si>
  <si>
    <t xml:space="preserve">Зарплата Умиде за 11 смен </t>
  </si>
  <si>
    <t xml:space="preserve">Оплата за Свет </t>
  </si>
  <si>
    <t xml:space="preserve">Оплата за интернет </t>
  </si>
  <si>
    <t>Общая сумма инкассации ц14: 182 000 сум за июль</t>
  </si>
  <si>
    <t>(Доп сняла со счета 02.08)  13 000 000 - аренда 8 376 000 (нал) = остаток 4 624 000 сум</t>
  </si>
  <si>
    <t xml:space="preserve">Прибыль нал: - 1 267 500 сум + 4 624 000 сум (остаток от 02.08) + 1 835 000 сум (с июня) = 5 192 000 сум </t>
  </si>
  <si>
    <t>от 06.08.2024</t>
  </si>
  <si>
    <t>Сироп мохито - 1935гр</t>
  </si>
  <si>
    <t>выходной!</t>
  </si>
  <si>
    <t xml:space="preserve">Умида </t>
  </si>
  <si>
    <t>Бананы - 1362гр</t>
  </si>
  <si>
    <t>Вода без газа 0.5 мл - 24шт</t>
  </si>
  <si>
    <t>Coca-Cola 350мл - 9шт</t>
  </si>
  <si>
    <t>Напиток 18+ - 14шт</t>
  </si>
  <si>
    <t>Топинг клубника - 1049гр</t>
  </si>
  <si>
    <t>Апельсины - 3945гр</t>
  </si>
  <si>
    <t>Сироп банан - 1403 гр</t>
  </si>
  <si>
    <t>Лимоны - 798гр</t>
  </si>
  <si>
    <t>Лайм - 3шт</t>
  </si>
  <si>
    <t>муравейники - 6уп</t>
  </si>
  <si>
    <t>контейнеры для орешков - 50шт</t>
  </si>
  <si>
    <t>Coca Cola - 1шт</t>
  </si>
  <si>
    <t>яблоки - 986гр</t>
  </si>
  <si>
    <t>Зарплата Умиде за 11 смен</t>
  </si>
  <si>
    <t>лимон - 616гр</t>
  </si>
  <si>
    <t>яблоки - 1512гр</t>
  </si>
  <si>
    <t>бананы - 1248гр</t>
  </si>
  <si>
    <t>апельсины - 2090гр</t>
  </si>
  <si>
    <t>сироп гренадин - 1420грр</t>
  </si>
  <si>
    <t>молоко - 2уп</t>
  </si>
  <si>
    <t>морковь - 1002гр</t>
  </si>
  <si>
    <t>брауни  - 16шт</t>
  </si>
  <si>
    <t>овсянные печеньки - 14шт</t>
  </si>
  <si>
    <t>шоколадные печеньки - 19шт</t>
  </si>
  <si>
    <t>доставка молоко</t>
  </si>
  <si>
    <t>базилик - 2пуч</t>
  </si>
  <si>
    <t>яблоки - 1872гр</t>
  </si>
  <si>
    <t>апельсины - 2606гр</t>
  </si>
  <si>
    <t>морковь - 1260гр</t>
  </si>
  <si>
    <t>Red Bull - 6шт</t>
  </si>
  <si>
    <t>салфетки - 3уп</t>
  </si>
  <si>
    <t>вода с газом - 2шт</t>
  </si>
  <si>
    <t>Мытье окн</t>
  </si>
  <si>
    <t>R-Keeper за август</t>
  </si>
  <si>
    <t>Свет за август</t>
  </si>
  <si>
    <t>Инкассация</t>
  </si>
  <si>
    <t xml:space="preserve">Прибыль нал: - 2 962 000 сум </t>
  </si>
  <si>
    <t xml:space="preserve">Аренда за август месяц - 8 340 000 сум (5 192 000 сум остаток с июля + 3 148 000 сум оплата с Ганги) </t>
  </si>
  <si>
    <t>от 13.09.2024</t>
  </si>
  <si>
    <t>доставка сливки</t>
  </si>
  <si>
    <t>бананы - 918гр</t>
  </si>
  <si>
    <t>яблоки - 1194гр</t>
  </si>
  <si>
    <t>морковь - 1094гр</t>
  </si>
  <si>
    <t>вода с газом - 11шт</t>
  </si>
  <si>
    <t>мусорные пакеты - 5уп</t>
  </si>
  <si>
    <t>Доставка молока</t>
  </si>
  <si>
    <t xml:space="preserve">Мытье окон </t>
  </si>
  <si>
    <t>Вода без газа 0,5мл - 12шт</t>
  </si>
  <si>
    <t>Red Bull 250мл - 6шт</t>
  </si>
  <si>
    <t>Апельсины - 2936гр</t>
  </si>
  <si>
    <t>Шоколадное печенье - 25шт</t>
  </si>
  <si>
    <t>Овсяное печенье - 15шт</t>
  </si>
  <si>
    <t xml:space="preserve">Молоко - 1л </t>
  </si>
  <si>
    <t xml:space="preserve">Доставка </t>
  </si>
  <si>
    <t>Яблоки - 2138гр</t>
  </si>
  <si>
    <t>Морковь - 1834гр</t>
  </si>
  <si>
    <t>Сэндвичи - 10шт</t>
  </si>
  <si>
    <t>Муравейники - 5 шт</t>
  </si>
  <si>
    <t xml:space="preserve">Доставка молока </t>
  </si>
  <si>
    <t>Red Bull 250мл - 10шт</t>
  </si>
  <si>
    <t>Зарплата Умиде за 10 смен</t>
  </si>
  <si>
    <t>Вода без газа 0.5мл - 24шт</t>
  </si>
  <si>
    <t>морковь - 614гр</t>
  </si>
  <si>
    <t>бананы - 1026гр</t>
  </si>
  <si>
    <t>яблоки - 2084гр</t>
  </si>
  <si>
    <t>тряпка для пола</t>
  </si>
  <si>
    <t>яблоки - 1842гр</t>
  </si>
  <si>
    <t>лимоны - 630гр</t>
  </si>
  <si>
    <t>мята - 4пуч</t>
  </si>
  <si>
    <t>апельсины - 2404гр</t>
  </si>
  <si>
    <t>салфетки - 1уп</t>
  </si>
  <si>
    <t>бананы - 1092гр</t>
  </si>
  <si>
    <t>доставка вода</t>
  </si>
  <si>
    <t>топинг ягодный - 1037гр</t>
  </si>
  <si>
    <t>сироп ваниль - 1406гр</t>
  </si>
  <si>
    <t>сироп карамель - 1429гр</t>
  </si>
  <si>
    <t>овсянные печеньки - 15шт</t>
  </si>
  <si>
    <t>вода - 24шт</t>
  </si>
  <si>
    <t>сэндвичи - 10шт</t>
  </si>
  <si>
    <t>Мытье окон</t>
  </si>
  <si>
    <t>Напиток 18+ 250мл - 12шт</t>
  </si>
  <si>
    <t>Coca-Cola 500мл - 6шт</t>
  </si>
  <si>
    <t>Яблоки - 3130гр</t>
  </si>
  <si>
    <t>Вода 0,5 мл без газа - 12шт</t>
  </si>
  <si>
    <t>Сироп кокос - 1400гр</t>
  </si>
  <si>
    <t>R-Keeper за сентябрь</t>
  </si>
  <si>
    <t>Свет за сентябрь</t>
  </si>
  <si>
    <t xml:space="preserve">Интернет </t>
  </si>
  <si>
    <t>(Доп сняла со счета 08.10)  13 850 000 сум - аренда 7 136 000 сум (нал) = остаток 6 714 000 сум - 2 962 000 сум (долг с августа) = 3 752 000 сум</t>
  </si>
  <si>
    <t xml:space="preserve">Прибыль нал: - 46 500 сум + 3 752 000 сум = 3 705 500 сум </t>
  </si>
  <si>
    <t>от 09.10.2024</t>
  </si>
  <si>
    <t>ср-во для посуды</t>
  </si>
  <si>
    <t>влажные салфетки</t>
  </si>
  <si>
    <t>сухие салфетки - 6шт</t>
  </si>
  <si>
    <t>апельсины - 2484гр</t>
  </si>
  <si>
    <t>яблоки - 1532гр</t>
  </si>
  <si>
    <t>морковь - 1210гр</t>
  </si>
  <si>
    <t xml:space="preserve">сэндвичи - 10шт  </t>
  </si>
  <si>
    <t>лимоны - 814гр</t>
  </si>
  <si>
    <t>яблоки - 1674гр</t>
  </si>
  <si>
    <t>мед - 350гр</t>
  </si>
  <si>
    <t xml:space="preserve">сэндвичи - 10шт </t>
  </si>
  <si>
    <t>муравейники - 10шт</t>
  </si>
  <si>
    <t>вода 0,5 - 1шт</t>
  </si>
  <si>
    <t>морковь - 1022гр</t>
  </si>
  <si>
    <t>апельсины - 2196гр</t>
  </si>
  <si>
    <t xml:space="preserve">сэндвичи - 5шт </t>
  </si>
  <si>
    <t>Red Bull  - 6шт</t>
  </si>
  <si>
    <t>Coca Cola - 6шт</t>
  </si>
  <si>
    <t>Зарплата Умиде за 12 смен</t>
  </si>
  <si>
    <t>Орешки со сгущенкой - 160шт</t>
  </si>
  <si>
    <t>Кофейные орешки -15шт</t>
  </si>
  <si>
    <t>Сoca-Cola 450мл - 6шт</t>
  </si>
  <si>
    <t>Вода без газа 0,5 мл - 12шт</t>
  </si>
  <si>
    <t xml:space="preserve">Сэндвичи - 15шт </t>
  </si>
  <si>
    <t>Шоколадные печеньки - 20шт</t>
  </si>
  <si>
    <t xml:space="preserve">сэндвичи - 18шт </t>
  </si>
  <si>
    <t>Red Bull - 8шт</t>
  </si>
  <si>
    <t>ср-во для пола</t>
  </si>
  <si>
    <t>апельсины - 2278гр</t>
  </si>
  <si>
    <t>лимоны - 580гр</t>
  </si>
  <si>
    <t>Сабина</t>
  </si>
  <si>
    <t xml:space="preserve">сэндвичи - 11шт </t>
  </si>
  <si>
    <t>муравейники - 8шт</t>
  </si>
  <si>
    <t>Салфетки сухие - 8 упаковок</t>
  </si>
  <si>
    <t xml:space="preserve">сэндвичи - 15шт </t>
  </si>
  <si>
    <t>Зарплата Сабине за 1 смену</t>
  </si>
  <si>
    <t>апельсины - 1898гр</t>
  </si>
  <si>
    <t>мята - 5пуч</t>
  </si>
  <si>
    <t xml:space="preserve">сэндвичи - 12шт </t>
  </si>
  <si>
    <t>Доставка</t>
  </si>
  <si>
    <t>доставка молока</t>
  </si>
  <si>
    <t>Оплата за R-Keeper за октябрь</t>
  </si>
  <si>
    <t>Аренда за октябрь</t>
  </si>
  <si>
    <t xml:space="preserve">Свет </t>
  </si>
  <si>
    <t>Интернет</t>
  </si>
  <si>
    <t>Общая сумма инкассации Сайрам: 1 607 000 сум за октябрь</t>
  </si>
  <si>
    <t>Общая сумма инкассации Сайрам: 1 150 000 сум за сентябрь</t>
  </si>
  <si>
    <t>Общая сумма инкассации Сайрам:  1 607 000 сум за август</t>
  </si>
  <si>
    <t>от 10.11.2024</t>
  </si>
  <si>
    <t>Прибыль нал: - 6 938 000 сум + 8 393 000 сум (доп.сняла 08.11) + 3 705 000 сум (прибыль с сентября мес) = 5 160 000 сум</t>
  </si>
  <si>
    <t xml:space="preserve">сэндвичи - 14шт </t>
  </si>
  <si>
    <t>черный чай - 100шт</t>
  </si>
  <si>
    <t>сахар - 2кг</t>
  </si>
  <si>
    <t>Шоколадное печенье - 20шт</t>
  </si>
  <si>
    <t>контейнер для круассанов</t>
  </si>
  <si>
    <t>морковь - 718гр</t>
  </si>
  <si>
    <t>яблоки - 1482гр</t>
  </si>
  <si>
    <t>апельсины -- 2212гр</t>
  </si>
  <si>
    <t>COCA Cola - 10шт</t>
  </si>
  <si>
    <t xml:space="preserve">сэндвичи - 3шт </t>
  </si>
  <si>
    <t>чехол для телефона</t>
  </si>
  <si>
    <t>зп Сабина за 2.11.2024</t>
  </si>
  <si>
    <t>сухие салфетки - 8шт</t>
  </si>
  <si>
    <t>лимоны - 1060гр</t>
  </si>
  <si>
    <t>сироп шоколад - 590гр</t>
  </si>
  <si>
    <t>сироп карамель - 1940гр</t>
  </si>
  <si>
    <t>сироп клюква - 1940гр</t>
  </si>
  <si>
    <t>Муравейники - 10 упак</t>
  </si>
  <si>
    <t xml:space="preserve">Сэндвичи - 7шт </t>
  </si>
  <si>
    <t xml:space="preserve">Сэндвичи - 5шт </t>
  </si>
  <si>
    <t>зп Сабина за 09.11.2024</t>
  </si>
  <si>
    <t>бананы - 596гр</t>
  </si>
  <si>
    <t xml:space="preserve">ср-во для посуды </t>
  </si>
  <si>
    <t xml:space="preserve">жидкой мыло </t>
  </si>
  <si>
    <t>апельсины - 2кг</t>
  </si>
  <si>
    <t>Coca Cola - 9шт</t>
  </si>
  <si>
    <t>Умида/ Вика</t>
  </si>
  <si>
    <t>вода 0,5 - 36шт</t>
  </si>
  <si>
    <t>пакеты маленькие - 1уп</t>
  </si>
  <si>
    <t xml:space="preserve">сэндвичи - 8шт </t>
  </si>
  <si>
    <t>кофейные орешки - 5шт</t>
  </si>
  <si>
    <t>яблоки - 1642гр</t>
  </si>
  <si>
    <t>морковь - 1194гр</t>
  </si>
  <si>
    <t>мед - 300гр</t>
  </si>
  <si>
    <t>Вика</t>
  </si>
  <si>
    <t>Умида/Вика</t>
  </si>
  <si>
    <t>зп Сабина за 16.11.2024</t>
  </si>
  <si>
    <t>сироп миндаль  - 1420гр</t>
  </si>
  <si>
    <t>оплата за телефон</t>
  </si>
  <si>
    <t>трубочки черные - 1уп</t>
  </si>
  <si>
    <t>Зарплата Вики за 9 смен</t>
  </si>
  <si>
    <t>кофейные трубочки - 5уп</t>
  </si>
  <si>
    <t>Зарплата Сабине за 30.11</t>
  </si>
  <si>
    <t>Оплата за R-keeper за ноябрь</t>
  </si>
  <si>
    <t>доставка молоко и круассаны</t>
  </si>
  <si>
    <t>Оплата за свет</t>
  </si>
  <si>
    <t xml:space="preserve">Аренда за ноябрь </t>
  </si>
  <si>
    <t>Общая сумма инкассации ц14: 1 734 000 сум за ноябрь</t>
  </si>
  <si>
    <t xml:space="preserve">Прибыль нал: - 6 999 000 сум + 8 266 000 сум (доп сняла со счета 10.12) + 5 160 000 сум (прибыль с октября) = 6 427 000 сум </t>
  </si>
  <si>
    <t>от 10.12.2024</t>
  </si>
  <si>
    <t>зп Умиде за 02.12.2024</t>
  </si>
  <si>
    <t>Coca Cola - 12шт</t>
  </si>
  <si>
    <t>лимоны - 656гр</t>
  </si>
  <si>
    <t>салфетки сухие - 2уп</t>
  </si>
  <si>
    <t xml:space="preserve"> день</t>
  </si>
  <si>
    <t>апельсины - 1624гр</t>
  </si>
  <si>
    <t>имбирь - 408гр</t>
  </si>
  <si>
    <t xml:space="preserve">сэндвичи - 13шт </t>
  </si>
  <si>
    <t>18+ - 15шт</t>
  </si>
  <si>
    <t>сухие салфетки - 10уп</t>
  </si>
  <si>
    <t>капхолдеры - 150шт</t>
  </si>
  <si>
    <t>доставка печеньки</t>
  </si>
  <si>
    <t>Зарплата Виктории за 11 смен</t>
  </si>
  <si>
    <t>морковь  -- 578гр</t>
  </si>
  <si>
    <t>лимоны - 938гр</t>
  </si>
  <si>
    <t>апельсины - 1916гр</t>
  </si>
  <si>
    <t>зп Сабина за 14.12.2024</t>
  </si>
  <si>
    <t xml:space="preserve">сэндвичи - 17шт </t>
  </si>
  <si>
    <t>зп Сабина за 21.12.2024</t>
  </si>
  <si>
    <t>18+ - 22шт</t>
  </si>
  <si>
    <t xml:space="preserve">влажные салфетки </t>
  </si>
  <si>
    <t>сахар - 5кг</t>
  </si>
  <si>
    <t xml:space="preserve">сэндвичи -9шт </t>
  </si>
  <si>
    <t>Зарплата Сабине за 25.12.2024</t>
  </si>
  <si>
    <t>муравейники - 5 упк</t>
  </si>
  <si>
    <t>Аренда за декабрь</t>
  </si>
  <si>
    <t>Оплата за R-Keeper за декабрь</t>
  </si>
  <si>
    <t>Подарки сотрудникам на Новый год</t>
  </si>
  <si>
    <t>Общая сумма инкассации ц14:  2 610 000 сум за декабрь</t>
  </si>
  <si>
    <t xml:space="preserve">Прибыль нал: - 6 287 000 сум + 3 390 000 сум (доп сняла со счета 17.01) + 6 427 000 сум (прибыль с ноября) = 3 530 000 сум </t>
  </si>
  <si>
    <t>от 17.01.2025</t>
  </si>
  <si>
    <t xml:space="preserve">новогодний подарок - 9шт </t>
  </si>
  <si>
    <t>ягодный топинг - 1059гр</t>
  </si>
  <si>
    <t>сухие салфетки - 8уп</t>
  </si>
  <si>
    <t>морковь - 838гр</t>
  </si>
  <si>
    <t>яблоки - 1408гр</t>
  </si>
  <si>
    <t>апельсины - 2308гр</t>
  </si>
  <si>
    <t>Coca Coca - 8шт</t>
  </si>
  <si>
    <t xml:space="preserve">печеньки - 13шт </t>
  </si>
  <si>
    <t>зп Сабина за 04.01.2025</t>
  </si>
  <si>
    <t>шоколадные печеньки - 30шт</t>
  </si>
  <si>
    <t>овсянные печеньки - 20шт</t>
  </si>
  <si>
    <t>Зарплата Вике за 10 смен</t>
  </si>
  <si>
    <t>Оплата за телефон</t>
  </si>
  <si>
    <t xml:space="preserve">сэндвичи - 6шт </t>
  </si>
  <si>
    <t>Coca Cola - 11шт</t>
  </si>
  <si>
    <t>Red Bull - 4шт</t>
  </si>
  <si>
    <t>вода  с газом 0,5 - 10шт</t>
  </si>
  <si>
    <t>кофейные орешки - 10уп</t>
  </si>
  <si>
    <t>зп Сабина за 11.01.2025</t>
  </si>
  <si>
    <t>доставка ожидание</t>
  </si>
  <si>
    <t>сироп ваниль - 1435гр</t>
  </si>
  <si>
    <t>зп Сабина за 18.01.2025</t>
  </si>
  <si>
    <t>ср-во оот засоров</t>
  </si>
  <si>
    <t>апельсины - 1732гр</t>
  </si>
  <si>
    <t>лимоны - 1108гр</t>
  </si>
  <si>
    <t>жидкое мыло</t>
  </si>
  <si>
    <t>сироа лесной орех - 1435гр</t>
  </si>
  <si>
    <t>мята - 15пуч</t>
  </si>
  <si>
    <t>имбирь - 348гр</t>
  </si>
  <si>
    <t>зп Сабина за 25.01.2025</t>
  </si>
  <si>
    <t>Зарплата Вике за 12 смен</t>
  </si>
  <si>
    <t>свет оплата</t>
  </si>
  <si>
    <t>батарейки</t>
  </si>
  <si>
    <t>брауни - 20шт</t>
  </si>
  <si>
    <t>Оплата за R-Keeper за январь</t>
  </si>
  <si>
    <t>Аренда за январь</t>
  </si>
  <si>
    <t>Общая сумма инкассации ц14:  3 991 000 сум за январь</t>
  </si>
  <si>
    <t xml:space="preserve">Прибыль нал: - 7 862 000 сум + 6 009 000 сум (доп сняла со счета 06.02) + 3 530 000 сум (прибыль с декабря) = 1 677 000 сум </t>
  </si>
  <si>
    <t>от 16.02.2025</t>
  </si>
  <si>
    <t xml:space="preserve">сэндвичи -  5шт </t>
  </si>
  <si>
    <t>Алексия</t>
  </si>
  <si>
    <t>ср-во для полов</t>
  </si>
  <si>
    <t>сироп шоколад</t>
  </si>
  <si>
    <t>сироп кокос</t>
  </si>
  <si>
    <t>лимоны - 666гр</t>
  </si>
  <si>
    <t>зп Сабина за 01.02.2025</t>
  </si>
  <si>
    <t>брауни -  15шт</t>
  </si>
  <si>
    <t>доставка кофе</t>
  </si>
  <si>
    <t>сэндвичи - 4шт</t>
  </si>
  <si>
    <t>кофейные орешки - 5уп</t>
  </si>
  <si>
    <t>зп Сабина за 08.02.2025</t>
  </si>
  <si>
    <t>зп Вика за 1 смену</t>
  </si>
  <si>
    <t>зп Алексия за 9смен - официальная часть 1155000</t>
  </si>
  <si>
    <t>18+ - 6шт</t>
  </si>
  <si>
    <t xml:space="preserve">сэндвичи  - 8шт </t>
  </si>
  <si>
    <t>апельсины - 1932гр</t>
  </si>
  <si>
    <t>топинг облепиха - 1060гр</t>
  </si>
  <si>
    <t>топинг малина - 1030</t>
  </si>
  <si>
    <t>яблоки - 956гр</t>
  </si>
  <si>
    <t>морковь - 648гр</t>
  </si>
  <si>
    <t>бананы - 878гр</t>
  </si>
  <si>
    <t>шоколадные печеньки - 15шт</t>
  </si>
  <si>
    <t>Зарплата Виктории за 7 смен</t>
  </si>
  <si>
    <t>Средство для посуды</t>
  </si>
  <si>
    <t>Оплата за R-Keeper за февраль</t>
  </si>
  <si>
    <t>Аренда за февраль</t>
  </si>
  <si>
    <t>Общая сумма инкассации ц14: 1 399 000 сум за февраль</t>
  </si>
  <si>
    <t>от 15.03.2025</t>
  </si>
  <si>
    <t xml:space="preserve">Прибыль нал:  - 5 089 000 сум + 4 601 000 сум (доп сняла со счета 07.03) + 1 677 000 сум (прибыль с января) = 1 189 000 сум </t>
  </si>
  <si>
    <t>зп  Сабина а 01.03</t>
  </si>
  <si>
    <t xml:space="preserve">сэндвичи - 2шт </t>
  </si>
  <si>
    <t>сухие салфетки - 16уп</t>
  </si>
  <si>
    <t xml:space="preserve">печеньки шоколадные  - </t>
  </si>
  <si>
    <t xml:space="preserve">сэндвичи - 4шт </t>
  </si>
  <si>
    <t xml:space="preserve">Мытья окон </t>
  </si>
  <si>
    <t>апельсины 1728гр</t>
  </si>
  <si>
    <t>интернет</t>
  </si>
  <si>
    <t>зп Сабина за 15.03.2025</t>
  </si>
  <si>
    <t>Зарплата Вике за 8 смен</t>
  </si>
  <si>
    <t>морковь - 636гр</t>
  </si>
  <si>
    <t>яблоки - 1594гр</t>
  </si>
  <si>
    <t>сироп карамель</t>
  </si>
  <si>
    <t>Вика/Мехри</t>
  </si>
  <si>
    <t>Мехри</t>
  </si>
  <si>
    <t>вода 0,5  - 12шт</t>
  </si>
  <si>
    <t>сэндвичи - 5шт</t>
  </si>
  <si>
    <t xml:space="preserve">сэндвичи - 7шт </t>
  </si>
  <si>
    <t>зп Сабина за 29.03.2025</t>
  </si>
  <si>
    <t xml:space="preserve">Зарплата Вике за 3 смены </t>
  </si>
  <si>
    <t xml:space="preserve">Зарплата Мехри за 7 смен </t>
  </si>
  <si>
    <t>Свет</t>
  </si>
  <si>
    <t>Аренда за март</t>
  </si>
  <si>
    <t>Общая сумма инкассации ц14: 2 884 000 сум за март</t>
  </si>
  <si>
    <t xml:space="preserve">Прибыль нал: - 10 562 000 сум + 7 500 000 сум (доп сняла со счета 10.04) + 1 189 000 сум (прибыль с февраля) =  - 1 873 000 сум </t>
  </si>
  <si>
    <t>сухие салфетки - 4шт</t>
  </si>
  <si>
    <t>сингл стаканчики - 150шт</t>
  </si>
  <si>
    <t>морковь - 958гр</t>
  </si>
  <si>
    <t>апельсины - 1748гр</t>
  </si>
  <si>
    <t>чистящие ср-во</t>
  </si>
  <si>
    <t>сироп мохито - 1930гр</t>
  </si>
  <si>
    <t>сироп  гренадин - 1430гр</t>
  </si>
  <si>
    <t>лимоны - 626гр</t>
  </si>
  <si>
    <t>бананы - 1460гр</t>
  </si>
  <si>
    <t>зп Сабина за 05.04.1025</t>
  </si>
  <si>
    <t>Зарплата Мехри за 8 смен</t>
  </si>
  <si>
    <t>апельсины - 1910гр</t>
  </si>
  <si>
    <t>Зарплата Вики за 2 смены</t>
  </si>
  <si>
    <t>сэндвичи - 12шт</t>
  </si>
  <si>
    <t>Coca - Cola - 10шт</t>
  </si>
  <si>
    <t>губки для посуды - 10шт</t>
  </si>
  <si>
    <t>лимоны - 1110гр</t>
  </si>
  <si>
    <t>топинг ягодный</t>
  </si>
  <si>
    <t>сироп соленая карамель</t>
  </si>
  <si>
    <t>Оплата за интернет</t>
  </si>
  <si>
    <t>вода 0,5 - 20шт</t>
  </si>
  <si>
    <t xml:space="preserve">Оплата за свет </t>
  </si>
  <si>
    <t xml:space="preserve">тряпочки </t>
  </si>
  <si>
    <t>мед - 180гр</t>
  </si>
  <si>
    <t>апельсины - 2270гр</t>
  </si>
  <si>
    <t>Зарплата Сабине за 3 смены</t>
  </si>
  <si>
    <t>Зарплата Вике за 11 смен</t>
  </si>
  <si>
    <t>Общая сумма инкассации ц14:  5 016 000 сум за апрель</t>
  </si>
  <si>
    <t>Аренда за апрель</t>
  </si>
  <si>
    <t>мята - 2пучка</t>
  </si>
  <si>
    <t xml:space="preserve">Прибыль нал: - 4 729 000 сум + 4 984 000 сум (доп сняла со счета 07.05)  - 1 873 000 сум (долг с марта) =  - 1 618 000 сум </t>
  </si>
  <si>
    <t>от 14.05.2025</t>
  </si>
  <si>
    <t>апельсины - 3812гр</t>
  </si>
  <si>
    <t>яблоки - 1890гр</t>
  </si>
  <si>
    <t>мороженон - 1кг</t>
  </si>
  <si>
    <t>бананы - 1488гр</t>
  </si>
  <si>
    <t>морковь - 1кг</t>
  </si>
  <si>
    <t>пакеты для мусора      - 5уп</t>
  </si>
  <si>
    <t>дорога рабочий</t>
  </si>
  <si>
    <t>вода 0,5 - 7шт</t>
  </si>
  <si>
    <t>яблоки - 1274гр</t>
  </si>
  <si>
    <t>сингл стаканчики - 250шт</t>
  </si>
  <si>
    <t>лимоны - 732гр</t>
  </si>
  <si>
    <t>яблоки - 1628гр</t>
  </si>
  <si>
    <t>батарейки - 2шт</t>
  </si>
  <si>
    <t>апельсины - 2110гр</t>
  </si>
  <si>
    <t>вода - 36шт</t>
  </si>
  <si>
    <t>Coca-Cola 450мл - 8шт</t>
  </si>
  <si>
    <t>Средство для пола - 500мл</t>
  </si>
  <si>
    <t>апельсины - 1868гр</t>
  </si>
  <si>
    <t>зп Сабина за 05.05.2025</t>
  </si>
  <si>
    <t>апельсины - 1867гр</t>
  </si>
  <si>
    <t>имбирь - 292гр</t>
  </si>
  <si>
    <t>лайм - 2шт</t>
  </si>
  <si>
    <t xml:space="preserve">Зарплата Вике за 10 смен (- офиц зп 1 155 000 сум) </t>
  </si>
  <si>
    <t>Вика/Юлдуз</t>
  </si>
  <si>
    <t>Юлдуз</t>
  </si>
  <si>
    <t>18+ - 4шт</t>
  </si>
  <si>
    <t>лимоны - 910гр</t>
  </si>
  <si>
    <t>апельсины - 4086гр</t>
  </si>
  <si>
    <t>яблоки - 2816гр</t>
  </si>
  <si>
    <t>сухие салфетки - 16шт</t>
  </si>
  <si>
    <t>сироп вишня - 1425гр</t>
  </si>
  <si>
    <t xml:space="preserve">сэндвичи - 16шт </t>
  </si>
  <si>
    <t>кофейные орешки - 3шт</t>
  </si>
  <si>
    <t>сироп ваниль - 1440гр</t>
  </si>
  <si>
    <t>морковь - 851гр</t>
  </si>
  <si>
    <t>Red Bull - и8шт</t>
  </si>
  <si>
    <t>Вика зп за 5смен + бонус за 2 смены</t>
  </si>
  <si>
    <t>овсяные печеньки - 17шт</t>
  </si>
  <si>
    <t xml:space="preserve">Зарплата Юлдуз за 10 смен </t>
  </si>
  <si>
    <t>морковь - 986гр</t>
  </si>
  <si>
    <t>бананы - 1082гр</t>
  </si>
  <si>
    <t>апельсины - 2066гр</t>
  </si>
  <si>
    <t>Оплата за Свет</t>
  </si>
  <si>
    <t>Замена фильтра</t>
  </si>
  <si>
    <t>Общая сумма инкассации ц14: 5 042 000 сум за май</t>
  </si>
  <si>
    <t>Аренда за май</t>
  </si>
  <si>
    <t xml:space="preserve">Прибыль нал: - 4 927 000 сум  + 4 958 000 сум (доп сняла со счета 09.06)  - 1 618 000 сум (долг с апреля) =  - 1 587 000 сум </t>
  </si>
  <si>
    <t>от 12.06.2025</t>
  </si>
  <si>
    <t>яблоки - 1920гр</t>
  </si>
  <si>
    <t xml:space="preserve">сэндвичи - 9шт </t>
  </si>
  <si>
    <t>сироп манго - 1445гр</t>
  </si>
  <si>
    <t>сироп маракуйя -1425гр</t>
  </si>
  <si>
    <t>Орешки со сгущенкой - 10 упк</t>
  </si>
  <si>
    <t>морковь - 1504гр</t>
  </si>
  <si>
    <t>яблоки - 2618гр</t>
  </si>
  <si>
    <t>вода 0,3 - 24шт</t>
  </si>
  <si>
    <t>сэндвичи - 15шт</t>
  </si>
  <si>
    <t>Юлдуз/Мадина2</t>
  </si>
  <si>
    <t>Мадина</t>
  </si>
  <si>
    <t>мята - 1пуч</t>
  </si>
  <si>
    <t>Зарплата Юлдуз за 9 смен</t>
  </si>
  <si>
    <t>Юлдуз/Мадтна 2</t>
  </si>
  <si>
    <t>сироп мята - 1930гр</t>
  </si>
  <si>
    <t>сироп мохито - 1935гр</t>
  </si>
  <si>
    <t>сироп гренадин - 1935гр</t>
  </si>
  <si>
    <t>Юлдуз/Мадина 2</t>
  </si>
  <si>
    <t>вода  0,5 - 24шт</t>
  </si>
  <si>
    <t>Coca Cola - 6in</t>
  </si>
  <si>
    <t>мусорные пакеты - 3уп</t>
  </si>
  <si>
    <t>лимоны - 1176гр</t>
  </si>
  <si>
    <t>сироп банан - 1425гр</t>
  </si>
  <si>
    <t>перчатки</t>
  </si>
  <si>
    <t>мята -3пуч</t>
  </si>
  <si>
    <t>брауни - 15шт</t>
  </si>
  <si>
    <t>Зарплата Мадине за 12 смен</t>
  </si>
  <si>
    <t>Аренда за июнь</t>
  </si>
  <si>
    <t xml:space="preserve">Юлдуз зп за 2 смены </t>
  </si>
  <si>
    <t>Брауни - 20шт</t>
  </si>
  <si>
    <t>Общая сумма инкассации ц14:  1 272 000 сум за июнь</t>
  </si>
  <si>
    <t>от 09.07.2025</t>
  </si>
  <si>
    <t xml:space="preserve">Прибыль нал: - 7 074 000 сум  + 6 728 000 сум (доп сняла со счета 07.07)  - 1 587 000 сум (долг с мая) =  - 1 933 000 сум </t>
  </si>
  <si>
    <t>Мадина 2</t>
  </si>
  <si>
    <t>18+ - 8шт</t>
  </si>
  <si>
    <t>Red Bull  - 8шт</t>
  </si>
  <si>
    <t>08.07.20205</t>
  </si>
  <si>
    <t>мята - 3шт</t>
  </si>
  <si>
    <t>апельсины - 3642гр</t>
  </si>
  <si>
    <t>пакеты для мусора - 3уп</t>
  </si>
  <si>
    <t>лимоны - 711гр</t>
  </si>
  <si>
    <t>яблоки - 1450гр</t>
  </si>
  <si>
    <t>Мадина2</t>
  </si>
  <si>
    <t>сингл стаканчики- 200шт</t>
  </si>
  <si>
    <t>Зарплата Умида за 7 смен</t>
  </si>
  <si>
    <t>Зарплата Мадина за 6 смен 1170000 (долг с Ганги 595000)</t>
  </si>
  <si>
    <t>яблоки - 2668гр</t>
  </si>
  <si>
    <t>морковь - 1340гр</t>
  </si>
  <si>
    <t>сухие салфетки</t>
  </si>
  <si>
    <t>лимоны - 653гр</t>
  </si>
  <si>
    <t>муравейники - т10уп</t>
  </si>
  <si>
    <t>ср-во для стекол</t>
  </si>
  <si>
    <t>печеньки овсяные - 15шт</t>
  </si>
  <si>
    <t>печеньки шоколадные - 20шт</t>
  </si>
  <si>
    <t>мята - и4шт</t>
  </si>
  <si>
    <t>бананы - 1938гр</t>
  </si>
  <si>
    <t>вода с газом -12шт</t>
  </si>
  <si>
    <t>мороженое  - 1кг</t>
  </si>
  <si>
    <t>муравейники  - 10уп</t>
  </si>
  <si>
    <t>сироп гренадин - 1940гр</t>
  </si>
  <si>
    <t>лимоны - 1032гр</t>
  </si>
  <si>
    <t>Оплата за электроэнергию</t>
  </si>
  <si>
    <t>Зарплата Мадине (ночь) за 3 смены</t>
  </si>
  <si>
    <t>Зарплата Мадинe 2 за 8 смен</t>
  </si>
  <si>
    <t>Аренда за июль</t>
  </si>
  <si>
    <t>Зарплата Умиде за 5 смен</t>
  </si>
  <si>
    <t>Общая сумма инкассации ц14: 1 210 000 сум за июль</t>
  </si>
  <si>
    <t>от 11.08.2025</t>
  </si>
  <si>
    <t xml:space="preserve">Прибыль нал: - 8 306 000 сум  + 8 790 000 сум (доп сняла со счета 06.08)  - 1 933 000 сум (долг с июня) =  - 1 449 000 сум </t>
  </si>
  <si>
    <t>Coca-Cola 320мл - 10шт</t>
  </si>
  <si>
    <t>Напиток 18+ - 10шт</t>
  </si>
  <si>
    <t>Бананы - 1262гр</t>
  </si>
  <si>
    <t>Апельсины - 3736гр</t>
  </si>
  <si>
    <t>Морковь - 982гр</t>
  </si>
  <si>
    <t>яблоки - 2056гр</t>
  </si>
  <si>
    <t>морковь - 1024гр</t>
  </si>
  <si>
    <t>вЫХОДНОЙ</t>
  </si>
  <si>
    <t>Зп Мадина2 за 4смены</t>
  </si>
  <si>
    <t>яблоки - 2482гр</t>
  </si>
  <si>
    <t>Зарплата Умиде за 8 смен ( 811 000 сум офиц.зп на карту)</t>
  </si>
  <si>
    <t>лимоны - 849гр</t>
  </si>
  <si>
    <t>морковь  - 175гр</t>
  </si>
  <si>
    <t>пакеты</t>
  </si>
  <si>
    <t xml:space="preserve">телефон </t>
  </si>
  <si>
    <t>Coca Colla - 6шт</t>
  </si>
  <si>
    <t>мята - 2шт</t>
  </si>
  <si>
    <t>вода 0,5- 10шт</t>
  </si>
  <si>
    <t>полотенце для посуды - 2шт</t>
  </si>
  <si>
    <t>Coca Colla - 12шт</t>
  </si>
  <si>
    <t>18+ - 8in</t>
  </si>
  <si>
    <t>имбирь - 358гр</t>
  </si>
  <si>
    <t>яблоки - 2004гр</t>
  </si>
  <si>
    <t>вода 0,5- 12шт</t>
  </si>
  <si>
    <t>морковь - 1074гр</t>
  </si>
  <si>
    <t>вода 0,5 - 48шт</t>
  </si>
  <si>
    <t>вода с газом - 10шт</t>
  </si>
  <si>
    <t>апельсины  -3326гр</t>
  </si>
  <si>
    <t>морковь - 1090гр</t>
  </si>
  <si>
    <t>бананы - 1306гр</t>
  </si>
  <si>
    <t>яблоки - 1856гр</t>
  </si>
  <si>
    <t>брауни - 14шт</t>
  </si>
  <si>
    <t>овсяные печеньки - 20шт</t>
  </si>
  <si>
    <t>Аренда за август</t>
  </si>
  <si>
    <t>Замена резинок на кофемашине</t>
  </si>
  <si>
    <t>Зарплата Умиде за 8 смен</t>
  </si>
  <si>
    <t>Общая сумма инкассации: 906 000 сум за август</t>
  </si>
  <si>
    <t>от 10.09.2025</t>
  </si>
  <si>
    <t>пакеты для мусоа</t>
  </si>
  <si>
    <t>доставка сироп</t>
  </si>
  <si>
    <t>сироп клюква</t>
  </si>
  <si>
    <t>пипидастр</t>
  </si>
  <si>
    <t>морковь - 1994гр</t>
  </si>
  <si>
    <t>яблоки - 2012гр</t>
  </si>
  <si>
    <t>сахар - 6кг</t>
  </si>
  <si>
    <t>пакеты для мусора</t>
  </si>
  <si>
    <t>Red Bull  - 10шт</t>
  </si>
  <si>
    <t xml:space="preserve">сухие салфетки </t>
  </si>
  <si>
    <t>сингл  стаканчики - 100шт</t>
  </si>
  <si>
    <t xml:space="preserve"> сироп ваниль </t>
  </si>
  <si>
    <t>лимоны - 1012гр</t>
  </si>
  <si>
    <t>Зарплата Умиде за 10 смен ( офиц зп 1 155 000 сум)</t>
  </si>
  <si>
    <t xml:space="preserve"> Coca Cola  - 9шт</t>
  </si>
  <si>
    <t>Бонус Кристине за 08.09</t>
  </si>
  <si>
    <t>вода 0,5 - 11шт</t>
  </si>
  <si>
    <t>такси</t>
  </si>
  <si>
    <t>овсяные печеньки - 10шт</t>
  </si>
  <si>
    <t>брауни - 10шт</t>
  </si>
  <si>
    <t>18+ - 7in</t>
  </si>
  <si>
    <t>апельсины - 2508гр</t>
  </si>
  <si>
    <t>яблоки - 2142гр</t>
  </si>
  <si>
    <t>Ульяна</t>
  </si>
  <si>
    <t>стажер</t>
  </si>
  <si>
    <t>сироп карамель - 1450гр</t>
  </si>
  <si>
    <t>Coca Cola - 5in</t>
  </si>
  <si>
    <t>мята</t>
  </si>
  <si>
    <t>брауни</t>
  </si>
  <si>
    <t>Кристина/Рома</t>
  </si>
  <si>
    <t>шоколадные печеньки</t>
  </si>
  <si>
    <t>овсяные печеньки</t>
  </si>
  <si>
    <t>Умида/Рома</t>
  </si>
  <si>
    <t>вода 0,5 - 204шт</t>
  </si>
  <si>
    <t>Бонус Кристине за 29.09</t>
  </si>
  <si>
    <t>Зарплата Роме за 2 смены</t>
  </si>
  <si>
    <t>Аренда за сентябрь</t>
  </si>
  <si>
    <t>Общая сумма инкассации ц14: 1 498 000 сум за сентябрь</t>
  </si>
  <si>
    <t>от 12.10.2025</t>
  </si>
  <si>
    <t xml:space="preserve">Прибыль нал: - 5 625 500 сум  + 6 094 000 сум (доп сняла со счета 05.09)  - 1 449 000 сум (долг с июля) =  - 980 500 сум </t>
  </si>
  <si>
    <t xml:space="preserve">Прибыль нал: - 1 423 000 сум + 5 502 000 сум (доп сняла со счета 09.10) - 980 500 cум (долг с августа) = 3 098 500 сум </t>
  </si>
  <si>
    <t>инт ернет за сентябрь</t>
  </si>
  <si>
    <t>свет за сентябрь</t>
  </si>
  <si>
    <t>Исмаил</t>
  </si>
  <si>
    <t xml:space="preserve">Coca Cola - 10шт </t>
  </si>
  <si>
    <t>ср-во для пола - 2шт</t>
  </si>
  <si>
    <t>Алина</t>
  </si>
  <si>
    <t>Red Bull - 5шт</t>
  </si>
  <si>
    <t>апельсины - 4034гр</t>
  </si>
  <si>
    <t>лимоны - 1068гр</t>
  </si>
  <si>
    <t>мята -2шт</t>
  </si>
  <si>
    <t>яблоки - 2762гр</t>
  </si>
  <si>
    <t>морковь - 1870гр</t>
  </si>
  <si>
    <t>имбирь - 472гр</t>
  </si>
  <si>
    <t xml:space="preserve">Зарплата Умиде за 11 смен (- офиц зп 1 155 000 сум) </t>
  </si>
  <si>
    <t xml:space="preserve">Зарплата Исмаилу за 7 смен </t>
  </si>
  <si>
    <t>Джахонгир</t>
  </si>
  <si>
    <t>Зарплата Алине за 1 смену</t>
  </si>
  <si>
    <t>Зарплата Мадине за 1 смену</t>
  </si>
  <si>
    <t>сироп гренадин</t>
  </si>
  <si>
    <t>топинг облептха</t>
  </si>
  <si>
    <t>доставка сиропы</t>
  </si>
  <si>
    <t>вода 0,5 - 21шт</t>
  </si>
  <si>
    <t>сироп банан - 1357гр</t>
  </si>
  <si>
    <t>сироп маракуйя - 1452гр</t>
  </si>
  <si>
    <t>бананы - 1322гр</t>
  </si>
  <si>
    <t>морковь - 1236гр</t>
  </si>
  <si>
    <t>лайм - 3шт</t>
  </si>
  <si>
    <t>апельсины  - 2516гр</t>
  </si>
  <si>
    <t>пакеты для мусора - 6уп</t>
  </si>
  <si>
    <t>яблоки - 2280гр</t>
  </si>
  <si>
    <t>апельсины - 3832гр</t>
  </si>
  <si>
    <t>морковь - 1230гр</t>
  </si>
  <si>
    <t>булочки с вишней - 3шт</t>
  </si>
  <si>
    <t>булочки с маком - 3шт</t>
  </si>
  <si>
    <t>парамач - 3шт</t>
  </si>
  <si>
    <t>мясная лепешка - 3шт</t>
  </si>
  <si>
    <t>сомса с курицей сметаной - 3шт</t>
  </si>
  <si>
    <t>мед  -350гр</t>
  </si>
  <si>
    <t>булочка с вишней - 3шт</t>
  </si>
  <si>
    <t>булочка с яблоком - 3шт</t>
  </si>
  <si>
    <t>Зарплата Джахонгиру за 5 смен</t>
  </si>
  <si>
    <t>бананы - 1496гр</t>
  </si>
  <si>
    <t>Зарплата Исмаил 3 смены</t>
  </si>
  <si>
    <t>хачапури с колбасой - 2шт</t>
  </si>
  <si>
    <t>Зарплата Алине 4 смены</t>
  </si>
  <si>
    <t>хачапури с сыром - 2шт</t>
  </si>
  <si>
    <t>круассан шоколадный -2шт</t>
  </si>
  <si>
    <t>булочка с вишней - 2шт</t>
  </si>
  <si>
    <t>растягай с яйцом - 2шт</t>
  </si>
  <si>
    <t>Шоколадное печенье - 15шт</t>
  </si>
  <si>
    <t>Общая сумма инкассации ц14: 1 884 000 сум за октябрь</t>
  </si>
  <si>
    <t>от 17.11.2025</t>
  </si>
  <si>
    <t>Установка навеса</t>
  </si>
  <si>
    <t xml:space="preserve">Прибыль нал: - 5 416 000 сум + 8 116 000 сум (доп сняла со счета 13.11) + 3 098 500 cум (прибыль с сентября) = 5 798 500 сум </t>
  </si>
  <si>
    <t>День</t>
  </si>
  <si>
    <t>Coca-cola 500мл - 8шт</t>
  </si>
  <si>
    <t>Средство для стекл - 1 шт</t>
  </si>
  <si>
    <t>Средство для мытья полов - 1шт</t>
  </si>
  <si>
    <t>Апельсины - 4620гр</t>
  </si>
  <si>
    <t>Лимоны - 1500гр</t>
  </si>
  <si>
    <t>Морковь - 1812гр</t>
  </si>
  <si>
    <t>Яблоки - 1796гр</t>
  </si>
  <si>
    <t>Мята - 5 пучков</t>
  </si>
  <si>
    <t>балиш со шпинатоом - 3шт</t>
  </si>
  <si>
    <t>балиш с пюре - 3шт</t>
  </si>
  <si>
    <t>хачапури с колбасой - 3шт</t>
  </si>
  <si>
    <t>булочка творог банан - 3шт</t>
  </si>
  <si>
    <t>Зарплата Умиде за 12 смен (- офиц зп 1 155 000 сум)</t>
  </si>
  <si>
    <t>морковь - 1694гр</t>
  </si>
  <si>
    <t>яблоки - 1866гр</t>
  </si>
  <si>
    <t>резинки для денег</t>
  </si>
  <si>
    <t>сиф</t>
  </si>
  <si>
    <t>скотч</t>
  </si>
  <si>
    <t>балиш со шпинатом - 3шт</t>
  </si>
  <si>
    <t>пармуда мясо курица - 3шт</t>
  </si>
  <si>
    <t>крючки для картины</t>
  </si>
  <si>
    <t>топинг ягодный - 1073гр</t>
  </si>
  <si>
    <t>топинг облепиха - 1089гр</t>
  </si>
  <si>
    <t>топинг голубика - 1085</t>
  </si>
  <si>
    <t>апельсины - 2796гр</t>
  </si>
  <si>
    <t>тряпочки - 2уп</t>
  </si>
  <si>
    <t>полотенца  - 4шт</t>
  </si>
  <si>
    <t>имбирь - 218гр</t>
  </si>
  <si>
    <t>яблоки - 2036гр</t>
  </si>
  <si>
    <t>морковь - 1416гр</t>
  </si>
  <si>
    <t>парамач - 4шт</t>
  </si>
  <si>
    <t>булочка с вишней - 4шт</t>
  </si>
  <si>
    <t>булочка с маком - 3шт</t>
  </si>
  <si>
    <t>булочка с орехом - 3шт</t>
  </si>
  <si>
    <t>вода с газом - 4шт</t>
  </si>
  <si>
    <t>парамач - 2шт</t>
  </si>
  <si>
    <t>веревка</t>
  </si>
  <si>
    <t>ДЕНЬ</t>
  </si>
  <si>
    <t>Зарплата Мехри за 1 смену</t>
  </si>
  <si>
    <t>Стаканчики сингл - 2100шт</t>
  </si>
  <si>
    <t xml:space="preserve">Замена мембраны на фильтра </t>
  </si>
  <si>
    <t>Штраф за свет</t>
  </si>
  <si>
    <t>Общая сумма инкассации ц14: 1 720 000 сум за ноябрь</t>
  </si>
  <si>
    <t>Аренда за ноябрь</t>
  </si>
  <si>
    <t xml:space="preserve">Прибыль нал:  - 6 441 000 сум + 5 280 000 сум (доп сняла со счета 09.12) + 5 798 500 cум (прибыль с октябрь) = 4 637 500 сум </t>
  </si>
  <si>
    <t>от 11.12.2025</t>
  </si>
  <si>
    <t>косички с маком - 2шт</t>
  </si>
  <si>
    <t>бананы - 2138гр</t>
  </si>
  <si>
    <t>мята - 4шт</t>
  </si>
  <si>
    <t>косичка с маком - 2шт</t>
  </si>
  <si>
    <t>булочка со сгущенкой - 2шт</t>
  </si>
  <si>
    <t>булочка с орехом - 2шт</t>
  </si>
  <si>
    <t>мясная лепешка - 2шт</t>
  </si>
  <si>
    <t>балиш пюре сыр - 2шт</t>
  </si>
  <si>
    <t>лимоны - 972гр</t>
  </si>
  <si>
    <t>наклейки новогодние</t>
  </si>
  <si>
    <t>наклейки на окна</t>
  </si>
  <si>
    <t>Зарплата Умиде за 13 смен (- офиц зп 1 271 000 сум)</t>
  </si>
  <si>
    <t>хачапури с сыром - 3шт</t>
  </si>
  <si>
    <t>косички с орехом - 2шт</t>
  </si>
  <si>
    <t>ватрушки - 2шт</t>
  </si>
  <si>
    <t>балишь пюре сыр - 2шт</t>
  </si>
  <si>
    <t>растягай с кортошкой - 2шт</t>
  </si>
  <si>
    <t>сироп манго - 1426гр</t>
  </si>
  <si>
    <t>коврик для входа</t>
  </si>
  <si>
    <t>ВЫХОДНОй</t>
  </si>
  <si>
    <t>булочка с сосиской - 2шт</t>
  </si>
  <si>
    <t xml:space="preserve">сироп карамель - </t>
  </si>
  <si>
    <t>мусорные пакеты - 6уп</t>
  </si>
  <si>
    <t xml:space="preserve">ср-во для пола </t>
  </si>
  <si>
    <t>апельсины - 3196гр</t>
  </si>
  <si>
    <t>лимоны - 1020гр</t>
  </si>
  <si>
    <t xml:space="preserve">Зарплата Умиде за 13 смен </t>
  </si>
  <si>
    <t xml:space="preserve">Вода </t>
  </si>
  <si>
    <t>Штраф за использование света</t>
  </si>
  <si>
    <t>Общая сумма инкассации ц14: 1 479 000 сум за декабрь</t>
  </si>
  <si>
    <t>Стаканчики дабл и сингл</t>
  </si>
  <si>
    <t xml:space="preserve">Прибыль нал: - 4 524 000 сум + 8 521 000 сум (доп сняла со счета 12.01) + 4 637 500 cум (прибыль с ноября) = 8 634 500 сум </t>
  </si>
  <si>
    <t>от 14.01.2026</t>
  </si>
  <si>
    <t>растягай с картошкой - 2шт</t>
  </si>
  <si>
    <t>балишь пюре с сыром - 2шт</t>
  </si>
  <si>
    <t>доставка брауни</t>
  </si>
  <si>
    <t>мясная лепешка - 4шт</t>
  </si>
  <si>
    <t>балиш с пюре сыром -3шт</t>
  </si>
  <si>
    <t>косичка с орехом - 2шт</t>
  </si>
  <si>
    <t>булочка с сосиской - 3шт</t>
  </si>
  <si>
    <t>яблоки - 2896гр</t>
  </si>
  <si>
    <t>пакеты рулон</t>
  </si>
  <si>
    <t>Зарплата Умиде за 12 смен (- офиц зп 1 271 000 сум)</t>
  </si>
  <si>
    <t>пицца - 2шт</t>
  </si>
  <si>
    <t>влажные салфетки - 2шт</t>
  </si>
  <si>
    <t>бум. Полотенце</t>
  </si>
  <si>
    <t>апельсины - 4154гр</t>
  </si>
  <si>
    <t xml:space="preserve">перчатки </t>
  </si>
  <si>
    <t xml:space="preserve">сэндвичи - 9шт  </t>
  </si>
  <si>
    <t>пицца - 3шт</t>
  </si>
  <si>
    <t>мед - 150гр</t>
  </si>
  <si>
    <t>соль - 2шт</t>
  </si>
  <si>
    <t>имбирь - 380гр</t>
  </si>
  <si>
    <t>мусорные пакеты - 5шт</t>
  </si>
  <si>
    <t>сухие салфетки - 3шт</t>
  </si>
  <si>
    <t>вода - 8шт</t>
  </si>
  <si>
    <t>косичка с маком - 3шт</t>
  </si>
  <si>
    <t>булочка с маком - 2шт</t>
  </si>
  <si>
    <t>Запрплата Умиде за 14 смен</t>
  </si>
  <si>
    <t>булочка с яблоком - 2шт</t>
  </si>
  <si>
    <t>булочка с сосикой - 3шт</t>
  </si>
  <si>
    <t xml:space="preserve">сироп лесной орех  </t>
  </si>
  <si>
    <t xml:space="preserve">сироп смородина </t>
  </si>
  <si>
    <t xml:space="preserve">сапожки - 2шт </t>
  </si>
  <si>
    <t xml:space="preserve">корзинки - 3шт </t>
  </si>
  <si>
    <t xml:space="preserve">пакетики - 2шт </t>
  </si>
  <si>
    <t>Вода</t>
  </si>
  <si>
    <t>от 16.02.2026</t>
  </si>
  <si>
    <t>Общая сумма инкассации Сайрам: 753 000 сум за январь</t>
  </si>
  <si>
    <t>Прибыль нал: - 5 147 000 сум + 4 247 000 сум (доп сняла 13.02) + 8 634 500 сум (прибыль с декарбя) - 7 000 000 сум (за стаканчики) = 734 500 сум</t>
  </si>
  <si>
    <t>апельсины - 1986гр</t>
  </si>
  <si>
    <t>лимоны - 906гр</t>
  </si>
  <si>
    <t>органайзер для полотенец</t>
  </si>
  <si>
    <t xml:space="preserve">ролик для чистки </t>
  </si>
  <si>
    <t>органайзер для пакетов 2шт</t>
  </si>
  <si>
    <t xml:space="preserve">булочка с вишней - 4шт </t>
  </si>
  <si>
    <t>растягай с яйцом - 3шт</t>
  </si>
  <si>
    <t>морковь - 1468гр</t>
  </si>
  <si>
    <t>мыло жидкое</t>
  </si>
  <si>
    <t>сироп карамель -  1905гр</t>
  </si>
  <si>
    <t>апельсины - 3612гр</t>
  </si>
  <si>
    <t xml:space="preserve">сэндвичи - 7 шт </t>
  </si>
  <si>
    <t xml:space="preserve">аптечка </t>
  </si>
  <si>
    <t>тряпка дельфин</t>
  </si>
  <si>
    <t xml:space="preserve">косички с орехом - 2шт </t>
  </si>
  <si>
    <t xml:space="preserve">косички с маком - 2шт </t>
  </si>
  <si>
    <t>булбочка с вишней - 4шт</t>
  </si>
  <si>
    <t>булочка с орехэом - 2шт</t>
  </si>
  <si>
    <t>пицца - 4шт</t>
  </si>
  <si>
    <t>ватружки - 2шт</t>
  </si>
  <si>
    <t>балиш пюре сыр - 3шт</t>
  </si>
  <si>
    <t xml:space="preserve">мясная лепешка - 2шт </t>
  </si>
  <si>
    <t>апельсины - 3540гр</t>
  </si>
  <si>
    <t>доставка круассаны</t>
  </si>
  <si>
    <t>бананы - 1402гр</t>
  </si>
  <si>
    <t>ср-во для стекл</t>
  </si>
  <si>
    <t>вода  с газом 0,5 -  12шт</t>
  </si>
  <si>
    <t>Coca Cola -6шт</t>
  </si>
  <si>
    <t>халва - 2шт</t>
  </si>
  <si>
    <t>губки</t>
  </si>
  <si>
    <t>брауни - 18шт</t>
  </si>
  <si>
    <t>печеньки шоколадные - 15шт</t>
  </si>
  <si>
    <t xml:space="preserve">Coca Cola - 4шт </t>
  </si>
  <si>
    <t>перчат ки</t>
  </si>
  <si>
    <t>сироп махито - 1945гр</t>
  </si>
  <si>
    <t>апельсины - 2336гр</t>
  </si>
  <si>
    <t>имбирь - 700гр</t>
  </si>
  <si>
    <t>морковь - 1336гр</t>
  </si>
  <si>
    <t>яблоки - 2198гр</t>
  </si>
  <si>
    <t>чистилка для овощей</t>
  </si>
  <si>
    <t>Оплата за свет и воду</t>
  </si>
  <si>
    <t>Общая сумма инкассации Сайрам: 2 843 000 сум за февраль</t>
  </si>
  <si>
    <t>Прибыль нал: - 4 821 000 сум + 7 157 000 сум (доп сняла 11.03) + 734 500 сум (прибыль с февраля) = 3 070 500 сум</t>
  </si>
  <si>
    <t>от 13.03.2026</t>
  </si>
  <si>
    <t>булочка с ви шней - 3шт</t>
  </si>
  <si>
    <t>коврик на стол</t>
  </si>
  <si>
    <t>топинг клубника - 982гр</t>
  </si>
  <si>
    <t>лимоны - 784гр</t>
  </si>
  <si>
    <t>сахар  - 2кг</t>
  </si>
  <si>
    <t>ножницы</t>
  </si>
  <si>
    <t>стрейч</t>
  </si>
  <si>
    <t>пакеты маленькие</t>
  </si>
  <si>
    <t>мята - 5шт</t>
  </si>
  <si>
    <t>орешки со сгущенкой -160шт</t>
  </si>
  <si>
    <t>апельсины - 4958гр</t>
  </si>
  <si>
    <t xml:space="preserve">сэндвичи - 6шт  </t>
  </si>
  <si>
    <t>морковь - 862гр</t>
  </si>
  <si>
    <t>косички с маком - 3шт</t>
  </si>
  <si>
    <t>тарталетки - 3шт</t>
  </si>
  <si>
    <t>пицца открытая - 3шт</t>
  </si>
  <si>
    <t>пицца закрытая - 2шт</t>
  </si>
  <si>
    <t>бананы - 1620гр</t>
  </si>
  <si>
    <t>яблоки - 2446гр</t>
  </si>
  <si>
    <t>морковь - 1908гр</t>
  </si>
  <si>
    <t>апельсины - 3886гр</t>
  </si>
  <si>
    <t>вольтер мини - 3шт</t>
  </si>
  <si>
    <t>косички с маком -3шт</t>
  </si>
  <si>
    <t>пицца  - 3шт</t>
  </si>
  <si>
    <t xml:space="preserve">парамач - 4шт </t>
  </si>
  <si>
    <t>пицца закрытая - 3шт</t>
  </si>
  <si>
    <t xml:space="preserve">Зарплата Умиде за 14 смен </t>
  </si>
  <si>
    <t>бананы - 2645гр</t>
  </si>
  <si>
    <t>апельсины - 3814гр</t>
  </si>
  <si>
    <t>взбитые сливки - 1шт</t>
  </si>
  <si>
    <t xml:space="preserve">Аренда за март </t>
  </si>
  <si>
    <t xml:space="preserve">Оплата за свет и воду </t>
  </si>
  <si>
    <t>от 13.04.2026</t>
  </si>
  <si>
    <t>Общая сумма инкассации Сайрам: 3 319 000 сум за март</t>
  </si>
  <si>
    <t>Люстры на потолок - 3шт</t>
  </si>
  <si>
    <t>яблоки - 2776гр</t>
  </si>
  <si>
    <t>морковь - 938гр</t>
  </si>
  <si>
    <t>ср-во от засоров</t>
  </si>
  <si>
    <t>рулон салфетки</t>
  </si>
  <si>
    <t>сухие салфетки рулон</t>
  </si>
  <si>
    <t>маркеры</t>
  </si>
  <si>
    <t>химия для кофемашины</t>
  </si>
  <si>
    <t>сироп карамель - 1444гр</t>
  </si>
  <si>
    <t>сироп банан - 1915гр</t>
  </si>
  <si>
    <t>вода 0,5 - 10шт</t>
  </si>
  <si>
    <t>тарталетки - 4шт</t>
  </si>
  <si>
    <t>булочки с сосиской - 3шт</t>
  </si>
  <si>
    <t>лимоны - 1332гр</t>
  </si>
  <si>
    <t>яблоки - 2480гр</t>
  </si>
  <si>
    <t>морковь - 1714гр</t>
  </si>
  <si>
    <t>косички с орехоом -  3шт</t>
  </si>
  <si>
    <t>булочка с творогом - 2шт</t>
  </si>
  <si>
    <t>пармуда с мясом и курицей - 2шт</t>
  </si>
  <si>
    <t>апельсины - 3268гр</t>
  </si>
  <si>
    <t>мусор</t>
  </si>
  <si>
    <t>хол вода</t>
  </si>
  <si>
    <t>вода 0,5 - 31шт</t>
  </si>
  <si>
    <t>апельсины - 3838гр</t>
  </si>
  <si>
    <t>яблоки - 2104гр</t>
  </si>
  <si>
    <t>Орешки со сгущенкой - 10упк</t>
  </si>
  <si>
    <t>Кофейные орешки - 5упк</t>
  </si>
  <si>
    <t>Муравейники - 10 упк</t>
  </si>
  <si>
    <t>Сухие салфетки - 3упк</t>
  </si>
  <si>
    <t>Мусорные пакеты - 5 упк</t>
  </si>
  <si>
    <t>Сахарзаменитель - 1шт</t>
  </si>
  <si>
    <t>Бананы - 1242гр</t>
  </si>
  <si>
    <t>Мороженое - 2 кг</t>
  </si>
  <si>
    <t>ватрушки - 3шт</t>
  </si>
  <si>
    <t>пицца закрытая - 4шт</t>
  </si>
  <si>
    <t>пармуда мясо/курица - 2шт</t>
  </si>
  <si>
    <t>брауни - 7шт</t>
  </si>
  <si>
    <t>сироп ваниль - 1446гр</t>
  </si>
  <si>
    <t>сироп гренадин - 1451гр</t>
  </si>
  <si>
    <t>лимоны - 886гр</t>
  </si>
  <si>
    <t>лопатка для цемента</t>
  </si>
  <si>
    <t>ватружки - 3шт</t>
  </si>
  <si>
    <t>пармуда с мясом/курицей - 3шт</t>
  </si>
  <si>
    <t>овсяноые печеньки - 15шт</t>
  </si>
  <si>
    <t>вода с газом - 5шт</t>
  </si>
  <si>
    <t>апельсины - 3536гр</t>
  </si>
  <si>
    <t>установка зонта</t>
  </si>
  <si>
    <t>яблоки - 2688гр</t>
  </si>
  <si>
    <t>Зарплата Умиде  за 11 смен</t>
  </si>
  <si>
    <t>морковь - 2182гр</t>
  </si>
  <si>
    <t>Бонус Кристине за 21.04</t>
  </si>
  <si>
    <t>апельсины - 1712гр</t>
  </si>
  <si>
    <t xml:space="preserve">Аренда за апрель </t>
  </si>
  <si>
    <t>Оплата за воду и мусор</t>
  </si>
  <si>
    <t>Общая сумма инкассации Сайрам: 1 773 000 сум за апрель</t>
  </si>
  <si>
    <t>от 14.05.2026</t>
  </si>
  <si>
    <t>Прибыль нал: - 6 627 000 сум + 6 681 000 сум (доп сняла 09.04) + 3 070 500 сум (прибыль с февраля) = 3 124 000 сум</t>
  </si>
  <si>
    <t>Прибыль нал: - 2 289 000 сум + 9 227 000 сум (доп сняла 12.05) + 3 124 000 сум (прибыль с марта) = 10 062 000 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</si>
</sst>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[$$-409]* #,##0.00_ ;_-[$$-409]* \-#,##0.00\ ;_-[$$-409]* &quot;-&quot;??_ ;_-@_ "/>
    <numFmt numFmtId="167" formatCode="#,##0.00\ _₽"/>
  </numFmts>
  <fonts count="3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 tint="4.9989318521683403E-2"/>
      <name val="Calibri"/>
      <family val="2"/>
      <charset val="204"/>
      <scheme val="minor"/>
    </font>
    <font>
      <sz val="14"/>
      <color theme="1" tint="4.9989318521683403E-2"/>
      <name val="Calibri"/>
      <family val="2"/>
      <charset val="204"/>
      <scheme val="minor"/>
    </font>
    <font>
      <b/>
      <i/>
      <u/>
      <sz val="14"/>
      <color theme="1" tint="4.9989318521683403E-2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u/>
      <sz val="20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u/>
      <sz val="18"/>
      <color theme="1"/>
      <name val="Calibri (Основной текст)"/>
      <charset val="204"/>
    </font>
    <font>
      <b/>
      <u/>
      <sz val="11"/>
      <color theme="1"/>
      <name val="Calibri"/>
      <family val="2"/>
      <charset val="204"/>
      <scheme val="minor"/>
    </font>
    <font>
      <b/>
      <u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i/>
      <u/>
      <sz val="11"/>
      <color theme="1"/>
      <name val="Calibri"/>
      <family val="2"/>
      <scheme val="minor"/>
    </font>
    <font>
      <b/>
      <i/>
      <u val="singleAccounting"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7" fontId="4" fillId="5" borderId="1">
      <alignment horizontal="center" vertical="center"/>
    </xf>
  </cellStyleXfs>
  <cellXfs count="111">
    <xf numFmtId="0" fontId="0" fillId="0" borderId="0" xfId="0"/>
    <xf numFmtId="165" fontId="3" fillId="0" borderId="1" xfId="1" applyNumberForma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65" fontId="3" fillId="0" borderId="2" xfId="1" applyNumberForma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14" fontId="3" fillId="0" borderId="5" xfId="1" applyNumberForma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65" fontId="12" fillId="0" borderId="1" xfId="1" applyNumberFormat="1" applyFont="1" applyBorder="1" applyAlignment="1">
      <alignment horizontal="center" vertical="center"/>
    </xf>
    <xf numFmtId="165" fontId="3" fillId="3" borderId="1" xfId="1" applyNumberFormat="1" applyFill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4" fontId="2" fillId="5" borderId="1" xfId="1" applyNumberFormat="1" applyFont="1" applyFill="1" applyBorder="1" applyAlignment="1">
      <alignment horizontal="center" vertical="center"/>
    </xf>
    <xf numFmtId="14" fontId="3" fillId="5" borderId="1" xfId="1" applyNumberForma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165" fontId="3" fillId="5" borderId="1" xfId="1" applyNumberFormat="1" applyFill="1" applyBorder="1" applyAlignment="1">
      <alignment horizontal="center" vertical="center"/>
    </xf>
    <xf numFmtId="14" fontId="3" fillId="5" borderId="5" xfId="1" applyNumberFormat="1" applyFill="1" applyBorder="1" applyAlignment="1">
      <alignment horizontal="center" vertical="center"/>
    </xf>
    <xf numFmtId="165" fontId="3" fillId="5" borderId="2" xfId="1" applyNumberFormat="1" applyFill="1" applyBorder="1" applyAlignment="1">
      <alignment horizontal="center" vertical="center"/>
    </xf>
    <xf numFmtId="0" fontId="3" fillId="5" borderId="5" xfId="1" applyFill="1" applyBorder="1" applyAlignment="1">
      <alignment horizontal="center" vertical="center"/>
    </xf>
    <xf numFmtId="165" fontId="6" fillId="5" borderId="1" xfId="1" applyNumberFormat="1" applyFont="1" applyFill="1" applyBorder="1" applyAlignment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0" fontId="3" fillId="3" borderId="5" xfId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165" fontId="3" fillId="3" borderId="2" xfId="1" applyNumberFormat="1" applyFill="1" applyBorder="1" applyAlignment="1">
      <alignment horizontal="center" vertical="center"/>
    </xf>
    <xf numFmtId="14" fontId="3" fillId="3" borderId="5" xfId="1" applyNumberFormat="1" applyFill="1" applyBorder="1" applyAlignment="1">
      <alignment horizontal="center" vertical="center"/>
    </xf>
    <xf numFmtId="165" fontId="6" fillId="3" borderId="1" xfId="1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9" fillId="0" borderId="0" xfId="0" applyFont="1"/>
    <xf numFmtId="165" fontId="7" fillId="2" borderId="3" xfId="0" applyNumberFormat="1" applyFont="1" applyFill="1" applyBorder="1" applyAlignment="1">
      <alignment horizontal="center" vertical="center"/>
    </xf>
    <xf numFmtId="165" fontId="7" fillId="2" borderId="3" xfId="0" applyNumberFormat="1" applyFont="1" applyFill="1" applyBorder="1" applyAlignment="1">
      <alignment vertical="center"/>
    </xf>
    <xf numFmtId="165" fontId="7" fillId="2" borderId="2" xfId="0" applyNumberFormat="1" applyFont="1" applyFill="1" applyBorder="1" applyAlignment="1">
      <alignment vertical="center"/>
    </xf>
    <xf numFmtId="166" fontId="7" fillId="2" borderId="3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3" fillId="4" borderId="1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165" fontId="14" fillId="4" borderId="6" xfId="0" applyNumberFormat="1" applyFont="1" applyFill="1" applyBorder="1" applyAlignment="1">
      <alignment horizontal="center" vertical="center"/>
    </xf>
    <xf numFmtId="165" fontId="14" fillId="4" borderId="4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167" fontId="4" fillId="5" borderId="1" xfId="2" applyNumberFormat="1" applyFont="1" applyFill="1" applyBorder="1" applyAlignment="1">
      <alignment horizontal="right" vertical="center"/>
    </xf>
    <xf numFmtId="165" fontId="16" fillId="3" borderId="1" xfId="1" applyNumberFormat="1" applyFont="1" applyFill="1" applyBorder="1" applyAlignment="1">
      <alignment horizontal="right" vertical="center"/>
    </xf>
    <xf numFmtId="165" fontId="16" fillId="5" borderId="1" xfId="1" applyNumberFormat="1" applyFont="1" applyFill="1" applyBorder="1" applyAlignment="1">
      <alignment horizontal="right" vertical="center"/>
    </xf>
    <xf numFmtId="165" fontId="4" fillId="3" borderId="1" xfId="1" applyNumberFormat="1" applyFont="1" applyFill="1" applyBorder="1" applyAlignment="1">
      <alignment horizontal="right" vertical="center"/>
    </xf>
    <xf numFmtId="165" fontId="4" fillId="5" borderId="1" xfId="1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165" fontId="4" fillId="5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vertical="center"/>
    </xf>
    <xf numFmtId="165" fontId="4" fillId="5" borderId="1" xfId="0" applyNumberFormat="1" applyFont="1" applyFill="1" applyBorder="1" applyAlignment="1">
      <alignment horizontal="right" vertical="center"/>
    </xf>
    <xf numFmtId="165" fontId="0" fillId="5" borderId="2" xfId="0" applyNumberFormat="1" applyFill="1" applyBorder="1" applyAlignment="1">
      <alignment horizontal="center" vertical="center"/>
    </xf>
    <xf numFmtId="165" fontId="17" fillId="3" borderId="1" xfId="0" applyNumberFormat="1" applyFont="1" applyFill="1" applyBorder="1" applyAlignment="1">
      <alignment horizontal="center" vertical="center"/>
    </xf>
    <xf numFmtId="165" fontId="17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18" fillId="0" borderId="0" xfId="0" applyFont="1"/>
    <xf numFmtId="0" fontId="19" fillId="0" borderId="0" xfId="0" applyFont="1"/>
    <xf numFmtId="165" fontId="4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165" fontId="0" fillId="3" borderId="1" xfId="0" applyNumberFormat="1" applyFill="1" applyBorder="1" applyAlignment="1">
      <alignment horizontal="center" vertical="center" wrapText="1"/>
    </xf>
    <xf numFmtId="165" fontId="12" fillId="5" borderId="1" xfId="1" applyNumberFormat="1" applyFont="1" applyFill="1" applyBorder="1" applyAlignment="1">
      <alignment horizontal="center" vertical="center"/>
    </xf>
    <xf numFmtId="165" fontId="1" fillId="5" borderId="1" xfId="1" applyNumberFormat="1" applyFont="1" applyFill="1" applyBorder="1" applyAlignment="1">
      <alignment horizontal="center" vertical="center"/>
    </xf>
    <xf numFmtId="165" fontId="12" fillId="3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4" fillId="0" borderId="0" xfId="0" applyFont="1"/>
    <xf numFmtId="0" fontId="25" fillId="0" borderId="0" xfId="0" applyFont="1"/>
    <xf numFmtId="165" fontId="7" fillId="3" borderId="1" xfId="0" applyNumberFormat="1" applyFont="1" applyFill="1" applyBorder="1" applyAlignment="1">
      <alignment horizontal="center" vertical="center"/>
    </xf>
    <xf numFmtId="14" fontId="26" fillId="3" borderId="1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5" fontId="27" fillId="3" borderId="2" xfId="0" applyNumberFormat="1" applyFont="1" applyFill="1" applyBorder="1" applyAlignment="1">
      <alignment horizontal="center" vertical="center"/>
    </xf>
    <xf numFmtId="165" fontId="28" fillId="5" borderId="1" xfId="0" applyNumberFormat="1" applyFont="1" applyFill="1" applyBorder="1" applyAlignment="1">
      <alignment horizontal="center" vertical="center"/>
    </xf>
    <xf numFmtId="165" fontId="26" fillId="3" borderId="2" xfId="1" applyNumberFormat="1" applyFont="1" applyFill="1" applyBorder="1" applyAlignment="1">
      <alignment horizontal="center" vertical="center"/>
    </xf>
    <xf numFmtId="165" fontId="26" fillId="0" borderId="2" xfId="1" applyNumberFormat="1" applyFont="1" applyBorder="1" applyAlignment="1">
      <alignment horizontal="center" vertical="center"/>
    </xf>
    <xf numFmtId="165" fontId="26" fillId="5" borderId="2" xfId="0" applyNumberFormat="1" applyFont="1" applyFill="1" applyBorder="1" applyAlignment="1">
      <alignment horizontal="center" vertical="center"/>
    </xf>
    <xf numFmtId="165" fontId="27" fillId="3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4" fontId="26" fillId="5" borderId="1" xfId="0" applyNumberFormat="1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65" fontId="3" fillId="5" borderId="1" xfId="1" applyNumberFormat="1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 wrapText="1"/>
    </xf>
    <xf numFmtId="165" fontId="3" fillId="3" borderId="1" xfId="1" applyNumberFormat="1" applyFill="1" applyBorder="1" applyAlignment="1">
      <alignment horizontal="center" vertical="center" wrapText="1"/>
    </xf>
    <xf numFmtId="165" fontId="30" fillId="5" borderId="1" xfId="1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5" fontId="31" fillId="5" borderId="1" xfId="1" applyNumberFormat="1" applyFont="1" applyFill="1" applyBorder="1" applyAlignment="1">
      <alignment horizontal="center" vertical="center"/>
    </xf>
  </cellXfs>
  <cellStyles count="4">
    <cellStyle name="Денежный 2" xfId="2" xr:uid="{00000000-0005-0000-0000-000000000000}"/>
    <cellStyle name="Обычный" xfId="0" builtinId="0"/>
    <cellStyle name="Обычный 2" xfId="1" xr:uid="{00000000-0005-0000-0000-000002000000}"/>
    <cellStyle name="Стиль 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50"/>
  <sheetViews>
    <sheetView zoomScale="89" zoomScaleNormal="89" workbookViewId="0">
      <selection activeCell="J16" sqref="J16"/>
    </sheetView>
  </sheetViews>
  <sheetFormatPr baseColWidth="10" defaultColWidth="8.83203125" defaultRowHeight="15" x14ac:dyDescent="0.2"/>
  <cols>
    <col min="1" max="1" width="25.1640625" bestFit="1" customWidth="1"/>
    <col min="2" max="2" width="17.6640625" customWidth="1"/>
    <col min="3" max="3" width="15.5" bestFit="1" customWidth="1"/>
    <col min="4" max="4" width="20.1640625" bestFit="1" customWidth="1"/>
    <col min="5" max="5" width="23.5" bestFit="1" customWidth="1"/>
    <col min="6" max="6" width="24.5" customWidth="1"/>
    <col min="7" max="7" width="23.5" bestFit="1" customWidth="1"/>
    <col min="8" max="8" width="30.6640625" customWidth="1"/>
    <col min="9" max="9" width="24.1640625" bestFit="1" customWidth="1"/>
    <col min="10" max="10" width="30.6640625" bestFit="1" customWidth="1"/>
  </cols>
  <sheetData>
    <row r="3" spans="1:10" ht="21" x14ac:dyDescent="0.2">
      <c r="G3" s="26"/>
      <c r="H3" s="27" t="s">
        <v>0</v>
      </c>
      <c r="I3" s="27">
        <f>K10/A10</f>
        <v>0</v>
      </c>
    </row>
    <row r="4" spans="1:10" ht="21" x14ac:dyDescent="0.2">
      <c r="F4" s="28" t="s">
        <v>1</v>
      </c>
      <c r="G4" s="29"/>
      <c r="H4" s="27" t="s">
        <v>2</v>
      </c>
      <c r="I4" s="27"/>
      <c r="J4" s="30">
        <f>I4/10820</f>
        <v>0</v>
      </c>
    </row>
    <row r="5" spans="1:10" ht="24" x14ac:dyDescent="0.3">
      <c r="B5" s="31" t="s">
        <v>45</v>
      </c>
      <c r="G5" s="26"/>
      <c r="H5" s="27" t="s">
        <v>3</v>
      </c>
      <c r="I5" s="27"/>
      <c r="J5" s="30">
        <f>I5/10820</f>
        <v>0</v>
      </c>
    </row>
    <row r="6" spans="1:10" ht="24" x14ac:dyDescent="0.3">
      <c r="B6" s="31"/>
      <c r="G6" s="26"/>
      <c r="H6" s="27" t="s">
        <v>4</v>
      </c>
      <c r="I6" s="27">
        <v>9921446</v>
      </c>
      <c r="J6" s="30" t="s">
        <v>48</v>
      </c>
    </row>
    <row r="7" spans="1:10" ht="26" x14ac:dyDescent="0.3">
      <c r="B7" s="32" t="s">
        <v>47</v>
      </c>
    </row>
    <row r="9" spans="1:10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11</v>
      </c>
      <c r="H9" s="37" t="s">
        <v>12</v>
      </c>
      <c r="I9" s="37" t="s">
        <v>13</v>
      </c>
      <c r="J9" s="37" t="s">
        <v>14</v>
      </c>
    </row>
    <row r="10" spans="1:10" ht="21" x14ac:dyDescent="0.2">
      <c r="A10" s="38">
        <f>SUM(A11:A388)</f>
        <v>11132000</v>
      </c>
      <c r="B10" s="39"/>
      <c r="C10" s="40" t="s">
        <v>15</v>
      </c>
      <c r="D10" s="41"/>
      <c r="E10" s="42">
        <f>SUM(E11:E388)</f>
        <v>6299000</v>
      </c>
      <c r="F10" s="38">
        <f>SUM(F11:F388)</f>
        <v>4833000</v>
      </c>
      <c r="G10" s="38">
        <f>SUM(G11:G388)</f>
        <v>3725000</v>
      </c>
      <c r="H10" s="38"/>
      <c r="I10" s="38">
        <f>SUM(I11:I388)</f>
        <v>2339000</v>
      </c>
      <c r="J10" s="38"/>
    </row>
    <row r="11" spans="1:10" ht="19" x14ac:dyDescent="0.2">
      <c r="A11" s="52">
        <v>540000</v>
      </c>
      <c r="B11" s="10">
        <v>45404</v>
      </c>
      <c r="C11" s="11" t="s">
        <v>16</v>
      </c>
      <c r="D11" s="12" t="s">
        <v>17</v>
      </c>
      <c r="E11" s="13">
        <v>328000</v>
      </c>
      <c r="F11" s="13">
        <v>212000</v>
      </c>
      <c r="G11" s="13"/>
      <c r="H11" s="13"/>
      <c r="I11" s="13">
        <v>120000</v>
      </c>
      <c r="J11" s="13" t="s">
        <v>19</v>
      </c>
    </row>
    <row r="12" spans="1:10" ht="19" x14ac:dyDescent="0.2">
      <c r="A12" s="53">
        <v>72000</v>
      </c>
      <c r="B12" s="4"/>
      <c r="C12" s="5" t="s">
        <v>18</v>
      </c>
      <c r="D12" s="2" t="s">
        <v>20</v>
      </c>
      <c r="E12" s="3">
        <v>72000</v>
      </c>
      <c r="F12" s="1"/>
      <c r="G12" s="1"/>
      <c r="H12" s="1"/>
      <c r="I12" s="1">
        <v>200000</v>
      </c>
      <c r="J12" s="1" t="s">
        <v>21</v>
      </c>
    </row>
    <row r="13" spans="1:10" ht="19" x14ac:dyDescent="0.2">
      <c r="A13" s="54"/>
      <c r="B13" s="10"/>
      <c r="C13" s="14"/>
      <c r="D13" s="12"/>
      <c r="E13" s="15"/>
      <c r="F13" s="13"/>
      <c r="G13" s="13"/>
      <c r="H13" s="13"/>
      <c r="I13" s="13">
        <v>45000</v>
      </c>
      <c r="J13" s="13" t="s">
        <v>22</v>
      </c>
    </row>
    <row r="14" spans="1:10" ht="19" x14ac:dyDescent="0.2">
      <c r="A14" s="53"/>
      <c r="B14" s="4"/>
      <c r="C14" s="5"/>
      <c r="D14" s="6"/>
      <c r="E14" s="3"/>
      <c r="F14" s="1"/>
      <c r="G14" s="1"/>
      <c r="H14" s="1"/>
      <c r="I14" s="1">
        <v>150000</v>
      </c>
      <c r="J14" s="1" t="s">
        <v>23</v>
      </c>
    </row>
    <row r="15" spans="1:10" ht="19" x14ac:dyDescent="0.2">
      <c r="A15" s="54">
        <v>997000</v>
      </c>
      <c r="B15" s="10">
        <v>45405</v>
      </c>
      <c r="C15" s="14" t="s">
        <v>16</v>
      </c>
      <c r="D15" s="12" t="s">
        <v>17</v>
      </c>
      <c r="E15" s="15">
        <v>413000</v>
      </c>
      <c r="F15" s="13">
        <v>584000</v>
      </c>
      <c r="G15" s="13"/>
      <c r="H15" s="13"/>
      <c r="I15" s="13">
        <v>7000</v>
      </c>
      <c r="J15" s="13" t="s">
        <v>24</v>
      </c>
    </row>
    <row r="16" spans="1:10" ht="19" x14ac:dyDescent="0.2">
      <c r="A16" s="55"/>
      <c r="B16" s="18"/>
      <c r="C16" s="19"/>
      <c r="D16" s="20"/>
      <c r="E16" s="21"/>
      <c r="F16" s="8"/>
      <c r="G16" s="23"/>
      <c r="H16" s="23"/>
      <c r="I16" s="8">
        <v>71000</v>
      </c>
      <c r="J16" s="8" t="s">
        <v>25</v>
      </c>
    </row>
    <row r="17" spans="1:10" ht="19" x14ac:dyDescent="0.2">
      <c r="A17" s="56"/>
      <c r="B17" s="10"/>
      <c r="C17" s="16"/>
      <c r="D17" s="12"/>
      <c r="E17" s="15"/>
      <c r="F17" s="13"/>
      <c r="G17" s="17"/>
      <c r="H17" s="17"/>
      <c r="I17" s="13">
        <v>288000</v>
      </c>
      <c r="J17" s="13" t="s">
        <v>26</v>
      </c>
    </row>
    <row r="18" spans="1:10" ht="19" x14ac:dyDescent="0.2">
      <c r="A18" s="55">
        <v>463000</v>
      </c>
      <c r="B18" s="18"/>
      <c r="C18" s="19" t="s">
        <v>18</v>
      </c>
      <c r="D18" s="20" t="s">
        <v>20</v>
      </c>
      <c r="E18" s="21">
        <v>318000</v>
      </c>
      <c r="F18" s="8">
        <v>145000</v>
      </c>
      <c r="G18" s="23"/>
      <c r="H18" s="23"/>
      <c r="I18" s="8"/>
      <c r="J18" s="8"/>
    </row>
    <row r="19" spans="1:10" ht="19" x14ac:dyDescent="0.2">
      <c r="A19" s="56"/>
      <c r="B19" s="10"/>
      <c r="C19" s="16"/>
      <c r="D19" s="12"/>
      <c r="E19" s="15"/>
      <c r="F19" s="13"/>
      <c r="G19" s="17"/>
      <c r="H19" s="17"/>
      <c r="I19" s="13"/>
      <c r="J19" s="13"/>
    </row>
    <row r="20" spans="1:10" ht="19" x14ac:dyDescent="0.2">
      <c r="A20" s="55">
        <v>1378000</v>
      </c>
      <c r="B20" s="18">
        <v>45406</v>
      </c>
      <c r="C20" s="19" t="s">
        <v>16</v>
      </c>
      <c r="D20" s="20" t="s">
        <v>17</v>
      </c>
      <c r="E20" s="21">
        <v>623000</v>
      </c>
      <c r="F20" s="8">
        <v>755000</v>
      </c>
      <c r="G20" s="23"/>
      <c r="H20" s="23"/>
      <c r="I20" s="8">
        <v>100000</v>
      </c>
      <c r="J20" s="8" t="s">
        <v>27</v>
      </c>
    </row>
    <row r="21" spans="1:10" ht="19" x14ac:dyDescent="0.2">
      <c r="A21" s="56"/>
      <c r="B21" s="10"/>
      <c r="C21" s="16"/>
      <c r="D21" s="12"/>
      <c r="E21" s="15"/>
      <c r="F21" s="13"/>
      <c r="G21" s="17"/>
      <c r="H21" s="17"/>
      <c r="I21" s="13">
        <v>60000</v>
      </c>
      <c r="J21" s="13" t="s">
        <v>28</v>
      </c>
    </row>
    <row r="22" spans="1:10" ht="19" x14ac:dyDescent="0.2">
      <c r="A22" s="55"/>
      <c r="B22" s="18"/>
      <c r="C22" s="19"/>
      <c r="D22" s="20"/>
      <c r="E22" s="21"/>
      <c r="F22" s="8"/>
      <c r="G22" s="23"/>
      <c r="H22" s="23"/>
      <c r="I22" s="8">
        <v>144000</v>
      </c>
      <c r="J22" s="8" t="s">
        <v>29</v>
      </c>
    </row>
    <row r="23" spans="1:10" ht="19" x14ac:dyDescent="0.2">
      <c r="A23" s="56">
        <v>300000</v>
      </c>
      <c r="B23" s="10"/>
      <c r="C23" s="16" t="s">
        <v>18</v>
      </c>
      <c r="D23" s="12" t="s">
        <v>20</v>
      </c>
      <c r="E23" s="15">
        <v>198000</v>
      </c>
      <c r="F23" s="13">
        <v>102000</v>
      </c>
      <c r="G23" s="13"/>
      <c r="H23" s="13"/>
      <c r="I23" s="13"/>
      <c r="J23" s="13"/>
    </row>
    <row r="24" spans="1:10" ht="19" x14ac:dyDescent="0.2">
      <c r="A24" s="55"/>
      <c r="B24" s="18"/>
      <c r="C24" s="19"/>
      <c r="D24" s="25"/>
      <c r="E24" s="21"/>
      <c r="F24" s="8"/>
      <c r="G24" s="8"/>
      <c r="H24" s="8"/>
      <c r="I24" s="8"/>
      <c r="J24" s="8"/>
    </row>
    <row r="25" spans="1:10" ht="19" x14ac:dyDescent="0.2">
      <c r="A25" s="56">
        <v>961000</v>
      </c>
      <c r="B25" s="10">
        <v>45407</v>
      </c>
      <c r="C25" s="16" t="s">
        <v>16</v>
      </c>
      <c r="D25" s="12" t="s">
        <v>17</v>
      </c>
      <c r="E25" s="15">
        <v>528000</v>
      </c>
      <c r="F25" s="13">
        <v>433000</v>
      </c>
      <c r="G25" s="13"/>
      <c r="H25" s="13"/>
      <c r="I25" s="13">
        <v>87000</v>
      </c>
      <c r="J25" s="13" t="s">
        <v>30</v>
      </c>
    </row>
    <row r="26" spans="1:10" ht="19" x14ac:dyDescent="0.2">
      <c r="A26" s="55"/>
      <c r="B26" s="18"/>
      <c r="C26" s="19"/>
      <c r="D26" s="20"/>
      <c r="E26" s="21"/>
      <c r="F26" s="8"/>
      <c r="G26" s="8"/>
      <c r="H26" s="8"/>
      <c r="I26" s="8">
        <v>26000</v>
      </c>
      <c r="J26" s="8" t="s">
        <v>31</v>
      </c>
    </row>
    <row r="27" spans="1:10" ht="19" x14ac:dyDescent="0.2">
      <c r="A27" s="56"/>
      <c r="B27" s="10"/>
      <c r="C27" s="16"/>
      <c r="D27" s="12"/>
      <c r="E27" s="15"/>
      <c r="F27" s="13"/>
      <c r="G27" s="13"/>
      <c r="H27" s="13"/>
      <c r="I27" s="13">
        <v>10000</v>
      </c>
      <c r="J27" s="13" t="s">
        <v>32</v>
      </c>
    </row>
    <row r="28" spans="1:10" ht="19" x14ac:dyDescent="0.2">
      <c r="A28" s="55"/>
      <c r="B28" s="18"/>
      <c r="C28" s="19"/>
      <c r="D28" s="20"/>
      <c r="E28" s="21"/>
      <c r="F28" s="8"/>
      <c r="G28" s="8"/>
      <c r="H28" s="8"/>
      <c r="I28" s="8">
        <v>4000</v>
      </c>
      <c r="J28" s="8" t="s">
        <v>33</v>
      </c>
    </row>
    <row r="29" spans="1:10" ht="19" x14ac:dyDescent="0.2">
      <c r="A29" s="56"/>
      <c r="B29" s="10"/>
      <c r="C29" s="14"/>
      <c r="D29" s="12"/>
      <c r="E29" s="15"/>
      <c r="F29" s="13"/>
      <c r="G29" s="13"/>
      <c r="H29" s="13"/>
      <c r="I29" s="13">
        <v>38000</v>
      </c>
      <c r="J29" s="13" t="s">
        <v>34</v>
      </c>
    </row>
    <row r="30" spans="1:10" ht="19" x14ac:dyDescent="0.2">
      <c r="A30" s="55"/>
      <c r="B30" s="4"/>
      <c r="C30" s="5"/>
      <c r="D30" s="2"/>
      <c r="E30" s="3"/>
      <c r="F30" s="1"/>
      <c r="G30" s="1"/>
      <c r="H30" s="1"/>
      <c r="I30" s="1"/>
      <c r="J30" s="1"/>
    </row>
    <row r="31" spans="1:10" ht="19" x14ac:dyDescent="0.2">
      <c r="A31" s="56">
        <v>516000</v>
      </c>
      <c r="B31" s="10"/>
      <c r="C31" s="14" t="s">
        <v>18</v>
      </c>
      <c r="D31" s="24" t="s">
        <v>20</v>
      </c>
      <c r="E31" s="15">
        <v>458000</v>
      </c>
      <c r="F31" s="13">
        <v>58000</v>
      </c>
      <c r="G31" s="13"/>
      <c r="H31" s="13"/>
      <c r="I31" s="13"/>
      <c r="J31" s="13"/>
    </row>
    <row r="32" spans="1:10" ht="19" x14ac:dyDescent="0.2">
      <c r="A32" s="53"/>
      <c r="B32" s="4"/>
      <c r="C32" s="5"/>
      <c r="D32" s="2"/>
      <c r="E32" s="3"/>
      <c r="F32" s="1"/>
      <c r="G32" s="1"/>
      <c r="H32" s="1"/>
      <c r="I32" s="1"/>
      <c r="J32" s="1"/>
    </row>
    <row r="33" spans="1:10" ht="19" x14ac:dyDescent="0.2">
      <c r="A33" s="54">
        <v>1511000</v>
      </c>
      <c r="B33" s="10">
        <v>45408</v>
      </c>
      <c r="C33" s="14" t="s">
        <v>16</v>
      </c>
      <c r="D33" s="12" t="s">
        <v>17</v>
      </c>
      <c r="E33" s="15">
        <v>739000</v>
      </c>
      <c r="F33" s="13">
        <v>772000</v>
      </c>
      <c r="G33" s="13"/>
      <c r="H33" s="13"/>
      <c r="I33" s="13">
        <v>240000</v>
      </c>
      <c r="J33" s="13" t="s">
        <v>35</v>
      </c>
    </row>
    <row r="34" spans="1:10" ht="19" x14ac:dyDescent="0.2">
      <c r="A34" s="54"/>
      <c r="B34" s="10"/>
      <c r="C34" s="14"/>
      <c r="D34" s="12"/>
      <c r="E34" s="15"/>
      <c r="F34" s="13"/>
      <c r="G34" s="13"/>
      <c r="H34" s="13"/>
      <c r="I34" s="13"/>
      <c r="J34" s="13"/>
    </row>
    <row r="35" spans="1:10" ht="19" x14ac:dyDescent="0.2">
      <c r="A35" s="53">
        <v>353000</v>
      </c>
      <c r="B35" s="18"/>
      <c r="C35" s="22" t="s">
        <v>18</v>
      </c>
      <c r="D35" s="20" t="s">
        <v>20</v>
      </c>
      <c r="E35" s="21">
        <v>266000</v>
      </c>
      <c r="F35" s="8">
        <v>87000</v>
      </c>
      <c r="G35" s="8"/>
      <c r="H35" s="8"/>
      <c r="I35" s="8"/>
      <c r="J35" s="8"/>
    </row>
    <row r="36" spans="1:10" ht="19" x14ac:dyDescent="0.2">
      <c r="A36" s="54"/>
      <c r="B36" s="10"/>
      <c r="C36" s="14"/>
      <c r="D36" s="12"/>
      <c r="E36" s="15"/>
      <c r="F36" s="13"/>
      <c r="G36" s="13"/>
      <c r="H36" s="13"/>
      <c r="I36" s="13"/>
      <c r="J36" s="13"/>
    </row>
    <row r="37" spans="1:10" ht="19" x14ac:dyDescent="0.2">
      <c r="A37" s="55">
        <v>380000</v>
      </c>
      <c r="B37" s="4">
        <v>45409</v>
      </c>
      <c r="C37" s="5" t="s">
        <v>16</v>
      </c>
      <c r="D37" s="2" t="s">
        <v>17</v>
      </c>
      <c r="E37" s="3">
        <v>242000</v>
      </c>
      <c r="F37" s="1">
        <v>138000</v>
      </c>
      <c r="G37" s="1"/>
      <c r="H37" s="1"/>
      <c r="I37" s="1">
        <v>33000</v>
      </c>
      <c r="J37" s="7" t="s">
        <v>36</v>
      </c>
    </row>
    <row r="38" spans="1:10" ht="19" x14ac:dyDescent="0.2">
      <c r="A38" s="56"/>
      <c r="B38" s="10"/>
      <c r="C38" s="14"/>
      <c r="D38" s="12"/>
      <c r="E38" s="15"/>
      <c r="F38" s="13"/>
      <c r="G38" s="13"/>
      <c r="H38" s="13"/>
      <c r="I38" s="13">
        <v>164000</v>
      </c>
      <c r="J38" s="13" t="s">
        <v>37</v>
      </c>
    </row>
    <row r="39" spans="1:10" ht="19" x14ac:dyDescent="0.2">
      <c r="A39" s="55">
        <v>298000</v>
      </c>
      <c r="B39" s="18"/>
      <c r="C39" s="22" t="s">
        <v>18</v>
      </c>
      <c r="D39" s="20" t="s">
        <v>20</v>
      </c>
      <c r="E39" s="21">
        <v>298000</v>
      </c>
      <c r="F39" s="8">
        <v>0</v>
      </c>
      <c r="G39" s="8"/>
      <c r="H39" s="8"/>
      <c r="I39" s="8">
        <v>200000</v>
      </c>
      <c r="J39" s="8" t="s">
        <v>21</v>
      </c>
    </row>
    <row r="40" spans="1:10" ht="19" x14ac:dyDescent="0.2">
      <c r="A40" s="56"/>
      <c r="B40" s="10"/>
      <c r="C40" s="14"/>
      <c r="D40" s="12"/>
      <c r="E40" s="15"/>
      <c r="F40" s="13"/>
      <c r="G40" s="13"/>
      <c r="H40" s="13"/>
      <c r="I40" s="13"/>
      <c r="J40" s="17"/>
    </row>
    <row r="41" spans="1:10" ht="19" x14ac:dyDescent="0.2">
      <c r="A41" s="55"/>
      <c r="B41" s="4">
        <v>45410</v>
      </c>
      <c r="C41" s="5"/>
      <c r="D41" s="2"/>
      <c r="E41" s="3"/>
      <c r="F41" s="1"/>
      <c r="G41" s="1"/>
      <c r="H41" s="1" t="s">
        <v>42</v>
      </c>
      <c r="I41" s="1"/>
      <c r="J41" s="1"/>
    </row>
    <row r="42" spans="1:10" ht="19" x14ac:dyDescent="0.2">
      <c r="A42" s="56"/>
      <c r="B42" s="10"/>
      <c r="C42" s="14"/>
      <c r="D42" s="12"/>
      <c r="E42" s="15"/>
      <c r="F42" s="13"/>
      <c r="G42" s="13"/>
      <c r="H42" s="13"/>
      <c r="I42" s="13"/>
      <c r="J42" s="13"/>
    </row>
    <row r="43" spans="1:10" ht="19" x14ac:dyDescent="0.2">
      <c r="A43" s="55">
        <v>1074000</v>
      </c>
      <c r="B43" s="4">
        <v>45411</v>
      </c>
      <c r="C43" s="5" t="s">
        <v>16</v>
      </c>
      <c r="D43" s="2" t="s">
        <v>17</v>
      </c>
      <c r="E43" s="3">
        <v>541000</v>
      </c>
      <c r="F43" s="1">
        <v>533000</v>
      </c>
      <c r="G43" s="1"/>
      <c r="H43" s="1"/>
      <c r="I43" s="1">
        <v>165000</v>
      </c>
      <c r="J43" s="1" t="s">
        <v>38</v>
      </c>
    </row>
    <row r="44" spans="1:10" ht="19" x14ac:dyDescent="0.2">
      <c r="A44" s="56"/>
      <c r="B44" s="10"/>
      <c r="C44" s="14"/>
      <c r="D44" s="12"/>
      <c r="E44" s="15"/>
      <c r="F44" s="13"/>
      <c r="G44" s="13"/>
      <c r="H44" s="13"/>
      <c r="I44" s="13">
        <v>77000</v>
      </c>
      <c r="J44" s="13" t="s">
        <v>39</v>
      </c>
    </row>
    <row r="45" spans="1:10" ht="19" x14ac:dyDescent="0.2">
      <c r="A45" s="55"/>
      <c r="B45" s="4"/>
      <c r="C45" s="5"/>
      <c r="D45" s="2"/>
      <c r="E45" s="3"/>
      <c r="F45" s="1"/>
      <c r="G45" s="1"/>
      <c r="H45" s="9"/>
      <c r="I45" s="1">
        <v>45000</v>
      </c>
      <c r="J45" s="1" t="s">
        <v>40</v>
      </c>
    </row>
    <row r="46" spans="1:10" ht="19" x14ac:dyDescent="0.2">
      <c r="A46" s="56">
        <v>633000</v>
      </c>
      <c r="B46" s="10"/>
      <c r="C46" s="14" t="s">
        <v>18</v>
      </c>
      <c r="D46" s="12" t="s">
        <v>20</v>
      </c>
      <c r="E46" s="15">
        <v>380000</v>
      </c>
      <c r="F46" s="13">
        <v>253000</v>
      </c>
      <c r="G46" s="13"/>
      <c r="H46" s="13"/>
      <c r="I46" s="13"/>
      <c r="J46" s="13"/>
    </row>
    <row r="47" spans="1:10" ht="19" x14ac:dyDescent="0.2">
      <c r="A47" s="55"/>
      <c r="B47" s="4"/>
      <c r="C47" s="5"/>
      <c r="D47" s="2"/>
      <c r="E47" s="3"/>
      <c r="F47" s="1"/>
      <c r="G47" s="1"/>
      <c r="H47" s="1"/>
      <c r="I47" s="1"/>
      <c r="J47" s="1"/>
    </row>
    <row r="48" spans="1:10" ht="19" x14ac:dyDescent="0.2">
      <c r="A48" s="58">
        <v>1068000</v>
      </c>
      <c r="B48" s="10">
        <v>45412</v>
      </c>
      <c r="C48" s="14" t="s">
        <v>16</v>
      </c>
      <c r="D48" s="12" t="s">
        <v>17</v>
      </c>
      <c r="E48" s="15">
        <v>599000</v>
      </c>
      <c r="F48" s="13">
        <v>469000</v>
      </c>
      <c r="G48" s="13">
        <v>1365000</v>
      </c>
      <c r="H48" s="13" t="s">
        <v>43</v>
      </c>
      <c r="I48" s="13">
        <v>65000</v>
      </c>
      <c r="J48" s="13" t="s">
        <v>41</v>
      </c>
    </row>
    <row r="49" spans="1:10" ht="19" x14ac:dyDescent="0.2">
      <c r="A49" s="59"/>
      <c r="B49" s="47"/>
      <c r="C49" s="51"/>
      <c r="D49" s="48"/>
      <c r="E49" s="49"/>
      <c r="F49" s="50"/>
      <c r="G49" s="50">
        <v>1700000</v>
      </c>
      <c r="H49" s="50" t="s">
        <v>44</v>
      </c>
      <c r="I49" s="50"/>
      <c r="J49" s="50"/>
    </row>
    <row r="50" spans="1:10" ht="19" x14ac:dyDescent="0.2">
      <c r="A50" s="58">
        <v>588000</v>
      </c>
      <c r="B50" s="43"/>
      <c r="C50" s="46" t="s">
        <v>18</v>
      </c>
      <c r="D50" s="44" t="s">
        <v>20</v>
      </c>
      <c r="E50" s="15">
        <v>296000</v>
      </c>
      <c r="F50" s="13">
        <v>292000</v>
      </c>
      <c r="G50" s="45">
        <v>660000</v>
      </c>
      <c r="H50" s="45" t="s">
        <v>46</v>
      </c>
      <c r="I50" s="45"/>
      <c r="J50" s="4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120"/>
  <sheetViews>
    <sheetView workbookViewId="0">
      <selection activeCell="B20" sqref="B20"/>
    </sheetView>
  </sheetViews>
  <sheetFormatPr baseColWidth="10" defaultColWidth="11.5" defaultRowHeight="15" x14ac:dyDescent="0.2"/>
  <cols>
    <col min="1" max="1" width="20.33203125" bestFit="1" customWidth="1"/>
    <col min="2" max="2" width="23" customWidth="1"/>
    <col min="3" max="3" width="13" customWidth="1"/>
    <col min="4" max="4" width="12.33203125" customWidth="1"/>
    <col min="5" max="5" width="20.33203125" bestFit="1" customWidth="1"/>
    <col min="6" max="6" width="25.5" customWidth="1"/>
    <col min="7" max="7" width="23.83203125" customWidth="1"/>
    <col min="8" max="8" width="21.83203125" customWidth="1"/>
    <col min="9" max="9" width="25" customWidth="1"/>
    <col min="10" max="10" width="25.5" customWidth="1"/>
    <col min="11" max="11" width="30.6640625" customWidth="1"/>
  </cols>
  <sheetData>
    <row r="3" spans="1:11" ht="21" x14ac:dyDescent="0.2">
      <c r="H3" s="26"/>
      <c r="I3" s="27" t="s">
        <v>0</v>
      </c>
      <c r="J3" s="27">
        <f>L11/A11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112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12065737</v>
      </c>
      <c r="K6" s="30" t="s">
        <v>114</v>
      </c>
    </row>
    <row r="7" spans="1:11" ht="26" x14ac:dyDescent="0.3">
      <c r="B7" s="66" t="s">
        <v>162</v>
      </c>
      <c r="C7" s="67"/>
      <c r="D7" s="67"/>
      <c r="E7" s="67"/>
      <c r="F7" s="67"/>
      <c r="G7" s="67"/>
      <c r="H7" s="67"/>
      <c r="I7" s="67"/>
    </row>
    <row r="8" spans="1:11" ht="26" x14ac:dyDescent="0.3">
      <c r="B8" s="32"/>
      <c r="C8" s="76" t="s">
        <v>115</v>
      </c>
      <c r="D8" s="77"/>
      <c r="E8" s="77"/>
      <c r="F8" s="77"/>
      <c r="G8" s="77"/>
      <c r="H8" s="77"/>
    </row>
    <row r="10" spans="1:11" ht="19" x14ac:dyDescent="0.2">
      <c r="A10" s="33" t="s">
        <v>5</v>
      </c>
      <c r="B10" s="33" t="s">
        <v>6</v>
      </c>
      <c r="C10" s="34" t="s">
        <v>7</v>
      </c>
      <c r="D10" s="35" t="s">
        <v>8</v>
      </c>
      <c r="E10" s="36" t="s">
        <v>9</v>
      </c>
      <c r="F10" s="37" t="s">
        <v>10</v>
      </c>
      <c r="G10" s="37" t="s">
        <v>49</v>
      </c>
      <c r="H10" s="37" t="s">
        <v>11</v>
      </c>
      <c r="I10" s="37" t="s">
        <v>12</v>
      </c>
      <c r="J10" s="37" t="s">
        <v>13</v>
      </c>
      <c r="K10" s="37" t="s">
        <v>14</v>
      </c>
    </row>
    <row r="11" spans="1:11" ht="21" x14ac:dyDescent="0.2">
      <c r="A11" s="38">
        <f>SUM(A12:A458)</f>
        <v>27974000</v>
      </c>
      <c r="B11" s="39"/>
      <c r="C11" s="40" t="s">
        <v>15</v>
      </c>
      <c r="D11" s="41"/>
      <c r="E11" s="42">
        <f>SUM(E12:E458)</f>
        <v>14031000</v>
      </c>
      <c r="F11" s="38">
        <f>SUM(F12:F458)</f>
        <v>7735000</v>
      </c>
      <c r="G11" s="38">
        <f>SUM(G12:G453)</f>
        <v>6208000</v>
      </c>
      <c r="H11" s="38">
        <f>SUM(H12:H458)</f>
        <v>7786000</v>
      </c>
      <c r="I11" s="38"/>
      <c r="J11" s="38">
        <f>SUM(J12:J458)</f>
        <v>6051000</v>
      </c>
      <c r="K11" s="38"/>
    </row>
    <row r="12" spans="1:11" ht="19" x14ac:dyDescent="0.2">
      <c r="A12" s="52">
        <v>1089000</v>
      </c>
      <c r="B12" s="10">
        <v>45413</v>
      </c>
      <c r="C12" s="11" t="s">
        <v>16</v>
      </c>
      <c r="D12" s="12" t="s">
        <v>17</v>
      </c>
      <c r="E12" s="13">
        <v>727000</v>
      </c>
      <c r="F12" s="13">
        <v>362000</v>
      </c>
      <c r="G12" s="13"/>
      <c r="H12" s="13"/>
      <c r="I12" s="13"/>
      <c r="J12" s="13">
        <v>37000</v>
      </c>
      <c r="K12" s="13" t="s">
        <v>50</v>
      </c>
    </row>
    <row r="13" spans="1:11" ht="19" x14ac:dyDescent="0.2">
      <c r="A13" s="53"/>
      <c r="B13" s="4"/>
      <c r="C13" s="5"/>
      <c r="D13" s="2"/>
      <c r="E13" s="3"/>
      <c r="F13" s="1"/>
      <c r="G13" s="1"/>
      <c r="H13" s="1"/>
      <c r="I13" s="1"/>
      <c r="J13" s="1">
        <v>79000</v>
      </c>
      <c r="K13" s="1" t="s">
        <v>51</v>
      </c>
    </row>
    <row r="14" spans="1:11" ht="19" x14ac:dyDescent="0.2">
      <c r="A14" s="54"/>
      <c r="B14" s="10"/>
      <c r="C14" s="14"/>
      <c r="D14" s="12"/>
      <c r="E14" s="15"/>
      <c r="F14" s="13"/>
      <c r="G14" s="13"/>
      <c r="H14" s="13"/>
      <c r="I14" s="13"/>
      <c r="J14" s="13">
        <v>11000</v>
      </c>
      <c r="K14" s="13" t="s">
        <v>52</v>
      </c>
    </row>
    <row r="15" spans="1:11" ht="19" x14ac:dyDescent="0.2">
      <c r="A15" s="53"/>
      <c r="B15" s="4"/>
      <c r="C15" s="5"/>
      <c r="D15" s="2"/>
      <c r="E15" s="3"/>
      <c r="F15" s="1"/>
      <c r="G15" s="1"/>
      <c r="H15" s="1"/>
      <c r="I15" s="1"/>
      <c r="J15" s="1"/>
      <c r="K15" s="1"/>
    </row>
    <row r="16" spans="1:11" ht="19" x14ac:dyDescent="0.2">
      <c r="A16" s="54">
        <v>164000</v>
      </c>
      <c r="B16" s="10"/>
      <c r="C16" s="14" t="s">
        <v>18</v>
      </c>
      <c r="D16" s="12" t="s">
        <v>20</v>
      </c>
      <c r="E16" s="15">
        <v>164000</v>
      </c>
      <c r="F16" s="13">
        <v>0</v>
      </c>
      <c r="G16" s="13"/>
      <c r="H16" s="13"/>
      <c r="I16" s="13"/>
      <c r="J16" s="13">
        <v>72000</v>
      </c>
      <c r="K16" s="13" t="s">
        <v>53</v>
      </c>
    </row>
    <row r="17" spans="1:11" ht="19" x14ac:dyDescent="0.2">
      <c r="A17" s="55"/>
      <c r="B17" s="18"/>
      <c r="C17" s="19"/>
      <c r="D17" s="20"/>
      <c r="E17" s="21"/>
      <c r="F17" s="8"/>
      <c r="G17" s="8"/>
      <c r="H17" s="23"/>
      <c r="I17" s="23"/>
      <c r="J17" s="8"/>
      <c r="K17" s="8"/>
    </row>
    <row r="18" spans="1:11" ht="19" x14ac:dyDescent="0.2">
      <c r="A18" s="56">
        <v>1248000</v>
      </c>
      <c r="B18" s="10">
        <v>45414</v>
      </c>
      <c r="C18" s="16" t="s">
        <v>16</v>
      </c>
      <c r="D18" s="12" t="s">
        <v>17</v>
      </c>
      <c r="E18" s="15">
        <v>517000</v>
      </c>
      <c r="F18" s="13">
        <v>731000</v>
      </c>
      <c r="G18" s="13"/>
      <c r="H18" s="17"/>
      <c r="I18" s="17"/>
      <c r="J18" s="13">
        <v>105000</v>
      </c>
      <c r="K18" s="13" t="s">
        <v>54</v>
      </c>
    </row>
    <row r="19" spans="1:11" ht="19" x14ac:dyDescent="0.2">
      <c r="A19" s="55"/>
      <c r="B19" s="18"/>
      <c r="C19" s="19"/>
      <c r="D19" s="20"/>
      <c r="E19" s="21"/>
      <c r="F19" s="8"/>
      <c r="G19" s="8"/>
      <c r="H19" s="23"/>
      <c r="I19" s="23"/>
      <c r="J19" s="8">
        <v>34000</v>
      </c>
      <c r="K19" s="8" t="s">
        <v>55</v>
      </c>
    </row>
    <row r="20" spans="1:11" ht="19" x14ac:dyDescent="0.2">
      <c r="A20" s="56"/>
      <c r="B20" s="10"/>
      <c r="C20" s="16"/>
      <c r="D20" s="12"/>
      <c r="E20" s="15"/>
      <c r="F20" s="13"/>
      <c r="G20" s="13"/>
      <c r="H20" s="17"/>
      <c r="I20" s="17"/>
      <c r="J20" s="13">
        <v>33000</v>
      </c>
      <c r="K20" s="13" t="s">
        <v>56</v>
      </c>
    </row>
    <row r="21" spans="1:11" ht="19" x14ac:dyDescent="0.2">
      <c r="A21" s="55"/>
      <c r="B21" s="18"/>
      <c r="C21" s="19" t="s">
        <v>18</v>
      </c>
      <c r="D21" s="20"/>
      <c r="E21" s="21"/>
      <c r="F21" s="8"/>
      <c r="G21" s="8"/>
      <c r="H21" s="23"/>
      <c r="I21" s="8" t="s">
        <v>42</v>
      </c>
      <c r="J21" s="8"/>
      <c r="K21" s="8"/>
    </row>
    <row r="22" spans="1:11" ht="19" x14ac:dyDescent="0.2">
      <c r="A22" s="56"/>
      <c r="B22" s="10"/>
      <c r="C22" s="16"/>
      <c r="D22" s="12"/>
      <c r="E22" s="15"/>
      <c r="F22" s="13"/>
      <c r="G22" s="13"/>
      <c r="H22" s="17"/>
      <c r="I22" s="17"/>
      <c r="J22" s="13"/>
      <c r="K22" s="13"/>
    </row>
    <row r="23" spans="1:11" ht="19" x14ac:dyDescent="0.2">
      <c r="A23" s="55">
        <v>900000</v>
      </c>
      <c r="B23" s="18">
        <v>45415</v>
      </c>
      <c r="C23" s="19" t="s">
        <v>16</v>
      </c>
      <c r="D23" s="20" t="s">
        <v>17</v>
      </c>
      <c r="E23" s="21">
        <v>404000</v>
      </c>
      <c r="F23" s="8">
        <v>496000</v>
      </c>
      <c r="G23" s="8"/>
      <c r="H23" s="23"/>
      <c r="I23" s="23"/>
      <c r="J23" s="8">
        <v>59000</v>
      </c>
      <c r="K23" s="8" t="s">
        <v>57</v>
      </c>
    </row>
    <row r="24" spans="1:11" ht="19" x14ac:dyDescent="0.2">
      <c r="A24" s="56"/>
      <c r="B24" s="10"/>
      <c r="C24" s="16"/>
      <c r="D24" s="12"/>
      <c r="E24" s="15"/>
      <c r="F24" s="13"/>
      <c r="G24" s="13"/>
      <c r="H24" s="13"/>
      <c r="I24" s="13"/>
      <c r="J24" s="13">
        <v>75000</v>
      </c>
      <c r="K24" s="13" t="s">
        <v>58</v>
      </c>
    </row>
    <row r="25" spans="1:11" ht="19" x14ac:dyDescent="0.2">
      <c r="A25" s="55"/>
      <c r="B25" s="18"/>
      <c r="C25" s="19"/>
      <c r="D25" s="20"/>
      <c r="E25" s="21"/>
      <c r="F25" s="8"/>
      <c r="G25" s="8"/>
      <c r="H25" s="8"/>
      <c r="I25" s="8"/>
      <c r="J25" s="8">
        <v>132000</v>
      </c>
      <c r="K25" s="8" t="s">
        <v>59</v>
      </c>
    </row>
    <row r="26" spans="1:11" ht="19" x14ac:dyDescent="0.2">
      <c r="A26" s="56"/>
      <c r="B26" s="10"/>
      <c r="C26" s="16"/>
      <c r="D26" s="12"/>
      <c r="E26" s="15"/>
      <c r="F26" s="13"/>
      <c r="G26" s="13"/>
      <c r="H26" s="13"/>
      <c r="I26" s="13"/>
      <c r="J26" s="13"/>
      <c r="K26" s="13"/>
    </row>
    <row r="27" spans="1:11" ht="19" x14ac:dyDescent="0.2">
      <c r="A27" s="55">
        <v>431000</v>
      </c>
      <c r="B27" s="18"/>
      <c r="C27" s="19" t="s">
        <v>18</v>
      </c>
      <c r="D27" s="20" t="s">
        <v>20</v>
      </c>
      <c r="E27" s="21">
        <v>236000</v>
      </c>
      <c r="F27" s="8">
        <v>195000</v>
      </c>
      <c r="G27" s="8"/>
      <c r="H27" s="8"/>
      <c r="I27" s="8"/>
      <c r="J27" s="8"/>
      <c r="K27" s="8"/>
    </row>
    <row r="28" spans="1:11" ht="19" x14ac:dyDescent="0.2">
      <c r="A28" s="56"/>
      <c r="B28" s="10"/>
      <c r="C28" s="16"/>
      <c r="D28" s="12"/>
      <c r="E28" s="15"/>
      <c r="F28" s="13"/>
      <c r="G28" s="13"/>
      <c r="H28" s="13"/>
      <c r="I28" s="13"/>
      <c r="J28" s="13"/>
      <c r="K28" s="13"/>
    </row>
    <row r="29" spans="1:11" ht="19" x14ac:dyDescent="0.2">
      <c r="A29" s="55">
        <v>762000</v>
      </c>
      <c r="B29" s="18">
        <v>45416</v>
      </c>
      <c r="C29" s="19" t="s">
        <v>16</v>
      </c>
      <c r="D29" s="20" t="s">
        <v>17</v>
      </c>
      <c r="E29" s="21">
        <v>567000</v>
      </c>
      <c r="F29" s="8">
        <v>195000</v>
      </c>
      <c r="G29" s="8"/>
      <c r="H29" s="8"/>
      <c r="I29" s="8"/>
      <c r="J29" s="8">
        <v>8000</v>
      </c>
      <c r="K29" s="8" t="s">
        <v>60</v>
      </c>
    </row>
    <row r="30" spans="1:11" ht="19" x14ac:dyDescent="0.2">
      <c r="A30" s="56">
        <v>214000</v>
      </c>
      <c r="B30" s="10"/>
      <c r="C30" s="14" t="s">
        <v>18</v>
      </c>
      <c r="D30" s="12" t="s">
        <v>20</v>
      </c>
      <c r="E30" s="15">
        <v>163000</v>
      </c>
      <c r="F30" s="13">
        <v>51000</v>
      </c>
      <c r="G30" s="13"/>
      <c r="H30" s="13"/>
      <c r="I30" s="13"/>
      <c r="J30" s="13"/>
      <c r="K30" s="13"/>
    </row>
    <row r="31" spans="1:11" ht="19" x14ac:dyDescent="0.2">
      <c r="A31" s="55"/>
      <c r="B31" s="4">
        <v>45417</v>
      </c>
      <c r="C31" s="5"/>
      <c r="D31" s="2"/>
      <c r="E31" s="3"/>
      <c r="F31" s="1"/>
      <c r="G31" s="1"/>
      <c r="H31" s="1"/>
      <c r="I31" s="1" t="s">
        <v>42</v>
      </c>
      <c r="J31" s="1"/>
      <c r="K31" s="1"/>
    </row>
    <row r="32" spans="1:11" ht="19" x14ac:dyDescent="0.2">
      <c r="A32" s="56">
        <v>978000</v>
      </c>
      <c r="B32" s="10">
        <v>45418</v>
      </c>
      <c r="C32" s="14" t="s">
        <v>16</v>
      </c>
      <c r="D32" s="12" t="s">
        <v>17</v>
      </c>
      <c r="E32" s="15">
        <v>377000</v>
      </c>
      <c r="F32" s="13">
        <v>453000</v>
      </c>
      <c r="G32" s="13">
        <v>148000</v>
      </c>
      <c r="H32" s="13"/>
      <c r="I32" s="13"/>
      <c r="J32" s="13">
        <v>33000</v>
      </c>
      <c r="K32" s="13" t="s">
        <v>56</v>
      </c>
    </row>
    <row r="33" spans="1:11" ht="19" x14ac:dyDescent="0.2">
      <c r="A33" s="53"/>
      <c r="B33" s="4"/>
      <c r="C33" s="5"/>
      <c r="D33" s="2"/>
      <c r="E33" s="3"/>
      <c r="F33" s="1"/>
      <c r="G33" s="1"/>
      <c r="H33" s="1"/>
      <c r="I33" s="1"/>
      <c r="J33" s="1">
        <v>12000</v>
      </c>
      <c r="K33" s="1" t="s">
        <v>61</v>
      </c>
    </row>
    <row r="34" spans="1:11" ht="19" x14ac:dyDescent="0.2">
      <c r="A34" s="54"/>
      <c r="B34" s="10"/>
      <c r="C34" s="14"/>
      <c r="D34" s="12"/>
      <c r="E34" s="15"/>
      <c r="F34" s="13"/>
      <c r="G34" s="13"/>
      <c r="H34" s="13"/>
      <c r="I34" s="13"/>
      <c r="J34" s="13">
        <v>40000</v>
      </c>
      <c r="K34" s="13" t="s">
        <v>62</v>
      </c>
    </row>
    <row r="35" spans="1:11" ht="19" x14ac:dyDescent="0.2">
      <c r="A35" s="54"/>
      <c r="B35" s="10"/>
      <c r="C35" s="14"/>
      <c r="D35" s="12"/>
      <c r="E35" s="15"/>
      <c r="F35" s="13"/>
      <c r="G35" s="13"/>
      <c r="H35" s="13"/>
      <c r="I35" s="13"/>
      <c r="J35" s="13">
        <v>50000</v>
      </c>
      <c r="K35" s="13" t="s">
        <v>63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>
        <v>135000</v>
      </c>
      <c r="K36" s="8" t="s">
        <v>64</v>
      </c>
    </row>
    <row r="37" spans="1:11" ht="19" x14ac:dyDescent="0.2">
      <c r="A37" s="54">
        <v>377000</v>
      </c>
      <c r="B37" s="10"/>
      <c r="C37" s="14" t="s">
        <v>18</v>
      </c>
      <c r="D37" s="12" t="s">
        <v>20</v>
      </c>
      <c r="E37" s="15">
        <v>336000</v>
      </c>
      <c r="F37" s="13">
        <v>0</v>
      </c>
      <c r="G37" s="13">
        <v>41000</v>
      </c>
      <c r="H37" s="13"/>
      <c r="I37" s="13"/>
      <c r="J37" s="13">
        <v>200000</v>
      </c>
      <c r="K37" s="13" t="s">
        <v>21</v>
      </c>
    </row>
    <row r="38" spans="1:11" ht="19" x14ac:dyDescent="0.2">
      <c r="A38" s="55"/>
      <c r="B38" s="4"/>
      <c r="C38" s="5"/>
      <c r="D38" s="2"/>
      <c r="E38" s="3"/>
      <c r="F38" s="1"/>
      <c r="G38" s="1"/>
      <c r="H38" s="1"/>
      <c r="I38" s="1"/>
      <c r="J38" s="1">
        <v>45000</v>
      </c>
      <c r="K38" s="7" t="s">
        <v>22</v>
      </c>
    </row>
    <row r="39" spans="1:11" ht="19" x14ac:dyDescent="0.2">
      <c r="A39" s="56"/>
      <c r="B39" s="10"/>
      <c r="C39" s="14"/>
      <c r="D39" s="12"/>
      <c r="E39" s="15"/>
      <c r="F39" s="13"/>
      <c r="G39" s="13"/>
      <c r="H39" s="13"/>
      <c r="I39" s="13"/>
      <c r="J39" s="13">
        <v>75000</v>
      </c>
      <c r="K39" s="13" t="s">
        <v>65</v>
      </c>
    </row>
    <row r="40" spans="1:11" ht="19" x14ac:dyDescent="0.2">
      <c r="A40" s="55"/>
      <c r="B40" s="4"/>
      <c r="C40" s="5"/>
      <c r="D40" s="2"/>
      <c r="E40" s="3"/>
      <c r="F40" s="1"/>
      <c r="G40" s="1"/>
      <c r="H40" s="1"/>
      <c r="I40" s="1"/>
      <c r="J40" s="1">
        <v>100000</v>
      </c>
      <c r="K40" s="1" t="s">
        <v>27</v>
      </c>
    </row>
    <row r="41" spans="1:11" ht="19" x14ac:dyDescent="0.2">
      <c r="A41" s="56"/>
      <c r="B41" s="10"/>
      <c r="C41" s="14"/>
      <c r="D41" s="12"/>
      <c r="E41" s="15"/>
      <c r="F41" s="13"/>
      <c r="G41" s="13"/>
      <c r="H41" s="13"/>
      <c r="I41" s="13"/>
      <c r="J41" s="13">
        <v>60000</v>
      </c>
      <c r="K41" s="13" t="s">
        <v>28</v>
      </c>
    </row>
    <row r="42" spans="1:11" ht="19" x14ac:dyDescent="0.2">
      <c r="A42" s="55"/>
      <c r="B42" s="4"/>
      <c r="C42" s="5"/>
      <c r="D42" s="2"/>
      <c r="E42" s="3"/>
      <c r="F42" s="1"/>
      <c r="G42" s="1"/>
      <c r="H42" s="1"/>
      <c r="I42" s="1"/>
      <c r="J42" s="1">
        <v>144000</v>
      </c>
      <c r="K42" s="1" t="s">
        <v>29</v>
      </c>
    </row>
    <row r="43" spans="1:11" ht="19" x14ac:dyDescent="0.2">
      <c r="A43" s="55"/>
      <c r="B43" s="4"/>
      <c r="C43" s="5"/>
      <c r="D43" s="2"/>
      <c r="E43" s="3"/>
      <c r="F43" s="1"/>
      <c r="G43" s="1"/>
      <c r="H43" s="1"/>
      <c r="I43" s="1"/>
      <c r="J43" s="1">
        <v>240000</v>
      </c>
      <c r="K43" s="1" t="s">
        <v>35</v>
      </c>
    </row>
    <row r="44" spans="1:11" ht="19" x14ac:dyDescent="0.2">
      <c r="A44" s="56">
        <v>1089000</v>
      </c>
      <c r="B44" s="10">
        <v>45419</v>
      </c>
      <c r="C44" s="14" t="s">
        <v>16</v>
      </c>
      <c r="D44" s="12" t="s">
        <v>66</v>
      </c>
      <c r="E44" s="15">
        <v>466000</v>
      </c>
      <c r="F44" s="13">
        <v>514000</v>
      </c>
      <c r="G44" s="13">
        <v>109000</v>
      </c>
      <c r="H44" s="13"/>
      <c r="I44" s="13"/>
      <c r="J44" s="13">
        <v>75000</v>
      </c>
      <c r="K44" s="13" t="s">
        <v>65</v>
      </c>
    </row>
    <row r="45" spans="1:11" ht="19" x14ac:dyDescent="0.2">
      <c r="A45" s="55">
        <v>46000</v>
      </c>
      <c r="B45" s="4"/>
      <c r="C45" s="5" t="s">
        <v>18</v>
      </c>
      <c r="D45" s="2" t="s">
        <v>20</v>
      </c>
      <c r="E45" s="3">
        <v>0</v>
      </c>
      <c r="F45" s="1">
        <v>26000</v>
      </c>
      <c r="G45" s="1">
        <v>20000</v>
      </c>
      <c r="H45" s="1"/>
      <c r="I45" s="9"/>
      <c r="J45" s="1"/>
      <c r="K45" s="1"/>
    </row>
    <row r="46" spans="1:11" ht="19" x14ac:dyDescent="0.2">
      <c r="A46" s="56">
        <v>1173000</v>
      </c>
      <c r="B46" s="10">
        <v>45420</v>
      </c>
      <c r="C46" s="14" t="s">
        <v>16</v>
      </c>
      <c r="D46" s="12" t="s">
        <v>17</v>
      </c>
      <c r="E46" s="15">
        <v>435000</v>
      </c>
      <c r="F46" s="13">
        <v>523000</v>
      </c>
      <c r="G46" s="13">
        <v>215000</v>
      </c>
      <c r="H46" s="13"/>
      <c r="I46" s="13"/>
      <c r="J46" s="13">
        <v>75000</v>
      </c>
      <c r="K46" s="13" t="s">
        <v>58</v>
      </c>
    </row>
    <row r="47" spans="1:11" ht="19" x14ac:dyDescent="0.2">
      <c r="A47" s="55"/>
      <c r="B47" s="4"/>
      <c r="C47" s="5"/>
      <c r="D47" s="2"/>
      <c r="E47" s="3"/>
      <c r="F47" s="1"/>
      <c r="G47" s="1"/>
      <c r="H47" s="1"/>
      <c r="I47" s="1"/>
      <c r="J47" s="1">
        <v>39000</v>
      </c>
      <c r="K47" s="1" t="s">
        <v>40</v>
      </c>
    </row>
    <row r="48" spans="1:11" ht="19" x14ac:dyDescent="0.2">
      <c r="A48" s="58"/>
      <c r="B48" s="10"/>
      <c r="C48" s="14"/>
      <c r="D48" s="12"/>
      <c r="E48" s="15"/>
      <c r="F48" s="13"/>
      <c r="G48" s="13"/>
      <c r="H48" s="13"/>
      <c r="I48" s="13"/>
      <c r="J48" s="13">
        <v>58000</v>
      </c>
      <c r="K48" s="13" t="s">
        <v>67</v>
      </c>
    </row>
    <row r="49" spans="1:11" ht="19" x14ac:dyDescent="0.2">
      <c r="A49" s="59">
        <v>150000</v>
      </c>
      <c r="B49" s="47"/>
      <c r="C49" s="51" t="s">
        <v>18</v>
      </c>
      <c r="D49" s="48" t="s">
        <v>20</v>
      </c>
      <c r="E49" s="49">
        <v>150000</v>
      </c>
      <c r="F49" s="50">
        <v>0</v>
      </c>
      <c r="G49" s="50"/>
      <c r="H49" s="50"/>
      <c r="I49" s="50"/>
      <c r="J49" s="50"/>
      <c r="K49" s="50"/>
    </row>
    <row r="50" spans="1:11" ht="19" x14ac:dyDescent="0.2">
      <c r="A50" s="58"/>
      <c r="B50" s="43"/>
      <c r="C50" s="46"/>
      <c r="D50" s="44"/>
      <c r="E50" s="15"/>
      <c r="F50" s="13"/>
      <c r="G50" s="13"/>
      <c r="H50" s="45"/>
      <c r="I50" s="45"/>
      <c r="J50" s="45"/>
      <c r="K50" s="45"/>
    </row>
    <row r="51" spans="1:11" ht="19" x14ac:dyDescent="0.2">
      <c r="A51" s="57">
        <v>275000</v>
      </c>
      <c r="B51" s="47">
        <v>45421</v>
      </c>
      <c r="C51" s="51" t="s">
        <v>16</v>
      </c>
      <c r="D51" s="48" t="s">
        <v>17</v>
      </c>
      <c r="E51" s="49">
        <v>184000</v>
      </c>
      <c r="F51" s="50">
        <v>65000</v>
      </c>
      <c r="G51" s="50">
        <v>26000</v>
      </c>
      <c r="H51" s="50">
        <v>150000</v>
      </c>
      <c r="I51" s="50" t="s">
        <v>68</v>
      </c>
      <c r="J51" s="50">
        <v>131000</v>
      </c>
      <c r="K51" s="50" t="s">
        <v>69</v>
      </c>
    </row>
    <row r="52" spans="1:11" ht="19" x14ac:dyDescent="0.2">
      <c r="A52" s="61"/>
      <c r="B52" s="43"/>
      <c r="C52" s="46"/>
      <c r="D52" s="44"/>
      <c r="E52" s="62"/>
      <c r="F52" s="45"/>
      <c r="G52" s="45"/>
      <c r="H52" s="45"/>
      <c r="I52" s="45"/>
      <c r="J52" s="45">
        <v>29000</v>
      </c>
      <c r="K52" s="45" t="s">
        <v>56</v>
      </c>
    </row>
    <row r="53" spans="1:11" ht="19" x14ac:dyDescent="0.2">
      <c r="A53" s="57"/>
      <c r="B53" s="47"/>
      <c r="C53" s="51" t="s">
        <v>18</v>
      </c>
      <c r="D53" s="48"/>
      <c r="E53" s="49"/>
      <c r="F53" s="50"/>
      <c r="G53" s="50"/>
      <c r="H53" s="50"/>
      <c r="I53" s="50" t="s">
        <v>42</v>
      </c>
      <c r="J53" s="50">
        <v>60000</v>
      </c>
      <c r="K53" s="50" t="s">
        <v>70</v>
      </c>
    </row>
    <row r="54" spans="1:11" ht="19" x14ac:dyDescent="0.2">
      <c r="A54" s="61">
        <v>1099000</v>
      </c>
      <c r="B54" s="43">
        <v>45422</v>
      </c>
      <c r="C54" s="46" t="s">
        <v>16</v>
      </c>
      <c r="D54" s="44" t="s">
        <v>17</v>
      </c>
      <c r="E54" s="62">
        <v>586000</v>
      </c>
      <c r="F54" s="45">
        <v>422000</v>
      </c>
      <c r="G54" s="45">
        <v>91000</v>
      </c>
      <c r="H54" s="45"/>
      <c r="I54" s="45"/>
      <c r="J54" s="45">
        <v>39000</v>
      </c>
      <c r="K54" s="45" t="s">
        <v>71</v>
      </c>
    </row>
    <row r="55" spans="1:11" ht="19" x14ac:dyDescent="0.2">
      <c r="A55" s="57"/>
      <c r="B55" s="47"/>
      <c r="C55" s="51"/>
      <c r="D55" s="48"/>
      <c r="E55" s="49"/>
      <c r="F55" s="50"/>
      <c r="G55" s="50"/>
      <c r="H55" s="50"/>
      <c r="I55" s="50"/>
      <c r="J55" s="50"/>
      <c r="K55" s="50"/>
    </row>
    <row r="56" spans="1:11" ht="19" x14ac:dyDescent="0.2">
      <c r="A56" s="61">
        <v>330000</v>
      </c>
      <c r="B56" s="43"/>
      <c r="C56" s="46" t="s">
        <v>18</v>
      </c>
      <c r="D56" s="44" t="s">
        <v>20</v>
      </c>
      <c r="E56" s="62">
        <v>245000</v>
      </c>
      <c r="F56" s="45">
        <v>47000</v>
      </c>
      <c r="G56" s="45">
        <v>38000</v>
      </c>
      <c r="H56" s="45"/>
      <c r="I56" s="45"/>
      <c r="J56" s="45"/>
      <c r="K56" s="45"/>
    </row>
    <row r="57" spans="1:11" ht="19" x14ac:dyDescent="0.2">
      <c r="A57" s="57"/>
      <c r="B57" s="47"/>
      <c r="C57" s="51"/>
      <c r="D57" s="48"/>
      <c r="E57" s="49"/>
      <c r="F57" s="50"/>
      <c r="G57" s="50"/>
      <c r="H57" s="50"/>
      <c r="I57" s="50"/>
      <c r="J57" s="50"/>
      <c r="K57" s="50"/>
    </row>
    <row r="58" spans="1:11" ht="19" x14ac:dyDescent="0.2">
      <c r="A58" s="61">
        <v>364000</v>
      </c>
      <c r="B58" s="43">
        <v>45423</v>
      </c>
      <c r="C58" s="46" t="s">
        <v>16</v>
      </c>
      <c r="D58" s="44" t="s">
        <v>17</v>
      </c>
      <c r="E58" s="62">
        <v>314000</v>
      </c>
      <c r="F58" s="45">
        <v>25000</v>
      </c>
      <c r="G58" s="45">
        <v>25000</v>
      </c>
      <c r="H58" s="45"/>
      <c r="I58" s="45"/>
      <c r="J58" s="45">
        <v>100000</v>
      </c>
      <c r="K58" s="45" t="s">
        <v>72</v>
      </c>
    </row>
    <row r="59" spans="1:11" ht="19" x14ac:dyDescent="0.2">
      <c r="A59" s="57"/>
      <c r="B59" s="47"/>
      <c r="C59" s="51"/>
      <c r="D59" s="48"/>
      <c r="E59" s="49"/>
      <c r="F59" s="50"/>
      <c r="G59" s="50"/>
      <c r="H59" s="50"/>
      <c r="I59" s="50"/>
      <c r="J59" s="50"/>
      <c r="K59" s="50"/>
    </row>
    <row r="60" spans="1:11" ht="19" x14ac:dyDescent="0.2">
      <c r="A60" s="61">
        <v>146000</v>
      </c>
      <c r="B60" s="43"/>
      <c r="C60" s="46" t="s">
        <v>18</v>
      </c>
      <c r="D60" s="44" t="s">
        <v>20</v>
      </c>
      <c r="E60" s="62">
        <v>94000</v>
      </c>
      <c r="F60" s="45">
        <v>52000</v>
      </c>
      <c r="G60" s="45">
        <v>0</v>
      </c>
      <c r="H60" s="45"/>
      <c r="I60" s="45"/>
      <c r="J60" s="45"/>
      <c r="K60" s="45"/>
    </row>
    <row r="61" spans="1:11" ht="19" x14ac:dyDescent="0.2">
      <c r="A61" s="57"/>
      <c r="B61" s="47"/>
      <c r="C61" s="51"/>
      <c r="D61" s="48"/>
      <c r="E61" s="49"/>
      <c r="F61" s="50"/>
      <c r="G61" s="50"/>
      <c r="H61" s="50"/>
      <c r="I61" s="50"/>
      <c r="J61" s="50">
        <v>100000</v>
      </c>
      <c r="K61" s="50" t="s">
        <v>159</v>
      </c>
    </row>
    <row r="62" spans="1:11" ht="19" x14ac:dyDescent="0.2">
      <c r="A62" s="61"/>
      <c r="B62" s="43">
        <v>45424</v>
      </c>
      <c r="C62" s="46"/>
      <c r="D62" s="44"/>
      <c r="E62" s="62"/>
      <c r="F62" s="45"/>
      <c r="G62" s="45"/>
      <c r="H62" s="45"/>
      <c r="I62" s="45" t="s">
        <v>42</v>
      </c>
      <c r="J62" s="45">
        <v>300000</v>
      </c>
      <c r="K62" s="45" t="s">
        <v>73</v>
      </c>
    </row>
    <row r="63" spans="1:11" ht="19" x14ac:dyDescent="0.2">
      <c r="A63" s="57">
        <v>951000</v>
      </c>
      <c r="B63" s="47">
        <v>45425</v>
      </c>
      <c r="C63" s="51" t="s">
        <v>16</v>
      </c>
      <c r="D63" s="48" t="s">
        <v>17</v>
      </c>
      <c r="E63" s="49">
        <v>430000</v>
      </c>
      <c r="F63" s="50">
        <v>335000</v>
      </c>
      <c r="G63" s="50">
        <v>186000</v>
      </c>
      <c r="H63" s="50"/>
      <c r="I63" s="50"/>
      <c r="J63" s="50">
        <v>115000</v>
      </c>
      <c r="K63" s="50" t="s">
        <v>74</v>
      </c>
    </row>
    <row r="64" spans="1:11" ht="19" x14ac:dyDescent="0.2">
      <c r="A64" s="61"/>
      <c r="B64" s="43"/>
      <c r="C64" s="46"/>
      <c r="D64" s="44"/>
      <c r="E64" s="62"/>
      <c r="F64" s="45"/>
      <c r="G64" s="45"/>
      <c r="H64" s="45"/>
      <c r="I64" s="45"/>
      <c r="J64" s="45">
        <v>14000</v>
      </c>
      <c r="K64" s="45" t="s">
        <v>75</v>
      </c>
    </row>
    <row r="65" spans="1:11" ht="19" x14ac:dyDescent="0.2">
      <c r="A65" s="57"/>
      <c r="B65" s="47"/>
      <c r="C65" s="51"/>
      <c r="D65" s="48"/>
      <c r="E65" s="49"/>
      <c r="F65" s="50"/>
      <c r="G65" s="50"/>
      <c r="H65" s="50"/>
      <c r="I65" s="50"/>
      <c r="J65" s="50">
        <v>33000</v>
      </c>
      <c r="K65" s="50" t="s">
        <v>76</v>
      </c>
    </row>
    <row r="66" spans="1:11" ht="19" x14ac:dyDescent="0.2">
      <c r="A66" s="61"/>
      <c r="B66" s="43"/>
      <c r="C66" s="46" t="s">
        <v>18</v>
      </c>
      <c r="D66" s="44"/>
      <c r="E66" s="62"/>
      <c r="F66" s="65"/>
      <c r="G66" s="45"/>
      <c r="H66" s="45"/>
      <c r="I66" s="45" t="s">
        <v>42</v>
      </c>
      <c r="J66" s="45">
        <v>29000</v>
      </c>
      <c r="K66" s="45" t="s">
        <v>77</v>
      </c>
    </row>
    <row r="67" spans="1:11" ht="19" x14ac:dyDescent="0.2">
      <c r="A67" s="57">
        <v>1114000</v>
      </c>
      <c r="B67" s="47">
        <v>45426</v>
      </c>
      <c r="C67" s="51" t="s">
        <v>16</v>
      </c>
      <c r="D67" s="48" t="s">
        <v>17</v>
      </c>
      <c r="E67" s="49">
        <v>433000</v>
      </c>
      <c r="F67" s="50">
        <v>470000</v>
      </c>
      <c r="G67" s="50">
        <v>211000</v>
      </c>
      <c r="H67" s="50"/>
      <c r="I67" s="50"/>
      <c r="J67" s="50">
        <v>135000</v>
      </c>
      <c r="K67" s="50" t="s">
        <v>78</v>
      </c>
    </row>
    <row r="68" spans="1:11" ht="19" x14ac:dyDescent="0.2">
      <c r="A68" s="61"/>
      <c r="B68" s="43"/>
      <c r="C68" s="46"/>
      <c r="D68" s="44"/>
      <c r="E68" s="62"/>
      <c r="F68" s="45"/>
      <c r="G68" s="45"/>
      <c r="H68" s="45"/>
      <c r="I68" s="45"/>
      <c r="J68" s="45"/>
      <c r="K68" s="45"/>
    </row>
    <row r="69" spans="1:11" ht="19" x14ac:dyDescent="0.2">
      <c r="A69" s="57">
        <v>194000</v>
      </c>
      <c r="B69" s="47"/>
      <c r="C69" s="51" t="s">
        <v>18</v>
      </c>
      <c r="D69" s="48" t="s">
        <v>20</v>
      </c>
      <c r="E69" s="49">
        <v>108000</v>
      </c>
      <c r="F69" s="50">
        <v>86000</v>
      </c>
      <c r="G69" s="50">
        <v>0</v>
      </c>
      <c r="H69" s="50"/>
      <c r="I69" s="50"/>
      <c r="J69" s="50">
        <v>120000</v>
      </c>
      <c r="K69" s="50" t="s">
        <v>79</v>
      </c>
    </row>
    <row r="70" spans="1:11" ht="19" x14ac:dyDescent="0.2">
      <c r="A70" s="61"/>
      <c r="B70" s="43"/>
      <c r="C70" s="46"/>
      <c r="D70" s="44"/>
      <c r="E70" s="62"/>
      <c r="F70" s="45"/>
      <c r="G70" s="45"/>
      <c r="H70" s="45"/>
      <c r="I70" s="45"/>
      <c r="J70" s="45">
        <v>150000</v>
      </c>
      <c r="K70" s="45" t="s">
        <v>80</v>
      </c>
    </row>
    <row r="71" spans="1:11" ht="19" x14ac:dyDescent="0.2">
      <c r="A71" s="57">
        <v>889000</v>
      </c>
      <c r="B71" s="47">
        <v>45427</v>
      </c>
      <c r="C71" s="51" t="s">
        <v>16</v>
      </c>
      <c r="D71" s="48" t="s">
        <v>17</v>
      </c>
      <c r="E71" s="49">
        <v>409000</v>
      </c>
      <c r="F71" s="50">
        <v>243000</v>
      </c>
      <c r="G71" s="50">
        <v>237000</v>
      </c>
      <c r="H71" s="50">
        <v>1950000</v>
      </c>
      <c r="I71" s="50" t="s">
        <v>81</v>
      </c>
      <c r="J71" s="50">
        <v>165000</v>
      </c>
      <c r="K71" s="50" t="s">
        <v>37</v>
      </c>
    </row>
    <row r="72" spans="1:11" ht="19" x14ac:dyDescent="0.2">
      <c r="A72" s="61"/>
      <c r="B72" s="43"/>
      <c r="C72" s="46"/>
      <c r="D72" s="44"/>
      <c r="E72" s="62"/>
      <c r="F72" s="45"/>
      <c r="G72" s="45"/>
      <c r="H72" s="45">
        <v>2123000</v>
      </c>
      <c r="I72" s="45" t="s">
        <v>82</v>
      </c>
      <c r="J72" s="45">
        <v>17000</v>
      </c>
      <c r="K72" s="45" t="s">
        <v>83</v>
      </c>
    </row>
    <row r="73" spans="1:11" ht="19" x14ac:dyDescent="0.2">
      <c r="A73" s="57">
        <v>45000</v>
      </c>
      <c r="B73" s="47"/>
      <c r="C73" s="51" t="s">
        <v>18</v>
      </c>
      <c r="D73" s="48" t="s">
        <v>84</v>
      </c>
      <c r="E73" s="49">
        <v>45000</v>
      </c>
      <c r="F73" s="50"/>
      <c r="G73" s="50"/>
      <c r="H73" s="50">
        <v>200000</v>
      </c>
      <c r="I73" s="50" t="s">
        <v>85</v>
      </c>
      <c r="J73" s="50">
        <v>131000</v>
      </c>
      <c r="K73" s="50" t="s">
        <v>86</v>
      </c>
    </row>
    <row r="74" spans="1:11" ht="19" x14ac:dyDescent="0.2">
      <c r="A74" s="61">
        <v>1104000</v>
      </c>
      <c r="B74" s="43">
        <v>45428</v>
      </c>
      <c r="C74" s="46" t="s">
        <v>16</v>
      </c>
      <c r="D74" s="44" t="s">
        <v>87</v>
      </c>
      <c r="E74" s="62">
        <v>533000</v>
      </c>
      <c r="F74" s="45">
        <v>245000</v>
      </c>
      <c r="G74" s="45">
        <v>326000</v>
      </c>
      <c r="H74" s="45"/>
      <c r="I74" s="45"/>
      <c r="J74" s="45">
        <v>45000</v>
      </c>
      <c r="K74" s="45" t="s">
        <v>88</v>
      </c>
    </row>
    <row r="75" spans="1:11" ht="19" x14ac:dyDescent="0.2">
      <c r="A75" s="57"/>
      <c r="B75" s="47"/>
      <c r="C75" s="51"/>
      <c r="D75" s="48"/>
      <c r="E75" s="49"/>
      <c r="F75" s="50"/>
      <c r="G75" s="50"/>
      <c r="H75" s="50"/>
      <c r="I75" s="50"/>
      <c r="J75" s="50">
        <v>80000</v>
      </c>
      <c r="K75" s="50" t="s">
        <v>89</v>
      </c>
    </row>
    <row r="76" spans="1:11" ht="19" x14ac:dyDescent="0.2">
      <c r="A76" s="61">
        <v>97000</v>
      </c>
      <c r="B76" s="43"/>
      <c r="C76" s="46" t="s">
        <v>18</v>
      </c>
      <c r="D76" s="44" t="s">
        <v>84</v>
      </c>
      <c r="E76" s="62">
        <v>67000</v>
      </c>
      <c r="F76" s="45"/>
      <c r="G76" s="45">
        <v>30000</v>
      </c>
      <c r="H76" s="45"/>
      <c r="I76" s="45"/>
      <c r="J76" s="45">
        <v>144000</v>
      </c>
      <c r="K76" s="45" t="s">
        <v>90</v>
      </c>
    </row>
    <row r="77" spans="1:11" ht="19" x14ac:dyDescent="0.2">
      <c r="A77" s="57"/>
      <c r="B77" s="47"/>
      <c r="C77" s="51"/>
      <c r="D77" s="48"/>
      <c r="E77" s="49"/>
      <c r="F77" s="50"/>
      <c r="G77" s="50"/>
      <c r="H77" s="50"/>
      <c r="I77" s="50"/>
      <c r="J77" s="63">
        <v>17000</v>
      </c>
      <c r="K77" s="63" t="s">
        <v>91</v>
      </c>
    </row>
    <row r="78" spans="1:11" ht="19" x14ac:dyDescent="0.2">
      <c r="A78" s="61">
        <v>1522000</v>
      </c>
      <c r="B78" s="43">
        <v>45429</v>
      </c>
      <c r="C78" s="46" t="s">
        <v>16</v>
      </c>
      <c r="D78" s="44" t="s">
        <v>17</v>
      </c>
      <c r="E78" s="62">
        <v>764000</v>
      </c>
      <c r="F78" s="45">
        <v>114000</v>
      </c>
      <c r="G78" s="45">
        <v>644000</v>
      </c>
      <c r="H78" s="45"/>
      <c r="I78" s="45"/>
      <c r="J78" s="64">
        <v>37000</v>
      </c>
      <c r="K78" s="64" t="s">
        <v>92</v>
      </c>
    </row>
    <row r="79" spans="1:11" ht="19" x14ac:dyDescent="0.2">
      <c r="A79" s="57"/>
      <c r="B79" s="47"/>
      <c r="C79" s="51"/>
      <c r="D79" s="48"/>
      <c r="E79" s="49"/>
      <c r="F79" s="50"/>
      <c r="G79" s="50"/>
      <c r="H79" s="50"/>
      <c r="I79" s="50"/>
      <c r="J79" s="50">
        <v>135000</v>
      </c>
      <c r="K79" s="50" t="s">
        <v>93</v>
      </c>
    </row>
    <row r="80" spans="1:11" ht="19" x14ac:dyDescent="0.2">
      <c r="A80" s="61">
        <v>403000</v>
      </c>
      <c r="B80" s="43">
        <v>45430</v>
      </c>
      <c r="C80" s="46" t="s">
        <v>16</v>
      </c>
      <c r="D80" s="44" t="s">
        <v>84</v>
      </c>
      <c r="E80" s="62">
        <v>140000</v>
      </c>
      <c r="F80" s="45">
        <v>46000</v>
      </c>
      <c r="G80" s="45">
        <v>217000</v>
      </c>
      <c r="H80" s="45"/>
      <c r="I80" s="45"/>
      <c r="J80" s="45"/>
      <c r="K80" s="45"/>
    </row>
    <row r="81" spans="1:11" ht="19" x14ac:dyDescent="0.2">
      <c r="A81" s="57"/>
      <c r="B81" s="47"/>
      <c r="C81" s="51"/>
      <c r="D81" s="48"/>
      <c r="E81" s="49"/>
      <c r="F81" s="50"/>
      <c r="G81" s="50"/>
      <c r="H81" s="50"/>
      <c r="I81" s="50"/>
      <c r="J81" s="50"/>
      <c r="K81" s="50"/>
    </row>
    <row r="82" spans="1:11" ht="19" x14ac:dyDescent="0.2">
      <c r="A82" s="61"/>
      <c r="B82" s="43">
        <v>45431</v>
      </c>
      <c r="C82" s="46"/>
      <c r="D82" s="44"/>
      <c r="E82" s="62"/>
      <c r="F82" s="45"/>
      <c r="G82" s="45"/>
      <c r="H82" s="45"/>
      <c r="I82" s="45" t="s">
        <v>42</v>
      </c>
      <c r="J82" s="45"/>
      <c r="K82" s="45"/>
    </row>
    <row r="83" spans="1:11" ht="19" x14ac:dyDescent="0.2">
      <c r="A83" s="57">
        <v>1152000</v>
      </c>
      <c r="B83" s="47">
        <v>45432</v>
      </c>
      <c r="C83" s="51" t="s">
        <v>16</v>
      </c>
      <c r="D83" s="48" t="s">
        <v>84</v>
      </c>
      <c r="E83" s="49">
        <v>453000</v>
      </c>
      <c r="F83" s="50">
        <v>226000</v>
      </c>
      <c r="G83" s="50">
        <v>473000</v>
      </c>
      <c r="H83" s="50">
        <v>1300000</v>
      </c>
      <c r="I83" s="50" t="s">
        <v>94</v>
      </c>
      <c r="J83" s="50">
        <v>60000</v>
      </c>
      <c r="K83" s="50" t="s">
        <v>95</v>
      </c>
    </row>
    <row r="84" spans="1:11" ht="19" x14ac:dyDescent="0.2">
      <c r="A84" s="61"/>
      <c r="B84" s="43"/>
      <c r="C84" s="46"/>
      <c r="D84" s="44"/>
      <c r="E84" s="62"/>
      <c r="F84" s="45"/>
      <c r="G84" s="45"/>
      <c r="H84" s="45"/>
      <c r="I84" s="45"/>
      <c r="J84" s="45">
        <v>132000</v>
      </c>
      <c r="K84" s="45" t="s">
        <v>96</v>
      </c>
    </row>
    <row r="85" spans="1:11" ht="19" x14ac:dyDescent="0.2">
      <c r="A85" s="57"/>
      <c r="B85" s="47"/>
      <c r="C85" s="51"/>
      <c r="D85" s="48"/>
      <c r="E85" s="49"/>
      <c r="F85" s="50"/>
      <c r="G85" s="50"/>
      <c r="H85" s="50"/>
      <c r="I85" s="50"/>
      <c r="J85" s="50">
        <v>75000</v>
      </c>
      <c r="K85" s="50" t="s">
        <v>58</v>
      </c>
    </row>
    <row r="86" spans="1:11" ht="19" x14ac:dyDescent="0.2">
      <c r="A86" s="61"/>
      <c r="B86" s="43"/>
      <c r="C86" s="46"/>
      <c r="D86" s="44"/>
      <c r="E86" s="62"/>
      <c r="F86" s="45"/>
      <c r="G86" s="45"/>
      <c r="H86" s="45"/>
      <c r="I86" s="45"/>
      <c r="J86" s="45">
        <v>144000</v>
      </c>
      <c r="K86" s="45" t="s">
        <v>97</v>
      </c>
    </row>
    <row r="87" spans="1:11" ht="19" x14ac:dyDescent="0.2">
      <c r="A87" s="57"/>
      <c r="B87" s="47"/>
      <c r="C87" s="51"/>
      <c r="D87" s="48"/>
      <c r="E87" s="49"/>
      <c r="F87" s="50"/>
      <c r="G87" s="50"/>
      <c r="H87" s="50"/>
      <c r="I87" s="50"/>
      <c r="J87" s="50">
        <v>33000</v>
      </c>
      <c r="K87" s="50" t="s">
        <v>56</v>
      </c>
    </row>
    <row r="88" spans="1:11" ht="19" x14ac:dyDescent="0.2">
      <c r="A88" s="61">
        <v>1117000</v>
      </c>
      <c r="B88" s="43">
        <v>45433</v>
      </c>
      <c r="C88" s="46" t="s">
        <v>16</v>
      </c>
      <c r="D88" s="44" t="s">
        <v>84</v>
      </c>
      <c r="E88" s="62">
        <v>547000</v>
      </c>
      <c r="F88" s="45">
        <v>123000</v>
      </c>
      <c r="G88" s="45">
        <v>447000</v>
      </c>
      <c r="H88" s="45"/>
      <c r="I88" s="45"/>
      <c r="J88" s="45">
        <v>27000</v>
      </c>
      <c r="K88" s="45" t="s">
        <v>98</v>
      </c>
    </row>
    <row r="89" spans="1:11" ht="19" x14ac:dyDescent="0.2">
      <c r="A89" s="57"/>
      <c r="B89" s="47"/>
      <c r="C89" s="51"/>
      <c r="D89" s="48"/>
      <c r="E89" s="49"/>
      <c r="F89" s="50"/>
      <c r="G89" s="50"/>
      <c r="H89" s="50"/>
      <c r="I89" s="50"/>
      <c r="J89" s="50">
        <v>4000</v>
      </c>
      <c r="K89" s="50" t="s">
        <v>99</v>
      </c>
    </row>
    <row r="90" spans="1:11" ht="19" x14ac:dyDescent="0.2">
      <c r="A90" s="61"/>
      <c r="B90" s="43"/>
      <c r="C90" s="46"/>
      <c r="D90" s="44"/>
      <c r="E90" s="62"/>
      <c r="F90" s="45"/>
      <c r="G90" s="45"/>
      <c r="H90" s="45"/>
      <c r="I90" s="45"/>
      <c r="J90" s="45">
        <v>105000</v>
      </c>
      <c r="K90" s="45" t="s">
        <v>100</v>
      </c>
    </row>
    <row r="91" spans="1:11" ht="19" x14ac:dyDescent="0.2">
      <c r="A91" s="57"/>
      <c r="B91" s="47"/>
      <c r="C91" s="51"/>
      <c r="D91" s="48"/>
      <c r="E91" s="49"/>
      <c r="F91" s="50"/>
      <c r="G91" s="50"/>
      <c r="H91" s="50"/>
      <c r="I91" s="50"/>
      <c r="J91" s="50">
        <v>200000</v>
      </c>
      <c r="K91" s="50" t="s">
        <v>21</v>
      </c>
    </row>
    <row r="92" spans="1:11" ht="19" x14ac:dyDescent="0.2">
      <c r="A92" s="61"/>
      <c r="B92" s="43"/>
      <c r="C92" s="46"/>
      <c r="D92" s="44"/>
      <c r="E92" s="62"/>
      <c r="F92" s="45"/>
      <c r="G92" s="45"/>
      <c r="H92" s="45"/>
      <c r="I92" s="45"/>
      <c r="J92" s="45">
        <v>45000</v>
      </c>
      <c r="K92" s="45" t="s">
        <v>22</v>
      </c>
    </row>
    <row r="93" spans="1:11" ht="19" x14ac:dyDescent="0.2">
      <c r="A93" s="57"/>
      <c r="B93" s="47"/>
      <c r="C93" s="51"/>
      <c r="D93" s="48"/>
      <c r="E93" s="49"/>
      <c r="F93" s="50"/>
      <c r="G93" s="50"/>
      <c r="H93" s="50"/>
      <c r="I93" s="50"/>
      <c r="J93" s="50">
        <v>150000</v>
      </c>
      <c r="K93" s="50" t="s">
        <v>23</v>
      </c>
    </row>
    <row r="94" spans="1:11" ht="19" x14ac:dyDescent="0.2">
      <c r="A94" s="61"/>
      <c r="B94" s="43"/>
      <c r="C94" s="46"/>
      <c r="D94" s="44"/>
      <c r="E94" s="62"/>
      <c r="F94" s="45"/>
      <c r="G94" s="45"/>
      <c r="H94" s="45"/>
      <c r="I94" s="45"/>
      <c r="J94" s="45"/>
      <c r="K94" s="45"/>
    </row>
    <row r="95" spans="1:11" ht="19" x14ac:dyDescent="0.2">
      <c r="A95" s="57">
        <v>1045000</v>
      </c>
      <c r="B95" s="47">
        <v>45434</v>
      </c>
      <c r="C95" s="51" t="s">
        <v>16</v>
      </c>
      <c r="D95" s="48" t="s">
        <v>84</v>
      </c>
      <c r="E95" s="49">
        <v>462000</v>
      </c>
      <c r="F95" s="50">
        <v>201000</v>
      </c>
      <c r="G95" s="50">
        <v>382000</v>
      </c>
      <c r="H95" s="50"/>
      <c r="I95" s="50"/>
      <c r="J95" s="50">
        <v>150000</v>
      </c>
      <c r="K95" s="50" t="s">
        <v>101</v>
      </c>
    </row>
    <row r="96" spans="1:11" ht="19" x14ac:dyDescent="0.2">
      <c r="A96" s="61"/>
      <c r="B96" s="43"/>
      <c r="C96" s="46"/>
      <c r="D96" s="44"/>
      <c r="E96" s="62"/>
      <c r="F96" s="45"/>
      <c r="G96" s="45"/>
      <c r="H96" s="45"/>
      <c r="I96" s="45"/>
      <c r="J96" s="45"/>
      <c r="K96" s="45"/>
    </row>
    <row r="97" spans="1:11" ht="19" x14ac:dyDescent="0.2">
      <c r="A97" s="57">
        <v>1242000</v>
      </c>
      <c r="B97" s="47">
        <v>45435</v>
      </c>
      <c r="C97" s="51" t="s">
        <v>16</v>
      </c>
      <c r="D97" s="48" t="s">
        <v>84</v>
      </c>
      <c r="E97" s="49">
        <v>541000</v>
      </c>
      <c r="F97" s="50">
        <v>189000</v>
      </c>
      <c r="G97" s="50">
        <v>512000</v>
      </c>
      <c r="H97" s="50"/>
      <c r="I97" s="50"/>
      <c r="J97" s="50"/>
      <c r="K97" s="50"/>
    </row>
    <row r="98" spans="1:11" ht="19" x14ac:dyDescent="0.2">
      <c r="A98" s="61"/>
      <c r="B98" s="43"/>
      <c r="C98" s="46"/>
      <c r="D98" s="44"/>
      <c r="E98" s="62"/>
      <c r="F98" s="45"/>
      <c r="G98" s="45"/>
      <c r="H98" s="45"/>
      <c r="I98" s="45"/>
      <c r="J98" s="45"/>
      <c r="K98" s="45"/>
    </row>
    <row r="99" spans="1:11" ht="19" x14ac:dyDescent="0.2">
      <c r="A99" s="57">
        <v>1001000</v>
      </c>
      <c r="B99" s="47">
        <v>45436</v>
      </c>
      <c r="C99" s="51" t="s">
        <v>16</v>
      </c>
      <c r="D99" s="48" t="s">
        <v>84</v>
      </c>
      <c r="E99" s="49">
        <v>562000</v>
      </c>
      <c r="F99" s="50">
        <v>126000</v>
      </c>
      <c r="G99" s="50">
        <v>313000</v>
      </c>
      <c r="H99" s="50"/>
      <c r="I99" s="50"/>
      <c r="J99" s="50"/>
      <c r="K99" s="50"/>
    </row>
    <row r="100" spans="1:11" ht="19" x14ac:dyDescent="0.2">
      <c r="A100" s="61"/>
      <c r="B100" s="43"/>
      <c r="C100" s="46"/>
      <c r="D100" s="44"/>
      <c r="E100" s="62"/>
      <c r="F100" s="45"/>
      <c r="G100" s="45"/>
      <c r="H100" s="45"/>
      <c r="I100" s="45"/>
      <c r="J100" s="45"/>
      <c r="K100" s="45"/>
    </row>
    <row r="101" spans="1:11" ht="19" x14ac:dyDescent="0.2">
      <c r="A101" s="57">
        <v>185000</v>
      </c>
      <c r="B101" s="47">
        <v>45437</v>
      </c>
      <c r="C101" s="51" t="s">
        <v>16</v>
      </c>
      <c r="D101" s="48" t="s">
        <v>84</v>
      </c>
      <c r="E101" s="49">
        <v>143000</v>
      </c>
      <c r="F101" s="50">
        <v>16000</v>
      </c>
      <c r="G101" s="50">
        <v>26000</v>
      </c>
      <c r="H101" s="50"/>
      <c r="I101" s="50"/>
      <c r="J101" s="50"/>
      <c r="K101" s="50"/>
    </row>
    <row r="102" spans="1:11" ht="19" x14ac:dyDescent="0.2">
      <c r="A102" s="61"/>
      <c r="B102" s="43">
        <v>45438</v>
      </c>
      <c r="C102" s="46"/>
      <c r="D102" s="44"/>
      <c r="E102" s="62"/>
      <c r="F102" s="45"/>
      <c r="G102" s="45"/>
      <c r="H102" s="45"/>
      <c r="I102" s="45" t="s">
        <v>42</v>
      </c>
      <c r="J102" s="45">
        <v>100000</v>
      </c>
      <c r="K102" s="45" t="s">
        <v>159</v>
      </c>
    </row>
    <row r="103" spans="1:11" ht="19" x14ac:dyDescent="0.2">
      <c r="A103" s="57">
        <v>916000</v>
      </c>
      <c r="B103" s="47">
        <v>45439</v>
      </c>
      <c r="C103" s="51" t="s">
        <v>16</v>
      </c>
      <c r="D103" s="48" t="s">
        <v>84</v>
      </c>
      <c r="E103" s="49">
        <v>493000</v>
      </c>
      <c r="F103" s="50">
        <v>135000</v>
      </c>
      <c r="G103" s="50">
        <v>288000</v>
      </c>
      <c r="H103" s="50"/>
      <c r="I103" s="50"/>
      <c r="J103" s="50">
        <v>90000</v>
      </c>
      <c r="K103" s="50" t="s">
        <v>102</v>
      </c>
    </row>
    <row r="104" spans="1:11" ht="19" x14ac:dyDescent="0.2">
      <c r="A104" s="61"/>
      <c r="B104" s="43"/>
      <c r="C104" s="46"/>
      <c r="D104" s="44"/>
      <c r="E104" s="62"/>
      <c r="F104" s="45"/>
      <c r="G104" s="45"/>
      <c r="H104" s="45"/>
      <c r="I104" s="45"/>
      <c r="J104" s="45">
        <v>165000</v>
      </c>
      <c r="K104" s="45" t="s">
        <v>37</v>
      </c>
    </row>
    <row r="105" spans="1:11" ht="19" x14ac:dyDescent="0.2">
      <c r="A105" s="57"/>
      <c r="B105" s="47"/>
      <c r="C105" s="51"/>
      <c r="D105" s="48"/>
      <c r="E105" s="49"/>
      <c r="F105" s="50"/>
      <c r="G105" s="50"/>
      <c r="H105" s="50"/>
      <c r="I105" s="50"/>
      <c r="J105" s="50">
        <v>75000</v>
      </c>
      <c r="K105" s="50" t="s">
        <v>58</v>
      </c>
    </row>
    <row r="106" spans="1:11" ht="19" x14ac:dyDescent="0.2">
      <c r="A106" s="61">
        <v>975000</v>
      </c>
      <c r="B106" s="43">
        <v>45440</v>
      </c>
      <c r="C106" s="46" t="s">
        <v>16</v>
      </c>
      <c r="D106" s="44" t="s">
        <v>84</v>
      </c>
      <c r="E106" s="62">
        <v>373000</v>
      </c>
      <c r="F106" s="45">
        <v>230000</v>
      </c>
      <c r="G106" s="45">
        <v>372000</v>
      </c>
      <c r="H106" s="45"/>
      <c r="I106" s="45"/>
      <c r="J106" s="45"/>
      <c r="K106" s="45"/>
    </row>
    <row r="107" spans="1:11" ht="19" x14ac:dyDescent="0.2">
      <c r="A107" s="57">
        <v>914000</v>
      </c>
      <c r="B107" s="47">
        <v>45441</v>
      </c>
      <c r="C107" s="51" t="s">
        <v>16</v>
      </c>
      <c r="D107" s="48" t="s">
        <v>84</v>
      </c>
      <c r="E107" s="49">
        <v>354000</v>
      </c>
      <c r="F107" s="50">
        <v>235000</v>
      </c>
      <c r="G107" s="50">
        <v>325000</v>
      </c>
      <c r="H107" s="50"/>
      <c r="I107" s="50"/>
      <c r="J107" s="50"/>
      <c r="K107" s="50"/>
    </row>
    <row r="108" spans="1:11" ht="19" x14ac:dyDescent="0.2">
      <c r="A108" s="61">
        <v>1079000</v>
      </c>
      <c r="B108" s="43">
        <v>45442</v>
      </c>
      <c r="C108" s="46" t="s">
        <v>16</v>
      </c>
      <c r="D108" s="44" t="s">
        <v>84</v>
      </c>
      <c r="E108" s="62">
        <v>532000</v>
      </c>
      <c r="F108" s="45">
        <v>293000</v>
      </c>
      <c r="G108" s="45">
        <v>254000</v>
      </c>
      <c r="H108" s="45">
        <v>1300000</v>
      </c>
      <c r="I108" s="45" t="s">
        <v>103</v>
      </c>
      <c r="J108" s="45">
        <v>30000</v>
      </c>
      <c r="K108" s="45" t="s">
        <v>36</v>
      </c>
    </row>
    <row r="109" spans="1:11" ht="19" x14ac:dyDescent="0.2">
      <c r="A109" s="57"/>
      <c r="B109" s="47"/>
      <c r="C109" s="51"/>
      <c r="D109" s="48"/>
      <c r="E109" s="49"/>
      <c r="F109" s="50"/>
      <c r="G109" s="50"/>
      <c r="H109" s="50"/>
      <c r="I109" s="50"/>
      <c r="J109" s="50">
        <v>25000</v>
      </c>
      <c r="K109" s="50" t="s">
        <v>104</v>
      </c>
    </row>
    <row r="110" spans="1:11" ht="19" x14ac:dyDescent="0.2">
      <c r="A110" s="61"/>
      <c r="B110" s="43"/>
      <c r="C110" s="46"/>
      <c r="D110" s="44"/>
      <c r="E110" s="62"/>
      <c r="F110" s="45"/>
      <c r="G110" s="45"/>
      <c r="H110" s="45"/>
      <c r="I110" s="45"/>
      <c r="J110" s="45">
        <v>10000</v>
      </c>
      <c r="K110" s="45" t="s">
        <v>105</v>
      </c>
    </row>
    <row r="111" spans="1:11" ht="19" x14ac:dyDescent="0.2">
      <c r="A111" s="57"/>
      <c r="B111" s="47"/>
      <c r="C111" s="51"/>
      <c r="D111" s="48"/>
      <c r="E111" s="49"/>
      <c r="F111" s="50"/>
      <c r="G111" s="50"/>
      <c r="H111" s="50"/>
      <c r="I111" s="50"/>
      <c r="J111" s="50">
        <v>132000</v>
      </c>
      <c r="K111" s="50" t="s">
        <v>106</v>
      </c>
    </row>
    <row r="112" spans="1:11" ht="19" x14ac:dyDescent="0.2">
      <c r="A112" s="61"/>
      <c r="B112" s="43"/>
      <c r="C112" s="46"/>
      <c r="D112" s="44"/>
      <c r="E112" s="62"/>
      <c r="F112" s="45"/>
      <c r="G112" s="45"/>
      <c r="H112" s="45"/>
      <c r="I112" s="45"/>
      <c r="J112" s="45">
        <v>75000</v>
      </c>
      <c r="K112" s="45" t="s">
        <v>107</v>
      </c>
    </row>
    <row r="113" spans="1:11" ht="19" x14ac:dyDescent="0.2">
      <c r="A113" s="57"/>
      <c r="B113" s="47"/>
      <c r="C113" s="51"/>
      <c r="D113" s="48"/>
      <c r="E113" s="49"/>
      <c r="F113" s="50"/>
      <c r="G113" s="50"/>
      <c r="H113" s="50"/>
      <c r="I113" s="50"/>
      <c r="J113" s="50">
        <v>9000</v>
      </c>
      <c r="K113" s="50" t="s">
        <v>108</v>
      </c>
    </row>
    <row r="114" spans="1:11" ht="19" x14ac:dyDescent="0.2">
      <c r="A114" s="61">
        <v>1194000</v>
      </c>
      <c r="B114" s="43">
        <v>45443</v>
      </c>
      <c r="C114" s="46" t="s">
        <v>16</v>
      </c>
      <c r="D114" s="44" t="s">
        <v>84</v>
      </c>
      <c r="E114" s="62">
        <v>677000</v>
      </c>
      <c r="F114" s="45">
        <v>265000</v>
      </c>
      <c r="G114" s="45">
        <v>252000</v>
      </c>
      <c r="H114" s="45"/>
      <c r="I114" s="45"/>
      <c r="J114" s="45">
        <v>18000</v>
      </c>
      <c r="K114" s="45" t="s">
        <v>109</v>
      </c>
    </row>
    <row r="115" spans="1:11" ht="19" x14ac:dyDescent="0.2">
      <c r="A115" s="57"/>
      <c r="B115" s="47"/>
      <c r="C115" s="51"/>
      <c r="D115" s="48"/>
      <c r="E115" s="49"/>
      <c r="F115" s="50"/>
      <c r="G115" s="50"/>
      <c r="H115" s="50"/>
      <c r="I115" s="50"/>
      <c r="J115" s="50">
        <v>9000</v>
      </c>
      <c r="K115" s="50" t="s">
        <v>110</v>
      </c>
    </row>
    <row r="116" spans="1:11" ht="19" x14ac:dyDescent="0.2">
      <c r="A116" s="61"/>
      <c r="B116" s="43"/>
      <c r="C116" s="46"/>
      <c r="D116" s="44"/>
      <c r="E116" s="62"/>
      <c r="F116" s="45"/>
      <c r="G116" s="45"/>
      <c r="H116" s="45"/>
      <c r="I116" s="45"/>
      <c r="J116" s="45">
        <v>36000</v>
      </c>
      <c r="K116" s="45" t="s">
        <v>111</v>
      </c>
    </row>
    <row r="117" spans="1:11" ht="19" x14ac:dyDescent="0.2">
      <c r="A117" s="57"/>
      <c r="B117" s="47"/>
      <c r="C117" s="51"/>
      <c r="D117" s="48"/>
      <c r="E117" s="49"/>
      <c r="F117" s="50"/>
      <c r="G117" s="50"/>
      <c r="H117" s="50"/>
      <c r="I117" s="50"/>
      <c r="J117" s="50"/>
      <c r="K117" s="50"/>
    </row>
    <row r="118" spans="1:11" ht="19" x14ac:dyDescent="0.2">
      <c r="A118" s="61"/>
      <c r="B118" s="43"/>
      <c r="C118" s="46"/>
      <c r="D118" s="44"/>
      <c r="E118" s="62"/>
      <c r="F118" s="45"/>
      <c r="G118" s="45"/>
      <c r="H118" s="45">
        <v>763000</v>
      </c>
      <c r="I118" s="45" t="s">
        <v>113</v>
      </c>
      <c r="J118" s="45"/>
      <c r="K118" s="45"/>
    </row>
    <row r="119" spans="1:11" ht="19" x14ac:dyDescent="0.2">
      <c r="A119" s="57"/>
      <c r="B119" s="47"/>
      <c r="C119" s="51"/>
      <c r="D119" s="48"/>
      <c r="E119" s="49"/>
      <c r="F119" s="50"/>
      <c r="G119" s="50"/>
      <c r="H119" s="50"/>
      <c r="I119" s="50"/>
      <c r="J119" s="50"/>
      <c r="K119" s="50"/>
    </row>
    <row r="120" spans="1:11" ht="19" x14ac:dyDescent="0.2">
      <c r="A120" s="57"/>
      <c r="B120" s="47"/>
      <c r="C120" s="51"/>
      <c r="D120" s="48"/>
      <c r="E120" s="49"/>
      <c r="F120" s="50"/>
      <c r="G120" s="50"/>
      <c r="H120" s="50"/>
      <c r="I120" s="50"/>
      <c r="J120" s="50"/>
      <c r="K120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90"/>
  <sheetViews>
    <sheetView workbookViewId="0">
      <selection activeCell="B8" sqref="B8"/>
    </sheetView>
  </sheetViews>
  <sheetFormatPr baseColWidth="10" defaultColWidth="11.5" defaultRowHeight="15" x14ac:dyDescent="0.2"/>
  <cols>
    <col min="1" max="1" width="20.33203125" bestFit="1" customWidth="1"/>
    <col min="2" max="2" width="20.5" customWidth="1"/>
    <col min="3" max="3" width="13.33203125" bestFit="1" customWidth="1"/>
    <col min="4" max="4" width="10" bestFit="1" customWidth="1"/>
    <col min="5" max="5" width="19" bestFit="1" customWidth="1"/>
    <col min="6" max="6" width="26.1640625" customWidth="1"/>
    <col min="7" max="7" width="19" bestFit="1" customWidth="1"/>
    <col min="8" max="8" width="22.5" customWidth="1"/>
    <col min="9" max="9" width="28.6640625" customWidth="1"/>
    <col min="10" max="10" width="19" bestFit="1" customWidth="1"/>
    <col min="11" max="11" width="27.33203125" bestFit="1" customWidth="1"/>
  </cols>
  <sheetData>
    <row r="3" spans="1:11" ht="21" x14ac:dyDescent="0.2">
      <c r="H3" s="26"/>
      <c r="I3" s="27" t="s">
        <v>0</v>
      </c>
      <c r="J3" s="27">
        <f>L11/A11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164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8733225</v>
      </c>
      <c r="K6" s="30" t="s">
        <v>167</v>
      </c>
    </row>
    <row r="7" spans="1:11" ht="26" x14ac:dyDescent="0.3">
      <c r="B7" s="32" t="s">
        <v>166</v>
      </c>
    </row>
    <row r="8" spans="1:11" ht="24" x14ac:dyDescent="0.3">
      <c r="B8" s="74" t="s">
        <v>165</v>
      </c>
      <c r="C8" s="75"/>
      <c r="D8" s="75"/>
      <c r="E8" s="75"/>
      <c r="F8" s="75"/>
      <c r="G8" s="67"/>
      <c r="H8" s="67"/>
    </row>
    <row r="10" spans="1:11" ht="19" x14ac:dyDescent="0.2">
      <c r="A10" s="33" t="s">
        <v>5</v>
      </c>
      <c r="B10" s="33" t="s">
        <v>6</v>
      </c>
      <c r="C10" s="34" t="s">
        <v>7</v>
      </c>
      <c r="D10" s="35" t="s">
        <v>8</v>
      </c>
      <c r="E10" s="36" t="s">
        <v>9</v>
      </c>
      <c r="F10" s="37" t="s">
        <v>10</v>
      </c>
      <c r="G10" s="37" t="s">
        <v>49</v>
      </c>
      <c r="H10" s="37" t="s">
        <v>11</v>
      </c>
      <c r="I10" s="37" t="s">
        <v>12</v>
      </c>
      <c r="J10" s="37" t="s">
        <v>13</v>
      </c>
      <c r="K10" s="37" t="s">
        <v>14</v>
      </c>
    </row>
    <row r="11" spans="1:11" ht="21" x14ac:dyDescent="0.2">
      <c r="A11" s="38">
        <f>SUM(A12:A458)</f>
        <v>16270000</v>
      </c>
      <c r="B11" s="39"/>
      <c r="C11" s="40" t="s">
        <v>15</v>
      </c>
      <c r="D11" s="41"/>
      <c r="E11" s="42">
        <f>SUM(E12:E458)</f>
        <v>8166000</v>
      </c>
      <c r="F11" s="38">
        <f>SUM(F12:F458)</f>
        <v>3601000</v>
      </c>
      <c r="G11" s="38">
        <f>SUM(G12:G453)</f>
        <v>4503000</v>
      </c>
      <c r="H11" s="38">
        <f>SUM(H12:H458)</f>
        <v>7127000</v>
      </c>
      <c r="I11" s="38"/>
      <c r="J11" s="38">
        <f>SUM(J12:J458)</f>
        <v>3421000</v>
      </c>
      <c r="K11" s="38"/>
    </row>
    <row r="12" spans="1:11" ht="19" x14ac:dyDescent="0.2">
      <c r="A12" s="52">
        <v>318000</v>
      </c>
      <c r="B12" s="10">
        <v>45444</v>
      </c>
      <c r="C12" s="11" t="s">
        <v>16</v>
      </c>
      <c r="D12" s="12" t="s">
        <v>84</v>
      </c>
      <c r="E12" s="13">
        <v>145000</v>
      </c>
      <c r="F12" s="13">
        <v>24000</v>
      </c>
      <c r="G12" s="13">
        <v>149000</v>
      </c>
      <c r="H12" s="13">
        <v>907000</v>
      </c>
      <c r="I12" s="13" t="s">
        <v>163</v>
      </c>
      <c r="J12" s="13">
        <v>144000</v>
      </c>
      <c r="K12" s="13" t="s">
        <v>90</v>
      </c>
    </row>
    <row r="13" spans="1:11" ht="19" x14ac:dyDescent="0.2">
      <c r="A13" s="53"/>
      <c r="B13" s="4"/>
      <c r="C13" s="5"/>
      <c r="D13" s="2"/>
      <c r="E13" s="3"/>
      <c r="F13" s="1"/>
      <c r="G13" s="1"/>
      <c r="H13" s="1"/>
      <c r="I13" s="1"/>
      <c r="J13" s="1"/>
      <c r="K13" s="1"/>
    </row>
    <row r="14" spans="1:11" ht="19" x14ac:dyDescent="0.2">
      <c r="A14" s="54"/>
      <c r="B14" s="10">
        <v>45445</v>
      </c>
      <c r="C14" s="14"/>
      <c r="D14" s="12"/>
      <c r="E14" s="15"/>
      <c r="F14" s="13"/>
      <c r="G14" s="13"/>
      <c r="H14" s="13"/>
      <c r="I14" s="13" t="s">
        <v>42</v>
      </c>
      <c r="J14" s="13"/>
      <c r="K14" s="13"/>
    </row>
    <row r="15" spans="1:11" ht="19" x14ac:dyDescent="0.2">
      <c r="A15" s="53"/>
      <c r="B15" s="4"/>
      <c r="C15" s="5"/>
      <c r="D15" s="2"/>
      <c r="E15" s="3"/>
      <c r="F15" s="1"/>
      <c r="G15" s="1"/>
      <c r="H15" s="1"/>
      <c r="I15" s="1"/>
      <c r="J15" s="1"/>
      <c r="K15" s="1"/>
    </row>
    <row r="16" spans="1:11" ht="19" x14ac:dyDescent="0.2">
      <c r="A16" s="54">
        <v>1027000</v>
      </c>
      <c r="B16" s="10">
        <v>45446</v>
      </c>
      <c r="C16" s="14" t="s">
        <v>16</v>
      </c>
      <c r="D16" s="12" t="s">
        <v>84</v>
      </c>
      <c r="E16" s="15">
        <v>297000</v>
      </c>
      <c r="F16" s="13">
        <v>422000</v>
      </c>
      <c r="G16" s="13">
        <v>308000</v>
      </c>
      <c r="H16" s="13"/>
      <c r="I16" s="13"/>
      <c r="J16" s="13"/>
      <c r="K16" s="13"/>
    </row>
    <row r="17" spans="1:11" ht="19" x14ac:dyDescent="0.2">
      <c r="A17" s="55"/>
      <c r="B17" s="18"/>
      <c r="C17" s="19"/>
      <c r="D17" s="20"/>
      <c r="E17" s="21"/>
      <c r="F17" s="8"/>
      <c r="G17" s="8"/>
      <c r="H17" s="23"/>
      <c r="I17" s="23"/>
      <c r="J17" s="8"/>
      <c r="K17" s="8"/>
    </row>
    <row r="18" spans="1:11" ht="19" x14ac:dyDescent="0.2">
      <c r="A18" s="56">
        <v>821000</v>
      </c>
      <c r="B18" s="10">
        <v>45447</v>
      </c>
      <c r="C18" s="16" t="s">
        <v>16</v>
      </c>
      <c r="D18" s="12" t="s">
        <v>84</v>
      </c>
      <c r="E18" s="15">
        <v>321000</v>
      </c>
      <c r="F18" s="13">
        <v>192000</v>
      </c>
      <c r="G18" s="13">
        <v>308000</v>
      </c>
      <c r="H18" s="17"/>
      <c r="I18" s="17"/>
      <c r="J18" s="13">
        <v>14500</v>
      </c>
      <c r="K18" s="13" t="s">
        <v>116</v>
      </c>
    </row>
    <row r="19" spans="1:11" ht="19" x14ac:dyDescent="0.2">
      <c r="A19" s="55"/>
      <c r="B19" s="18"/>
      <c r="C19" s="19"/>
      <c r="D19" s="20"/>
      <c r="E19" s="21"/>
      <c r="F19" s="8"/>
      <c r="G19" s="8"/>
      <c r="H19" s="23"/>
      <c r="I19" s="23"/>
      <c r="J19" s="8">
        <v>18000</v>
      </c>
      <c r="K19" s="8" t="s">
        <v>117</v>
      </c>
    </row>
    <row r="20" spans="1:11" ht="19" x14ac:dyDescent="0.2">
      <c r="A20" s="56">
        <v>1072000</v>
      </c>
      <c r="B20" s="10">
        <v>45448</v>
      </c>
      <c r="C20" s="16" t="s">
        <v>16</v>
      </c>
      <c r="D20" s="12" t="s">
        <v>84</v>
      </c>
      <c r="E20" s="15">
        <v>609000</v>
      </c>
      <c r="F20" s="13">
        <v>195000</v>
      </c>
      <c r="G20" s="13">
        <v>268000</v>
      </c>
      <c r="H20" s="17"/>
      <c r="I20" s="17"/>
      <c r="J20" s="13">
        <v>47000</v>
      </c>
      <c r="K20" s="13" t="s">
        <v>92</v>
      </c>
    </row>
    <row r="21" spans="1:11" ht="19" x14ac:dyDescent="0.2">
      <c r="A21" s="55"/>
      <c r="B21" s="18"/>
      <c r="C21" s="19"/>
      <c r="D21" s="20"/>
      <c r="E21" s="21"/>
      <c r="F21" s="8"/>
      <c r="G21" s="8"/>
      <c r="H21" s="23"/>
      <c r="I21" s="23"/>
      <c r="J21" s="8">
        <v>33000</v>
      </c>
      <c r="K21" s="8" t="s">
        <v>118</v>
      </c>
    </row>
    <row r="22" spans="1:11" ht="19" x14ac:dyDescent="0.2">
      <c r="A22" s="56"/>
      <c r="B22" s="10"/>
      <c r="C22" s="16"/>
      <c r="D22" s="12"/>
      <c r="E22" s="15"/>
      <c r="F22" s="13"/>
      <c r="G22" s="13"/>
      <c r="H22" s="17"/>
      <c r="I22" s="17"/>
      <c r="J22" s="13">
        <v>4000</v>
      </c>
      <c r="K22" s="13" t="s">
        <v>119</v>
      </c>
    </row>
    <row r="23" spans="1:11" ht="19" x14ac:dyDescent="0.2">
      <c r="A23" s="55"/>
      <c r="B23" s="18"/>
      <c r="C23" s="19"/>
      <c r="D23" s="20"/>
      <c r="E23" s="21"/>
      <c r="F23" s="8"/>
      <c r="G23" s="8"/>
      <c r="H23" s="23"/>
      <c r="I23" s="23"/>
      <c r="J23" s="8">
        <v>37500</v>
      </c>
      <c r="K23" s="8" t="s">
        <v>120</v>
      </c>
    </row>
    <row r="24" spans="1:11" ht="19" x14ac:dyDescent="0.2">
      <c r="A24" s="56">
        <v>934000</v>
      </c>
      <c r="B24" s="10">
        <v>45449</v>
      </c>
      <c r="C24" s="16" t="s">
        <v>16</v>
      </c>
      <c r="D24" s="12" t="s">
        <v>84</v>
      </c>
      <c r="E24" s="15">
        <v>364000</v>
      </c>
      <c r="F24" s="13">
        <v>191000</v>
      </c>
      <c r="G24" s="13">
        <v>379000</v>
      </c>
      <c r="H24" s="13"/>
      <c r="I24" s="13"/>
      <c r="J24" s="13"/>
      <c r="K24" s="13"/>
    </row>
    <row r="25" spans="1:11" ht="19" x14ac:dyDescent="0.2">
      <c r="A25" s="55"/>
      <c r="B25" s="18"/>
      <c r="C25" s="19"/>
      <c r="D25" s="20"/>
      <c r="E25" s="21"/>
      <c r="F25" s="8"/>
      <c r="G25" s="8"/>
      <c r="H25" s="8"/>
      <c r="I25" s="8"/>
      <c r="J25" s="8"/>
      <c r="K25" s="8"/>
    </row>
    <row r="26" spans="1:11" ht="19" x14ac:dyDescent="0.2">
      <c r="A26" s="56">
        <v>1031000</v>
      </c>
      <c r="B26" s="10">
        <v>45450</v>
      </c>
      <c r="C26" s="16" t="s">
        <v>16</v>
      </c>
      <c r="D26" s="12" t="s">
        <v>84</v>
      </c>
      <c r="E26" s="15">
        <v>646000</v>
      </c>
      <c r="F26" s="13">
        <v>245000</v>
      </c>
      <c r="G26" s="13">
        <v>140000</v>
      </c>
      <c r="H26" s="13"/>
      <c r="I26" s="13"/>
      <c r="J26" s="13">
        <v>25000</v>
      </c>
      <c r="K26" s="13" t="s">
        <v>121</v>
      </c>
    </row>
    <row r="27" spans="1:11" ht="19" x14ac:dyDescent="0.2">
      <c r="A27" s="55"/>
      <c r="B27" s="18"/>
      <c r="C27" s="19"/>
      <c r="D27" s="20"/>
      <c r="E27" s="21"/>
      <c r="F27" s="8"/>
      <c r="G27" s="8"/>
      <c r="H27" s="8"/>
      <c r="I27" s="8"/>
      <c r="J27" s="8">
        <v>31000</v>
      </c>
      <c r="K27" s="8" t="s">
        <v>122</v>
      </c>
    </row>
    <row r="28" spans="1:11" ht="19" x14ac:dyDescent="0.2">
      <c r="A28" s="56"/>
      <c r="B28" s="10"/>
      <c r="C28" s="16"/>
      <c r="D28" s="12"/>
      <c r="E28" s="15"/>
      <c r="F28" s="13"/>
      <c r="G28" s="13"/>
      <c r="H28" s="13"/>
      <c r="I28" s="13"/>
      <c r="J28" s="13">
        <v>192000</v>
      </c>
      <c r="K28" s="13" t="s">
        <v>123</v>
      </c>
    </row>
    <row r="29" spans="1:11" ht="19" x14ac:dyDescent="0.2">
      <c r="A29" s="55"/>
      <c r="B29" s="18"/>
      <c r="C29" s="19"/>
      <c r="D29" s="20"/>
      <c r="E29" s="21"/>
      <c r="F29" s="8"/>
      <c r="G29" s="8"/>
      <c r="H29" s="8"/>
      <c r="I29" s="8"/>
      <c r="J29" s="8">
        <v>66000</v>
      </c>
      <c r="K29" s="8" t="s">
        <v>124</v>
      </c>
    </row>
    <row r="30" spans="1:11" ht="19" x14ac:dyDescent="0.2">
      <c r="A30" s="56">
        <v>133000</v>
      </c>
      <c r="B30" s="10">
        <v>45451</v>
      </c>
      <c r="C30" s="14" t="s">
        <v>16</v>
      </c>
      <c r="D30" s="12" t="s">
        <v>84</v>
      </c>
      <c r="E30" s="15">
        <v>66000</v>
      </c>
      <c r="F30" s="13">
        <v>67000</v>
      </c>
      <c r="G30" s="13">
        <v>0</v>
      </c>
      <c r="H30" s="13"/>
      <c r="I30" s="13"/>
      <c r="J30" s="13"/>
      <c r="K30" s="13"/>
    </row>
    <row r="31" spans="1:11" ht="19" x14ac:dyDescent="0.2">
      <c r="A31" s="55"/>
      <c r="B31" s="4"/>
      <c r="C31" s="5"/>
      <c r="D31" s="2"/>
      <c r="E31" s="3"/>
      <c r="F31" s="1"/>
      <c r="G31" s="1"/>
      <c r="H31" s="1"/>
      <c r="I31" s="1"/>
      <c r="J31" s="1"/>
      <c r="K31" s="1"/>
    </row>
    <row r="32" spans="1:11" ht="19" x14ac:dyDescent="0.2">
      <c r="A32" s="56"/>
      <c r="B32" s="10">
        <v>45452</v>
      </c>
      <c r="C32" s="14" t="s">
        <v>16</v>
      </c>
      <c r="D32" s="12"/>
      <c r="E32" s="15"/>
      <c r="F32" s="13"/>
      <c r="G32" s="13"/>
      <c r="H32" s="13"/>
      <c r="I32" s="13" t="s">
        <v>125</v>
      </c>
      <c r="J32" s="13"/>
      <c r="K32" s="13"/>
    </row>
    <row r="33" spans="1:11" ht="19" x14ac:dyDescent="0.2">
      <c r="A33" s="53"/>
      <c r="B33" s="4"/>
      <c r="C33" s="5"/>
      <c r="D33" s="2"/>
      <c r="E33" s="3"/>
      <c r="F33" s="1"/>
      <c r="G33" s="1"/>
      <c r="H33" s="1"/>
      <c r="I33" s="1"/>
      <c r="J33" s="1">
        <v>100000</v>
      </c>
      <c r="K33" s="1" t="s">
        <v>159</v>
      </c>
    </row>
    <row r="34" spans="1:11" ht="19" x14ac:dyDescent="0.2">
      <c r="A34" s="54">
        <v>879000</v>
      </c>
      <c r="B34" s="10">
        <v>45453</v>
      </c>
      <c r="C34" s="14" t="s">
        <v>16</v>
      </c>
      <c r="D34" s="12" t="s">
        <v>84</v>
      </c>
      <c r="E34" s="15">
        <v>236000</v>
      </c>
      <c r="F34" s="13">
        <v>337000</v>
      </c>
      <c r="G34" s="13">
        <v>306000</v>
      </c>
      <c r="H34" s="13"/>
      <c r="I34" s="13"/>
      <c r="J34" s="13">
        <v>32000</v>
      </c>
      <c r="K34" s="13" t="s">
        <v>126</v>
      </c>
    </row>
    <row r="35" spans="1:11" ht="19" x14ac:dyDescent="0.2">
      <c r="A35" s="54"/>
      <c r="B35" s="10"/>
      <c r="C35" s="14"/>
      <c r="D35" s="12"/>
      <c r="E35" s="15"/>
      <c r="F35" s="13"/>
      <c r="G35" s="13"/>
      <c r="H35" s="13">
        <v>1620000</v>
      </c>
      <c r="I35" s="13" t="s">
        <v>160</v>
      </c>
      <c r="J35" s="13">
        <v>52000</v>
      </c>
      <c r="K35" s="13" t="s">
        <v>70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>
        <v>29000</v>
      </c>
      <c r="K36" s="8" t="s">
        <v>127</v>
      </c>
    </row>
    <row r="37" spans="1:11" ht="19" x14ac:dyDescent="0.2">
      <c r="A37" s="54"/>
      <c r="B37" s="10"/>
      <c r="C37" s="14"/>
      <c r="D37" s="12"/>
      <c r="E37" s="15"/>
      <c r="F37" s="13"/>
      <c r="G37" s="13"/>
      <c r="H37" s="13"/>
      <c r="I37" s="13"/>
      <c r="J37" s="13"/>
      <c r="K37" s="13"/>
    </row>
    <row r="38" spans="1:11" ht="19" x14ac:dyDescent="0.2">
      <c r="A38" s="55">
        <v>785000</v>
      </c>
      <c r="B38" s="4">
        <v>45454</v>
      </c>
      <c r="C38" s="5" t="s">
        <v>16</v>
      </c>
      <c r="D38" s="2" t="s">
        <v>84</v>
      </c>
      <c r="E38" s="3">
        <v>579000</v>
      </c>
      <c r="F38" s="1">
        <v>102000</v>
      </c>
      <c r="G38" s="1">
        <v>104000</v>
      </c>
      <c r="H38" s="1">
        <v>400000</v>
      </c>
      <c r="I38" s="1" t="s">
        <v>161</v>
      </c>
      <c r="J38" s="1">
        <v>51000</v>
      </c>
      <c r="K38" s="7" t="s">
        <v>128</v>
      </c>
    </row>
    <row r="39" spans="1:11" ht="19" x14ac:dyDescent="0.2">
      <c r="A39" s="56"/>
      <c r="B39" s="10"/>
      <c r="C39" s="14"/>
      <c r="D39" s="12"/>
      <c r="E39" s="15"/>
      <c r="F39" s="13"/>
      <c r="G39" s="13"/>
      <c r="H39" s="13"/>
      <c r="I39" s="13"/>
      <c r="J39" s="13">
        <v>33000</v>
      </c>
      <c r="K39" s="13" t="s">
        <v>129</v>
      </c>
    </row>
    <row r="40" spans="1:11" ht="19" x14ac:dyDescent="0.2">
      <c r="A40" s="55"/>
      <c r="B40" s="4"/>
      <c r="C40" s="5"/>
      <c r="D40" s="2"/>
      <c r="E40" s="3"/>
      <c r="F40" s="1"/>
      <c r="G40" s="1"/>
      <c r="H40" s="1"/>
      <c r="I40" s="1"/>
      <c r="J40" s="1">
        <v>24000</v>
      </c>
      <c r="K40" s="1" t="s">
        <v>130</v>
      </c>
    </row>
    <row r="41" spans="1:11" ht="19" x14ac:dyDescent="0.2">
      <c r="A41" s="56"/>
      <c r="B41" s="10"/>
      <c r="C41" s="14"/>
      <c r="D41" s="12"/>
      <c r="E41" s="15"/>
      <c r="F41" s="13"/>
      <c r="G41" s="13"/>
      <c r="H41" s="13"/>
      <c r="I41" s="13"/>
      <c r="J41" s="13">
        <v>35000</v>
      </c>
      <c r="K41" s="13" t="s">
        <v>55</v>
      </c>
    </row>
    <row r="42" spans="1:11" ht="19" x14ac:dyDescent="0.2">
      <c r="A42" s="55"/>
      <c r="B42" s="4"/>
      <c r="C42" s="5"/>
      <c r="D42" s="2"/>
      <c r="E42" s="3"/>
      <c r="F42" s="1"/>
      <c r="G42" s="1"/>
      <c r="H42" s="1"/>
      <c r="I42" s="1"/>
      <c r="J42" s="1">
        <v>36000</v>
      </c>
      <c r="K42" s="1" t="s">
        <v>56</v>
      </c>
    </row>
    <row r="43" spans="1:11" ht="19" x14ac:dyDescent="0.2">
      <c r="A43" s="55"/>
      <c r="B43" s="4"/>
      <c r="C43" s="5"/>
      <c r="D43" s="2"/>
      <c r="E43" s="3"/>
      <c r="F43" s="1"/>
      <c r="G43" s="1"/>
      <c r="H43" s="1"/>
      <c r="I43" s="1"/>
      <c r="J43" s="1">
        <v>200000</v>
      </c>
      <c r="K43" s="1" t="s">
        <v>21</v>
      </c>
    </row>
    <row r="44" spans="1:11" ht="19" x14ac:dyDescent="0.2">
      <c r="A44" s="56"/>
      <c r="B44" s="10"/>
      <c r="C44" s="14"/>
      <c r="D44" s="12"/>
      <c r="E44" s="15"/>
      <c r="F44" s="13"/>
      <c r="G44" s="13"/>
      <c r="H44" s="13"/>
      <c r="I44" s="13"/>
      <c r="J44" s="13">
        <v>150000</v>
      </c>
      <c r="K44" s="13" t="s">
        <v>23</v>
      </c>
    </row>
    <row r="45" spans="1:11" ht="19" x14ac:dyDescent="0.2">
      <c r="A45" s="55"/>
      <c r="B45" s="4"/>
      <c r="C45" s="5"/>
      <c r="D45" s="2"/>
      <c r="E45" s="3"/>
      <c r="F45" s="1"/>
      <c r="G45" s="1"/>
      <c r="H45" s="1"/>
      <c r="I45" s="9"/>
      <c r="J45" s="1"/>
      <c r="K45" s="1"/>
    </row>
    <row r="46" spans="1:11" ht="19" x14ac:dyDescent="0.2">
      <c r="A46" s="56">
        <v>994000</v>
      </c>
      <c r="B46" s="10">
        <v>45455</v>
      </c>
      <c r="C46" s="14" t="s">
        <v>16</v>
      </c>
      <c r="D46" s="12" t="s">
        <v>84</v>
      </c>
      <c r="E46" s="15">
        <v>499000</v>
      </c>
      <c r="F46" s="13">
        <v>134000</v>
      </c>
      <c r="G46" s="13">
        <v>361000</v>
      </c>
      <c r="H46" s="13"/>
      <c r="I46" s="13"/>
      <c r="J46" s="13"/>
      <c r="K46" s="13"/>
    </row>
    <row r="47" spans="1:11" ht="19" x14ac:dyDescent="0.2">
      <c r="A47" s="55"/>
      <c r="B47" s="4"/>
      <c r="C47" s="5"/>
      <c r="D47" s="2"/>
      <c r="E47" s="3"/>
      <c r="F47" s="1"/>
      <c r="G47" s="1"/>
      <c r="H47" s="1"/>
      <c r="I47" s="1"/>
      <c r="J47" s="1"/>
      <c r="K47" s="1"/>
    </row>
    <row r="48" spans="1:11" ht="19" x14ac:dyDescent="0.2">
      <c r="A48" s="58">
        <v>882000</v>
      </c>
      <c r="B48" s="10">
        <v>45456</v>
      </c>
      <c r="C48" s="14" t="s">
        <v>16</v>
      </c>
      <c r="D48" s="12" t="s">
        <v>84</v>
      </c>
      <c r="E48" s="15">
        <v>416000</v>
      </c>
      <c r="F48" s="13">
        <v>249000</v>
      </c>
      <c r="G48" s="13">
        <v>217000</v>
      </c>
      <c r="H48" s="13"/>
      <c r="I48" s="13"/>
      <c r="J48" s="13">
        <v>51000</v>
      </c>
      <c r="K48" s="13" t="s">
        <v>131</v>
      </c>
    </row>
    <row r="49" spans="1:11" ht="19" x14ac:dyDescent="0.2">
      <c r="A49" s="59"/>
      <c r="B49" s="47"/>
      <c r="C49" s="51"/>
      <c r="D49" s="48"/>
      <c r="E49" s="49"/>
      <c r="F49" s="50"/>
      <c r="G49" s="50"/>
      <c r="H49" s="50"/>
      <c r="I49" s="50"/>
      <c r="J49" s="50">
        <v>4000</v>
      </c>
      <c r="K49" s="50" t="s">
        <v>24</v>
      </c>
    </row>
    <row r="50" spans="1:11" ht="19" x14ac:dyDescent="0.2">
      <c r="A50" s="58"/>
      <c r="B50" s="43"/>
      <c r="C50" s="46"/>
      <c r="D50" s="44"/>
      <c r="E50" s="15"/>
      <c r="F50" s="13"/>
      <c r="G50" s="13"/>
      <c r="H50" s="45"/>
      <c r="I50" s="45"/>
      <c r="J50" s="45">
        <v>33000</v>
      </c>
      <c r="K50" s="45" t="s">
        <v>56</v>
      </c>
    </row>
    <row r="51" spans="1:11" ht="19" x14ac:dyDescent="0.2">
      <c r="A51" s="57"/>
      <c r="B51" s="47"/>
      <c r="C51" s="51"/>
      <c r="D51" s="48"/>
      <c r="E51" s="49"/>
      <c r="F51" s="50"/>
      <c r="G51" s="50"/>
      <c r="H51" s="50"/>
      <c r="I51" s="50"/>
      <c r="J51" s="50">
        <v>45000</v>
      </c>
      <c r="K51" s="50" t="s">
        <v>132</v>
      </c>
    </row>
    <row r="52" spans="1:11" ht="19" x14ac:dyDescent="0.2">
      <c r="A52" s="61">
        <v>875000</v>
      </c>
      <c r="B52" s="43">
        <v>45457</v>
      </c>
      <c r="C52" s="46" t="s">
        <v>16</v>
      </c>
      <c r="D52" s="44" t="s">
        <v>84</v>
      </c>
      <c r="E52" s="62">
        <v>403000</v>
      </c>
      <c r="F52" s="45">
        <v>331000</v>
      </c>
      <c r="G52" s="45">
        <v>141000</v>
      </c>
      <c r="H52" s="45">
        <v>2400000</v>
      </c>
      <c r="I52" s="45" t="s">
        <v>133</v>
      </c>
      <c r="J52" s="45">
        <v>51000</v>
      </c>
      <c r="K52" s="45" t="s">
        <v>134</v>
      </c>
    </row>
    <row r="53" spans="1:11" ht="19" x14ac:dyDescent="0.2">
      <c r="A53" s="57"/>
      <c r="B53" s="47"/>
      <c r="C53" s="51"/>
      <c r="D53" s="48"/>
      <c r="E53" s="49"/>
      <c r="F53" s="50"/>
      <c r="G53" s="50"/>
      <c r="H53" s="50"/>
      <c r="I53" s="50"/>
      <c r="J53" s="50">
        <v>47000</v>
      </c>
      <c r="K53" s="50" t="s">
        <v>40</v>
      </c>
    </row>
    <row r="54" spans="1:11" ht="19" x14ac:dyDescent="0.2">
      <c r="A54" s="61"/>
      <c r="B54" s="43">
        <v>45458</v>
      </c>
      <c r="C54" s="46"/>
      <c r="D54" s="44"/>
      <c r="E54" s="62"/>
      <c r="F54" s="45"/>
      <c r="G54" s="45"/>
      <c r="H54" s="45"/>
      <c r="I54" s="45"/>
      <c r="J54" s="45"/>
      <c r="K54" s="45"/>
    </row>
    <row r="55" spans="1:11" ht="19" x14ac:dyDescent="0.2">
      <c r="A55" s="57"/>
      <c r="B55" s="47">
        <v>45459</v>
      </c>
      <c r="C55" s="51"/>
      <c r="D55" s="48"/>
      <c r="E55" s="49"/>
      <c r="F55" s="50"/>
      <c r="G55" s="50"/>
      <c r="H55" s="50"/>
      <c r="I55" s="50"/>
      <c r="J55" s="50"/>
      <c r="K55" s="50"/>
    </row>
    <row r="56" spans="1:11" ht="19" x14ac:dyDescent="0.2">
      <c r="A56" s="61"/>
      <c r="B56" s="43">
        <v>45460</v>
      </c>
      <c r="C56" s="46"/>
      <c r="D56" s="44"/>
      <c r="E56" s="62"/>
      <c r="F56" s="45"/>
      <c r="G56" s="45"/>
      <c r="H56" s="45"/>
      <c r="I56" s="45"/>
      <c r="J56" s="45"/>
      <c r="K56" s="45"/>
    </row>
    <row r="57" spans="1:11" ht="19" x14ac:dyDescent="0.2">
      <c r="A57" s="57"/>
      <c r="B57" s="47"/>
      <c r="C57" s="51"/>
      <c r="D57" s="48"/>
      <c r="E57" s="49"/>
      <c r="F57" s="50"/>
      <c r="G57" s="50"/>
      <c r="H57" s="50"/>
      <c r="I57" s="50"/>
      <c r="J57" s="50">
        <v>100000</v>
      </c>
      <c r="K57" s="50" t="s">
        <v>159</v>
      </c>
    </row>
    <row r="58" spans="1:11" ht="19" x14ac:dyDescent="0.2">
      <c r="A58" s="61">
        <v>393000</v>
      </c>
      <c r="B58" s="43">
        <v>45461</v>
      </c>
      <c r="C58" s="46" t="s">
        <v>16</v>
      </c>
      <c r="D58" s="44" t="s">
        <v>136</v>
      </c>
      <c r="E58" s="62">
        <v>342000</v>
      </c>
      <c r="F58" s="45">
        <v>0</v>
      </c>
      <c r="G58" s="45">
        <v>51000</v>
      </c>
      <c r="H58" s="45"/>
      <c r="I58" s="45"/>
      <c r="J58" s="45">
        <v>15000</v>
      </c>
      <c r="K58" s="45" t="s">
        <v>137</v>
      </c>
    </row>
    <row r="59" spans="1:11" ht="19" x14ac:dyDescent="0.2">
      <c r="A59" s="57"/>
      <c r="B59" s="47"/>
      <c r="C59" s="51"/>
      <c r="D59" s="48"/>
      <c r="E59" s="49"/>
      <c r="F59" s="50"/>
      <c r="G59" s="50"/>
      <c r="H59" s="50"/>
      <c r="I59" s="50"/>
      <c r="J59" s="50">
        <v>5000</v>
      </c>
      <c r="K59" s="50" t="s">
        <v>138</v>
      </c>
    </row>
    <row r="60" spans="1:11" ht="19" x14ac:dyDescent="0.2">
      <c r="A60" s="61"/>
      <c r="B60" s="43"/>
      <c r="C60" s="46"/>
      <c r="D60" s="44"/>
      <c r="E60" s="62"/>
      <c r="F60" s="45"/>
      <c r="G60" s="45"/>
      <c r="H60" s="45"/>
      <c r="I60" s="45"/>
      <c r="J60" s="45">
        <v>66000</v>
      </c>
      <c r="K60" s="45" t="s">
        <v>139</v>
      </c>
    </row>
    <row r="61" spans="1:11" ht="19" x14ac:dyDescent="0.2">
      <c r="A61" s="57"/>
      <c r="B61" s="47"/>
      <c r="C61" s="51"/>
      <c r="D61" s="48"/>
      <c r="E61" s="49"/>
      <c r="F61" s="50"/>
      <c r="G61" s="50"/>
      <c r="H61" s="50"/>
      <c r="I61" s="50"/>
      <c r="J61" s="50">
        <v>89000</v>
      </c>
      <c r="K61" s="50" t="s">
        <v>58</v>
      </c>
    </row>
    <row r="62" spans="1:11" ht="19" x14ac:dyDescent="0.2">
      <c r="A62" s="61"/>
      <c r="B62" s="43"/>
      <c r="C62" s="46"/>
      <c r="D62" s="44"/>
      <c r="E62" s="62"/>
      <c r="F62" s="45"/>
      <c r="G62" s="45"/>
      <c r="H62" s="45"/>
      <c r="I62" s="45"/>
      <c r="J62" s="45">
        <v>42000</v>
      </c>
      <c r="K62" s="45" t="s">
        <v>140</v>
      </c>
    </row>
    <row r="63" spans="1:11" ht="19" x14ac:dyDescent="0.2">
      <c r="A63" s="57"/>
      <c r="B63" s="47"/>
      <c r="C63" s="51"/>
      <c r="D63" s="48"/>
      <c r="E63" s="49"/>
      <c r="F63" s="50"/>
      <c r="G63" s="50"/>
      <c r="H63" s="50"/>
      <c r="I63" s="50"/>
      <c r="J63" s="50">
        <v>191000</v>
      </c>
      <c r="K63" s="50" t="s">
        <v>123</v>
      </c>
    </row>
    <row r="64" spans="1:11" ht="19" x14ac:dyDescent="0.2">
      <c r="A64" s="61">
        <v>622000</v>
      </c>
      <c r="B64" s="43">
        <v>45462</v>
      </c>
      <c r="C64" s="46" t="s">
        <v>16</v>
      </c>
      <c r="D64" s="44" t="s">
        <v>136</v>
      </c>
      <c r="E64" s="62">
        <v>365000</v>
      </c>
      <c r="F64" s="45">
        <v>66000</v>
      </c>
      <c r="G64" s="45">
        <v>191000</v>
      </c>
      <c r="H64" s="45"/>
      <c r="I64" s="45"/>
      <c r="J64" s="45">
        <v>144000</v>
      </c>
      <c r="K64" s="45" t="s">
        <v>141</v>
      </c>
    </row>
    <row r="65" spans="1:11" ht="19" x14ac:dyDescent="0.2">
      <c r="A65" s="57"/>
      <c r="B65" s="47"/>
      <c r="C65" s="51"/>
      <c r="D65" s="48"/>
      <c r="E65" s="49"/>
      <c r="F65" s="50"/>
      <c r="G65" s="50"/>
      <c r="H65" s="50"/>
      <c r="I65" s="50"/>
      <c r="J65" s="50">
        <v>56000</v>
      </c>
      <c r="K65" s="50" t="s">
        <v>142</v>
      </c>
    </row>
    <row r="66" spans="1:11" ht="19" x14ac:dyDescent="0.2">
      <c r="A66" s="61"/>
      <c r="B66" s="43"/>
      <c r="C66" s="46"/>
      <c r="D66" s="44"/>
      <c r="E66" s="62"/>
      <c r="F66" s="65"/>
      <c r="G66" s="45"/>
      <c r="H66" s="45"/>
      <c r="I66" s="45"/>
      <c r="J66" s="45">
        <v>6000</v>
      </c>
      <c r="K66" s="45" t="s">
        <v>143</v>
      </c>
    </row>
    <row r="67" spans="1:11" ht="19" x14ac:dyDescent="0.2">
      <c r="A67" s="57"/>
      <c r="B67" s="47"/>
      <c r="C67" s="51"/>
      <c r="D67" s="48"/>
      <c r="E67" s="49"/>
      <c r="F67" s="50"/>
      <c r="G67" s="50"/>
      <c r="H67" s="50"/>
      <c r="I67" s="50"/>
      <c r="J67" s="50"/>
      <c r="K67" s="50"/>
    </row>
    <row r="68" spans="1:11" ht="19" x14ac:dyDescent="0.2">
      <c r="A68" s="61">
        <v>719000</v>
      </c>
      <c r="B68" s="43">
        <v>45463</v>
      </c>
      <c r="C68" s="46" t="s">
        <v>16</v>
      </c>
      <c r="D68" s="44" t="s">
        <v>136</v>
      </c>
      <c r="E68" s="62">
        <v>223000</v>
      </c>
      <c r="F68" s="45">
        <v>107000</v>
      </c>
      <c r="G68" s="45">
        <v>389000</v>
      </c>
      <c r="H68" s="45"/>
      <c r="I68" s="45"/>
      <c r="J68" s="45"/>
      <c r="K68" s="45"/>
    </row>
    <row r="69" spans="1:11" ht="19" x14ac:dyDescent="0.2">
      <c r="A69" s="57">
        <v>652000</v>
      </c>
      <c r="B69" s="47">
        <v>45464</v>
      </c>
      <c r="C69" s="51" t="s">
        <v>16</v>
      </c>
      <c r="D69" s="48" t="s">
        <v>136</v>
      </c>
      <c r="E69" s="49">
        <v>339000</v>
      </c>
      <c r="F69" s="50">
        <v>89000</v>
      </c>
      <c r="G69" s="50">
        <v>224000</v>
      </c>
      <c r="H69" s="50"/>
      <c r="I69" s="50"/>
      <c r="J69" s="50">
        <v>21000</v>
      </c>
      <c r="K69" s="50" t="s">
        <v>144</v>
      </c>
    </row>
    <row r="70" spans="1:11" ht="19" x14ac:dyDescent="0.2">
      <c r="A70" s="61"/>
      <c r="B70" s="43">
        <v>45465</v>
      </c>
      <c r="C70" s="46"/>
      <c r="D70" s="44"/>
      <c r="E70" s="62"/>
      <c r="F70" s="45"/>
      <c r="G70" s="45"/>
      <c r="H70" s="45"/>
      <c r="I70" s="45"/>
      <c r="J70" s="45">
        <v>29000</v>
      </c>
      <c r="K70" s="45" t="s">
        <v>145</v>
      </c>
    </row>
    <row r="71" spans="1:11" ht="19" x14ac:dyDescent="0.2">
      <c r="A71" s="68"/>
      <c r="B71" s="69">
        <v>45466</v>
      </c>
      <c r="C71" s="70"/>
      <c r="D71" s="71"/>
      <c r="E71" s="72"/>
      <c r="F71" s="73"/>
      <c r="G71" s="73"/>
      <c r="H71" s="50"/>
      <c r="I71" s="50"/>
      <c r="J71" s="50"/>
      <c r="K71" s="50"/>
    </row>
    <row r="72" spans="1:11" ht="19" x14ac:dyDescent="0.2">
      <c r="A72" s="61">
        <v>900000</v>
      </c>
      <c r="B72" s="43">
        <v>45467</v>
      </c>
      <c r="C72" s="46" t="s">
        <v>16</v>
      </c>
      <c r="D72" s="44" t="s">
        <v>136</v>
      </c>
      <c r="E72" s="62">
        <v>701000</v>
      </c>
      <c r="F72" s="45">
        <v>154000</v>
      </c>
      <c r="G72" s="45">
        <v>45000</v>
      </c>
      <c r="H72" s="45"/>
      <c r="I72" s="45"/>
      <c r="J72" s="45">
        <v>150000</v>
      </c>
      <c r="K72" s="45" t="s">
        <v>146</v>
      </c>
    </row>
    <row r="73" spans="1:11" ht="19" x14ac:dyDescent="0.2">
      <c r="A73" s="57"/>
      <c r="B73" s="47"/>
      <c r="C73" s="51"/>
      <c r="D73" s="48"/>
      <c r="E73" s="49"/>
      <c r="F73" s="50"/>
      <c r="G73" s="50"/>
      <c r="H73" s="50"/>
      <c r="I73" s="50"/>
      <c r="J73" s="50">
        <v>135000</v>
      </c>
      <c r="K73" s="50" t="s">
        <v>147</v>
      </c>
    </row>
    <row r="74" spans="1:11" ht="19" x14ac:dyDescent="0.2">
      <c r="A74" s="61">
        <v>698000</v>
      </c>
      <c r="B74" s="43">
        <v>45468</v>
      </c>
      <c r="C74" s="46" t="s">
        <v>16</v>
      </c>
      <c r="D74" s="44" t="s">
        <v>136</v>
      </c>
      <c r="E74" s="62">
        <v>411000</v>
      </c>
      <c r="F74" s="45">
        <v>158000</v>
      </c>
      <c r="G74" s="45">
        <v>129000</v>
      </c>
      <c r="H74" s="45"/>
      <c r="I74" s="45"/>
      <c r="J74" s="45">
        <v>45000</v>
      </c>
      <c r="K74" s="45" t="s">
        <v>148</v>
      </c>
    </row>
    <row r="75" spans="1:11" ht="19" x14ac:dyDescent="0.2">
      <c r="A75" s="57"/>
      <c r="B75" s="47"/>
      <c r="C75" s="51"/>
      <c r="D75" s="48"/>
      <c r="E75" s="49"/>
      <c r="F75" s="50"/>
      <c r="G75" s="50"/>
      <c r="H75" s="50"/>
      <c r="I75" s="50"/>
      <c r="J75" s="73">
        <v>5000</v>
      </c>
      <c r="K75" s="73" t="s">
        <v>24</v>
      </c>
    </row>
    <row r="76" spans="1:11" ht="19" x14ac:dyDescent="0.2">
      <c r="A76" s="61"/>
      <c r="B76" s="43"/>
      <c r="C76" s="46"/>
      <c r="D76" s="44"/>
      <c r="E76" s="62"/>
      <c r="F76" s="45"/>
      <c r="G76" s="45"/>
      <c r="H76" s="45"/>
      <c r="I76" s="45"/>
      <c r="J76" s="45">
        <v>33000</v>
      </c>
      <c r="K76" s="45" t="s">
        <v>36</v>
      </c>
    </row>
    <row r="77" spans="1:11" ht="19" x14ac:dyDescent="0.2">
      <c r="A77" s="57">
        <v>795000</v>
      </c>
      <c r="B77" s="47">
        <v>45469</v>
      </c>
      <c r="C77" s="51" t="s">
        <v>16</v>
      </c>
      <c r="D77" s="48" t="s">
        <v>136</v>
      </c>
      <c r="E77" s="49">
        <v>275000</v>
      </c>
      <c r="F77" s="50">
        <v>279000</v>
      </c>
      <c r="G77" s="50">
        <v>241000</v>
      </c>
      <c r="H77" s="50"/>
      <c r="I77" s="50"/>
      <c r="J77" s="63"/>
      <c r="K77" s="63"/>
    </row>
    <row r="78" spans="1:11" ht="19" x14ac:dyDescent="0.2">
      <c r="A78" s="61"/>
      <c r="B78" s="43"/>
      <c r="C78" s="46"/>
      <c r="D78" s="44"/>
      <c r="E78" s="62"/>
      <c r="F78" s="45"/>
      <c r="G78" s="45"/>
      <c r="H78" s="45"/>
      <c r="I78" s="45"/>
      <c r="J78" s="64"/>
      <c r="K78" s="64"/>
    </row>
    <row r="79" spans="1:11" ht="19" x14ac:dyDescent="0.2">
      <c r="A79" s="57">
        <v>857000</v>
      </c>
      <c r="B79" s="47">
        <v>45470</v>
      </c>
      <c r="C79" s="51" t="s">
        <v>16</v>
      </c>
      <c r="D79" s="48" t="s">
        <v>136</v>
      </c>
      <c r="E79" s="49">
        <v>579000</v>
      </c>
      <c r="F79" s="50">
        <v>95000</v>
      </c>
      <c r="G79" s="50">
        <v>183000</v>
      </c>
      <c r="H79" s="50"/>
      <c r="I79" s="50"/>
      <c r="J79" s="50">
        <v>150000</v>
      </c>
      <c r="K79" s="50" t="s">
        <v>149</v>
      </c>
    </row>
    <row r="80" spans="1:11" ht="19" x14ac:dyDescent="0.2">
      <c r="A80" s="61"/>
      <c r="B80" s="43"/>
      <c r="C80" s="46"/>
      <c r="D80" s="44"/>
      <c r="E80" s="62"/>
      <c r="F80" s="45"/>
      <c r="G80" s="45"/>
      <c r="H80" s="45"/>
      <c r="I80" s="45"/>
      <c r="J80" s="45">
        <v>150000</v>
      </c>
      <c r="K80" s="45" t="s">
        <v>150</v>
      </c>
    </row>
    <row r="81" spans="1:11" ht="19" x14ac:dyDescent="0.2">
      <c r="A81" s="57"/>
      <c r="B81" s="47"/>
      <c r="C81" s="51"/>
      <c r="D81" s="48"/>
      <c r="E81" s="49"/>
      <c r="F81" s="50"/>
      <c r="G81" s="50"/>
      <c r="H81" s="50"/>
      <c r="I81" s="50"/>
      <c r="J81" s="50">
        <v>260000</v>
      </c>
      <c r="K81" s="50" t="s">
        <v>151</v>
      </c>
    </row>
    <row r="82" spans="1:11" ht="19" x14ac:dyDescent="0.2">
      <c r="A82" s="61"/>
      <c r="B82" s="43"/>
      <c r="C82" s="46"/>
      <c r="D82" s="44"/>
      <c r="E82" s="62"/>
      <c r="F82" s="45"/>
      <c r="G82" s="45"/>
      <c r="H82" s="45"/>
      <c r="I82" s="45"/>
      <c r="J82" s="45">
        <v>24000</v>
      </c>
      <c r="K82" s="45" t="s">
        <v>152</v>
      </c>
    </row>
    <row r="83" spans="1:11" ht="19" x14ac:dyDescent="0.2">
      <c r="A83" s="57">
        <v>883000</v>
      </c>
      <c r="B83" s="47">
        <v>45471</v>
      </c>
      <c r="C83" s="51" t="s">
        <v>16</v>
      </c>
      <c r="D83" s="48" t="s">
        <v>136</v>
      </c>
      <c r="E83" s="49">
        <v>350000</v>
      </c>
      <c r="F83" s="50">
        <v>164000</v>
      </c>
      <c r="G83" s="50">
        <v>369000</v>
      </c>
      <c r="H83" s="50"/>
      <c r="I83" s="50"/>
      <c r="J83" s="50">
        <v>31000</v>
      </c>
      <c r="K83" s="50" t="s">
        <v>153</v>
      </c>
    </row>
    <row r="84" spans="1:11" ht="19" x14ac:dyDescent="0.2">
      <c r="A84" s="61"/>
      <c r="B84" s="43"/>
      <c r="C84" s="46"/>
      <c r="D84" s="44"/>
      <c r="E84" s="62"/>
      <c r="F84" s="45"/>
      <c r="G84" s="45"/>
      <c r="H84" s="45"/>
      <c r="I84" s="45"/>
      <c r="J84" s="45">
        <v>4000</v>
      </c>
      <c r="K84" s="45" t="s">
        <v>154</v>
      </c>
    </row>
    <row r="85" spans="1:11" ht="19" x14ac:dyDescent="0.2">
      <c r="A85" s="57"/>
      <c r="B85" s="47"/>
      <c r="C85" s="51"/>
      <c r="D85" s="48"/>
      <c r="E85" s="49"/>
      <c r="F85" s="50"/>
      <c r="G85" s="50"/>
      <c r="H85" s="50"/>
      <c r="I85" s="50"/>
      <c r="J85" s="50">
        <v>30000</v>
      </c>
      <c r="K85" s="50" t="s">
        <v>155</v>
      </c>
    </row>
    <row r="86" spans="1:11" ht="19" x14ac:dyDescent="0.2">
      <c r="A86" s="61"/>
      <c r="B86" s="43"/>
      <c r="C86" s="46"/>
      <c r="D86" s="44"/>
      <c r="E86" s="62"/>
      <c r="F86" s="45"/>
      <c r="G86" s="45"/>
      <c r="H86" s="45"/>
      <c r="I86" s="45"/>
      <c r="J86" s="45">
        <v>30000</v>
      </c>
      <c r="K86" s="45" t="s">
        <v>156</v>
      </c>
    </row>
    <row r="87" spans="1:11" ht="19" x14ac:dyDescent="0.2">
      <c r="A87" s="57"/>
      <c r="B87" s="47"/>
      <c r="C87" s="51"/>
      <c r="D87" s="48"/>
      <c r="E87" s="49"/>
      <c r="F87" s="50"/>
      <c r="G87" s="50"/>
      <c r="H87" s="50"/>
      <c r="I87" s="50"/>
      <c r="J87" s="50">
        <v>25000</v>
      </c>
      <c r="K87" s="50" t="s">
        <v>157</v>
      </c>
    </row>
    <row r="88" spans="1:11" ht="19" x14ac:dyDescent="0.2">
      <c r="A88" s="61"/>
      <c r="B88" s="43">
        <v>45472</v>
      </c>
      <c r="C88" s="46"/>
      <c r="D88" s="44"/>
      <c r="E88" s="62" t="s">
        <v>135</v>
      </c>
      <c r="F88" s="45"/>
      <c r="G88" s="45"/>
      <c r="H88" s="45"/>
      <c r="I88" s="45"/>
      <c r="J88" s="45"/>
      <c r="K88" s="45"/>
    </row>
    <row r="89" spans="1:11" ht="19" x14ac:dyDescent="0.2">
      <c r="A89" s="57"/>
      <c r="B89" s="47">
        <v>45473</v>
      </c>
      <c r="C89" s="51"/>
      <c r="D89" s="48"/>
      <c r="E89" s="49" t="s">
        <v>135</v>
      </c>
      <c r="F89" s="50"/>
      <c r="G89" s="50"/>
      <c r="H89" s="50">
        <v>1800000</v>
      </c>
      <c r="I89" s="50" t="s">
        <v>158</v>
      </c>
      <c r="J89" s="50"/>
      <c r="K89" s="50"/>
    </row>
    <row r="90" spans="1:11" ht="19" x14ac:dyDescent="0.2">
      <c r="A90" s="61"/>
      <c r="B90" s="43"/>
      <c r="C90" s="46"/>
      <c r="D90" s="44"/>
      <c r="E90" s="62"/>
      <c r="F90" s="45"/>
      <c r="G90" s="45"/>
      <c r="H90" s="45"/>
      <c r="I90" s="45"/>
      <c r="J90" s="45"/>
      <c r="K90" s="4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90"/>
  <sheetViews>
    <sheetView workbookViewId="0">
      <selection activeCell="B8" sqref="B8"/>
    </sheetView>
  </sheetViews>
  <sheetFormatPr baseColWidth="10" defaultColWidth="11.5" defaultRowHeight="15" x14ac:dyDescent="0.2"/>
  <cols>
    <col min="1" max="1" width="20.33203125" bestFit="1" customWidth="1"/>
    <col min="2" max="2" width="24.33203125" customWidth="1"/>
    <col min="3" max="3" width="13.33203125" bestFit="1" customWidth="1"/>
    <col min="4" max="4" width="12.33203125" customWidth="1"/>
    <col min="5" max="5" width="19" bestFit="1" customWidth="1"/>
    <col min="6" max="6" width="27.5" customWidth="1"/>
    <col min="7" max="7" width="23.33203125" customWidth="1"/>
    <col min="8" max="8" width="25.6640625" customWidth="1"/>
    <col min="9" max="9" width="29.83203125" customWidth="1"/>
    <col min="10" max="10" width="25.1640625" customWidth="1"/>
    <col min="11" max="11" width="29.33203125" customWidth="1"/>
  </cols>
  <sheetData>
    <row r="3" spans="1:11" ht="21" x14ac:dyDescent="0.2">
      <c r="H3" s="26"/>
      <c r="I3" s="27" t="s">
        <v>0</v>
      </c>
      <c r="J3" s="27">
        <f>L11/A11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218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2089065</v>
      </c>
      <c r="K6" s="30" t="s">
        <v>221</v>
      </c>
    </row>
    <row r="7" spans="1:11" ht="26" x14ac:dyDescent="0.3">
      <c r="B7" s="32" t="s">
        <v>220</v>
      </c>
    </row>
    <row r="8" spans="1:11" ht="24" x14ac:dyDescent="0.3">
      <c r="B8" s="74" t="s">
        <v>219</v>
      </c>
    </row>
    <row r="10" spans="1:11" ht="19" x14ac:dyDescent="0.2">
      <c r="A10" s="33" t="s">
        <v>5</v>
      </c>
      <c r="B10" s="33" t="s">
        <v>6</v>
      </c>
      <c r="C10" s="34" t="s">
        <v>7</v>
      </c>
      <c r="D10" s="35" t="s">
        <v>8</v>
      </c>
      <c r="E10" s="36" t="s">
        <v>9</v>
      </c>
      <c r="F10" s="37" t="s">
        <v>10</v>
      </c>
      <c r="G10" s="37" t="s">
        <v>49</v>
      </c>
      <c r="H10" s="37" t="s">
        <v>11</v>
      </c>
      <c r="I10" s="37" t="s">
        <v>12</v>
      </c>
      <c r="J10" s="37" t="s">
        <v>13</v>
      </c>
      <c r="K10" s="37" t="s">
        <v>14</v>
      </c>
    </row>
    <row r="11" spans="1:11" ht="21" x14ac:dyDescent="0.2">
      <c r="A11" s="38">
        <f>SUM(A12:A458)</f>
        <v>16756000</v>
      </c>
      <c r="B11" s="39"/>
      <c r="C11" s="40" t="s">
        <v>15</v>
      </c>
      <c r="D11" s="41"/>
      <c r="E11" s="42">
        <f>SUM(E12:E458)</f>
        <v>7630000</v>
      </c>
      <c r="F11" s="38">
        <f>SUM(F12:F458)</f>
        <v>3753000</v>
      </c>
      <c r="G11" s="38">
        <f>SUM(G12:G453)</f>
        <v>5373000</v>
      </c>
      <c r="H11" s="38">
        <f>SUM(H12:H458)</f>
        <v>4124000</v>
      </c>
      <c r="I11" s="38"/>
      <c r="J11" s="38">
        <f>SUM(J12:J458)</f>
        <v>4773500</v>
      </c>
      <c r="K11" s="38"/>
    </row>
    <row r="12" spans="1:11" ht="19" x14ac:dyDescent="0.2">
      <c r="A12" s="52">
        <v>768000</v>
      </c>
      <c r="B12" s="10">
        <v>45474</v>
      </c>
      <c r="C12" s="11" t="s">
        <v>16</v>
      </c>
      <c r="D12" s="12" t="s">
        <v>168</v>
      </c>
      <c r="E12" s="13">
        <v>324000</v>
      </c>
      <c r="F12" s="13">
        <v>208000</v>
      </c>
      <c r="G12" s="13">
        <v>236000</v>
      </c>
      <c r="H12" s="13">
        <v>454000</v>
      </c>
      <c r="I12" s="13" t="s">
        <v>214</v>
      </c>
      <c r="J12" s="13">
        <v>200000</v>
      </c>
      <c r="K12" s="13" t="s">
        <v>21</v>
      </c>
    </row>
    <row r="13" spans="1:11" ht="19" x14ac:dyDescent="0.2">
      <c r="A13" s="53"/>
      <c r="B13" s="4"/>
      <c r="C13" s="5"/>
      <c r="D13" s="2"/>
      <c r="E13" s="3"/>
      <c r="F13" s="1"/>
      <c r="G13" s="1"/>
      <c r="H13" s="1"/>
      <c r="I13" s="1"/>
      <c r="J13" s="1">
        <v>45000</v>
      </c>
      <c r="K13" s="1" t="s">
        <v>22</v>
      </c>
    </row>
    <row r="14" spans="1:11" ht="19" x14ac:dyDescent="0.2">
      <c r="A14" s="54"/>
      <c r="B14" s="10"/>
      <c r="C14" s="14"/>
      <c r="D14" s="12"/>
      <c r="E14" s="15"/>
      <c r="F14" s="13"/>
      <c r="G14" s="13"/>
      <c r="H14" s="13"/>
      <c r="I14" s="13"/>
      <c r="J14" s="13">
        <v>150000</v>
      </c>
      <c r="K14" s="13" t="s">
        <v>23</v>
      </c>
    </row>
    <row r="15" spans="1:11" ht="19" x14ac:dyDescent="0.2">
      <c r="A15" s="53"/>
      <c r="B15" s="4"/>
      <c r="C15" s="5"/>
      <c r="D15" s="2"/>
      <c r="E15" s="3"/>
      <c r="F15" s="1"/>
      <c r="G15" s="1"/>
      <c r="H15" s="1"/>
      <c r="I15" s="1"/>
      <c r="J15" s="1">
        <v>100000</v>
      </c>
      <c r="K15" s="1" t="s">
        <v>169</v>
      </c>
    </row>
    <row r="16" spans="1:11" ht="19" x14ac:dyDescent="0.2">
      <c r="A16" s="54"/>
      <c r="B16" s="10"/>
      <c r="C16" s="14"/>
      <c r="D16" s="12"/>
      <c r="E16" s="15"/>
      <c r="F16" s="13"/>
      <c r="G16" s="13"/>
      <c r="H16" s="13"/>
      <c r="I16" s="13"/>
      <c r="J16" s="13">
        <v>47000</v>
      </c>
      <c r="K16" s="13" t="s">
        <v>40</v>
      </c>
    </row>
    <row r="17" spans="1:11" ht="19" x14ac:dyDescent="0.2">
      <c r="A17" s="55"/>
      <c r="B17" s="18"/>
      <c r="C17" s="19"/>
      <c r="D17" s="20"/>
      <c r="E17" s="21"/>
      <c r="F17" s="8"/>
      <c r="G17" s="8"/>
      <c r="H17" s="23"/>
      <c r="I17" s="23"/>
      <c r="J17" s="8">
        <v>21000</v>
      </c>
      <c r="K17" s="8" t="s">
        <v>170</v>
      </c>
    </row>
    <row r="18" spans="1:11" ht="19" x14ac:dyDescent="0.2">
      <c r="A18" s="56"/>
      <c r="B18" s="10"/>
      <c r="C18" s="16"/>
      <c r="D18" s="12"/>
      <c r="E18" s="15"/>
      <c r="F18" s="13"/>
      <c r="G18" s="13"/>
      <c r="H18" s="17"/>
      <c r="I18" s="17"/>
      <c r="J18" s="13">
        <v>40000</v>
      </c>
      <c r="K18" s="13" t="s">
        <v>171</v>
      </c>
    </row>
    <row r="19" spans="1:11" ht="19" x14ac:dyDescent="0.2">
      <c r="A19" s="55"/>
      <c r="B19" s="18"/>
      <c r="C19" s="19"/>
      <c r="D19" s="20"/>
      <c r="E19" s="21"/>
      <c r="F19" s="8"/>
      <c r="G19" s="8"/>
      <c r="H19" s="23" t="s">
        <v>172</v>
      </c>
      <c r="I19" s="23"/>
      <c r="J19" s="8">
        <v>30000</v>
      </c>
      <c r="K19" s="8" t="s">
        <v>173</v>
      </c>
    </row>
    <row r="20" spans="1:11" ht="19" x14ac:dyDescent="0.2">
      <c r="A20" s="56"/>
      <c r="B20" s="10"/>
      <c r="C20" s="16"/>
      <c r="D20" s="12"/>
      <c r="E20" s="15"/>
      <c r="F20" s="13"/>
      <c r="G20" s="13"/>
      <c r="H20" s="17"/>
      <c r="I20" s="17"/>
      <c r="J20" s="13">
        <v>28000</v>
      </c>
      <c r="K20" s="13" t="s">
        <v>174</v>
      </c>
    </row>
    <row r="21" spans="1:11" ht="19" x14ac:dyDescent="0.2">
      <c r="A21" s="55"/>
      <c r="B21" s="18"/>
      <c r="C21" s="19"/>
      <c r="D21" s="20"/>
      <c r="E21" s="21"/>
      <c r="F21" s="8"/>
      <c r="G21" s="8"/>
      <c r="H21" s="23"/>
      <c r="I21" s="23"/>
      <c r="J21" s="8">
        <v>6000</v>
      </c>
      <c r="K21" s="8" t="s">
        <v>175</v>
      </c>
    </row>
    <row r="22" spans="1:11" ht="19" x14ac:dyDescent="0.2">
      <c r="A22" s="56"/>
      <c r="B22" s="10"/>
      <c r="C22" s="16"/>
      <c r="D22" s="12"/>
      <c r="E22" s="15"/>
      <c r="F22" s="13"/>
      <c r="G22" s="13"/>
      <c r="H22" s="17"/>
      <c r="I22" s="17"/>
      <c r="J22" s="13">
        <v>110000</v>
      </c>
      <c r="K22" s="13" t="s">
        <v>176</v>
      </c>
    </row>
    <row r="23" spans="1:11" ht="19" x14ac:dyDescent="0.2">
      <c r="A23" s="55"/>
      <c r="B23" s="18"/>
      <c r="C23" s="19"/>
      <c r="D23" s="20"/>
      <c r="E23" s="21"/>
      <c r="F23" s="8"/>
      <c r="G23" s="8"/>
      <c r="H23" s="23"/>
      <c r="I23" s="23"/>
      <c r="J23" s="8">
        <v>90000</v>
      </c>
      <c r="K23" s="8" t="s">
        <v>58</v>
      </c>
    </row>
    <row r="24" spans="1:11" ht="19" x14ac:dyDescent="0.2">
      <c r="A24" s="56"/>
      <c r="B24" s="10"/>
      <c r="C24" s="16"/>
      <c r="D24" s="12"/>
      <c r="E24" s="15"/>
      <c r="F24" s="13"/>
      <c r="G24" s="13"/>
      <c r="H24" s="13"/>
      <c r="I24" s="13"/>
      <c r="J24" s="13">
        <v>66000</v>
      </c>
      <c r="K24" s="13" t="s">
        <v>139</v>
      </c>
    </row>
    <row r="25" spans="1:11" ht="19" x14ac:dyDescent="0.2">
      <c r="A25" s="55"/>
      <c r="B25" s="18"/>
      <c r="C25" s="19"/>
      <c r="D25" s="20"/>
      <c r="E25" s="21"/>
      <c r="F25" s="8"/>
      <c r="G25" s="8"/>
      <c r="H25" s="8"/>
      <c r="I25" s="8"/>
      <c r="J25" s="8">
        <v>100000</v>
      </c>
      <c r="K25" s="8" t="s">
        <v>159</v>
      </c>
    </row>
    <row r="26" spans="1:11" ht="19" x14ac:dyDescent="0.2">
      <c r="A26" s="56">
        <v>993000</v>
      </c>
      <c r="B26" s="10">
        <v>45475</v>
      </c>
      <c r="C26" s="16" t="s">
        <v>16</v>
      </c>
      <c r="D26" s="12" t="s">
        <v>168</v>
      </c>
      <c r="E26" s="15">
        <v>365000</v>
      </c>
      <c r="F26" s="13">
        <v>426000</v>
      </c>
      <c r="G26" s="13">
        <v>202000</v>
      </c>
      <c r="H26" s="13">
        <v>510000</v>
      </c>
      <c r="I26" s="13" t="s">
        <v>216</v>
      </c>
      <c r="J26" s="13">
        <v>60000</v>
      </c>
      <c r="K26" s="13" t="s">
        <v>177</v>
      </c>
    </row>
    <row r="27" spans="1:11" ht="19" x14ac:dyDescent="0.2">
      <c r="A27" s="55">
        <v>765000</v>
      </c>
      <c r="B27" s="18">
        <v>45476</v>
      </c>
      <c r="C27" s="19" t="s">
        <v>16</v>
      </c>
      <c r="D27" s="20" t="s">
        <v>168</v>
      </c>
      <c r="E27" s="21">
        <v>321000</v>
      </c>
      <c r="F27" s="8">
        <v>97000</v>
      </c>
      <c r="G27" s="8">
        <v>347000</v>
      </c>
      <c r="H27" s="8"/>
      <c r="I27" s="8"/>
      <c r="J27" s="8">
        <v>96000</v>
      </c>
      <c r="K27" s="8" t="s">
        <v>178</v>
      </c>
    </row>
    <row r="28" spans="1:11" ht="19" x14ac:dyDescent="0.2">
      <c r="A28" s="56"/>
      <c r="B28" s="10"/>
      <c r="C28" s="16"/>
      <c r="D28" s="12"/>
      <c r="E28" s="15"/>
      <c r="F28" s="13"/>
      <c r="G28" s="13"/>
      <c r="H28" s="13">
        <v>300000</v>
      </c>
      <c r="I28" s="13" t="s">
        <v>217</v>
      </c>
      <c r="J28" s="13"/>
      <c r="K28" s="13"/>
    </row>
    <row r="29" spans="1:11" ht="19" x14ac:dyDescent="0.2">
      <c r="A29" s="55">
        <v>758000</v>
      </c>
      <c r="B29" s="18">
        <v>45477</v>
      </c>
      <c r="C29" s="19" t="s">
        <v>16</v>
      </c>
      <c r="D29" s="20" t="s">
        <v>168</v>
      </c>
      <c r="E29" s="21">
        <v>353000</v>
      </c>
      <c r="F29" s="8">
        <v>176000</v>
      </c>
      <c r="G29" s="8">
        <v>229000</v>
      </c>
      <c r="H29" s="8"/>
      <c r="I29" s="8"/>
      <c r="J29" s="8">
        <v>33000</v>
      </c>
      <c r="K29" s="8" t="s">
        <v>179</v>
      </c>
    </row>
    <row r="30" spans="1:11" ht="19" x14ac:dyDescent="0.2">
      <c r="A30" s="56"/>
      <c r="B30" s="10"/>
      <c r="C30" s="14"/>
      <c r="D30" s="12"/>
      <c r="E30" s="15"/>
      <c r="F30" s="13"/>
      <c r="G30" s="13"/>
      <c r="H30" s="13"/>
      <c r="I30" s="13"/>
      <c r="J30" s="13">
        <v>33000</v>
      </c>
      <c r="K30" s="13" t="s">
        <v>180</v>
      </c>
    </row>
    <row r="31" spans="1:11" ht="19" x14ac:dyDescent="0.2">
      <c r="A31" s="55"/>
      <c r="B31" s="4"/>
      <c r="C31" s="5"/>
      <c r="D31" s="2"/>
      <c r="E31" s="3"/>
      <c r="F31" s="1"/>
      <c r="G31" s="1"/>
      <c r="H31" s="1"/>
      <c r="I31" s="1"/>
      <c r="J31" s="1">
        <v>93000</v>
      </c>
      <c r="K31" s="1" t="s">
        <v>181</v>
      </c>
    </row>
    <row r="32" spans="1:11" ht="19" x14ac:dyDescent="0.2">
      <c r="A32" s="56"/>
      <c r="B32" s="10"/>
      <c r="C32" s="14"/>
      <c r="D32" s="12"/>
      <c r="E32" s="15"/>
      <c r="F32" s="13"/>
      <c r="G32" s="13"/>
      <c r="H32" s="13"/>
      <c r="I32" s="13"/>
      <c r="J32" s="13">
        <v>22500</v>
      </c>
      <c r="K32" s="13" t="s">
        <v>182</v>
      </c>
    </row>
    <row r="33" spans="1:11" ht="19" x14ac:dyDescent="0.2">
      <c r="A33" s="53"/>
      <c r="B33" s="4"/>
      <c r="C33" s="5"/>
      <c r="D33" s="2"/>
      <c r="E33" s="3"/>
      <c r="F33" s="1"/>
      <c r="G33" s="1"/>
      <c r="H33" s="1"/>
      <c r="I33" s="1"/>
      <c r="J33" s="1">
        <v>38500</v>
      </c>
      <c r="K33" s="1" t="s">
        <v>92</v>
      </c>
    </row>
    <row r="34" spans="1:11" ht="19" x14ac:dyDescent="0.2">
      <c r="A34" s="54">
        <v>724000</v>
      </c>
      <c r="B34" s="10">
        <v>45478</v>
      </c>
      <c r="C34" s="14" t="s">
        <v>16</v>
      </c>
      <c r="D34" s="12" t="s">
        <v>168</v>
      </c>
      <c r="E34" s="15">
        <v>385000</v>
      </c>
      <c r="F34" s="13">
        <v>314000</v>
      </c>
      <c r="G34" s="13">
        <v>25000</v>
      </c>
      <c r="H34" s="13"/>
      <c r="I34" s="13"/>
      <c r="J34" s="13">
        <v>89500</v>
      </c>
      <c r="K34" s="13" t="s">
        <v>183</v>
      </c>
    </row>
    <row r="35" spans="1:11" ht="19" x14ac:dyDescent="0.2">
      <c r="A35" s="53"/>
      <c r="B35" s="18"/>
      <c r="C35" s="22"/>
      <c r="D35" s="20"/>
      <c r="E35" s="21"/>
      <c r="F35" s="8"/>
      <c r="G35" s="8"/>
      <c r="H35" s="8"/>
      <c r="I35" s="8"/>
      <c r="J35" s="8">
        <v>58000</v>
      </c>
      <c r="K35" s="8" t="s">
        <v>184</v>
      </c>
    </row>
    <row r="36" spans="1:11" ht="19" x14ac:dyDescent="0.2">
      <c r="A36" s="54">
        <v>777000</v>
      </c>
      <c r="B36" s="10">
        <v>45481</v>
      </c>
      <c r="C36" s="14" t="s">
        <v>16</v>
      </c>
      <c r="D36" s="12" t="s">
        <v>168</v>
      </c>
      <c r="E36" s="15">
        <v>486000</v>
      </c>
      <c r="F36" s="13">
        <v>59000</v>
      </c>
      <c r="G36" s="13">
        <v>232000</v>
      </c>
      <c r="H36" s="13"/>
      <c r="I36" s="13"/>
      <c r="J36" s="13"/>
      <c r="K36" s="13" t="s">
        <v>172</v>
      </c>
    </row>
    <row r="37" spans="1:11" ht="19" x14ac:dyDescent="0.2">
      <c r="A37" s="53"/>
      <c r="B37" s="18"/>
      <c r="C37" s="22"/>
      <c r="D37" s="20"/>
      <c r="E37" s="21"/>
      <c r="F37" s="8"/>
      <c r="G37" s="8"/>
      <c r="H37" s="8"/>
      <c r="I37" s="8"/>
      <c r="J37" s="8"/>
      <c r="K37" s="8"/>
    </row>
    <row r="38" spans="1:11" ht="19" x14ac:dyDescent="0.2">
      <c r="A38" s="56">
        <v>616000</v>
      </c>
      <c r="B38" s="10">
        <v>45482</v>
      </c>
      <c r="C38" s="14" t="s">
        <v>16</v>
      </c>
      <c r="D38" s="12" t="s">
        <v>168</v>
      </c>
      <c r="E38" s="15">
        <v>407000</v>
      </c>
      <c r="F38" s="13">
        <v>99000</v>
      </c>
      <c r="G38" s="13">
        <v>110000</v>
      </c>
      <c r="H38" s="13"/>
      <c r="I38" s="13"/>
      <c r="J38" s="13"/>
      <c r="K38" s="79"/>
    </row>
    <row r="39" spans="1:11" ht="19" x14ac:dyDescent="0.2">
      <c r="A39" s="55">
        <v>766000</v>
      </c>
      <c r="B39" s="18">
        <v>45483</v>
      </c>
      <c r="C39" s="22" t="s">
        <v>16</v>
      </c>
      <c r="D39" s="20" t="s">
        <v>168</v>
      </c>
      <c r="E39" s="21">
        <v>447000</v>
      </c>
      <c r="F39" s="8">
        <v>260000</v>
      </c>
      <c r="G39" s="8">
        <v>59000</v>
      </c>
      <c r="H39" s="8"/>
      <c r="I39" s="8"/>
      <c r="J39" s="8">
        <v>50000</v>
      </c>
      <c r="K39" s="8" t="s">
        <v>185</v>
      </c>
    </row>
    <row r="40" spans="1:11" ht="19" x14ac:dyDescent="0.2">
      <c r="A40" s="56"/>
      <c r="B40" s="10"/>
      <c r="C40" s="14"/>
      <c r="D40" s="12"/>
      <c r="E40" s="15"/>
      <c r="F40" s="13"/>
      <c r="G40" s="13"/>
      <c r="H40" s="13"/>
      <c r="I40" s="13"/>
      <c r="J40" s="13">
        <v>4000</v>
      </c>
      <c r="K40" s="13" t="s">
        <v>186</v>
      </c>
    </row>
    <row r="41" spans="1:11" ht="19" x14ac:dyDescent="0.2">
      <c r="A41" s="55"/>
      <c r="B41" s="18"/>
      <c r="C41" s="22"/>
      <c r="D41" s="20"/>
      <c r="E41" s="21"/>
      <c r="F41" s="8"/>
      <c r="G41" s="8"/>
      <c r="H41" s="8"/>
      <c r="I41" s="8"/>
      <c r="J41" s="8">
        <v>33000</v>
      </c>
      <c r="K41" s="8" t="s">
        <v>187</v>
      </c>
    </row>
    <row r="42" spans="1:11" ht="19" x14ac:dyDescent="0.2">
      <c r="A42" s="56"/>
      <c r="B42" s="10"/>
      <c r="C42" s="14"/>
      <c r="D42" s="12"/>
      <c r="E42" s="15"/>
      <c r="F42" s="13"/>
      <c r="G42" s="13"/>
      <c r="H42" s="13"/>
      <c r="I42" s="13"/>
      <c r="J42" s="13">
        <v>66000</v>
      </c>
      <c r="K42" s="13" t="s">
        <v>188</v>
      </c>
    </row>
    <row r="43" spans="1:11" ht="19" x14ac:dyDescent="0.2">
      <c r="A43" s="55"/>
      <c r="B43" s="18"/>
      <c r="C43" s="22"/>
      <c r="D43" s="20"/>
      <c r="E43" s="21"/>
      <c r="F43" s="8"/>
      <c r="G43" s="8"/>
      <c r="H43" s="8"/>
      <c r="I43" s="8"/>
      <c r="J43" s="8">
        <v>192000</v>
      </c>
      <c r="K43" s="8" t="s">
        <v>29</v>
      </c>
    </row>
    <row r="44" spans="1:11" ht="19" x14ac:dyDescent="0.2">
      <c r="A44" s="56"/>
      <c r="B44" s="10"/>
      <c r="C44" s="14"/>
      <c r="D44" s="12"/>
      <c r="E44" s="15"/>
      <c r="F44" s="13"/>
      <c r="G44" s="13"/>
      <c r="H44" s="13"/>
      <c r="I44" s="80"/>
      <c r="J44" s="13">
        <v>70000</v>
      </c>
      <c r="K44" s="13" t="s">
        <v>189</v>
      </c>
    </row>
    <row r="45" spans="1:11" ht="19" x14ac:dyDescent="0.2">
      <c r="A45" s="55"/>
      <c r="B45" s="18"/>
      <c r="C45" s="22"/>
      <c r="D45" s="20"/>
      <c r="E45" s="21"/>
      <c r="F45" s="8"/>
      <c r="G45" s="8"/>
      <c r="H45" s="8"/>
      <c r="I45" s="8"/>
      <c r="J45" s="8">
        <v>54000</v>
      </c>
      <c r="K45" s="8" t="s">
        <v>190</v>
      </c>
    </row>
    <row r="46" spans="1:11" ht="19" x14ac:dyDescent="0.2">
      <c r="A46" s="56">
        <v>642000</v>
      </c>
      <c r="B46" s="10">
        <v>45484</v>
      </c>
      <c r="C46" s="14" t="s">
        <v>16</v>
      </c>
      <c r="D46" s="12" t="s">
        <v>168</v>
      </c>
      <c r="E46" s="15">
        <v>395000</v>
      </c>
      <c r="F46" s="13">
        <v>62000</v>
      </c>
      <c r="G46" s="13">
        <v>185000</v>
      </c>
      <c r="H46" s="13"/>
      <c r="I46" s="13"/>
      <c r="J46" s="13">
        <v>30000</v>
      </c>
      <c r="K46" s="13" t="s">
        <v>191</v>
      </c>
    </row>
    <row r="47" spans="1:11" ht="19" x14ac:dyDescent="0.2">
      <c r="A47" s="59"/>
      <c r="B47" s="18"/>
      <c r="C47" s="22"/>
      <c r="D47" s="20"/>
      <c r="E47" s="21"/>
      <c r="F47" s="8"/>
      <c r="G47" s="8"/>
      <c r="H47" s="8"/>
      <c r="I47" s="8"/>
      <c r="J47" s="8">
        <v>5000</v>
      </c>
      <c r="K47" s="8" t="s">
        <v>192</v>
      </c>
    </row>
    <row r="48" spans="1:11" ht="19" x14ac:dyDescent="0.2">
      <c r="A48" s="58">
        <v>761000</v>
      </c>
      <c r="B48" s="43">
        <v>45485</v>
      </c>
      <c r="C48" s="46" t="s">
        <v>16</v>
      </c>
      <c r="D48" s="44" t="s">
        <v>168</v>
      </c>
      <c r="E48" s="62">
        <v>357000</v>
      </c>
      <c r="F48" s="45">
        <v>78000</v>
      </c>
      <c r="G48" s="45">
        <v>326000</v>
      </c>
      <c r="H48" s="45"/>
      <c r="I48" s="45"/>
      <c r="J48" s="45">
        <v>330000</v>
      </c>
      <c r="K48" s="45" t="s">
        <v>193</v>
      </c>
    </row>
    <row r="49" spans="1:11" ht="19" x14ac:dyDescent="0.2">
      <c r="A49" s="59"/>
      <c r="B49" s="47">
        <v>45486</v>
      </c>
      <c r="C49" s="51"/>
      <c r="D49" s="48"/>
      <c r="E49" s="21" t="s">
        <v>125</v>
      </c>
      <c r="F49" s="8"/>
      <c r="G49" s="8"/>
      <c r="H49" s="50"/>
      <c r="I49" s="50"/>
      <c r="J49" s="50">
        <v>149000</v>
      </c>
      <c r="K49" s="50" t="s">
        <v>194</v>
      </c>
    </row>
    <row r="50" spans="1:11" ht="19" x14ac:dyDescent="0.2">
      <c r="A50" s="61"/>
      <c r="B50" s="43">
        <v>45487</v>
      </c>
      <c r="C50" s="46"/>
      <c r="D50" s="44"/>
      <c r="E50" s="62" t="s">
        <v>125</v>
      </c>
      <c r="F50" s="45"/>
      <c r="G50" s="45"/>
      <c r="H50" s="45"/>
      <c r="I50" s="45"/>
      <c r="J50" s="45">
        <v>416000</v>
      </c>
      <c r="K50" s="45" t="s">
        <v>195</v>
      </c>
    </row>
    <row r="51" spans="1:11" ht="19" x14ac:dyDescent="0.2">
      <c r="A51" s="57">
        <v>920000</v>
      </c>
      <c r="B51" s="47">
        <v>45488</v>
      </c>
      <c r="C51" s="51" t="s">
        <v>16</v>
      </c>
      <c r="D51" s="48" t="s">
        <v>168</v>
      </c>
      <c r="E51" s="49">
        <v>371000</v>
      </c>
      <c r="F51" s="50">
        <v>185000</v>
      </c>
      <c r="G51" s="50">
        <v>364000</v>
      </c>
      <c r="H51" s="50"/>
      <c r="I51" s="50"/>
      <c r="J51" s="50">
        <v>50000</v>
      </c>
      <c r="K51" s="50" t="s">
        <v>196</v>
      </c>
    </row>
    <row r="52" spans="1:11" ht="19" x14ac:dyDescent="0.2">
      <c r="A52" s="61"/>
      <c r="B52" s="43"/>
      <c r="C52" s="46"/>
      <c r="D52" s="44"/>
      <c r="E52" s="62"/>
      <c r="F52" s="45"/>
      <c r="G52" s="45"/>
      <c r="H52" s="45">
        <v>1870000</v>
      </c>
      <c r="I52" s="45" t="s">
        <v>215</v>
      </c>
      <c r="J52" s="45"/>
      <c r="K52" s="45"/>
    </row>
    <row r="53" spans="1:11" ht="19" x14ac:dyDescent="0.2">
      <c r="A53" s="57"/>
      <c r="B53" s="47"/>
      <c r="C53" s="51"/>
      <c r="D53" s="48"/>
      <c r="E53" s="49"/>
      <c r="F53" s="50"/>
      <c r="G53" s="50"/>
      <c r="H53" s="50"/>
      <c r="I53" s="50"/>
      <c r="J53" s="50"/>
      <c r="K53" s="50"/>
    </row>
    <row r="54" spans="1:11" ht="19" x14ac:dyDescent="0.2">
      <c r="A54" s="61">
        <v>484000</v>
      </c>
      <c r="B54" s="43">
        <v>45489</v>
      </c>
      <c r="C54" s="46" t="s">
        <v>16</v>
      </c>
      <c r="D54" s="44" t="s">
        <v>168</v>
      </c>
      <c r="E54" s="62">
        <v>213000</v>
      </c>
      <c r="F54" s="45">
        <v>154000</v>
      </c>
      <c r="G54" s="45">
        <v>117000</v>
      </c>
      <c r="H54" s="45"/>
      <c r="I54" s="45"/>
      <c r="J54" s="45"/>
      <c r="K54" s="45"/>
    </row>
    <row r="55" spans="1:11" ht="19" x14ac:dyDescent="0.2">
      <c r="A55" s="57"/>
      <c r="B55" s="47"/>
      <c r="C55" s="51"/>
      <c r="D55" s="48"/>
      <c r="E55" s="49"/>
      <c r="F55" s="50"/>
      <c r="G55" s="50"/>
      <c r="H55" s="50"/>
      <c r="I55" s="50"/>
      <c r="J55" s="50"/>
      <c r="K55" s="50"/>
    </row>
    <row r="56" spans="1:11" ht="19" x14ac:dyDescent="0.2">
      <c r="A56" s="61">
        <v>964000</v>
      </c>
      <c r="B56" s="43">
        <v>45490</v>
      </c>
      <c r="C56" s="46" t="s">
        <v>16</v>
      </c>
      <c r="D56" s="44" t="s">
        <v>168</v>
      </c>
      <c r="E56" s="62">
        <v>471000</v>
      </c>
      <c r="F56" s="45">
        <v>337000</v>
      </c>
      <c r="G56" s="45">
        <v>156000</v>
      </c>
      <c r="H56" s="45"/>
      <c r="I56" s="45"/>
      <c r="J56" s="45">
        <v>100000</v>
      </c>
      <c r="K56" s="45" t="s">
        <v>197</v>
      </c>
    </row>
    <row r="57" spans="1:11" ht="19" x14ac:dyDescent="0.2">
      <c r="A57" s="57"/>
      <c r="B57" s="47"/>
      <c r="C57" s="51"/>
      <c r="D57" s="48"/>
      <c r="E57" s="49"/>
      <c r="F57" s="50"/>
      <c r="G57" s="50"/>
      <c r="H57" s="50"/>
      <c r="I57" s="50"/>
      <c r="J57" s="50"/>
      <c r="K57" s="50"/>
    </row>
    <row r="58" spans="1:11" ht="19" x14ac:dyDescent="0.2">
      <c r="A58" s="61">
        <v>687000</v>
      </c>
      <c r="B58" s="43">
        <v>45491</v>
      </c>
      <c r="C58" s="46" t="s">
        <v>16</v>
      </c>
      <c r="D58" s="44" t="s">
        <v>168</v>
      </c>
      <c r="E58" s="62">
        <v>262000</v>
      </c>
      <c r="F58" s="45">
        <v>171000</v>
      </c>
      <c r="G58" s="45">
        <v>254000</v>
      </c>
      <c r="H58" s="45"/>
      <c r="I58" s="45"/>
      <c r="J58" s="45">
        <v>19000</v>
      </c>
      <c r="K58" s="45" t="s">
        <v>198</v>
      </c>
    </row>
    <row r="59" spans="1:11" ht="19" x14ac:dyDescent="0.2">
      <c r="A59" s="57"/>
      <c r="B59" s="47"/>
      <c r="C59" s="51"/>
      <c r="D59" s="48"/>
      <c r="E59" s="49"/>
      <c r="F59" s="50"/>
      <c r="G59" s="50"/>
      <c r="H59" s="50"/>
      <c r="I59" s="50"/>
      <c r="J59" s="50">
        <v>43000</v>
      </c>
      <c r="K59" s="50" t="s">
        <v>199</v>
      </c>
    </row>
    <row r="60" spans="1:11" ht="19" x14ac:dyDescent="0.2">
      <c r="A60" s="61"/>
      <c r="B60" s="43"/>
      <c r="C60" s="46"/>
      <c r="D60" s="44"/>
      <c r="E60" s="62"/>
      <c r="F60" s="45"/>
      <c r="G60" s="45"/>
      <c r="H60" s="45"/>
      <c r="I60" s="45"/>
      <c r="J60" s="45">
        <v>27000</v>
      </c>
      <c r="K60" s="45" t="s">
        <v>200</v>
      </c>
    </row>
    <row r="61" spans="1:11" ht="19" x14ac:dyDescent="0.2">
      <c r="A61" s="57"/>
      <c r="B61" s="47"/>
      <c r="C61" s="51"/>
      <c r="D61" s="48"/>
      <c r="E61" s="49"/>
      <c r="F61" s="50"/>
      <c r="G61" s="50"/>
      <c r="H61" s="50"/>
      <c r="I61" s="50"/>
      <c r="J61" s="50">
        <v>26000</v>
      </c>
      <c r="K61" s="50" t="s">
        <v>201</v>
      </c>
    </row>
    <row r="62" spans="1:11" ht="19" x14ac:dyDescent="0.2">
      <c r="A62" s="61"/>
      <c r="B62" s="43"/>
      <c r="C62" s="46"/>
      <c r="D62" s="44"/>
      <c r="E62" s="62"/>
      <c r="F62" s="45"/>
      <c r="G62" s="45"/>
      <c r="H62" s="45"/>
      <c r="I62" s="45"/>
      <c r="J62" s="45">
        <v>40000</v>
      </c>
      <c r="K62" s="45" t="s">
        <v>171</v>
      </c>
    </row>
    <row r="63" spans="1:11" ht="19" x14ac:dyDescent="0.2">
      <c r="A63" s="57">
        <v>1016000</v>
      </c>
      <c r="B63" s="47">
        <v>45492</v>
      </c>
      <c r="C63" s="51" t="s">
        <v>16</v>
      </c>
      <c r="D63" s="48" t="s">
        <v>168</v>
      </c>
      <c r="E63" s="49">
        <v>559000</v>
      </c>
      <c r="F63" s="50">
        <v>62000</v>
      </c>
      <c r="G63" s="50">
        <v>395000</v>
      </c>
      <c r="H63" s="50"/>
      <c r="I63" s="50"/>
      <c r="J63" s="50"/>
      <c r="K63" s="50"/>
    </row>
    <row r="64" spans="1:11" ht="19" x14ac:dyDescent="0.2">
      <c r="A64" s="61"/>
      <c r="B64" s="43">
        <v>45493</v>
      </c>
      <c r="C64" s="46"/>
      <c r="D64" s="44"/>
      <c r="E64" s="62" t="s">
        <v>125</v>
      </c>
      <c r="F64" s="45"/>
      <c r="G64" s="45"/>
      <c r="H64" s="45"/>
      <c r="I64" s="45"/>
      <c r="J64" s="45"/>
      <c r="K64" s="45"/>
    </row>
    <row r="65" spans="1:11" ht="19" x14ac:dyDescent="0.2">
      <c r="A65" s="57"/>
      <c r="B65" s="47">
        <v>45494</v>
      </c>
      <c r="C65" s="51"/>
      <c r="D65" s="48"/>
      <c r="E65" s="49" t="s">
        <v>125</v>
      </c>
      <c r="F65" s="50"/>
      <c r="G65" s="50"/>
      <c r="H65" s="50"/>
      <c r="I65" s="50"/>
      <c r="J65" s="50"/>
      <c r="K65" s="50"/>
    </row>
    <row r="66" spans="1:11" ht="19" x14ac:dyDescent="0.2">
      <c r="A66" s="61">
        <v>833000</v>
      </c>
      <c r="B66" s="43">
        <v>45495</v>
      </c>
      <c r="C66" s="46" t="s">
        <v>16</v>
      </c>
      <c r="D66" s="44" t="s">
        <v>168</v>
      </c>
      <c r="E66" s="62">
        <v>271000</v>
      </c>
      <c r="F66" s="65">
        <v>0</v>
      </c>
      <c r="G66" s="45">
        <v>562000</v>
      </c>
      <c r="H66" s="45"/>
      <c r="I66" s="45"/>
      <c r="J66" s="45">
        <v>200000</v>
      </c>
      <c r="K66" s="45" t="s">
        <v>202</v>
      </c>
    </row>
    <row r="67" spans="1:11" ht="19" x14ac:dyDescent="0.2">
      <c r="A67" s="57"/>
      <c r="B67" s="47"/>
      <c r="C67" s="51"/>
      <c r="D67" s="48"/>
      <c r="E67" s="49"/>
      <c r="F67" s="50"/>
      <c r="G67" s="50"/>
      <c r="H67" s="50"/>
      <c r="I67" s="50"/>
      <c r="J67" s="50">
        <v>47000</v>
      </c>
      <c r="K67" s="50" t="s">
        <v>40</v>
      </c>
    </row>
    <row r="68" spans="1:11" ht="19" x14ac:dyDescent="0.2">
      <c r="A68" s="61"/>
      <c r="B68" s="43"/>
      <c r="C68" s="46"/>
      <c r="D68" s="44"/>
      <c r="E68" s="62"/>
      <c r="F68" s="45"/>
      <c r="G68" s="45"/>
      <c r="H68" s="45"/>
      <c r="I68" s="45"/>
      <c r="J68" s="45">
        <v>7000</v>
      </c>
      <c r="K68" s="45" t="s">
        <v>52</v>
      </c>
    </row>
    <row r="69" spans="1:11" ht="19" x14ac:dyDescent="0.2">
      <c r="A69" s="57">
        <v>236000</v>
      </c>
      <c r="B69" s="47">
        <v>45496</v>
      </c>
      <c r="C69" s="51" t="s">
        <v>16</v>
      </c>
      <c r="D69" s="48" t="s">
        <v>168</v>
      </c>
      <c r="E69" s="49">
        <v>12000</v>
      </c>
      <c r="F69" s="50">
        <v>98000</v>
      </c>
      <c r="G69" s="50">
        <v>126000</v>
      </c>
      <c r="H69" s="50"/>
      <c r="I69" s="50"/>
      <c r="J69" s="50"/>
      <c r="K69" s="50"/>
    </row>
    <row r="70" spans="1:11" ht="19" x14ac:dyDescent="0.2">
      <c r="A70" s="61"/>
      <c r="B70" s="43"/>
      <c r="C70" s="46"/>
      <c r="D70" s="44"/>
      <c r="E70" s="62"/>
      <c r="F70" s="45"/>
      <c r="G70" s="45"/>
      <c r="H70" s="45"/>
      <c r="I70" s="45"/>
      <c r="J70" s="45"/>
      <c r="K70" s="45"/>
    </row>
    <row r="71" spans="1:11" ht="19" x14ac:dyDescent="0.2">
      <c r="A71" s="68">
        <v>718000</v>
      </c>
      <c r="B71" s="69">
        <v>45406</v>
      </c>
      <c r="C71" s="70" t="s">
        <v>16</v>
      </c>
      <c r="D71" s="71" t="s">
        <v>168</v>
      </c>
      <c r="E71" s="72">
        <v>301000</v>
      </c>
      <c r="F71" s="73">
        <v>249000</v>
      </c>
      <c r="G71" s="73">
        <v>168000</v>
      </c>
      <c r="H71" s="50"/>
      <c r="I71" s="50"/>
      <c r="J71" s="50">
        <v>94000</v>
      </c>
      <c r="K71" s="50" t="s">
        <v>203</v>
      </c>
    </row>
    <row r="72" spans="1:11" ht="19" x14ac:dyDescent="0.2">
      <c r="A72" s="61"/>
      <c r="B72" s="43"/>
      <c r="C72" s="46"/>
      <c r="D72" s="44"/>
      <c r="E72" s="62"/>
      <c r="F72" s="45"/>
      <c r="G72" s="45"/>
      <c r="H72" s="45"/>
      <c r="I72" s="45"/>
      <c r="J72" s="45">
        <v>20000</v>
      </c>
      <c r="K72" s="45" t="s">
        <v>204</v>
      </c>
    </row>
    <row r="73" spans="1:11" ht="19" x14ac:dyDescent="0.2">
      <c r="A73" s="57"/>
      <c r="B73" s="47"/>
      <c r="C73" s="51"/>
      <c r="D73" s="48"/>
      <c r="E73" s="49"/>
      <c r="F73" s="50"/>
      <c r="G73" s="50"/>
      <c r="H73" s="50"/>
      <c r="I73" s="50"/>
      <c r="J73" s="50">
        <v>25000</v>
      </c>
      <c r="K73" s="50" t="s">
        <v>205</v>
      </c>
    </row>
    <row r="74" spans="1:11" ht="19" x14ac:dyDescent="0.2">
      <c r="A74" s="61"/>
      <c r="B74" s="43"/>
      <c r="C74" s="46"/>
      <c r="D74" s="44"/>
      <c r="E74" s="62"/>
      <c r="F74" s="45"/>
      <c r="G74" s="45"/>
      <c r="H74" s="45"/>
      <c r="I74" s="45"/>
      <c r="J74" s="45">
        <v>7000</v>
      </c>
      <c r="K74" s="45" t="s">
        <v>52</v>
      </c>
    </row>
    <row r="75" spans="1:11" ht="19" x14ac:dyDescent="0.2">
      <c r="A75" s="57">
        <v>579000</v>
      </c>
      <c r="B75" s="47">
        <v>45407</v>
      </c>
      <c r="C75" s="51" t="s">
        <v>16</v>
      </c>
      <c r="D75" s="48" t="s">
        <v>168</v>
      </c>
      <c r="E75" s="49">
        <v>165000</v>
      </c>
      <c r="F75" s="50">
        <v>250000</v>
      </c>
      <c r="G75" s="50">
        <v>164000</v>
      </c>
      <c r="H75" s="50"/>
      <c r="I75" s="50"/>
      <c r="J75" s="73"/>
      <c r="K75" s="73"/>
    </row>
    <row r="76" spans="1:11" ht="19" x14ac:dyDescent="0.2">
      <c r="A76" s="61"/>
      <c r="B76" s="43"/>
      <c r="C76" s="46"/>
      <c r="D76" s="44"/>
      <c r="E76" s="62"/>
      <c r="F76" s="45"/>
      <c r="G76" s="45"/>
      <c r="H76" s="45"/>
      <c r="I76" s="45"/>
      <c r="J76" s="45"/>
      <c r="K76" s="45"/>
    </row>
    <row r="77" spans="1:11" ht="19" x14ac:dyDescent="0.2">
      <c r="A77" s="57">
        <v>699000</v>
      </c>
      <c r="B77" s="47">
        <v>45408</v>
      </c>
      <c r="C77" s="51" t="s">
        <v>16</v>
      </c>
      <c r="D77" s="48" t="s">
        <v>168</v>
      </c>
      <c r="E77" s="49">
        <v>211000</v>
      </c>
      <c r="F77" s="50">
        <v>172000</v>
      </c>
      <c r="G77" s="50">
        <v>316000</v>
      </c>
      <c r="H77" s="50"/>
      <c r="I77" s="50"/>
      <c r="J77" s="63">
        <v>192000</v>
      </c>
      <c r="K77" s="63" t="s">
        <v>29</v>
      </c>
    </row>
    <row r="78" spans="1:11" ht="19" x14ac:dyDescent="0.2">
      <c r="A78" s="61"/>
      <c r="B78" s="43"/>
      <c r="C78" s="46"/>
      <c r="D78" s="44"/>
      <c r="E78" s="62"/>
      <c r="F78" s="45"/>
      <c r="G78" s="45"/>
      <c r="H78" s="45"/>
      <c r="I78" s="45"/>
      <c r="J78" s="64">
        <v>114000</v>
      </c>
      <c r="K78" s="64" t="s">
        <v>206</v>
      </c>
    </row>
    <row r="79" spans="1:11" ht="19" x14ac:dyDescent="0.2">
      <c r="A79" s="57"/>
      <c r="B79" s="47"/>
      <c r="C79" s="51"/>
      <c r="D79" s="48"/>
      <c r="E79" s="49"/>
      <c r="F79" s="50"/>
      <c r="G79" s="50"/>
      <c r="H79" s="50"/>
      <c r="I79" s="50"/>
      <c r="J79" s="50">
        <v>175000</v>
      </c>
      <c r="K79" s="50" t="s">
        <v>207</v>
      </c>
    </row>
    <row r="80" spans="1:11" ht="19" x14ac:dyDescent="0.2">
      <c r="A80" s="61"/>
      <c r="B80" s="43">
        <v>45500</v>
      </c>
      <c r="C80" s="46"/>
      <c r="D80" s="44"/>
      <c r="E80" s="62" t="s">
        <v>125</v>
      </c>
      <c r="F80" s="45"/>
      <c r="G80" s="45"/>
      <c r="H80" s="45"/>
      <c r="I80" s="45"/>
      <c r="J80" s="45"/>
      <c r="K80" s="45"/>
    </row>
    <row r="81" spans="1:11" ht="19" x14ac:dyDescent="0.2">
      <c r="A81" s="57"/>
      <c r="B81" s="47">
        <v>45501</v>
      </c>
      <c r="C81" s="51"/>
      <c r="D81" s="48"/>
      <c r="E81" s="49" t="s">
        <v>125</v>
      </c>
      <c r="F81" s="50"/>
      <c r="G81" s="50"/>
      <c r="H81" s="50"/>
      <c r="I81" s="50"/>
      <c r="J81" s="50"/>
      <c r="K81" s="50"/>
    </row>
    <row r="82" spans="1:11" ht="19" x14ac:dyDescent="0.2">
      <c r="A82" s="61">
        <v>487000</v>
      </c>
      <c r="B82" s="43">
        <v>45502</v>
      </c>
      <c r="C82" s="46" t="s">
        <v>16</v>
      </c>
      <c r="D82" s="44" t="s">
        <v>168</v>
      </c>
      <c r="E82" s="62">
        <v>298000</v>
      </c>
      <c r="F82" s="45">
        <v>0</v>
      </c>
      <c r="G82" s="45">
        <v>189000</v>
      </c>
      <c r="H82" s="45"/>
      <c r="I82" s="45"/>
      <c r="J82" s="45">
        <v>15000</v>
      </c>
      <c r="K82" s="45" t="s">
        <v>208</v>
      </c>
    </row>
    <row r="83" spans="1:11" ht="19" x14ac:dyDescent="0.2">
      <c r="A83" s="57"/>
      <c r="B83" s="47"/>
      <c r="C83" s="51"/>
      <c r="D83" s="48"/>
      <c r="E83" s="49"/>
      <c r="F83" s="50"/>
      <c r="G83" s="50"/>
      <c r="H83" s="50"/>
      <c r="I83" s="50"/>
      <c r="J83" s="50">
        <v>150000</v>
      </c>
      <c r="K83" s="50" t="s">
        <v>23</v>
      </c>
    </row>
    <row r="84" spans="1:11" ht="19" x14ac:dyDescent="0.2">
      <c r="A84" s="61"/>
      <c r="B84" s="43"/>
      <c r="C84" s="46"/>
      <c r="D84" s="44"/>
      <c r="E84" s="62"/>
      <c r="F84" s="45"/>
      <c r="G84" s="45"/>
      <c r="H84" s="45"/>
      <c r="I84" s="45"/>
      <c r="J84" s="45">
        <v>200000</v>
      </c>
      <c r="K84" s="45" t="s">
        <v>21</v>
      </c>
    </row>
    <row r="85" spans="1:11" ht="19" x14ac:dyDescent="0.2">
      <c r="A85" s="57"/>
      <c r="B85" s="47"/>
      <c r="C85" s="51"/>
      <c r="D85" s="48"/>
      <c r="E85" s="49"/>
      <c r="F85" s="50"/>
      <c r="G85" s="50"/>
      <c r="H85" s="50"/>
      <c r="I85" s="50"/>
      <c r="J85" s="50">
        <v>45000</v>
      </c>
      <c r="K85" s="50" t="s">
        <v>22</v>
      </c>
    </row>
    <row r="86" spans="1:11" ht="19" x14ac:dyDescent="0.2">
      <c r="A86" s="61"/>
      <c r="B86" s="43"/>
      <c r="C86" s="46"/>
      <c r="D86" s="44"/>
      <c r="E86" s="62"/>
      <c r="F86" s="45"/>
      <c r="G86" s="45"/>
      <c r="H86" s="45"/>
      <c r="I86" s="45"/>
      <c r="J86" s="45">
        <v>66000</v>
      </c>
      <c r="K86" s="45" t="s">
        <v>139</v>
      </c>
    </row>
    <row r="87" spans="1:11" ht="19" x14ac:dyDescent="0.2">
      <c r="A87" s="57"/>
      <c r="B87" s="47"/>
      <c r="C87" s="51"/>
      <c r="D87" s="48"/>
      <c r="E87" s="49"/>
      <c r="F87" s="50"/>
      <c r="G87" s="50"/>
      <c r="H87" s="50"/>
      <c r="I87" s="50"/>
      <c r="J87" s="50">
        <v>66000</v>
      </c>
      <c r="K87" s="50" t="s">
        <v>209</v>
      </c>
    </row>
    <row r="88" spans="1:11" ht="19" x14ac:dyDescent="0.2">
      <c r="A88" s="61">
        <v>618000</v>
      </c>
      <c r="B88" s="43">
        <v>45503</v>
      </c>
      <c r="C88" s="46" t="s">
        <v>16</v>
      </c>
      <c r="D88" s="44" t="s">
        <v>168</v>
      </c>
      <c r="E88" s="62">
        <v>127000</v>
      </c>
      <c r="F88" s="45">
        <v>142000</v>
      </c>
      <c r="G88" s="45">
        <v>349000</v>
      </c>
      <c r="H88" s="45"/>
      <c r="I88" s="45"/>
      <c r="J88" s="45">
        <v>6500</v>
      </c>
      <c r="K88" s="45" t="s">
        <v>210</v>
      </c>
    </row>
    <row r="89" spans="1:11" ht="32" x14ac:dyDescent="0.2">
      <c r="A89" s="57">
        <v>945000</v>
      </c>
      <c r="B89" s="47">
        <v>45504</v>
      </c>
      <c r="C89" s="51" t="s">
        <v>16</v>
      </c>
      <c r="D89" s="48" t="s">
        <v>168</v>
      </c>
      <c r="E89" s="49">
        <v>529000</v>
      </c>
      <c r="F89" s="50">
        <v>154000</v>
      </c>
      <c r="G89" s="50">
        <v>262000</v>
      </c>
      <c r="H89" s="50">
        <v>990000</v>
      </c>
      <c r="I89" s="78" t="s">
        <v>211</v>
      </c>
      <c r="J89" s="50">
        <v>31500</v>
      </c>
      <c r="K89" s="50" t="s">
        <v>212</v>
      </c>
    </row>
    <row r="90" spans="1:11" ht="19" x14ac:dyDescent="0.2">
      <c r="A90" s="61"/>
      <c r="B90" s="43"/>
      <c r="C90" s="46"/>
      <c r="D90" s="44"/>
      <c r="E90" s="62"/>
      <c r="F90" s="45"/>
      <c r="G90" s="45"/>
      <c r="H90" s="45"/>
      <c r="I90" s="45"/>
      <c r="J90" s="45">
        <v>52000</v>
      </c>
      <c r="K90" s="45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K90"/>
  <sheetViews>
    <sheetView workbookViewId="0">
      <selection activeCell="E10" sqref="E10"/>
    </sheetView>
  </sheetViews>
  <sheetFormatPr baseColWidth="10" defaultColWidth="11.5" defaultRowHeight="15" x14ac:dyDescent="0.2"/>
  <cols>
    <col min="1" max="1" width="20.33203125" bestFit="1" customWidth="1"/>
    <col min="2" max="2" width="11" customWidth="1"/>
    <col min="3" max="3" width="13.33203125" bestFit="1" customWidth="1"/>
    <col min="4" max="4" width="8.33203125" bestFit="1" customWidth="1"/>
    <col min="5" max="5" width="19" bestFit="1" customWidth="1"/>
    <col min="6" max="6" width="25.1640625" customWidth="1"/>
    <col min="7" max="8" width="19" bestFit="1" customWidth="1"/>
    <col min="9" max="9" width="23.83203125" bestFit="1" customWidth="1"/>
    <col min="10" max="10" width="19" bestFit="1" customWidth="1"/>
    <col min="11" max="11" width="28.1640625" bestFit="1" customWidth="1"/>
  </cols>
  <sheetData>
    <row r="3" spans="1:11" ht="21" x14ac:dyDescent="0.2">
      <c r="H3" s="26"/>
      <c r="I3" s="27" t="s">
        <v>0</v>
      </c>
      <c r="J3" s="27">
        <f>L11/A11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363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4861010</v>
      </c>
      <c r="K6" s="30" t="s">
        <v>263</v>
      </c>
    </row>
    <row r="7" spans="1:11" ht="26" x14ac:dyDescent="0.3">
      <c r="B7" s="32" t="s">
        <v>261</v>
      </c>
    </row>
    <row r="8" spans="1:11" ht="26" x14ac:dyDescent="0.3">
      <c r="B8" s="32" t="s">
        <v>262</v>
      </c>
    </row>
    <row r="10" spans="1:11" ht="19" x14ac:dyDescent="0.2">
      <c r="A10" s="33" t="s">
        <v>5</v>
      </c>
      <c r="B10" s="33" t="s">
        <v>6</v>
      </c>
      <c r="C10" s="34" t="s">
        <v>7</v>
      </c>
      <c r="D10" s="35" t="s">
        <v>8</v>
      </c>
      <c r="E10" s="36" t="s">
        <v>9</v>
      </c>
      <c r="F10" s="37" t="s">
        <v>10</v>
      </c>
      <c r="G10" s="37" t="s">
        <v>49</v>
      </c>
      <c r="H10" s="37" t="s">
        <v>11</v>
      </c>
      <c r="I10" s="37" t="s">
        <v>12</v>
      </c>
      <c r="J10" s="37" t="s">
        <v>13</v>
      </c>
      <c r="K10" s="37" t="s">
        <v>14</v>
      </c>
    </row>
    <row r="11" spans="1:11" ht="21" x14ac:dyDescent="0.2">
      <c r="A11" s="38">
        <f>SUM(A12:A466)</f>
        <v>17308000</v>
      </c>
      <c r="B11" s="39"/>
      <c r="C11" s="40" t="s">
        <v>15</v>
      </c>
      <c r="D11" s="41"/>
      <c r="E11" s="42">
        <f>SUM(E12:E466)</f>
        <v>8375000</v>
      </c>
      <c r="F11" s="38">
        <f>SUM(F12:F466)</f>
        <v>3726000</v>
      </c>
      <c r="G11" s="38">
        <f>SUM(G12:G461)</f>
        <v>5207000</v>
      </c>
      <c r="H11" s="38">
        <f>SUM(H12:H466)</f>
        <v>8069000</v>
      </c>
      <c r="I11" s="38"/>
      <c r="J11" s="38">
        <f>SUM(J12:J466)</f>
        <v>3268000</v>
      </c>
      <c r="K11" s="38"/>
    </row>
    <row r="12" spans="1:11" ht="19" x14ac:dyDescent="0.2">
      <c r="A12" s="52">
        <v>397000</v>
      </c>
      <c r="B12" s="10">
        <v>45505</v>
      </c>
      <c r="C12" s="11" t="s">
        <v>16</v>
      </c>
      <c r="D12" s="12" t="s">
        <v>168</v>
      </c>
      <c r="E12" s="13">
        <v>234000</v>
      </c>
      <c r="F12" s="13"/>
      <c r="G12" s="13">
        <v>163000</v>
      </c>
      <c r="H12" s="13">
        <v>450000</v>
      </c>
      <c r="I12" s="13" t="s">
        <v>258</v>
      </c>
      <c r="J12" s="13"/>
      <c r="K12" s="13"/>
    </row>
    <row r="13" spans="1:11" ht="19" x14ac:dyDescent="0.2">
      <c r="A13" s="53"/>
      <c r="B13" s="4"/>
      <c r="C13" s="5"/>
      <c r="D13" s="2"/>
      <c r="E13" s="3"/>
      <c r="F13" s="1"/>
      <c r="G13" s="1"/>
      <c r="H13" s="1"/>
      <c r="I13" s="1"/>
      <c r="J13" s="1"/>
      <c r="K13" s="1"/>
    </row>
    <row r="14" spans="1:11" ht="19" x14ac:dyDescent="0.2">
      <c r="A14" s="54">
        <v>566000</v>
      </c>
      <c r="B14" s="10">
        <v>45506</v>
      </c>
      <c r="C14" s="14" t="s">
        <v>16</v>
      </c>
      <c r="D14" s="12" t="s">
        <v>168</v>
      </c>
      <c r="E14" s="15">
        <v>129000</v>
      </c>
      <c r="F14" s="13">
        <v>169000</v>
      </c>
      <c r="G14" s="13">
        <v>268000</v>
      </c>
      <c r="H14" s="13"/>
      <c r="I14" s="13"/>
      <c r="J14" s="13">
        <v>100000</v>
      </c>
      <c r="K14" s="13" t="s">
        <v>222</v>
      </c>
    </row>
    <row r="15" spans="1:11" ht="19" x14ac:dyDescent="0.2">
      <c r="A15" s="53"/>
      <c r="B15" s="4"/>
      <c r="C15" s="5"/>
      <c r="D15" s="2"/>
      <c r="E15" s="3"/>
      <c r="F15" s="1"/>
      <c r="G15" s="1"/>
      <c r="H15" s="1"/>
      <c r="I15" s="1"/>
      <c r="J15" s="1"/>
      <c r="K15" s="1"/>
    </row>
    <row r="16" spans="1:11" ht="19" x14ac:dyDescent="0.2">
      <c r="A16" s="54"/>
      <c r="B16" s="10">
        <v>45507</v>
      </c>
      <c r="C16" s="14"/>
      <c r="D16" s="12"/>
      <c r="E16" s="15"/>
      <c r="F16" s="13"/>
      <c r="G16" s="13"/>
      <c r="H16" s="13"/>
      <c r="I16" s="13" t="s">
        <v>223</v>
      </c>
      <c r="J16" s="13"/>
      <c r="K16" s="13"/>
    </row>
    <row r="17" spans="1:11" ht="19" x14ac:dyDescent="0.2">
      <c r="A17" s="55"/>
      <c r="B17" s="18"/>
      <c r="C17" s="19"/>
      <c r="D17" s="20"/>
      <c r="E17" s="21"/>
      <c r="F17" s="8"/>
      <c r="G17" s="8"/>
      <c r="H17" s="23"/>
      <c r="I17" s="23" t="s">
        <v>223</v>
      </c>
      <c r="J17" s="8"/>
      <c r="K17" s="8"/>
    </row>
    <row r="18" spans="1:11" ht="19" x14ac:dyDescent="0.2">
      <c r="A18" s="56"/>
      <c r="B18" s="10">
        <v>45508</v>
      </c>
      <c r="C18" s="16"/>
      <c r="D18" s="12"/>
      <c r="E18" s="15"/>
      <c r="F18" s="13"/>
      <c r="G18" s="13"/>
      <c r="H18" s="17"/>
      <c r="I18" s="17"/>
      <c r="J18" s="13"/>
      <c r="K18" s="13"/>
    </row>
    <row r="19" spans="1:11" ht="19" x14ac:dyDescent="0.2">
      <c r="A19" s="55"/>
      <c r="B19" s="18"/>
      <c r="C19" s="19"/>
      <c r="D19" s="20"/>
      <c r="E19" s="21"/>
      <c r="F19" s="8"/>
      <c r="G19" s="8"/>
      <c r="H19" s="23"/>
      <c r="I19" s="23"/>
      <c r="J19" s="8"/>
      <c r="K19" s="8"/>
    </row>
    <row r="20" spans="1:11" ht="19" x14ac:dyDescent="0.2">
      <c r="A20" s="56">
        <v>706000</v>
      </c>
      <c r="B20" s="10">
        <v>45509</v>
      </c>
      <c r="C20" s="16" t="s">
        <v>16</v>
      </c>
      <c r="D20" s="12" t="s">
        <v>224</v>
      </c>
      <c r="E20" s="15">
        <v>533000</v>
      </c>
      <c r="F20" s="13">
        <v>46000</v>
      </c>
      <c r="G20" s="13">
        <v>127000</v>
      </c>
      <c r="H20" s="17"/>
      <c r="I20" s="17"/>
      <c r="J20" s="13">
        <v>35000</v>
      </c>
      <c r="K20" s="13" t="s">
        <v>92</v>
      </c>
    </row>
    <row r="21" spans="1:11" ht="19" x14ac:dyDescent="0.2">
      <c r="A21" s="55"/>
      <c r="B21" s="18"/>
      <c r="C21" s="19"/>
      <c r="D21" s="20"/>
      <c r="E21" s="21"/>
      <c r="F21" s="8"/>
      <c r="G21" s="8"/>
      <c r="H21" s="23"/>
      <c r="I21" s="23"/>
      <c r="J21" s="8">
        <v>11000</v>
      </c>
      <c r="K21" s="8" t="s">
        <v>225</v>
      </c>
    </row>
    <row r="22" spans="1:11" ht="19" x14ac:dyDescent="0.2">
      <c r="A22" s="56"/>
      <c r="B22" s="10"/>
      <c r="C22" s="16"/>
      <c r="D22" s="12"/>
      <c r="E22" s="15"/>
      <c r="F22" s="13"/>
      <c r="G22" s="13"/>
      <c r="H22" s="17"/>
      <c r="I22" s="17"/>
      <c r="J22" s="13">
        <v>66000</v>
      </c>
      <c r="K22" s="13" t="s">
        <v>226</v>
      </c>
    </row>
    <row r="23" spans="1:11" ht="19" x14ac:dyDescent="0.2">
      <c r="A23" s="55"/>
      <c r="B23" s="18"/>
      <c r="C23" s="19"/>
      <c r="D23" s="20"/>
      <c r="E23" s="21"/>
      <c r="F23" s="8"/>
      <c r="G23" s="8"/>
      <c r="H23" s="23"/>
      <c r="I23" s="23"/>
      <c r="J23" s="8">
        <v>124000</v>
      </c>
      <c r="K23" s="8" t="s">
        <v>227</v>
      </c>
    </row>
    <row r="24" spans="1:11" ht="19" x14ac:dyDescent="0.2">
      <c r="A24" s="56"/>
      <c r="B24" s="10"/>
      <c r="C24" s="16"/>
      <c r="D24" s="12"/>
      <c r="E24" s="15"/>
      <c r="F24" s="13"/>
      <c r="G24" s="13"/>
      <c r="H24" s="13"/>
      <c r="I24" s="13"/>
      <c r="J24" s="13">
        <v>104500</v>
      </c>
      <c r="K24" s="13" t="s">
        <v>228</v>
      </c>
    </row>
    <row r="25" spans="1:11" ht="19" x14ac:dyDescent="0.2">
      <c r="A25" s="55"/>
      <c r="B25" s="18"/>
      <c r="C25" s="19"/>
      <c r="D25" s="20"/>
      <c r="E25" s="21"/>
      <c r="F25" s="8"/>
      <c r="G25" s="8"/>
      <c r="H25" s="8"/>
      <c r="I25" s="8"/>
      <c r="J25" s="8">
        <v>75000</v>
      </c>
      <c r="K25" s="8" t="s">
        <v>229</v>
      </c>
    </row>
    <row r="26" spans="1:11" ht="19" x14ac:dyDescent="0.2">
      <c r="A26" s="56">
        <v>868000</v>
      </c>
      <c r="B26" s="10">
        <v>45510</v>
      </c>
      <c r="C26" s="16" t="s">
        <v>16</v>
      </c>
      <c r="D26" s="12" t="s">
        <v>168</v>
      </c>
      <c r="E26" s="15">
        <v>287000</v>
      </c>
      <c r="F26" s="13">
        <v>230000</v>
      </c>
      <c r="G26" s="13">
        <v>351000</v>
      </c>
      <c r="H26" s="13"/>
      <c r="I26" s="13"/>
      <c r="J26" s="13">
        <v>79000</v>
      </c>
      <c r="K26" s="13" t="s">
        <v>230</v>
      </c>
    </row>
    <row r="27" spans="1:11" ht="19" x14ac:dyDescent="0.2">
      <c r="A27" s="55"/>
      <c r="B27" s="18"/>
      <c r="C27" s="19"/>
      <c r="D27" s="20"/>
      <c r="E27" s="21"/>
      <c r="F27" s="8"/>
      <c r="G27" s="8"/>
      <c r="H27" s="8"/>
      <c r="I27" s="8"/>
      <c r="J27" s="8"/>
      <c r="K27" s="8"/>
    </row>
    <row r="28" spans="1:11" ht="19" x14ac:dyDescent="0.2">
      <c r="A28" s="56">
        <v>1292000</v>
      </c>
      <c r="B28" s="10">
        <v>45511</v>
      </c>
      <c r="C28" s="16" t="s">
        <v>16</v>
      </c>
      <c r="D28" s="12" t="s">
        <v>168</v>
      </c>
      <c r="E28" s="15">
        <v>622000</v>
      </c>
      <c r="F28" s="13">
        <v>218000</v>
      </c>
      <c r="G28" s="13">
        <v>452000</v>
      </c>
      <c r="H28" s="13">
        <v>1632000</v>
      </c>
      <c r="I28" s="13" t="s">
        <v>259</v>
      </c>
      <c r="J28" s="13">
        <v>150000</v>
      </c>
      <c r="K28" s="13" t="s">
        <v>231</v>
      </c>
    </row>
    <row r="29" spans="1:11" ht="19" x14ac:dyDescent="0.2">
      <c r="A29" s="55"/>
      <c r="B29" s="18"/>
      <c r="C29" s="19"/>
      <c r="D29" s="20"/>
      <c r="E29" s="21"/>
      <c r="F29" s="8"/>
      <c r="G29" s="8"/>
      <c r="H29" s="8"/>
      <c r="I29" s="8"/>
      <c r="J29" s="1">
        <v>53000</v>
      </c>
      <c r="K29" s="1" t="s">
        <v>232</v>
      </c>
    </row>
    <row r="30" spans="1:11" ht="19" x14ac:dyDescent="0.2">
      <c r="A30" s="56">
        <v>677000</v>
      </c>
      <c r="B30" s="10">
        <v>45512</v>
      </c>
      <c r="C30" s="14" t="s">
        <v>16</v>
      </c>
      <c r="D30" s="12" t="s">
        <v>168</v>
      </c>
      <c r="E30" s="15">
        <v>130000</v>
      </c>
      <c r="F30" s="13">
        <v>103000</v>
      </c>
      <c r="G30" s="13">
        <v>444000</v>
      </c>
      <c r="H30" s="13"/>
      <c r="I30" s="13"/>
      <c r="J30" s="13"/>
      <c r="K30" s="13"/>
    </row>
    <row r="31" spans="1:11" ht="19" x14ac:dyDescent="0.2">
      <c r="A31" s="55"/>
      <c r="B31" s="4"/>
      <c r="C31" s="5"/>
      <c r="D31" s="2"/>
      <c r="E31" s="3"/>
      <c r="F31" s="1"/>
      <c r="G31" s="1"/>
      <c r="H31" s="1"/>
      <c r="I31" s="1"/>
      <c r="J31" s="1"/>
      <c r="K31" s="1"/>
    </row>
    <row r="32" spans="1:11" ht="19" x14ac:dyDescent="0.2">
      <c r="A32" s="56">
        <v>954000</v>
      </c>
      <c r="B32" s="10">
        <v>45513</v>
      </c>
      <c r="C32" s="14" t="s">
        <v>16</v>
      </c>
      <c r="D32" s="12" t="s">
        <v>168</v>
      </c>
      <c r="E32" s="15">
        <v>363000</v>
      </c>
      <c r="F32" s="13">
        <v>269000</v>
      </c>
      <c r="G32" s="13">
        <v>322000</v>
      </c>
      <c r="H32" s="13"/>
      <c r="I32" s="13"/>
      <c r="J32" s="13">
        <v>30000</v>
      </c>
      <c r="K32" s="13" t="s">
        <v>233</v>
      </c>
    </row>
    <row r="33" spans="1:11" ht="19" x14ac:dyDescent="0.2">
      <c r="A33" s="53"/>
      <c r="B33" s="4"/>
      <c r="C33" s="5"/>
      <c r="D33" s="2"/>
      <c r="E33" s="3"/>
      <c r="F33" s="1"/>
      <c r="G33" s="1"/>
      <c r="H33" s="1"/>
      <c r="I33" s="1"/>
      <c r="J33" s="1">
        <v>47000</v>
      </c>
      <c r="K33" s="1" t="s">
        <v>92</v>
      </c>
    </row>
    <row r="34" spans="1:11" ht="19" x14ac:dyDescent="0.2">
      <c r="A34" s="54"/>
      <c r="B34" s="10">
        <v>45514</v>
      </c>
      <c r="C34" s="14" t="s">
        <v>42</v>
      </c>
      <c r="D34" s="12"/>
      <c r="E34" s="15"/>
      <c r="F34" s="13"/>
      <c r="G34" s="13"/>
      <c r="H34" s="13"/>
      <c r="I34" s="13"/>
      <c r="J34" s="13">
        <v>5000</v>
      </c>
      <c r="K34" s="13" t="s">
        <v>119</v>
      </c>
    </row>
    <row r="35" spans="1:11" ht="19" x14ac:dyDescent="0.2">
      <c r="A35" s="53"/>
      <c r="B35" s="18">
        <v>45515</v>
      </c>
      <c r="C35" s="22" t="s">
        <v>42</v>
      </c>
      <c r="D35" s="20"/>
      <c r="E35" s="21"/>
      <c r="F35" s="8"/>
      <c r="G35" s="8"/>
      <c r="H35" s="8"/>
      <c r="I35" s="8"/>
      <c r="J35" s="8"/>
      <c r="K35" s="8"/>
    </row>
    <row r="36" spans="1:11" ht="19" x14ac:dyDescent="0.2">
      <c r="A36" s="54"/>
      <c r="B36" s="10"/>
      <c r="C36" s="14"/>
      <c r="D36" s="12"/>
      <c r="E36" s="15"/>
      <c r="F36" s="13"/>
      <c r="G36" s="13"/>
      <c r="H36" s="13"/>
      <c r="I36" s="13"/>
      <c r="J36" s="13"/>
      <c r="K36" s="13"/>
    </row>
    <row r="37" spans="1:11" ht="19" x14ac:dyDescent="0.2">
      <c r="A37" s="55">
        <v>881000</v>
      </c>
      <c r="B37" s="18">
        <v>45516</v>
      </c>
      <c r="C37" s="22" t="s">
        <v>16</v>
      </c>
      <c r="D37" s="20" t="s">
        <v>168</v>
      </c>
      <c r="E37" s="21">
        <v>402000</v>
      </c>
      <c r="F37" s="8">
        <v>247000</v>
      </c>
      <c r="G37" s="8">
        <v>232000</v>
      </c>
      <c r="H37" s="8"/>
      <c r="I37" s="8"/>
      <c r="J37" s="8">
        <v>200000</v>
      </c>
      <c r="K37" s="81" t="s">
        <v>21</v>
      </c>
    </row>
    <row r="38" spans="1:11" ht="19" x14ac:dyDescent="0.2">
      <c r="A38" s="56"/>
      <c r="B38" s="10"/>
      <c r="C38" s="14"/>
      <c r="D38" s="12"/>
      <c r="E38" s="15"/>
      <c r="F38" s="13"/>
      <c r="G38" s="13"/>
      <c r="H38" s="13"/>
      <c r="I38" s="13"/>
      <c r="J38" s="13">
        <v>45000</v>
      </c>
      <c r="K38" s="13" t="s">
        <v>22</v>
      </c>
    </row>
    <row r="39" spans="1:11" ht="19" x14ac:dyDescent="0.2">
      <c r="A39" s="55"/>
      <c r="B39" s="4"/>
      <c r="C39" s="5"/>
      <c r="D39" s="2"/>
      <c r="E39" s="3"/>
      <c r="F39" s="1"/>
      <c r="G39" s="1"/>
      <c r="H39" s="1"/>
      <c r="I39" s="1"/>
      <c r="J39" s="8">
        <v>90000</v>
      </c>
      <c r="K39" s="1" t="s">
        <v>234</v>
      </c>
    </row>
    <row r="40" spans="1:11" ht="19" x14ac:dyDescent="0.2">
      <c r="A40" s="56"/>
      <c r="B40" s="10"/>
      <c r="C40" s="14"/>
      <c r="D40" s="12"/>
      <c r="E40" s="15"/>
      <c r="F40" s="13"/>
      <c r="G40" s="13"/>
      <c r="H40" s="13"/>
      <c r="I40" s="13"/>
      <c r="J40" s="13">
        <v>60000</v>
      </c>
      <c r="K40" s="13" t="s">
        <v>235</v>
      </c>
    </row>
    <row r="41" spans="1:11" ht="19" x14ac:dyDescent="0.2">
      <c r="A41" s="55"/>
      <c r="B41" s="4"/>
      <c r="C41" s="5"/>
      <c r="D41" s="2"/>
      <c r="E41" s="3"/>
      <c r="F41" s="1"/>
      <c r="G41" s="1"/>
      <c r="H41" s="1"/>
      <c r="I41" s="1"/>
      <c r="J41" s="1">
        <v>12500</v>
      </c>
      <c r="K41" s="1" t="s">
        <v>236</v>
      </c>
    </row>
    <row r="42" spans="1:11" ht="19" x14ac:dyDescent="0.2">
      <c r="A42" s="56">
        <v>592000</v>
      </c>
      <c r="B42" s="10">
        <v>45517</v>
      </c>
      <c r="C42" s="14" t="s">
        <v>16</v>
      </c>
      <c r="D42" s="12" t="s">
        <v>168</v>
      </c>
      <c r="E42" s="15">
        <v>394000</v>
      </c>
      <c r="F42" s="13">
        <v>63000</v>
      </c>
      <c r="G42" s="13">
        <v>135000</v>
      </c>
      <c r="H42" s="13"/>
      <c r="I42" s="13"/>
      <c r="J42" s="13">
        <v>90000</v>
      </c>
      <c r="K42" s="13" t="s">
        <v>58</v>
      </c>
    </row>
    <row r="43" spans="1:11" ht="19" x14ac:dyDescent="0.2">
      <c r="A43" s="55"/>
      <c r="B43" s="4"/>
      <c r="C43" s="5"/>
      <c r="D43" s="2"/>
      <c r="E43" s="3"/>
      <c r="F43" s="1"/>
      <c r="G43" s="1"/>
      <c r="H43" s="1"/>
      <c r="I43" s="82"/>
      <c r="J43" s="8"/>
      <c r="K43" s="1"/>
    </row>
    <row r="44" spans="1:11" ht="19" x14ac:dyDescent="0.2">
      <c r="A44" s="56">
        <v>1092000</v>
      </c>
      <c r="B44" s="10">
        <v>45518</v>
      </c>
      <c r="C44" s="14" t="s">
        <v>16</v>
      </c>
      <c r="D44" s="12" t="s">
        <v>168</v>
      </c>
      <c r="E44" s="15">
        <v>672000</v>
      </c>
      <c r="F44" s="13">
        <v>208000</v>
      </c>
      <c r="G44" s="13">
        <v>212000</v>
      </c>
      <c r="H44" s="13"/>
      <c r="I44" s="13"/>
      <c r="J44" s="13">
        <v>19000</v>
      </c>
      <c r="K44" s="13" t="s">
        <v>237</v>
      </c>
    </row>
    <row r="45" spans="1:11" ht="19" x14ac:dyDescent="0.2">
      <c r="A45" s="55"/>
      <c r="B45" s="4"/>
      <c r="C45" s="5"/>
      <c r="D45" s="2"/>
      <c r="E45" s="3"/>
      <c r="F45" s="1"/>
      <c r="G45" s="1"/>
      <c r="H45" s="1"/>
      <c r="I45" s="1"/>
      <c r="J45" s="1"/>
      <c r="K45" s="1"/>
    </row>
    <row r="46" spans="1:11" ht="19" x14ac:dyDescent="0.2">
      <c r="A46" s="58">
        <v>927000</v>
      </c>
      <c r="B46" s="10">
        <v>45519</v>
      </c>
      <c r="C46" s="14" t="s">
        <v>16</v>
      </c>
      <c r="D46" s="12" t="s">
        <v>168</v>
      </c>
      <c r="E46" s="15">
        <v>484000</v>
      </c>
      <c r="F46" s="13">
        <v>314000</v>
      </c>
      <c r="G46" s="13">
        <v>129000</v>
      </c>
      <c r="H46" s="13">
        <v>2200000</v>
      </c>
      <c r="I46" s="13" t="s">
        <v>238</v>
      </c>
      <c r="J46" s="13">
        <v>66000</v>
      </c>
      <c r="K46" s="13" t="s">
        <v>139</v>
      </c>
    </row>
    <row r="47" spans="1:11" ht="19" x14ac:dyDescent="0.2">
      <c r="A47" s="59"/>
      <c r="B47" s="47"/>
      <c r="C47" s="51"/>
      <c r="D47" s="48"/>
      <c r="E47" s="49"/>
      <c r="F47" s="50"/>
      <c r="G47" s="50"/>
      <c r="H47" s="50"/>
      <c r="I47" s="50"/>
      <c r="J47" s="50">
        <v>43000</v>
      </c>
      <c r="K47" s="50" t="s">
        <v>40</v>
      </c>
    </row>
    <row r="48" spans="1:11" ht="19" x14ac:dyDescent="0.2">
      <c r="A48" s="58">
        <v>976000</v>
      </c>
      <c r="B48" s="43">
        <v>45520</v>
      </c>
      <c r="C48" s="46" t="s">
        <v>16</v>
      </c>
      <c r="D48" s="44" t="s">
        <v>168</v>
      </c>
      <c r="E48" s="15">
        <v>600000</v>
      </c>
      <c r="F48" s="13">
        <v>131000</v>
      </c>
      <c r="G48" s="13">
        <v>245000</v>
      </c>
      <c r="H48" s="45"/>
      <c r="I48" s="45"/>
      <c r="J48" s="45">
        <v>14000</v>
      </c>
      <c r="K48" s="45" t="s">
        <v>239</v>
      </c>
    </row>
    <row r="49" spans="1:11" ht="19" x14ac:dyDescent="0.2">
      <c r="A49" s="57"/>
      <c r="B49" s="47"/>
      <c r="C49" s="51"/>
      <c r="D49" s="48"/>
      <c r="E49" s="49"/>
      <c r="F49" s="50"/>
      <c r="G49" s="50"/>
      <c r="H49" s="50"/>
      <c r="I49" s="50"/>
      <c r="J49" s="50">
        <v>29000</v>
      </c>
      <c r="K49" s="50" t="s">
        <v>240</v>
      </c>
    </row>
    <row r="50" spans="1:11" ht="19" x14ac:dyDescent="0.2">
      <c r="A50" s="61"/>
      <c r="B50" s="43"/>
      <c r="C50" s="46"/>
      <c r="D50" s="44"/>
      <c r="E50" s="62"/>
      <c r="F50" s="45"/>
      <c r="G50" s="45"/>
      <c r="H50" s="45"/>
      <c r="I50" s="45"/>
      <c r="J50" s="45">
        <v>7000</v>
      </c>
      <c r="K50" s="45" t="s">
        <v>52</v>
      </c>
    </row>
    <row r="51" spans="1:11" ht="19" x14ac:dyDescent="0.2">
      <c r="A51" s="57"/>
      <c r="B51" s="47"/>
      <c r="C51" s="51"/>
      <c r="D51" s="48"/>
      <c r="E51" s="49"/>
      <c r="F51" s="50"/>
      <c r="G51" s="50"/>
      <c r="H51" s="50"/>
      <c r="I51" s="50"/>
      <c r="J51" s="50"/>
      <c r="K51" s="50"/>
    </row>
    <row r="52" spans="1:11" ht="19" x14ac:dyDescent="0.2">
      <c r="A52" s="61"/>
      <c r="B52" s="43">
        <v>45521</v>
      </c>
      <c r="C52" s="46"/>
      <c r="D52" s="44"/>
      <c r="E52" s="62" t="s">
        <v>125</v>
      </c>
      <c r="F52" s="45"/>
      <c r="G52" s="45"/>
      <c r="H52" s="45"/>
      <c r="I52" s="45"/>
      <c r="J52" s="45"/>
      <c r="K52" s="45"/>
    </row>
    <row r="53" spans="1:11" ht="19" x14ac:dyDescent="0.2">
      <c r="A53" s="57"/>
      <c r="B53" s="47">
        <v>45522</v>
      </c>
      <c r="C53" s="51"/>
      <c r="D53" s="48"/>
      <c r="E53" s="49" t="s">
        <v>125</v>
      </c>
      <c r="F53" s="50"/>
      <c r="G53" s="50"/>
      <c r="H53" s="50"/>
      <c r="I53" s="50"/>
      <c r="J53" s="50"/>
      <c r="K53" s="50"/>
    </row>
    <row r="54" spans="1:11" ht="19" x14ac:dyDescent="0.2">
      <c r="A54" s="61">
        <v>731000</v>
      </c>
      <c r="B54" s="43">
        <v>45523</v>
      </c>
      <c r="C54" s="46" t="s">
        <v>16</v>
      </c>
      <c r="D54" s="44" t="s">
        <v>168</v>
      </c>
      <c r="E54" s="62">
        <v>307000</v>
      </c>
      <c r="F54" s="45">
        <v>93000</v>
      </c>
      <c r="G54" s="45">
        <v>331000</v>
      </c>
      <c r="H54" s="45"/>
      <c r="I54" s="45"/>
      <c r="J54" s="45">
        <v>26000</v>
      </c>
      <c r="K54" s="45" t="s">
        <v>241</v>
      </c>
    </row>
    <row r="55" spans="1:11" ht="19" x14ac:dyDescent="0.2">
      <c r="A55" s="57"/>
      <c r="B55" s="47"/>
      <c r="C55" s="51"/>
      <c r="D55" s="48"/>
      <c r="E55" s="49"/>
      <c r="F55" s="50"/>
      <c r="G55" s="50"/>
      <c r="H55" s="50"/>
      <c r="I55" s="50"/>
      <c r="J55" s="50">
        <v>48000</v>
      </c>
      <c r="K55" s="50" t="s">
        <v>242</v>
      </c>
    </row>
    <row r="56" spans="1:11" ht="19" x14ac:dyDescent="0.2">
      <c r="A56" s="61"/>
      <c r="B56" s="43"/>
      <c r="C56" s="46"/>
      <c r="D56" s="44"/>
      <c r="E56" s="62"/>
      <c r="F56" s="45"/>
      <c r="G56" s="45"/>
      <c r="H56" s="45"/>
      <c r="I56" s="45"/>
      <c r="J56" s="45">
        <v>150000</v>
      </c>
      <c r="K56" s="45" t="s">
        <v>243</v>
      </c>
    </row>
    <row r="57" spans="1:11" ht="19" x14ac:dyDescent="0.2">
      <c r="A57" s="57">
        <v>659000</v>
      </c>
      <c r="B57" s="47">
        <v>45524</v>
      </c>
      <c r="C57" s="51" t="s">
        <v>16</v>
      </c>
      <c r="D57" s="48" t="s">
        <v>168</v>
      </c>
      <c r="E57" s="49">
        <v>316000</v>
      </c>
      <c r="F57" s="50">
        <v>161000</v>
      </c>
      <c r="G57" s="50">
        <v>182000</v>
      </c>
      <c r="H57" s="50"/>
      <c r="I57" s="50"/>
      <c r="J57" s="50"/>
      <c r="K57" s="50"/>
    </row>
    <row r="58" spans="1:11" ht="19" x14ac:dyDescent="0.2">
      <c r="A58" s="61"/>
      <c r="B58" s="43"/>
      <c r="C58" s="46"/>
      <c r="D58" s="44"/>
      <c r="E58" s="62"/>
      <c r="F58" s="45"/>
      <c r="G58" s="45"/>
      <c r="H58" s="45"/>
      <c r="I58" s="45"/>
      <c r="J58" s="45"/>
      <c r="K58" s="45"/>
    </row>
    <row r="59" spans="1:11" ht="19" x14ac:dyDescent="0.2">
      <c r="A59" s="57">
        <v>742000</v>
      </c>
      <c r="B59" s="47">
        <v>45525</v>
      </c>
      <c r="C59" s="51" t="s">
        <v>16</v>
      </c>
      <c r="D59" s="48" t="s">
        <v>168</v>
      </c>
      <c r="E59" s="49">
        <v>202000</v>
      </c>
      <c r="F59" s="50">
        <v>204000</v>
      </c>
      <c r="G59" s="50">
        <v>336000</v>
      </c>
      <c r="H59" s="50"/>
      <c r="I59" s="50"/>
      <c r="J59" s="50">
        <v>40000</v>
      </c>
      <c r="K59" s="50" t="s">
        <v>171</v>
      </c>
    </row>
    <row r="60" spans="1:11" ht="19" x14ac:dyDescent="0.2">
      <c r="A60" s="61"/>
      <c r="B60" s="43"/>
      <c r="C60" s="46"/>
      <c r="D60" s="44"/>
      <c r="E60" s="62"/>
      <c r="F60" s="45"/>
      <c r="G60" s="45"/>
      <c r="H60" s="45"/>
      <c r="I60" s="45"/>
      <c r="J60" s="45">
        <v>47000</v>
      </c>
      <c r="K60" s="45" t="s">
        <v>40</v>
      </c>
    </row>
    <row r="61" spans="1:11" ht="19" x14ac:dyDescent="0.2">
      <c r="A61" s="57"/>
      <c r="B61" s="47"/>
      <c r="C61" s="51"/>
      <c r="D61" s="48"/>
      <c r="E61" s="49"/>
      <c r="F61" s="50"/>
      <c r="G61" s="50"/>
      <c r="H61" s="50"/>
      <c r="I61" s="50"/>
      <c r="J61" s="50">
        <v>36000</v>
      </c>
      <c r="K61" s="50" t="s">
        <v>244</v>
      </c>
    </row>
    <row r="62" spans="1:11" ht="19" x14ac:dyDescent="0.2">
      <c r="A62" s="61">
        <v>612000</v>
      </c>
      <c r="B62" s="43">
        <v>45526</v>
      </c>
      <c r="C62" s="46" t="s">
        <v>16</v>
      </c>
      <c r="D62" s="44" t="s">
        <v>168</v>
      </c>
      <c r="E62" s="62">
        <v>246000</v>
      </c>
      <c r="F62" s="45">
        <v>245000</v>
      </c>
      <c r="G62" s="45">
        <v>121000</v>
      </c>
      <c r="H62" s="45"/>
      <c r="I62" s="45"/>
      <c r="J62" s="45">
        <v>192000</v>
      </c>
      <c r="K62" s="45" t="s">
        <v>246</v>
      </c>
    </row>
    <row r="63" spans="1:11" ht="19" x14ac:dyDescent="0.2">
      <c r="A63" s="57"/>
      <c r="B63" s="47"/>
      <c r="C63" s="51"/>
      <c r="D63" s="48"/>
      <c r="E63" s="49"/>
      <c r="F63" s="50"/>
      <c r="G63" s="50"/>
      <c r="H63" s="50"/>
      <c r="I63" s="50"/>
      <c r="J63" s="50">
        <v>84000</v>
      </c>
      <c r="K63" s="50" t="s">
        <v>247</v>
      </c>
    </row>
    <row r="64" spans="1:11" ht="19" x14ac:dyDescent="0.2">
      <c r="A64" s="61"/>
      <c r="B64" s="43"/>
      <c r="C64" s="46"/>
      <c r="D64" s="44"/>
      <c r="E64" s="62"/>
      <c r="F64" s="65"/>
      <c r="G64" s="45"/>
      <c r="H64" s="45"/>
      <c r="I64" s="45"/>
      <c r="J64" s="45">
        <v>133000</v>
      </c>
      <c r="K64" s="45" t="s">
        <v>248</v>
      </c>
    </row>
    <row r="65" spans="1:11" ht="19" x14ac:dyDescent="0.2">
      <c r="A65" s="57"/>
      <c r="B65" s="47"/>
      <c r="C65" s="51"/>
      <c r="D65" s="48"/>
      <c r="E65" s="49"/>
      <c r="F65" s="50"/>
      <c r="G65" s="50"/>
      <c r="H65" s="50"/>
      <c r="I65" s="50"/>
      <c r="J65" s="50">
        <v>33000</v>
      </c>
      <c r="K65" s="50" t="s">
        <v>36</v>
      </c>
    </row>
    <row r="66" spans="1:11" ht="19" x14ac:dyDescent="0.2">
      <c r="A66" s="61"/>
      <c r="B66" s="43"/>
      <c r="C66" s="46"/>
      <c r="D66" s="44"/>
      <c r="E66" s="62"/>
      <c r="F66" s="45"/>
      <c r="G66" s="45"/>
      <c r="H66" s="45"/>
      <c r="I66" s="45"/>
      <c r="J66" s="45">
        <v>32000</v>
      </c>
      <c r="K66" s="45" t="s">
        <v>249</v>
      </c>
    </row>
    <row r="67" spans="1:11" ht="19" x14ac:dyDescent="0.2">
      <c r="A67" s="57"/>
      <c r="B67" s="47"/>
      <c r="C67" s="51"/>
      <c r="D67" s="48"/>
      <c r="E67" s="49"/>
      <c r="F67" s="50"/>
      <c r="G67" s="50"/>
      <c r="H67" s="50"/>
      <c r="I67" s="50"/>
      <c r="J67" s="50">
        <v>7000</v>
      </c>
      <c r="K67" s="50" t="s">
        <v>245</v>
      </c>
    </row>
    <row r="68" spans="1:11" ht="19" x14ac:dyDescent="0.2">
      <c r="A68" s="61">
        <v>985000</v>
      </c>
      <c r="B68" s="43">
        <v>45527</v>
      </c>
      <c r="C68" s="46" t="s">
        <v>16</v>
      </c>
      <c r="D68" s="44" t="s">
        <v>168</v>
      </c>
      <c r="E68" s="62">
        <v>534000</v>
      </c>
      <c r="F68" s="45">
        <v>184000</v>
      </c>
      <c r="G68" s="45">
        <v>267000</v>
      </c>
      <c r="H68" s="45"/>
      <c r="I68" s="45"/>
      <c r="J68" s="45">
        <v>100000</v>
      </c>
      <c r="K68" s="45" t="s">
        <v>257</v>
      </c>
    </row>
    <row r="69" spans="1:11" ht="19" x14ac:dyDescent="0.2">
      <c r="A69" s="68"/>
      <c r="B69" s="69"/>
      <c r="C69" s="70"/>
      <c r="D69" s="71"/>
      <c r="E69" s="72"/>
      <c r="F69" s="73"/>
      <c r="G69" s="73"/>
      <c r="H69" s="50"/>
      <c r="I69" s="50"/>
      <c r="J69" s="50"/>
      <c r="K69" s="50"/>
    </row>
    <row r="70" spans="1:11" ht="19" x14ac:dyDescent="0.2">
      <c r="A70" s="61"/>
      <c r="B70" s="43">
        <v>45528</v>
      </c>
      <c r="C70" s="46"/>
      <c r="D70" s="44"/>
      <c r="E70" s="62" t="s">
        <v>125</v>
      </c>
      <c r="F70" s="45"/>
      <c r="G70" s="45"/>
      <c r="H70" s="45"/>
      <c r="I70" s="45"/>
      <c r="J70" s="45"/>
      <c r="K70" s="45"/>
    </row>
    <row r="71" spans="1:11" ht="19" x14ac:dyDescent="0.2">
      <c r="A71" s="57"/>
      <c r="B71" s="47">
        <v>45529</v>
      </c>
      <c r="C71" s="51"/>
      <c r="D71" s="48"/>
      <c r="E71" s="49" t="s">
        <v>125</v>
      </c>
      <c r="F71" s="50"/>
      <c r="G71" s="50"/>
      <c r="H71" s="50"/>
      <c r="I71" s="50"/>
      <c r="J71" s="50"/>
      <c r="K71" s="50"/>
    </row>
    <row r="72" spans="1:11" ht="19" x14ac:dyDescent="0.2">
      <c r="A72" s="61"/>
      <c r="B72" s="43"/>
      <c r="C72" s="46"/>
      <c r="D72" s="44"/>
      <c r="E72" s="62"/>
      <c r="F72" s="45"/>
      <c r="G72" s="45"/>
      <c r="H72" s="45"/>
      <c r="I72" s="45"/>
      <c r="J72" s="45"/>
      <c r="K72" s="45"/>
    </row>
    <row r="73" spans="1:11" ht="19" x14ac:dyDescent="0.2">
      <c r="A73" s="57">
        <v>938000</v>
      </c>
      <c r="B73" s="47">
        <v>45530</v>
      </c>
      <c r="C73" s="51" t="s">
        <v>16</v>
      </c>
      <c r="D73" s="48" t="s">
        <v>168</v>
      </c>
      <c r="E73" s="49">
        <v>378000</v>
      </c>
      <c r="F73" s="50">
        <v>232000</v>
      </c>
      <c r="G73" s="50">
        <v>328000</v>
      </c>
      <c r="H73" s="50"/>
      <c r="I73" s="50"/>
      <c r="J73" s="73"/>
      <c r="K73" s="73"/>
    </row>
    <row r="74" spans="1:11" ht="19" x14ac:dyDescent="0.2">
      <c r="A74" s="61"/>
      <c r="B74" s="43"/>
      <c r="C74" s="46"/>
      <c r="D74" s="44"/>
      <c r="E74" s="62"/>
      <c r="F74" s="45"/>
      <c r="G74" s="45"/>
      <c r="H74" s="45"/>
      <c r="I74" s="45"/>
      <c r="J74" s="45"/>
      <c r="K74" s="45"/>
    </row>
    <row r="75" spans="1:11" ht="19" x14ac:dyDescent="0.2">
      <c r="A75" s="57">
        <v>574000</v>
      </c>
      <c r="B75" s="47">
        <v>45531</v>
      </c>
      <c r="C75" s="51" t="s">
        <v>16</v>
      </c>
      <c r="D75" s="48" t="s">
        <v>168</v>
      </c>
      <c r="E75" s="49">
        <v>327000</v>
      </c>
      <c r="F75" s="50">
        <v>138000</v>
      </c>
      <c r="G75" s="50">
        <v>109000</v>
      </c>
      <c r="H75" s="50"/>
      <c r="I75" s="50"/>
      <c r="J75" s="63">
        <v>6000</v>
      </c>
      <c r="K75" s="63" t="s">
        <v>250</v>
      </c>
    </row>
    <row r="76" spans="1:11" ht="19" x14ac:dyDescent="0.2">
      <c r="A76" s="61"/>
      <c r="B76" s="43"/>
      <c r="C76" s="46"/>
      <c r="D76" s="44"/>
      <c r="E76" s="62"/>
      <c r="F76" s="45"/>
      <c r="G76" s="45"/>
      <c r="H76" s="45"/>
      <c r="I76" s="45"/>
      <c r="J76" s="64">
        <v>36000</v>
      </c>
      <c r="K76" s="64" t="s">
        <v>251</v>
      </c>
    </row>
    <row r="77" spans="1:11" ht="19" x14ac:dyDescent="0.2">
      <c r="A77" s="57"/>
      <c r="B77" s="47"/>
      <c r="C77" s="51"/>
      <c r="D77" s="48"/>
      <c r="E77" s="49"/>
      <c r="F77" s="50"/>
      <c r="G77" s="50"/>
      <c r="H77" s="50"/>
      <c r="I77" s="50"/>
      <c r="J77" s="50">
        <v>52000</v>
      </c>
      <c r="K77" s="50" t="s">
        <v>252</v>
      </c>
    </row>
    <row r="78" spans="1:11" ht="19" x14ac:dyDescent="0.2">
      <c r="A78" s="61"/>
      <c r="B78" s="43"/>
      <c r="C78" s="46"/>
      <c r="D78" s="44"/>
      <c r="E78" s="62"/>
      <c r="F78" s="45"/>
      <c r="G78" s="45"/>
      <c r="H78" s="45"/>
      <c r="I78" s="45"/>
      <c r="J78" s="45">
        <v>9000</v>
      </c>
      <c r="K78" s="45" t="s">
        <v>253</v>
      </c>
    </row>
    <row r="79" spans="1:11" ht="19" x14ac:dyDescent="0.2">
      <c r="A79" s="57">
        <v>652000</v>
      </c>
      <c r="B79" s="47">
        <v>45532</v>
      </c>
      <c r="C79" s="51" t="s">
        <v>16</v>
      </c>
      <c r="D79" s="48" t="s">
        <v>168</v>
      </c>
      <c r="E79" s="49">
        <v>454000</v>
      </c>
      <c r="F79" s="50">
        <v>58000</v>
      </c>
      <c r="G79" s="50">
        <v>140000</v>
      </c>
      <c r="H79" s="50"/>
      <c r="I79" s="50"/>
      <c r="J79" s="50">
        <v>9000</v>
      </c>
      <c r="K79" s="50" t="s">
        <v>52</v>
      </c>
    </row>
    <row r="80" spans="1:11" ht="19" x14ac:dyDescent="0.2">
      <c r="A80" s="61"/>
      <c r="B80" s="43"/>
      <c r="C80" s="46"/>
      <c r="D80" s="44"/>
      <c r="E80" s="62"/>
      <c r="F80" s="45"/>
      <c r="G80" s="45"/>
      <c r="H80" s="45"/>
      <c r="I80" s="45"/>
      <c r="J80" s="45">
        <v>104000</v>
      </c>
      <c r="K80" s="45" t="s">
        <v>254</v>
      </c>
    </row>
    <row r="81" spans="1:11" ht="19" x14ac:dyDescent="0.2">
      <c r="A81" s="57"/>
      <c r="B81" s="47"/>
      <c r="C81" s="51"/>
      <c r="D81" s="48"/>
      <c r="E81" s="49"/>
      <c r="F81" s="50"/>
      <c r="G81" s="50"/>
      <c r="H81" s="50"/>
      <c r="I81" s="50"/>
      <c r="J81" s="50">
        <v>90000</v>
      </c>
      <c r="K81" s="50" t="s">
        <v>58</v>
      </c>
    </row>
    <row r="82" spans="1:11" ht="19" x14ac:dyDescent="0.2">
      <c r="A82" s="61"/>
      <c r="B82" s="43"/>
      <c r="C82" s="46"/>
      <c r="D82" s="44"/>
      <c r="E82" s="62"/>
      <c r="F82" s="45"/>
      <c r="G82" s="45"/>
      <c r="H82" s="45"/>
      <c r="I82" s="45"/>
      <c r="J82" s="45">
        <v>11000</v>
      </c>
      <c r="K82" s="45" t="s">
        <v>255</v>
      </c>
    </row>
    <row r="83" spans="1:11" ht="19" x14ac:dyDescent="0.2">
      <c r="A83" s="57"/>
      <c r="B83" s="47"/>
      <c r="C83" s="51"/>
      <c r="D83" s="48"/>
      <c r="E83" s="49"/>
      <c r="F83" s="50"/>
      <c r="G83" s="50"/>
      <c r="H83" s="50"/>
      <c r="I83" s="50"/>
      <c r="J83" s="50">
        <v>66000</v>
      </c>
      <c r="K83" s="50" t="s">
        <v>139</v>
      </c>
    </row>
    <row r="84" spans="1:11" ht="19" x14ac:dyDescent="0.2">
      <c r="A84" s="61">
        <v>771000</v>
      </c>
      <c r="B84" s="43">
        <v>45533</v>
      </c>
      <c r="C84" s="46" t="s">
        <v>16</v>
      </c>
      <c r="D84" s="44" t="s">
        <v>168</v>
      </c>
      <c r="E84" s="62">
        <v>322000</v>
      </c>
      <c r="F84" s="45">
        <v>232000</v>
      </c>
      <c r="G84" s="45">
        <v>217000</v>
      </c>
      <c r="H84" s="45"/>
      <c r="I84" s="45"/>
      <c r="J84" s="45">
        <v>7000</v>
      </c>
      <c r="K84" s="45" t="s">
        <v>256</v>
      </c>
    </row>
    <row r="85" spans="1:11" ht="19" x14ac:dyDescent="0.2">
      <c r="A85" s="57"/>
      <c r="B85" s="47"/>
      <c r="C85" s="51"/>
      <c r="D85" s="48"/>
      <c r="E85" s="49"/>
      <c r="F85" s="50"/>
      <c r="G85" s="50"/>
      <c r="H85" s="50"/>
      <c r="I85" s="50"/>
      <c r="J85" s="50">
        <v>200000</v>
      </c>
      <c r="K85" s="50" t="s">
        <v>21</v>
      </c>
    </row>
    <row r="86" spans="1:11" ht="19" x14ac:dyDescent="0.2">
      <c r="A86" s="61"/>
      <c r="B86" s="43"/>
      <c r="C86" s="46"/>
      <c r="D86" s="44"/>
      <c r="E86" s="62"/>
      <c r="F86" s="45"/>
      <c r="G86" s="45"/>
      <c r="H86" s="45"/>
      <c r="I86" s="45"/>
      <c r="J86" s="45">
        <v>45000</v>
      </c>
      <c r="K86" s="45" t="s">
        <v>22</v>
      </c>
    </row>
    <row r="87" spans="1:11" ht="19" x14ac:dyDescent="0.2">
      <c r="A87" s="57"/>
      <c r="B87" s="47"/>
      <c r="C87" s="51"/>
      <c r="D87" s="48"/>
      <c r="E87" s="49"/>
      <c r="F87" s="50"/>
      <c r="G87" s="50"/>
      <c r="H87" s="50">
        <v>1607000</v>
      </c>
      <c r="I87" s="50" t="s">
        <v>260</v>
      </c>
      <c r="J87" s="50">
        <v>150000</v>
      </c>
      <c r="K87" s="50" t="s">
        <v>23</v>
      </c>
    </row>
    <row r="88" spans="1:11" ht="19" x14ac:dyDescent="0.2">
      <c r="A88" s="61">
        <v>716000</v>
      </c>
      <c r="B88" s="43">
        <v>45534</v>
      </c>
      <c r="C88" s="46" t="s">
        <v>16</v>
      </c>
      <c r="D88" s="44" t="s">
        <v>168</v>
      </c>
      <c r="E88" s="62">
        <v>439000</v>
      </c>
      <c r="F88" s="45">
        <v>181000</v>
      </c>
      <c r="G88" s="45">
        <v>96000</v>
      </c>
      <c r="H88" s="45">
        <v>2180000</v>
      </c>
      <c r="I88" s="45" t="s">
        <v>238</v>
      </c>
      <c r="J88" s="45"/>
      <c r="K88" s="45"/>
    </row>
    <row r="89" spans="1:11" ht="19" x14ac:dyDescent="0.2">
      <c r="A89" s="57"/>
      <c r="B89" s="47">
        <v>45535</v>
      </c>
      <c r="C89" s="51"/>
      <c r="D89" s="48"/>
      <c r="E89" s="49" t="s">
        <v>125</v>
      </c>
      <c r="F89" s="50"/>
      <c r="G89" s="50"/>
      <c r="H89" s="50"/>
      <c r="I89" s="50"/>
      <c r="J89" s="50"/>
      <c r="K89" s="50"/>
    </row>
    <row r="90" spans="1:11" ht="19" x14ac:dyDescent="0.2">
      <c r="A90" s="61"/>
      <c r="B90" s="43"/>
      <c r="C90" s="46"/>
      <c r="D90" s="44"/>
      <c r="E90" s="62"/>
      <c r="F90" s="45"/>
      <c r="G90" s="45"/>
      <c r="H90" s="45"/>
      <c r="I90" s="45"/>
      <c r="J90" s="45"/>
      <c r="K90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K88"/>
  <sheetViews>
    <sheetView workbookViewId="0">
      <selection activeCell="E9" sqref="E9"/>
    </sheetView>
  </sheetViews>
  <sheetFormatPr baseColWidth="10" defaultColWidth="11.5" defaultRowHeight="15" x14ac:dyDescent="0.2"/>
  <cols>
    <col min="1" max="1" width="20.33203125" bestFit="1" customWidth="1"/>
    <col min="3" max="3" width="13.33203125" bestFit="1" customWidth="1"/>
    <col min="5" max="5" width="20.33203125" bestFit="1" customWidth="1"/>
    <col min="6" max="6" width="23" customWidth="1"/>
    <col min="7" max="7" width="22.5" customWidth="1"/>
    <col min="8" max="8" width="21.5" customWidth="1"/>
    <col min="9" max="9" width="25.5" customWidth="1"/>
    <col min="10" max="10" width="24.83203125" customWidth="1"/>
    <col min="11" max="11" width="28.1640625" customWidth="1"/>
  </cols>
  <sheetData>
    <row r="3" spans="1:11" ht="21" x14ac:dyDescent="0.2">
      <c r="H3" s="26"/>
      <c r="I3" s="27" t="s">
        <v>0</v>
      </c>
      <c r="J3" s="27">
        <f>L11/A11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362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576590</v>
      </c>
      <c r="K6" s="30" t="s">
        <v>315</v>
      </c>
    </row>
    <row r="7" spans="1:11" ht="26" x14ac:dyDescent="0.3">
      <c r="B7" s="32" t="s">
        <v>314</v>
      </c>
    </row>
    <row r="8" spans="1:11" ht="21" x14ac:dyDescent="0.25">
      <c r="B8" s="84" t="s">
        <v>313</v>
      </c>
      <c r="C8" s="85"/>
      <c r="D8" s="85"/>
      <c r="E8" s="85"/>
      <c r="F8" s="85"/>
      <c r="G8" s="85"/>
      <c r="H8" s="85"/>
      <c r="I8" s="85"/>
    </row>
    <row r="10" spans="1:11" ht="19" x14ac:dyDescent="0.2">
      <c r="A10" s="33" t="s">
        <v>5</v>
      </c>
      <c r="B10" s="33" t="s">
        <v>6</v>
      </c>
      <c r="C10" s="34" t="s">
        <v>7</v>
      </c>
      <c r="D10" s="35" t="s">
        <v>8</v>
      </c>
      <c r="E10" s="36" t="s">
        <v>9</v>
      </c>
      <c r="F10" s="37" t="s">
        <v>10</v>
      </c>
      <c r="G10" s="37" t="s">
        <v>49</v>
      </c>
      <c r="H10" s="37" t="s">
        <v>11</v>
      </c>
      <c r="I10" s="37" t="s">
        <v>12</v>
      </c>
      <c r="J10" s="37" t="s">
        <v>13</v>
      </c>
      <c r="K10" s="37" t="s">
        <v>14</v>
      </c>
    </row>
    <row r="11" spans="1:11" ht="21" x14ac:dyDescent="0.2">
      <c r="A11" s="38">
        <f>SUM(A12:A468)</f>
        <v>21885000</v>
      </c>
      <c r="B11" s="39"/>
      <c r="C11" s="40" t="s">
        <v>15</v>
      </c>
      <c r="D11" s="41"/>
      <c r="E11" s="42">
        <f>SUM(E12:E468)</f>
        <v>10448000</v>
      </c>
      <c r="F11" s="38">
        <f>SUM(F12:F468)</f>
        <v>5670000</v>
      </c>
      <c r="G11" s="38">
        <f>SUM(G12:G463)</f>
        <v>5767000</v>
      </c>
      <c r="H11" s="38">
        <f>SUM(H12:H468)</f>
        <v>5690000</v>
      </c>
      <c r="I11" s="38"/>
      <c r="J11" s="38">
        <f>SUM(J12:J468)</f>
        <v>4804500</v>
      </c>
      <c r="K11" s="38"/>
    </row>
    <row r="12" spans="1:11" ht="19" x14ac:dyDescent="0.2">
      <c r="A12" s="52"/>
      <c r="B12" s="10">
        <v>45536</v>
      </c>
      <c r="C12" s="11" t="s">
        <v>42</v>
      </c>
      <c r="D12" s="12"/>
      <c r="E12" s="13"/>
      <c r="F12" s="13"/>
      <c r="G12" s="13"/>
      <c r="H12" s="13">
        <v>455000</v>
      </c>
      <c r="I12" s="13" t="s">
        <v>310</v>
      </c>
      <c r="J12" s="13"/>
      <c r="K12" s="13"/>
    </row>
    <row r="13" spans="1:11" ht="19" x14ac:dyDescent="0.2">
      <c r="A13" s="53"/>
      <c r="B13" s="4">
        <v>45537</v>
      </c>
      <c r="C13" s="5" t="s">
        <v>42</v>
      </c>
      <c r="D13" s="2"/>
      <c r="E13" s="3"/>
      <c r="F13" s="1"/>
      <c r="G13" s="1"/>
      <c r="H13" s="1"/>
      <c r="I13" s="1"/>
      <c r="J13" s="1"/>
      <c r="K13" s="1"/>
    </row>
    <row r="14" spans="1:11" ht="19" x14ac:dyDescent="0.2">
      <c r="A14" s="54">
        <v>118000</v>
      </c>
      <c r="B14" s="10">
        <v>45538</v>
      </c>
      <c r="C14" s="14" t="s">
        <v>16</v>
      </c>
      <c r="D14" s="12" t="s">
        <v>168</v>
      </c>
      <c r="E14" s="15">
        <v>25000</v>
      </c>
      <c r="F14" s="13">
        <v>47000</v>
      </c>
      <c r="G14" s="13">
        <v>46000</v>
      </c>
      <c r="H14" s="13"/>
      <c r="I14" s="13"/>
      <c r="J14" s="13">
        <v>24000</v>
      </c>
      <c r="K14" s="13" t="s">
        <v>264</v>
      </c>
    </row>
    <row r="15" spans="1:11" ht="19" x14ac:dyDescent="0.2">
      <c r="A15" s="53">
        <v>1222000</v>
      </c>
      <c r="B15" s="4">
        <v>45539</v>
      </c>
      <c r="C15" s="5" t="s">
        <v>16</v>
      </c>
      <c r="D15" s="2" t="s">
        <v>168</v>
      </c>
      <c r="E15" s="3">
        <v>627000</v>
      </c>
      <c r="F15" s="1">
        <v>393000</v>
      </c>
      <c r="G15" s="1">
        <v>202000</v>
      </c>
      <c r="H15" s="1"/>
      <c r="I15" s="1"/>
      <c r="J15" s="1">
        <v>20000</v>
      </c>
      <c r="K15" s="1" t="s">
        <v>265</v>
      </c>
    </row>
    <row r="16" spans="1:11" ht="19" x14ac:dyDescent="0.2">
      <c r="A16" s="54"/>
      <c r="B16" s="10"/>
      <c r="C16" s="14"/>
      <c r="D16" s="12"/>
      <c r="E16" s="15"/>
      <c r="F16" s="13"/>
      <c r="G16" s="13"/>
      <c r="H16" s="13"/>
      <c r="I16" s="13"/>
      <c r="J16" s="13">
        <v>47000</v>
      </c>
      <c r="K16" s="13" t="s">
        <v>40</v>
      </c>
    </row>
    <row r="17" spans="1:11" ht="19" x14ac:dyDescent="0.2">
      <c r="A17" s="55"/>
      <c r="B17" s="18"/>
      <c r="C17" s="19"/>
      <c r="D17" s="20"/>
      <c r="E17" s="21"/>
      <c r="F17" s="8"/>
      <c r="G17" s="8"/>
      <c r="H17" s="23"/>
      <c r="I17" s="23"/>
      <c r="J17" s="8">
        <v>23000</v>
      </c>
      <c r="K17" s="8" t="s">
        <v>266</v>
      </c>
    </row>
    <row r="18" spans="1:11" ht="19" x14ac:dyDescent="0.2">
      <c r="A18" s="56">
        <v>1079000</v>
      </c>
      <c r="B18" s="10">
        <v>45540</v>
      </c>
      <c r="C18" s="16" t="s">
        <v>16</v>
      </c>
      <c r="D18" s="12" t="s">
        <v>168</v>
      </c>
      <c r="E18" s="15">
        <v>542000</v>
      </c>
      <c r="F18" s="13">
        <v>179000</v>
      </c>
      <c r="G18" s="13">
        <v>358000</v>
      </c>
      <c r="H18" s="17"/>
      <c r="I18" s="17"/>
      <c r="J18" s="13">
        <v>8000</v>
      </c>
      <c r="K18" s="13" t="s">
        <v>267</v>
      </c>
    </row>
    <row r="19" spans="1:11" ht="19" x14ac:dyDescent="0.2">
      <c r="A19" s="55"/>
      <c r="B19" s="18"/>
      <c r="C19" s="19"/>
      <c r="D19" s="20"/>
      <c r="E19" s="21"/>
      <c r="F19" s="8"/>
      <c r="G19" s="8"/>
      <c r="H19" s="23"/>
      <c r="I19" s="23"/>
      <c r="J19" s="8">
        <v>32000</v>
      </c>
      <c r="K19" s="8" t="s">
        <v>268</v>
      </c>
    </row>
    <row r="20" spans="1:11" ht="19" x14ac:dyDescent="0.2">
      <c r="A20" s="56">
        <v>1205000</v>
      </c>
      <c r="B20" s="10">
        <v>45541</v>
      </c>
      <c r="C20" s="16" t="s">
        <v>16</v>
      </c>
      <c r="D20" s="12" t="s">
        <v>168</v>
      </c>
      <c r="E20" s="15">
        <v>596000</v>
      </c>
      <c r="F20" s="13">
        <v>356000</v>
      </c>
      <c r="G20" s="13">
        <v>253000</v>
      </c>
      <c r="H20" s="17"/>
      <c r="I20" s="17"/>
      <c r="J20" s="13">
        <v>33000</v>
      </c>
      <c r="K20" s="13" t="s">
        <v>56</v>
      </c>
    </row>
    <row r="21" spans="1:11" ht="19" x14ac:dyDescent="0.2">
      <c r="A21" s="55"/>
      <c r="B21" s="18"/>
      <c r="C21" s="19"/>
      <c r="D21" s="20"/>
      <c r="E21" s="21"/>
      <c r="F21" s="8"/>
      <c r="G21" s="8"/>
      <c r="H21" s="23"/>
      <c r="I21" s="23"/>
      <c r="J21" s="8">
        <v>41000</v>
      </c>
      <c r="K21" s="8" t="s">
        <v>269</v>
      </c>
    </row>
    <row r="22" spans="1:11" ht="19" x14ac:dyDescent="0.2">
      <c r="A22" s="56"/>
      <c r="B22" s="10"/>
      <c r="C22" s="16"/>
      <c r="D22" s="12"/>
      <c r="E22" s="15"/>
      <c r="F22" s="13"/>
      <c r="G22" s="13"/>
      <c r="H22" s="17"/>
      <c r="I22" s="17"/>
      <c r="J22" s="13">
        <v>29000</v>
      </c>
      <c r="K22" s="13" t="s">
        <v>270</v>
      </c>
    </row>
    <row r="23" spans="1:11" ht="19" x14ac:dyDescent="0.2">
      <c r="A23" s="55"/>
      <c r="B23" s="18">
        <v>45542</v>
      </c>
      <c r="C23" s="21" t="s">
        <v>42</v>
      </c>
      <c r="D23" s="20"/>
      <c r="E23" s="21"/>
      <c r="F23" s="8"/>
      <c r="G23" s="8"/>
      <c r="H23" s="23"/>
      <c r="I23" s="23"/>
      <c r="J23" s="8">
        <v>100000</v>
      </c>
      <c r="K23" s="8" t="s">
        <v>271</v>
      </c>
    </row>
    <row r="24" spans="1:11" ht="19" x14ac:dyDescent="0.2">
      <c r="A24" s="56"/>
      <c r="B24" s="10"/>
      <c r="C24" s="16"/>
      <c r="D24" s="12"/>
      <c r="E24" s="15"/>
      <c r="F24" s="13"/>
      <c r="G24" s="13"/>
      <c r="H24" s="13"/>
      <c r="I24" s="13"/>
      <c r="J24" s="13"/>
      <c r="K24" s="13"/>
    </row>
    <row r="25" spans="1:11" ht="19" x14ac:dyDescent="0.2">
      <c r="A25" s="55"/>
      <c r="B25" s="18">
        <v>45543</v>
      </c>
      <c r="C25" s="21" t="s">
        <v>42</v>
      </c>
      <c r="D25" s="20"/>
      <c r="E25" s="21"/>
      <c r="F25" s="8"/>
      <c r="G25" s="8"/>
      <c r="H25" s="8"/>
      <c r="I25" s="8"/>
      <c r="J25" s="8"/>
      <c r="K25" s="8"/>
    </row>
    <row r="26" spans="1:11" ht="19" x14ac:dyDescent="0.2">
      <c r="A26" s="56"/>
      <c r="B26" s="10"/>
      <c r="C26" s="16"/>
      <c r="D26" s="12"/>
      <c r="E26" s="15"/>
      <c r="F26" s="13"/>
      <c r="G26" s="13"/>
      <c r="H26" s="13"/>
      <c r="I26" s="13"/>
      <c r="J26" s="13"/>
      <c r="K26" s="13"/>
    </row>
    <row r="27" spans="1:11" ht="19" x14ac:dyDescent="0.2">
      <c r="A27" s="55">
        <v>891000</v>
      </c>
      <c r="B27" s="18">
        <v>45544</v>
      </c>
      <c r="C27" s="19" t="s">
        <v>16</v>
      </c>
      <c r="D27" s="20" t="s">
        <v>168</v>
      </c>
      <c r="E27" s="21">
        <v>408000</v>
      </c>
      <c r="F27" s="8">
        <v>254000</v>
      </c>
      <c r="G27" s="8">
        <v>229000</v>
      </c>
      <c r="H27" s="8">
        <v>200000</v>
      </c>
      <c r="I27" s="8" t="s">
        <v>312</v>
      </c>
      <c r="J27" s="8"/>
      <c r="K27" s="8"/>
    </row>
    <row r="28" spans="1:11" ht="19" x14ac:dyDescent="0.2">
      <c r="A28" s="56"/>
      <c r="B28" s="10"/>
      <c r="C28" s="16"/>
      <c r="D28" s="12"/>
      <c r="E28" s="15"/>
      <c r="F28" s="13"/>
      <c r="G28" s="13"/>
      <c r="H28" s="13"/>
      <c r="I28" s="13"/>
      <c r="J28" s="13"/>
      <c r="K28" s="13"/>
    </row>
    <row r="29" spans="1:11" ht="19" x14ac:dyDescent="0.2">
      <c r="A29" s="55">
        <v>1177000</v>
      </c>
      <c r="B29" s="18">
        <v>45545</v>
      </c>
      <c r="C29" s="19" t="s">
        <v>16</v>
      </c>
      <c r="D29" s="20" t="s">
        <v>168</v>
      </c>
      <c r="E29" s="21">
        <v>785000</v>
      </c>
      <c r="F29" s="8">
        <v>208000</v>
      </c>
      <c r="G29" s="8">
        <v>184000</v>
      </c>
      <c r="H29" s="8"/>
      <c r="I29" s="8"/>
      <c r="J29" s="1">
        <v>47000</v>
      </c>
      <c r="K29" s="1" t="s">
        <v>92</v>
      </c>
    </row>
    <row r="30" spans="1:11" ht="19" x14ac:dyDescent="0.2">
      <c r="A30" s="56"/>
      <c r="B30" s="10"/>
      <c r="C30" s="14"/>
      <c r="D30" s="12"/>
      <c r="E30" s="15"/>
      <c r="F30" s="13"/>
      <c r="G30" s="13"/>
      <c r="H30" s="13"/>
      <c r="I30" s="13"/>
      <c r="J30" s="13">
        <v>33000</v>
      </c>
      <c r="K30" s="13" t="s">
        <v>272</v>
      </c>
    </row>
    <row r="31" spans="1:11" ht="19" x14ac:dyDescent="0.2">
      <c r="A31" s="55"/>
      <c r="B31" s="4"/>
      <c r="C31" s="5"/>
      <c r="D31" s="2"/>
      <c r="E31" s="3"/>
      <c r="F31" s="1"/>
      <c r="G31" s="1"/>
      <c r="H31" s="1"/>
      <c r="I31" s="1"/>
      <c r="J31" s="1">
        <v>104500</v>
      </c>
      <c r="K31" s="1" t="s">
        <v>273</v>
      </c>
    </row>
    <row r="32" spans="1:11" ht="19" x14ac:dyDescent="0.2">
      <c r="A32" s="56"/>
      <c r="B32" s="10"/>
      <c r="C32" s="14"/>
      <c r="D32" s="12"/>
      <c r="E32" s="15"/>
      <c r="F32" s="13"/>
      <c r="G32" s="13"/>
      <c r="H32" s="13"/>
      <c r="I32" s="13"/>
      <c r="J32" s="13">
        <v>85500</v>
      </c>
      <c r="K32" s="13" t="s">
        <v>274</v>
      </c>
    </row>
    <row r="33" spans="1:11" ht="19" x14ac:dyDescent="0.2">
      <c r="A33" s="53">
        <v>1080000</v>
      </c>
      <c r="B33" s="4">
        <v>45546</v>
      </c>
      <c r="C33" s="5" t="s">
        <v>16</v>
      </c>
      <c r="D33" s="2" t="s">
        <v>168</v>
      </c>
      <c r="E33" s="3">
        <v>589000</v>
      </c>
      <c r="F33" s="1">
        <v>175000</v>
      </c>
      <c r="G33" s="1">
        <v>316000</v>
      </c>
      <c r="H33" s="1"/>
      <c r="I33" s="1"/>
      <c r="J33" s="1">
        <v>51000</v>
      </c>
      <c r="K33" s="1" t="s">
        <v>213</v>
      </c>
    </row>
    <row r="34" spans="1:11" ht="19" x14ac:dyDescent="0.2">
      <c r="A34" s="54"/>
      <c r="B34" s="10"/>
      <c r="C34" s="14"/>
      <c r="D34" s="12"/>
      <c r="E34" s="15"/>
      <c r="F34" s="13"/>
      <c r="G34" s="13"/>
      <c r="H34" s="13"/>
      <c r="I34" s="13"/>
      <c r="J34" s="13">
        <v>175000</v>
      </c>
      <c r="K34" s="13" t="s">
        <v>275</v>
      </c>
    </row>
    <row r="35" spans="1:11" ht="19" x14ac:dyDescent="0.2">
      <c r="A35" s="53"/>
      <c r="B35" s="18"/>
      <c r="C35" s="22"/>
      <c r="D35" s="20"/>
      <c r="E35" s="21"/>
      <c r="F35" s="8"/>
      <c r="G35" s="8"/>
      <c r="H35" s="8"/>
      <c r="I35" s="8"/>
      <c r="J35" s="8">
        <v>90000</v>
      </c>
      <c r="K35" s="8" t="s">
        <v>276</v>
      </c>
    </row>
    <row r="36" spans="1:11" ht="19" x14ac:dyDescent="0.2">
      <c r="A36" s="54"/>
      <c r="B36" s="10"/>
      <c r="C36" s="14"/>
      <c r="D36" s="12"/>
      <c r="E36" s="15"/>
      <c r="F36" s="13"/>
      <c r="G36" s="13"/>
      <c r="H36" s="13"/>
      <c r="I36" s="13"/>
      <c r="J36" s="13">
        <v>192000</v>
      </c>
      <c r="K36" s="13" t="s">
        <v>90</v>
      </c>
    </row>
    <row r="37" spans="1:11" ht="19" x14ac:dyDescent="0.2">
      <c r="A37" s="55"/>
      <c r="B37" s="18"/>
      <c r="C37" s="22"/>
      <c r="D37" s="20"/>
      <c r="E37" s="21"/>
      <c r="F37" s="8"/>
      <c r="G37" s="8"/>
      <c r="H37" s="8"/>
      <c r="I37" s="8"/>
      <c r="J37" s="8">
        <v>15000</v>
      </c>
      <c r="K37" s="81" t="s">
        <v>277</v>
      </c>
    </row>
    <row r="38" spans="1:11" ht="19" x14ac:dyDescent="0.2">
      <c r="A38" s="56">
        <v>1043000</v>
      </c>
      <c r="B38" s="10">
        <v>45547</v>
      </c>
      <c r="C38" s="14" t="s">
        <v>16</v>
      </c>
      <c r="D38" s="12" t="s">
        <v>168</v>
      </c>
      <c r="E38" s="15">
        <v>484000</v>
      </c>
      <c r="F38" s="13">
        <v>344000</v>
      </c>
      <c r="G38" s="13">
        <v>215000</v>
      </c>
      <c r="H38" s="13">
        <v>900000</v>
      </c>
      <c r="I38" s="13" t="s">
        <v>311</v>
      </c>
      <c r="J38" s="13">
        <v>34000</v>
      </c>
      <c r="K38" s="13" t="s">
        <v>278</v>
      </c>
    </row>
    <row r="39" spans="1:11" ht="19" x14ac:dyDescent="0.2">
      <c r="A39" s="55"/>
      <c r="B39" s="4"/>
      <c r="C39" s="5"/>
      <c r="D39" s="2"/>
      <c r="E39" s="3"/>
      <c r="F39" s="1"/>
      <c r="G39" s="1"/>
      <c r="H39" s="1"/>
      <c r="I39" s="1"/>
      <c r="J39" s="8">
        <v>28000</v>
      </c>
      <c r="K39" s="1" t="s">
        <v>279</v>
      </c>
    </row>
    <row r="40" spans="1:11" ht="19" x14ac:dyDescent="0.2">
      <c r="A40" s="56"/>
      <c r="B40" s="10"/>
      <c r="C40" s="14"/>
      <c r="D40" s="12"/>
      <c r="E40" s="15"/>
      <c r="F40" s="13"/>
      <c r="G40" s="13"/>
      <c r="H40" s="13"/>
      <c r="I40" s="13"/>
      <c r="J40" s="13">
        <v>15500</v>
      </c>
      <c r="K40" s="13" t="s">
        <v>280</v>
      </c>
    </row>
    <row r="41" spans="1:11" ht="19" x14ac:dyDescent="0.2">
      <c r="A41" s="55"/>
      <c r="B41" s="4"/>
      <c r="C41" s="5"/>
      <c r="D41" s="2"/>
      <c r="E41" s="3"/>
      <c r="F41" s="1"/>
      <c r="G41" s="1"/>
      <c r="H41" s="1"/>
      <c r="I41" s="1"/>
      <c r="J41" s="1">
        <v>130000</v>
      </c>
      <c r="K41" s="1" t="s">
        <v>281</v>
      </c>
    </row>
    <row r="42" spans="1:11" ht="19" x14ac:dyDescent="0.2">
      <c r="A42" s="55">
        <v>1289000</v>
      </c>
      <c r="B42" s="4">
        <v>45548</v>
      </c>
      <c r="C42" s="5" t="s">
        <v>16</v>
      </c>
      <c r="D42" s="2" t="s">
        <v>168</v>
      </c>
      <c r="E42" s="3">
        <v>573000</v>
      </c>
      <c r="F42" s="1">
        <v>290000</v>
      </c>
      <c r="G42" s="1">
        <v>426000</v>
      </c>
      <c r="H42" s="1"/>
      <c r="I42" s="1"/>
      <c r="J42" s="1">
        <v>65000</v>
      </c>
      <c r="K42" s="1" t="s">
        <v>282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>
        <v>42000</v>
      </c>
      <c r="K43" s="13" t="s">
        <v>283</v>
      </c>
    </row>
    <row r="44" spans="1:11" ht="19" x14ac:dyDescent="0.2">
      <c r="A44" s="55"/>
      <c r="B44" s="4">
        <v>45549</v>
      </c>
      <c r="C44" s="5" t="s">
        <v>42</v>
      </c>
      <c r="D44" s="2"/>
      <c r="E44" s="3"/>
      <c r="F44" s="1"/>
      <c r="G44" s="1"/>
      <c r="H44" s="1"/>
      <c r="I44" s="82"/>
      <c r="J44" s="8"/>
      <c r="K44" s="1"/>
    </row>
    <row r="45" spans="1:11" ht="19" x14ac:dyDescent="0.2">
      <c r="A45" s="56"/>
      <c r="B45" s="10"/>
      <c r="C45" s="14"/>
      <c r="D45" s="12"/>
      <c r="E45" s="15"/>
      <c r="F45" s="13"/>
      <c r="G45" s="13"/>
      <c r="H45" s="13"/>
      <c r="I45" s="13"/>
      <c r="J45" s="13"/>
      <c r="K45" s="13"/>
    </row>
    <row r="46" spans="1:11" ht="19" x14ac:dyDescent="0.2">
      <c r="A46" s="55"/>
      <c r="B46" s="4">
        <v>45550</v>
      </c>
      <c r="C46" s="5" t="s">
        <v>42</v>
      </c>
      <c r="D46" s="2"/>
      <c r="E46" s="3"/>
      <c r="F46" s="1"/>
      <c r="G46" s="1"/>
      <c r="H46" s="1"/>
      <c r="I46" s="1"/>
      <c r="J46" s="1">
        <v>174000</v>
      </c>
      <c r="K46" s="1" t="s">
        <v>284</v>
      </c>
    </row>
    <row r="47" spans="1:11" ht="19" x14ac:dyDescent="0.2">
      <c r="A47" s="58">
        <v>1086000</v>
      </c>
      <c r="B47" s="10">
        <v>45551</v>
      </c>
      <c r="C47" s="14" t="s">
        <v>16</v>
      </c>
      <c r="D47" s="12" t="s">
        <v>168</v>
      </c>
      <c r="E47" s="15">
        <v>415000</v>
      </c>
      <c r="F47" s="13">
        <v>359000</v>
      </c>
      <c r="G47" s="13">
        <v>312000</v>
      </c>
      <c r="H47" s="13">
        <v>2000000</v>
      </c>
      <c r="I47" s="13" t="s">
        <v>285</v>
      </c>
      <c r="J47" s="13">
        <v>66000</v>
      </c>
      <c r="K47" s="13" t="s">
        <v>286</v>
      </c>
    </row>
    <row r="48" spans="1:11" ht="19" x14ac:dyDescent="0.2">
      <c r="A48" s="59"/>
      <c r="B48" s="47"/>
      <c r="C48" s="51"/>
      <c r="D48" s="48"/>
      <c r="E48" s="49"/>
      <c r="F48" s="50"/>
      <c r="G48" s="50"/>
      <c r="H48" s="50"/>
      <c r="I48" s="50"/>
      <c r="J48" s="50">
        <v>89500</v>
      </c>
      <c r="K48" s="50" t="s">
        <v>183</v>
      </c>
    </row>
    <row r="49" spans="1:11" ht="19" x14ac:dyDescent="0.2">
      <c r="A49" s="58">
        <v>847000</v>
      </c>
      <c r="B49" s="43">
        <v>45552</v>
      </c>
      <c r="C49" s="46" t="s">
        <v>16</v>
      </c>
      <c r="D49" s="44" t="s">
        <v>168</v>
      </c>
      <c r="E49" s="15">
        <v>386000</v>
      </c>
      <c r="F49" s="13">
        <v>156000</v>
      </c>
      <c r="G49" s="13">
        <v>305000</v>
      </c>
      <c r="H49" s="45"/>
      <c r="I49" s="45"/>
      <c r="J49" s="45">
        <v>5000</v>
      </c>
      <c r="K49" s="45" t="s">
        <v>287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19000</v>
      </c>
      <c r="K50" s="50" t="s">
        <v>288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50">
        <v>27000</v>
      </c>
      <c r="K51" s="50" t="s">
        <v>289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48000</v>
      </c>
      <c r="K52" s="50" t="s">
        <v>290</v>
      </c>
    </row>
    <row r="53" spans="1:11" ht="19" x14ac:dyDescent="0.2">
      <c r="A53" s="61"/>
      <c r="B53" s="43"/>
      <c r="C53" s="46"/>
      <c r="D53" s="44"/>
      <c r="E53" s="62"/>
      <c r="F53" s="45"/>
      <c r="G53" s="45"/>
      <c r="H53" s="45"/>
      <c r="I53" s="45"/>
      <c r="J53" s="45">
        <v>45000</v>
      </c>
      <c r="K53" s="45" t="s">
        <v>40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/>
      <c r="I54" s="50"/>
      <c r="J54" s="50">
        <v>59000</v>
      </c>
      <c r="K54" s="50" t="s">
        <v>124</v>
      </c>
    </row>
    <row r="55" spans="1:11" ht="19" x14ac:dyDescent="0.2">
      <c r="A55" s="61">
        <v>1458000</v>
      </c>
      <c r="B55" s="43">
        <v>45553</v>
      </c>
      <c r="C55" s="46" t="s">
        <v>16</v>
      </c>
      <c r="D55" s="44" t="s">
        <v>168</v>
      </c>
      <c r="E55" s="62">
        <v>794000</v>
      </c>
      <c r="F55" s="45">
        <v>397000</v>
      </c>
      <c r="G55" s="45">
        <v>267000</v>
      </c>
      <c r="H55" s="45"/>
      <c r="I55" s="45"/>
      <c r="J55" s="45">
        <v>100000</v>
      </c>
      <c r="K55" s="45" t="s">
        <v>197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/>
      <c r="K56" s="50"/>
    </row>
    <row r="57" spans="1:11" ht="19" x14ac:dyDescent="0.2">
      <c r="A57" s="61">
        <v>761000</v>
      </c>
      <c r="B57" s="43">
        <v>45554</v>
      </c>
      <c r="C57" s="46" t="s">
        <v>16</v>
      </c>
      <c r="D57" s="44" t="s">
        <v>168</v>
      </c>
      <c r="E57" s="62">
        <v>465000</v>
      </c>
      <c r="F57" s="45">
        <v>175000</v>
      </c>
      <c r="G57" s="45">
        <v>121000</v>
      </c>
      <c r="H57" s="45"/>
      <c r="I57" s="45"/>
      <c r="J57" s="45">
        <v>24000</v>
      </c>
      <c r="K57" s="45" t="s">
        <v>291</v>
      </c>
    </row>
    <row r="58" spans="1:11" ht="19" x14ac:dyDescent="0.2">
      <c r="A58" s="57"/>
      <c r="B58" s="47"/>
      <c r="C58" s="51"/>
      <c r="D58" s="48"/>
      <c r="E58" s="49"/>
      <c r="F58" s="50"/>
      <c r="G58" s="50"/>
      <c r="H58" s="50"/>
      <c r="I58" s="50"/>
      <c r="J58" s="50">
        <v>90000</v>
      </c>
      <c r="K58" s="50" t="s">
        <v>58</v>
      </c>
    </row>
    <row r="59" spans="1:11" ht="19" x14ac:dyDescent="0.2">
      <c r="A59" s="61">
        <v>1076000</v>
      </c>
      <c r="B59" s="43">
        <v>45555</v>
      </c>
      <c r="C59" s="46" t="s">
        <v>16</v>
      </c>
      <c r="D59" s="44" t="s">
        <v>168</v>
      </c>
      <c r="E59" s="62">
        <v>445000</v>
      </c>
      <c r="F59" s="45">
        <v>252000</v>
      </c>
      <c r="G59" s="45">
        <v>379000</v>
      </c>
      <c r="H59" s="45"/>
      <c r="I59" s="45"/>
      <c r="J59" s="45">
        <v>260000</v>
      </c>
      <c r="K59" s="45" t="s">
        <v>151</v>
      </c>
    </row>
    <row r="60" spans="1:11" ht="19" x14ac:dyDescent="0.2">
      <c r="A60" s="57"/>
      <c r="B60" s="47">
        <v>45556</v>
      </c>
      <c r="C60" s="51" t="s">
        <v>42</v>
      </c>
      <c r="D60" s="48"/>
      <c r="E60" s="49"/>
      <c r="F60" s="50"/>
      <c r="G60" s="50"/>
      <c r="H60" s="50"/>
      <c r="I60" s="50"/>
      <c r="J60" s="50">
        <v>14000</v>
      </c>
      <c r="K60" s="50" t="s">
        <v>292</v>
      </c>
    </row>
    <row r="61" spans="1:11" ht="19" x14ac:dyDescent="0.2">
      <c r="A61" s="61"/>
      <c r="B61" s="43">
        <v>45557</v>
      </c>
      <c r="C61" s="46" t="s">
        <v>42</v>
      </c>
      <c r="D61" s="44"/>
      <c r="E61" s="62"/>
      <c r="F61" s="45"/>
      <c r="G61" s="45"/>
      <c r="H61" s="45"/>
      <c r="I61" s="45"/>
      <c r="J61" s="45">
        <v>12000</v>
      </c>
      <c r="K61" s="45" t="s">
        <v>293</v>
      </c>
    </row>
    <row r="62" spans="1:11" ht="19" x14ac:dyDescent="0.2">
      <c r="A62" s="57">
        <v>1282000</v>
      </c>
      <c r="B62" s="47">
        <v>45558</v>
      </c>
      <c r="C62" s="51" t="s">
        <v>16</v>
      </c>
      <c r="D62" s="48" t="s">
        <v>168</v>
      </c>
      <c r="E62" s="49">
        <v>681000</v>
      </c>
      <c r="F62" s="50">
        <v>257000</v>
      </c>
      <c r="G62" s="50">
        <v>344000</v>
      </c>
      <c r="H62" s="50"/>
      <c r="I62" s="50"/>
      <c r="J62" s="50">
        <v>90000</v>
      </c>
      <c r="K62" s="50" t="s">
        <v>58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135000</v>
      </c>
      <c r="K63" s="45" t="s">
        <v>93</v>
      </c>
    </row>
    <row r="64" spans="1:11" ht="19" x14ac:dyDescent="0.2">
      <c r="A64" s="61">
        <v>979000</v>
      </c>
      <c r="B64" s="43">
        <v>45559</v>
      </c>
      <c r="C64" s="46" t="s">
        <v>16</v>
      </c>
      <c r="D64" s="44" t="s">
        <v>168</v>
      </c>
      <c r="E64" s="62">
        <v>273000</v>
      </c>
      <c r="F64" s="45">
        <v>329000</v>
      </c>
      <c r="G64" s="45">
        <v>377000</v>
      </c>
      <c r="H64" s="45"/>
      <c r="I64" s="45"/>
      <c r="J64" s="45">
        <v>70000</v>
      </c>
      <c r="K64" s="45" t="s">
        <v>294</v>
      </c>
    </row>
    <row r="65" spans="1:11" ht="19" x14ac:dyDescent="0.2">
      <c r="A65" s="57"/>
      <c r="B65" s="47"/>
      <c r="C65" s="51"/>
      <c r="D65" s="48"/>
      <c r="E65" s="49"/>
      <c r="F65" s="50"/>
      <c r="G65" s="50"/>
      <c r="H65" s="50"/>
      <c r="I65" s="50"/>
      <c r="J65" s="50">
        <v>6000</v>
      </c>
      <c r="K65" s="50" t="s">
        <v>295</v>
      </c>
    </row>
    <row r="66" spans="1:11" ht="19" x14ac:dyDescent="0.2">
      <c r="A66" s="61">
        <v>889000</v>
      </c>
      <c r="B66" s="43">
        <v>45560</v>
      </c>
      <c r="C66" s="46" t="s">
        <v>16</v>
      </c>
      <c r="D66" s="44" t="s">
        <v>168</v>
      </c>
      <c r="E66" s="62">
        <v>396000</v>
      </c>
      <c r="F66" s="83">
        <v>328000</v>
      </c>
      <c r="G66" s="45">
        <v>165000</v>
      </c>
      <c r="H66" s="45"/>
      <c r="I66" s="45"/>
      <c r="J66" s="45">
        <v>21000</v>
      </c>
      <c r="K66" s="45" t="s">
        <v>296</v>
      </c>
    </row>
    <row r="67" spans="1:11" ht="19" x14ac:dyDescent="0.2">
      <c r="A67" s="57"/>
      <c r="B67" s="47"/>
      <c r="C67" s="51"/>
      <c r="D67" s="48"/>
      <c r="E67" s="49"/>
      <c r="F67" s="50"/>
      <c r="G67" s="50"/>
      <c r="H67" s="50"/>
      <c r="I67" s="50"/>
      <c r="J67" s="50">
        <v>34000</v>
      </c>
      <c r="K67" s="50" t="s">
        <v>297</v>
      </c>
    </row>
    <row r="68" spans="1:11" ht="19" x14ac:dyDescent="0.2">
      <c r="A68" s="61"/>
      <c r="B68" s="43"/>
      <c r="C68" s="46"/>
      <c r="D68" s="44"/>
      <c r="E68" s="62"/>
      <c r="F68" s="45"/>
      <c r="G68" s="45"/>
      <c r="H68" s="45"/>
      <c r="I68" s="45"/>
      <c r="J68" s="45">
        <v>75000</v>
      </c>
      <c r="K68" s="45" t="s">
        <v>298</v>
      </c>
    </row>
    <row r="69" spans="1:11" ht="19" x14ac:dyDescent="0.2">
      <c r="A69" s="57"/>
      <c r="B69" s="47"/>
      <c r="C69" s="51"/>
      <c r="D69" s="48"/>
      <c r="E69" s="49"/>
      <c r="F69" s="50"/>
      <c r="G69" s="50"/>
      <c r="H69" s="50"/>
      <c r="I69" s="50"/>
      <c r="J69" s="50">
        <v>150000</v>
      </c>
      <c r="K69" s="50" t="s">
        <v>299</v>
      </c>
    </row>
    <row r="70" spans="1:11" ht="19" x14ac:dyDescent="0.2">
      <c r="A70" s="61"/>
      <c r="B70" s="43"/>
      <c r="C70" s="46"/>
      <c r="D70" s="44"/>
      <c r="E70" s="62"/>
      <c r="F70" s="45"/>
      <c r="G70" s="45"/>
      <c r="H70" s="45"/>
      <c r="I70" s="45"/>
      <c r="J70" s="45">
        <v>150000</v>
      </c>
      <c r="K70" s="45" t="s">
        <v>300</v>
      </c>
    </row>
    <row r="71" spans="1:11" ht="19" x14ac:dyDescent="0.2">
      <c r="A71" s="68">
        <v>1334000</v>
      </c>
      <c r="B71" s="69">
        <v>45561</v>
      </c>
      <c r="C71" s="70" t="s">
        <v>16</v>
      </c>
      <c r="D71" s="71" t="s">
        <v>168</v>
      </c>
      <c r="E71" s="72">
        <v>633000</v>
      </c>
      <c r="F71" s="73">
        <v>288000</v>
      </c>
      <c r="G71" s="73">
        <v>413000</v>
      </c>
      <c r="H71" s="50"/>
      <c r="I71" s="50"/>
      <c r="J71" s="50">
        <v>175000</v>
      </c>
      <c r="K71" s="50" t="s">
        <v>207</v>
      </c>
    </row>
    <row r="72" spans="1:11" ht="19" x14ac:dyDescent="0.2">
      <c r="A72" s="61"/>
      <c r="B72" s="43"/>
      <c r="C72" s="46"/>
      <c r="D72" s="44"/>
      <c r="E72" s="62"/>
      <c r="F72" s="45"/>
      <c r="G72" s="45"/>
      <c r="H72" s="45"/>
      <c r="I72" s="45"/>
      <c r="J72" s="45">
        <v>90000</v>
      </c>
      <c r="K72" s="45" t="s">
        <v>301</v>
      </c>
    </row>
    <row r="73" spans="1:11" ht="19" x14ac:dyDescent="0.2">
      <c r="A73" s="57"/>
      <c r="B73" s="47"/>
      <c r="C73" s="51"/>
      <c r="D73" s="48"/>
      <c r="E73" s="49"/>
      <c r="F73" s="50"/>
      <c r="G73" s="50"/>
      <c r="H73" s="50"/>
      <c r="I73" s="50"/>
      <c r="J73" s="50">
        <v>192000</v>
      </c>
      <c r="K73" s="50" t="s">
        <v>29</v>
      </c>
    </row>
    <row r="74" spans="1:11" ht="19" x14ac:dyDescent="0.2">
      <c r="A74" s="61"/>
      <c r="B74" s="43"/>
      <c r="C74" s="46"/>
      <c r="D74" s="44"/>
      <c r="E74" s="62"/>
      <c r="F74" s="45"/>
      <c r="G74" s="45"/>
      <c r="H74" s="45"/>
      <c r="I74" s="45"/>
      <c r="J74" s="45">
        <v>200000</v>
      </c>
      <c r="K74" s="45" t="s">
        <v>21</v>
      </c>
    </row>
    <row r="75" spans="1:11" ht="19" x14ac:dyDescent="0.2">
      <c r="A75" s="57"/>
      <c r="B75" s="47"/>
      <c r="C75" s="51"/>
      <c r="D75" s="48"/>
      <c r="E75" s="49"/>
      <c r="F75" s="50"/>
      <c r="G75" s="50"/>
      <c r="H75" s="50"/>
      <c r="J75" s="73">
        <v>45000</v>
      </c>
      <c r="K75" s="73" t="s">
        <v>22</v>
      </c>
    </row>
    <row r="76" spans="1:11" ht="19" x14ac:dyDescent="0.2">
      <c r="A76" s="61">
        <v>1178000</v>
      </c>
      <c r="B76" s="43">
        <v>45562</v>
      </c>
      <c r="C76" s="46" t="s">
        <v>16</v>
      </c>
      <c r="D76" s="44" t="s">
        <v>168</v>
      </c>
      <c r="E76" s="62">
        <v>573000</v>
      </c>
      <c r="F76" s="45">
        <v>212000</v>
      </c>
      <c r="G76" s="45">
        <v>393000</v>
      </c>
      <c r="H76" s="45"/>
      <c r="I76" s="45"/>
      <c r="J76" s="45">
        <v>66000</v>
      </c>
      <c r="K76" s="45" t="s">
        <v>302</v>
      </c>
    </row>
    <row r="77" spans="1:11" ht="19" x14ac:dyDescent="0.2">
      <c r="A77" s="57"/>
      <c r="B77" s="47"/>
      <c r="C77" s="51"/>
      <c r="D77" s="48"/>
      <c r="E77" s="49"/>
      <c r="F77" s="50"/>
      <c r="G77" s="50"/>
      <c r="H77" s="50"/>
      <c r="I77" s="50"/>
      <c r="J77" s="63">
        <v>150000</v>
      </c>
      <c r="K77" s="63" t="s">
        <v>303</v>
      </c>
    </row>
    <row r="78" spans="1:11" ht="19" x14ac:dyDescent="0.2">
      <c r="A78" s="61"/>
      <c r="B78" s="43"/>
      <c r="C78" s="46"/>
      <c r="D78" s="44"/>
      <c r="E78" s="62"/>
      <c r="F78" s="45"/>
      <c r="G78" s="45"/>
      <c r="H78" s="45"/>
      <c r="I78" s="45"/>
      <c r="J78" s="64"/>
      <c r="K78" s="64"/>
    </row>
    <row r="79" spans="1:11" ht="19" x14ac:dyDescent="0.2">
      <c r="A79" s="57">
        <v>502000</v>
      </c>
      <c r="B79" s="47">
        <v>45563</v>
      </c>
      <c r="C79" s="51" t="s">
        <v>16</v>
      </c>
      <c r="D79" s="48" t="s">
        <v>168</v>
      </c>
      <c r="E79" s="49">
        <v>276000</v>
      </c>
      <c r="F79" s="50">
        <v>119000</v>
      </c>
      <c r="G79" s="50">
        <v>107000</v>
      </c>
      <c r="H79" s="50"/>
      <c r="I79" s="50"/>
      <c r="J79" s="50">
        <v>32000</v>
      </c>
      <c r="K79" s="50" t="s">
        <v>270</v>
      </c>
    </row>
    <row r="80" spans="1:11" ht="19" x14ac:dyDescent="0.2">
      <c r="A80" s="61"/>
      <c r="B80" s="43"/>
      <c r="C80" s="46"/>
      <c r="D80" s="44"/>
      <c r="E80" s="62"/>
      <c r="F80" s="45"/>
      <c r="G80" s="45"/>
      <c r="H80" s="45"/>
      <c r="I80" s="45"/>
      <c r="J80" s="45">
        <v>100000</v>
      </c>
      <c r="K80" s="45" t="s">
        <v>304</v>
      </c>
    </row>
    <row r="81" spans="1:11" ht="19" x14ac:dyDescent="0.2">
      <c r="A81" s="57"/>
      <c r="B81" s="47">
        <v>45564</v>
      </c>
      <c r="C81" s="51" t="s">
        <v>42</v>
      </c>
      <c r="D81" s="48"/>
      <c r="E81" s="49"/>
      <c r="F81" s="50"/>
      <c r="G81" s="50"/>
      <c r="H81" s="50"/>
      <c r="I81" s="50"/>
      <c r="J81" s="50">
        <v>89500</v>
      </c>
      <c r="K81" s="50" t="s">
        <v>305</v>
      </c>
    </row>
    <row r="82" spans="1:11" ht="19" x14ac:dyDescent="0.2">
      <c r="A82" s="61"/>
      <c r="B82" s="43"/>
      <c r="C82" s="46"/>
      <c r="D82" s="44"/>
      <c r="E82" s="62"/>
      <c r="F82" s="45"/>
      <c r="G82" s="45"/>
      <c r="H82" s="45"/>
      <c r="I82" s="45"/>
      <c r="J82" s="45">
        <v>50000</v>
      </c>
      <c r="K82" s="45" t="s">
        <v>306</v>
      </c>
    </row>
    <row r="83" spans="1:11" ht="19" x14ac:dyDescent="0.2">
      <c r="A83" s="57">
        <v>1389000</v>
      </c>
      <c r="B83" s="47">
        <v>45565</v>
      </c>
      <c r="C83" s="51" t="s">
        <v>16</v>
      </c>
      <c r="D83" s="48" t="s">
        <v>168</v>
      </c>
      <c r="E83" s="49">
        <v>482000</v>
      </c>
      <c r="F83" s="50">
        <v>552000</v>
      </c>
      <c r="G83" s="50">
        <v>355000</v>
      </c>
      <c r="H83" s="50"/>
      <c r="I83" s="50"/>
      <c r="J83" s="50">
        <v>54000</v>
      </c>
      <c r="K83" s="50" t="s">
        <v>307</v>
      </c>
    </row>
    <row r="84" spans="1:11" ht="19" x14ac:dyDescent="0.2">
      <c r="A84" s="61"/>
      <c r="B84" s="43"/>
      <c r="C84" s="46"/>
      <c r="D84" s="44"/>
      <c r="E84" s="62"/>
      <c r="F84" s="45"/>
      <c r="G84" s="45"/>
      <c r="H84" s="45">
        <v>2135000</v>
      </c>
      <c r="I84" s="45" t="s">
        <v>238</v>
      </c>
      <c r="J84" s="45">
        <v>33000</v>
      </c>
      <c r="K84" s="45" t="s">
        <v>308</v>
      </c>
    </row>
    <row r="85" spans="1:11" ht="19" x14ac:dyDescent="0.2">
      <c r="A85" s="57"/>
      <c r="B85" s="47"/>
      <c r="C85" s="51"/>
      <c r="D85" s="48"/>
      <c r="E85" s="49"/>
      <c r="F85" s="50"/>
      <c r="G85" s="50"/>
      <c r="H85" s="50"/>
      <c r="I85" s="50"/>
      <c r="J85" s="50">
        <v>150000</v>
      </c>
      <c r="K85" s="50" t="s">
        <v>309</v>
      </c>
    </row>
    <row r="86" spans="1:11" ht="19" x14ac:dyDescent="0.2">
      <c r="A86" s="61"/>
      <c r="B86" s="43"/>
      <c r="C86" s="46"/>
      <c r="D86" s="44"/>
      <c r="E86" s="62"/>
      <c r="F86" s="45"/>
      <c r="G86" s="45"/>
      <c r="H86" s="45"/>
      <c r="I86" s="45"/>
      <c r="J86" s="45">
        <v>150000</v>
      </c>
      <c r="K86" s="45" t="s">
        <v>303</v>
      </c>
    </row>
    <row r="87" spans="1:11" ht="19" x14ac:dyDescent="0.2">
      <c r="A87" s="57"/>
      <c r="B87" s="47"/>
      <c r="C87" s="51"/>
      <c r="D87" s="48"/>
      <c r="E87" s="49"/>
      <c r="F87" s="50"/>
      <c r="G87" s="50"/>
      <c r="H87" s="50"/>
      <c r="I87" s="50"/>
      <c r="J87" s="50"/>
      <c r="K87" s="50"/>
    </row>
    <row r="88" spans="1:11" ht="19" x14ac:dyDescent="0.2">
      <c r="A88" s="61"/>
      <c r="B88" s="43"/>
      <c r="C88" s="46"/>
      <c r="D88" s="44"/>
      <c r="E88" s="62"/>
      <c r="F88" s="45"/>
      <c r="G88" s="45"/>
      <c r="H88" s="45"/>
      <c r="I88" s="45"/>
      <c r="J88" s="45"/>
      <c r="K88" s="4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K93"/>
  <sheetViews>
    <sheetView workbookViewId="0">
      <selection activeCell="J18" sqref="J18"/>
    </sheetView>
  </sheetViews>
  <sheetFormatPr baseColWidth="10" defaultColWidth="11.5" defaultRowHeight="15" x14ac:dyDescent="0.2"/>
  <cols>
    <col min="1" max="1" width="20.33203125" bestFit="1" customWidth="1"/>
    <col min="3" max="3" width="13.33203125" bestFit="1" customWidth="1"/>
    <col min="5" max="5" width="20.33203125" bestFit="1" customWidth="1"/>
    <col min="6" max="6" width="31.1640625" customWidth="1"/>
    <col min="7" max="7" width="27.1640625" customWidth="1"/>
    <col min="8" max="8" width="21" customWidth="1"/>
    <col min="9" max="9" width="28.33203125" customWidth="1"/>
    <col min="10" max="10" width="19" bestFit="1" customWidth="1"/>
    <col min="11" max="11" width="26.6640625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361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4131258</v>
      </c>
      <c r="K6" s="30" t="s">
        <v>364</v>
      </c>
    </row>
    <row r="7" spans="1:11" ht="26" x14ac:dyDescent="0.3">
      <c r="B7" s="32" t="s">
        <v>365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SUM(A12:A472)</f>
        <v>29608000</v>
      </c>
      <c r="B10" s="39"/>
      <c r="C10" s="40" t="s">
        <v>15</v>
      </c>
      <c r="D10" s="41"/>
      <c r="E10" s="42">
        <f>SUM(E12:E472)</f>
        <v>13328000</v>
      </c>
      <c r="F10" s="38">
        <f>SUM(F12:F472)</f>
        <v>6051000</v>
      </c>
      <c r="G10" s="38">
        <f>SUM(G12:G467)</f>
        <v>10229000</v>
      </c>
      <c r="H10" s="38">
        <f>SUM(H12:H472)</f>
        <v>13850000</v>
      </c>
      <c r="I10" s="38"/>
      <c r="J10" s="38">
        <f>SUM(J12:J472)</f>
        <v>6416000</v>
      </c>
      <c r="K10" s="38"/>
    </row>
    <row r="11" spans="1:11" ht="21" x14ac:dyDescent="0.2">
      <c r="A11" s="86"/>
      <c r="B11" s="87">
        <v>45566</v>
      </c>
      <c r="C11" s="88"/>
      <c r="D11" s="89"/>
      <c r="E11" s="90" t="s">
        <v>125</v>
      </c>
      <c r="F11" s="86"/>
      <c r="G11" s="86"/>
      <c r="H11" s="86"/>
      <c r="I11" s="86"/>
      <c r="J11" s="86"/>
      <c r="K11" s="86"/>
    </row>
    <row r="12" spans="1:11" ht="19" x14ac:dyDescent="0.2">
      <c r="A12" s="52">
        <v>1121000</v>
      </c>
      <c r="B12" s="10">
        <v>45567</v>
      </c>
      <c r="C12" s="11" t="s">
        <v>16</v>
      </c>
      <c r="D12" s="12" t="s">
        <v>168</v>
      </c>
      <c r="E12" s="13">
        <v>669000</v>
      </c>
      <c r="F12" s="13">
        <v>227000</v>
      </c>
      <c r="G12" s="13">
        <v>225000</v>
      </c>
      <c r="H12" s="13">
        <v>460000</v>
      </c>
      <c r="I12" s="13" t="s">
        <v>357</v>
      </c>
      <c r="J12" s="13">
        <v>150000</v>
      </c>
      <c r="K12" s="13" t="s">
        <v>303</v>
      </c>
    </row>
    <row r="13" spans="1:11" ht="19" x14ac:dyDescent="0.2">
      <c r="A13" s="53"/>
      <c r="B13" s="4"/>
      <c r="C13" s="5"/>
      <c r="D13" s="2"/>
      <c r="E13" s="3"/>
      <c r="F13" s="1"/>
      <c r="G13" s="1"/>
      <c r="H13" s="1"/>
      <c r="I13" s="1"/>
      <c r="J13" s="1">
        <v>8000</v>
      </c>
      <c r="K13" s="1" t="s">
        <v>316</v>
      </c>
    </row>
    <row r="14" spans="1:11" ht="19" x14ac:dyDescent="0.2">
      <c r="A14" s="54"/>
      <c r="B14" s="10"/>
      <c r="C14" s="14"/>
      <c r="D14" s="12"/>
      <c r="E14" s="15"/>
      <c r="F14" s="13"/>
      <c r="G14" s="13"/>
      <c r="H14" s="13"/>
      <c r="I14" s="13"/>
      <c r="J14" s="13">
        <v>13000</v>
      </c>
      <c r="K14" s="13" t="s">
        <v>317</v>
      </c>
    </row>
    <row r="15" spans="1:11" ht="19" x14ac:dyDescent="0.2">
      <c r="A15" s="53"/>
      <c r="B15" s="4"/>
      <c r="C15" s="5"/>
      <c r="D15" s="2"/>
      <c r="E15" s="3"/>
      <c r="F15" s="1"/>
      <c r="G15" s="1"/>
      <c r="H15" s="1"/>
      <c r="I15" s="1"/>
      <c r="J15" s="1">
        <v>23000</v>
      </c>
      <c r="K15" s="1" t="s">
        <v>318</v>
      </c>
    </row>
    <row r="16" spans="1:11" ht="19" x14ac:dyDescent="0.2">
      <c r="A16" s="54">
        <v>1190000</v>
      </c>
      <c r="B16" s="10">
        <v>45568</v>
      </c>
      <c r="C16" s="14" t="s">
        <v>16</v>
      </c>
      <c r="D16" s="12" t="s">
        <v>168</v>
      </c>
      <c r="E16" s="15">
        <v>592000</v>
      </c>
      <c r="F16" s="13">
        <v>80000</v>
      </c>
      <c r="G16" s="13">
        <v>518000</v>
      </c>
      <c r="H16" s="13"/>
      <c r="I16" s="13"/>
      <c r="J16" s="13">
        <v>72000</v>
      </c>
      <c r="K16" s="13" t="s">
        <v>319</v>
      </c>
    </row>
    <row r="17" spans="1:11" ht="19" x14ac:dyDescent="0.2">
      <c r="A17" s="55"/>
      <c r="B17" s="18"/>
      <c r="C17" s="19"/>
      <c r="D17" s="20"/>
      <c r="E17" s="21"/>
      <c r="F17" s="8"/>
      <c r="G17" s="8"/>
      <c r="H17" s="23"/>
      <c r="I17" s="23"/>
      <c r="J17" s="8">
        <v>9000</v>
      </c>
      <c r="K17" s="8" t="s">
        <v>320</v>
      </c>
    </row>
    <row r="18" spans="1:11" ht="19" x14ac:dyDescent="0.2">
      <c r="A18" s="56"/>
      <c r="B18" s="10"/>
      <c r="C18" s="16"/>
      <c r="D18" s="12"/>
      <c r="E18" s="15"/>
      <c r="F18" s="13"/>
      <c r="G18" s="13"/>
      <c r="H18" s="17"/>
      <c r="I18" s="17"/>
      <c r="J18" s="13">
        <v>9000</v>
      </c>
      <c r="K18" s="13" t="s">
        <v>321</v>
      </c>
    </row>
    <row r="19" spans="1:11" ht="19" x14ac:dyDescent="0.2">
      <c r="A19" s="55"/>
      <c r="B19" s="18"/>
      <c r="C19" s="19"/>
      <c r="D19" s="20"/>
      <c r="E19" s="21"/>
      <c r="F19" s="8"/>
      <c r="G19" s="8"/>
      <c r="H19" s="23"/>
      <c r="I19" s="23"/>
      <c r="J19" s="8">
        <v>6000</v>
      </c>
      <c r="K19" s="8" t="s">
        <v>24</v>
      </c>
    </row>
    <row r="20" spans="1:11" ht="19" x14ac:dyDescent="0.2">
      <c r="A20" s="56">
        <v>1047000</v>
      </c>
      <c r="B20" s="10">
        <v>45569</v>
      </c>
      <c r="C20" s="16" t="s">
        <v>16</v>
      </c>
      <c r="D20" s="12" t="s">
        <v>168</v>
      </c>
      <c r="E20" s="15">
        <v>471000</v>
      </c>
      <c r="F20" s="13">
        <v>284000</v>
      </c>
      <c r="G20" s="13">
        <v>292000</v>
      </c>
      <c r="H20" s="17"/>
      <c r="I20" s="17"/>
      <c r="J20" s="13">
        <v>150000</v>
      </c>
      <c r="K20" s="13" t="s">
        <v>322</v>
      </c>
    </row>
    <row r="21" spans="1:11" ht="19" x14ac:dyDescent="0.2">
      <c r="A21" s="55"/>
      <c r="B21" s="18"/>
      <c r="C21" s="19"/>
      <c r="D21" s="20"/>
      <c r="E21" s="21"/>
      <c r="F21" s="8"/>
      <c r="G21" s="8"/>
      <c r="H21" s="23"/>
      <c r="I21" s="23"/>
      <c r="J21" s="8"/>
      <c r="K21" s="8"/>
    </row>
    <row r="22" spans="1:11" ht="19" x14ac:dyDescent="0.2">
      <c r="A22" s="56">
        <v>557000</v>
      </c>
      <c r="B22" s="10">
        <v>45570</v>
      </c>
      <c r="C22" s="16" t="s">
        <v>16</v>
      </c>
      <c r="D22" s="12" t="s">
        <v>168</v>
      </c>
      <c r="E22" s="15">
        <v>225000</v>
      </c>
      <c r="F22" s="13">
        <v>148000</v>
      </c>
      <c r="G22" s="13">
        <v>184000</v>
      </c>
      <c r="H22" s="17"/>
      <c r="I22" s="17"/>
      <c r="J22" s="13">
        <v>28000</v>
      </c>
      <c r="K22" s="13" t="s">
        <v>323</v>
      </c>
    </row>
    <row r="23" spans="1:11" ht="19" x14ac:dyDescent="0.2">
      <c r="A23" s="55"/>
      <c r="B23" s="18"/>
      <c r="C23" s="21"/>
      <c r="D23" s="20"/>
      <c r="E23" s="21"/>
      <c r="F23" s="8"/>
      <c r="G23" s="8"/>
      <c r="H23" s="23"/>
      <c r="I23" s="23"/>
      <c r="J23" s="8">
        <v>23000</v>
      </c>
      <c r="K23" s="8" t="s">
        <v>324</v>
      </c>
    </row>
    <row r="24" spans="1:11" ht="19" x14ac:dyDescent="0.2">
      <c r="A24" s="56"/>
      <c r="B24" s="10"/>
      <c r="C24" s="16"/>
      <c r="D24" s="12"/>
      <c r="E24" s="15"/>
      <c r="F24" s="13"/>
      <c r="G24" s="13"/>
      <c r="H24" s="13"/>
      <c r="I24" s="13"/>
      <c r="J24" s="13">
        <v>35000</v>
      </c>
      <c r="K24" s="13" t="s">
        <v>325</v>
      </c>
    </row>
    <row r="25" spans="1:11" ht="19" x14ac:dyDescent="0.2">
      <c r="A25" s="55">
        <v>1206000</v>
      </c>
      <c r="B25" s="18">
        <v>45572</v>
      </c>
      <c r="C25" s="21" t="s">
        <v>16</v>
      </c>
      <c r="D25" s="20" t="s">
        <v>168</v>
      </c>
      <c r="E25" s="21">
        <v>482000</v>
      </c>
      <c r="F25" s="8">
        <v>296000</v>
      </c>
      <c r="G25" s="8">
        <v>428000</v>
      </c>
      <c r="H25" s="8"/>
      <c r="I25" s="8"/>
      <c r="J25" s="8">
        <v>90000</v>
      </c>
      <c r="K25" s="8" t="s">
        <v>58</v>
      </c>
    </row>
    <row r="26" spans="1:11" ht="19" x14ac:dyDescent="0.2">
      <c r="A26" s="56"/>
      <c r="B26" s="10"/>
      <c r="C26" s="16"/>
      <c r="D26" s="12"/>
      <c r="E26" s="15"/>
      <c r="F26" s="13"/>
      <c r="G26" s="13"/>
      <c r="H26" s="13"/>
      <c r="I26" s="13"/>
      <c r="J26" s="13">
        <v>104000</v>
      </c>
      <c r="K26" s="13" t="s">
        <v>254</v>
      </c>
    </row>
    <row r="27" spans="1:11" ht="19" x14ac:dyDescent="0.2">
      <c r="A27" s="55"/>
      <c r="B27" s="18">
        <v>45571</v>
      </c>
      <c r="C27" s="19"/>
      <c r="D27" s="20"/>
      <c r="E27" s="92" t="s">
        <v>125</v>
      </c>
      <c r="F27" s="8"/>
      <c r="G27" s="8"/>
      <c r="H27" s="8"/>
      <c r="I27" s="8"/>
      <c r="J27" s="8">
        <v>83000</v>
      </c>
      <c r="K27" s="8" t="s">
        <v>176</v>
      </c>
    </row>
    <row r="28" spans="1:11" ht="19" x14ac:dyDescent="0.2">
      <c r="A28" s="56"/>
      <c r="B28" s="10"/>
      <c r="C28" s="16"/>
      <c r="D28" s="12"/>
      <c r="E28" s="15"/>
      <c r="F28" s="13"/>
      <c r="G28" s="13"/>
      <c r="H28" s="13">
        <v>900000</v>
      </c>
      <c r="I28" s="13" t="s">
        <v>359</v>
      </c>
      <c r="J28" s="13">
        <v>100000</v>
      </c>
      <c r="K28" s="13" t="s">
        <v>197</v>
      </c>
    </row>
    <row r="29" spans="1:11" ht="19" x14ac:dyDescent="0.2">
      <c r="A29" s="55">
        <v>1082000</v>
      </c>
      <c r="B29" s="18">
        <v>45573</v>
      </c>
      <c r="C29" s="19" t="s">
        <v>16</v>
      </c>
      <c r="D29" s="20" t="s">
        <v>168</v>
      </c>
      <c r="E29" s="21">
        <v>655000</v>
      </c>
      <c r="F29" s="8">
        <v>215000</v>
      </c>
      <c r="G29" s="8">
        <v>212000</v>
      </c>
      <c r="H29" s="8">
        <v>200000</v>
      </c>
      <c r="I29" s="8" t="s">
        <v>360</v>
      </c>
      <c r="J29" s="1">
        <v>22000</v>
      </c>
      <c r="K29" s="1" t="s">
        <v>249</v>
      </c>
    </row>
    <row r="30" spans="1:11" ht="19" x14ac:dyDescent="0.2">
      <c r="A30" s="56"/>
      <c r="B30" s="10"/>
      <c r="C30" s="14"/>
      <c r="D30" s="12"/>
      <c r="E30" s="15"/>
      <c r="F30" s="13"/>
      <c r="G30" s="13"/>
      <c r="H30" s="13"/>
      <c r="I30" s="13"/>
      <c r="J30" s="13">
        <v>150000</v>
      </c>
      <c r="K30" s="13" t="s">
        <v>326</v>
      </c>
    </row>
    <row r="31" spans="1:11" ht="19" x14ac:dyDescent="0.2">
      <c r="A31" s="55"/>
      <c r="B31" s="4"/>
      <c r="C31" s="5"/>
      <c r="D31" s="2"/>
      <c r="E31" s="3"/>
      <c r="F31" s="1"/>
      <c r="G31" s="1"/>
      <c r="H31" s="1"/>
      <c r="I31" s="1"/>
      <c r="J31" s="1">
        <v>150000</v>
      </c>
      <c r="K31" s="1" t="s">
        <v>327</v>
      </c>
    </row>
    <row r="32" spans="1:11" ht="19" x14ac:dyDescent="0.2">
      <c r="A32" s="56">
        <v>1165000</v>
      </c>
      <c r="B32" s="10">
        <v>45574</v>
      </c>
      <c r="C32" s="14" t="s">
        <v>16</v>
      </c>
      <c r="D32" s="12" t="s">
        <v>168</v>
      </c>
      <c r="E32" s="15">
        <v>771000</v>
      </c>
      <c r="F32" s="13">
        <v>121000</v>
      </c>
      <c r="G32" s="13">
        <v>273000</v>
      </c>
      <c r="H32" s="13"/>
      <c r="I32" s="13"/>
      <c r="J32" s="13">
        <v>33000</v>
      </c>
      <c r="K32" s="13" t="s">
        <v>328</v>
      </c>
    </row>
    <row r="33" spans="1:11" ht="19" x14ac:dyDescent="0.2">
      <c r="A33" s="53"/>
      <c r="B33" s="4"/>
      <c r="C33" s="5"/>
      <c r="D33" s="2"/>
      <c r="E33" s="3"/>
      <c r="F33" s="1"/>
      <c r="G33" s="1"/>
      <c r="H33" s="1"/>
      <c r="I33" s="1"/>
      <c r="J33" s="1">
        <v>90000</v>
      </c>
      <c r="K33" s="1" t="s">
        <v>58</v>
      </c>
    </row>
    <row r="34" spans="1:11" ht="19" x14ac:dyDescent="0.2">
      <c r="A34" s="54">
        <v>1390000</v>
      </c>
      <c r="B34" s="10">
        <v>45575</v>
      </c>
      <c r="C34" s="14" t="s">
        <v>16</v>
      </c>
      <c r="D34" s="12" t="s">
        <v>168</v>
      </c>
      <c r="E34" s="15">
        <v>541000</v>
      </c>
      <c r="F34" s="13">
        <v>362000</v>
      </c>
      <c r="G34" s="13">
        <v>487000</v>
      </c>
      <c r="H34" s="13"/>
      <c r="I34" s="13"/>
      <c r="J34" s="13">
        <v>7000</v>
      </c>
      <c r="K34" s="13" t="s">
        <v>329</v>
      </c>
    </row>
    <row r="35" spans="1:11" ht="19" x14ac:dyDescent="0.2">
      <c r="A35" s="53"/>
      <c r="B35" s="18"/>
      <c r="C35" s="22"/>
      <c r="D35" s="20"/>
      <c r="E35" s="21"/>
      <c r="F35" s="8"/>
      <c r="G35" s="8"/>
      <c r="H35" s="8"/>
      <c r="I35" s="8"/>
      <c r="J35" s="8">
        <v>64000</v>
      </c>
      <c r="K35" s="8" t="s">
        <v>330</v>
      </c>
    </row>
    <row r="36" spans="1:11" ht="19" x14ac:dyDescent="0.2">
      <c r="A36" s="54"/>
      <c r="B36" s="10"/>
      <c r="C36" s="14"/>
      <c r="D36" s="12"/>
      <c r="E36" s="15"/>
      <c r="F36" s="13"/>
      <c r="G36" s="13"/>
      <c r="H36" s="13"/>
      <c r="I36" s="13"/>
      <c r="J36" s="13">
        <v>150000</v>
      </c>
      <c r="K36" s="13" t="s">
        <v>326</v>
      </c>
    </row>
    <row r="37" spans="1:11" ht="19" x14ac:dyDescent="0.2">
      <c r="A37" s="55"/>
      <c r="B37" s="18"/>
      <c r="C37" s="22"/>
      <c r="D37" s="20"/>
      <c r="E37" s="21"/>
      <c r="F37" s="8"/>
      <c r="G37" s="8"/>
      <c r="H37" s="8"/>
      <c r="I37" s="8"/>
      <c r="J37" s="8"/>
      <c r="K37" s="81"/>
    </row>
    <row r="38" spans="1:11" ht="19" x14ac:dyDescent="0.2">
      <c r="A38" s="56">
        <v>1530000</v>
      </c>
      <c r="B38" s="10">
        <v>45576</v>
      </c>
      <c r="C38" s="14" t="s">
        <v>16</v>
      </c>
      <c r="D38" s="12" t="s">
        <v>168</v>
      </c>
      <c r="E38" s="15">
        <v>739000</v>
      </c>
      <c r="F38" s="13">
        <v>290000</v>
      </c>
      <c r="G38" s="13">
        <v>501000</v>
      </c>
      <c r="H38" s="13"/>
      <c r="I38" s="13"/>
      <c r="J38" s="13">
        <v>200000</v>
      </c>
      <c r="K38" s="13" t="s">
        <v>21</v>
      </c>
    </row>
    <row r="39" spans="1:11" ht="19" x14ac:dyDescent="0.2">
      <c r="A39" s="55"/>
      <c r="B39" s="4"/>
      <c r="C39" s="5"/>
      <c r="D39" s="2"/>
      <c r="E39" s="3"/>
      <c r="F39" s="1"/>
      <c r="G39" s="1"/>
      <c r="H39" s="1"/>
      <c r="I39" s="1"/>
      <c r="J39" s="8">
        <v>19000</v>
      </c>
      <c r="K39" s="1" t="s">
        <v>355</v>
      </c>
    </row>
    <row r="40" spans="1:11" ht="19" x14ac:dyDescent="0.2">
      <c r="A40" s="56">
        <v>432000</v>
      </c>
      <c r="B40" s="10">
        <v>45577</v>
      </c>
      <c r="C40" s="14" t="s">
        <v>16</v>
      </c>
      <c r="D40" s="12" t="s">
        <v>168</v>
      </c>
      <c r="E40" s="15">
        <v>153000</v>
      </c>
      <c r="F40" s="13">
        <v>25000</v>
      </c>
      <c r="G40" s="13">
        <v>254000</v>
      </c>
      <c r="H40" s="13"/>
      <c r="I40" s="13"/>
      <c r="J40" s="13">
        <v>750000</v>
      </c>
      <c r="K40" s="13" t="s">
        <v>331</v>
      </c>
    </row>
    <row r="41" spans="1:11" ht="19" x14ac:dyDescent="0.2">
      <c r="A41" s="55"/>
      <c r="B41" s="4">
        <v>45578</v>
      </c>
      <c r="C41" s="5"/>
      <c r="D41" s="2"/>
      <c r="E41" s="93" t="s">
        <v>125</v>
      </c>
      <c r="F41" s="1"/>
      <c r="G41" s="1"/>
      <c r="H41" s="1"/>
      <c r="I41" s="1"/>
      <c r="J41" s="1"/>
      <c r="K41" s="1"/>
    </row>
    <row r="42" spans="1:11" ht="19" x14ac:dyDescent="0.2">
      <c r="A42" s="56">
        <v>1397000</v>
      </c>
      <c r="B42" s="10">
        <v>45579</v>
      </c>
      <c r="C42" s="14" t="s">
        <v>16</v>
      </c>
      <c r="D42" s="12" t="s">
        <v>168</v>
      </c>
      <c r="E42" s="15">
        <v>644000</v>
      </c>
      <c r="F42" s="13">
        <v>177000</v>
      </c>
      <c r="G42" s="13">
        <v>576000</v>
      </c>
      <c r="H42" s="13"/>
      <c r="I42" s="13"/>
      <c r="J42" s="13">
        <v>90000</v>
      </c>
      <c r="K42" s="13" t="s">
        <v>58</v>
      </c>
    </row>
    <row r="43" spans="1:11" ht="19" x14ac:dyDescent="0.2">
      <c r="A43" s="55"/>
      <c r="B43" s="4"/>
      <c r="C43" s="5"/>
      <c r="D43" s="2"/>
      <c r="E43" s="3"/>
      <c r="F43" s="1"/>
      <c r="G43" s="1"/>
      <c r="H43" s="1"/>
      <c r="I43" s="82"/>
      <c r="J43" s="8">
        <v>37000</v>
      </c>
      <c r="K43" s="1" t="s">
        <v>40</v>
      </c>
    </row>
    <row r="44" spans="1:11" ht="19" x14ac:dyDescent="0.2">
      <c r="A44" s="56"/>
      <c r="B44" s="10"/>
      <c r="C44" s="14"/>
      <c r="D44" s="12"/>
      <c r="E44" s="15"/>
      <c r="F44" s="13"/>
      <c r="G44" s="13"/>
      <c r="H44" s="13"/>
      <c r="I44" s="13"/>
      <c r="J44" s="13">
        <v>104000</v>
      </c>
      <c r="K44" s="13" t="s">
        <v>332</v>
      </c>
    </row>
    <row r="45" spans="1:11" ht="19" x14ac:dyDescent="0.2">
      <c r="A45" s="55"/>
      <c r="B45" s="21"/>
      <c r="C45" s="8"/>
      <c r="D45" s="8"/>
      <c r="E45" s="3"/>
      <c r="F45" s="1"/>
      <c r="G45" s="1"/>
      <c r="H45" s="1"/>
      <c r="I45" s="1"/>
      <c r="J45" s="1">
        <v>50000</v>
      </c>
      <c r="K45" s="1" t="s">
        <v>333</v>
      </c>
    </row>
    <row r="46" spans="1:11" ht="19" x14ac:dyDescent="0.2">
      <c r="A46" s="58">
        <v>1180000</v>
      </c>
      <c r="B46" s="43">
        <v>45580</v>
      </c>
      <c r="C46" s="46" t="s">
        <v>16</v>
      </c>
      <c r="D46" s="44" t="s">
        <v>168</v>
      </c>
      <c r="E46" s="62">
        <v>408000</v>
      </c>
      <c r="F46" s="45">
        <v>335000</v>
      </c>
      <c r="G46" s="45">
        <v>437000</v>
      </c>
      <c r="H46" s="45">
        <v>2400000</v>
      </c>
      <c r="I46" s="45" t="s">
        <v>334</v>
      </c>
      <c r="J46" s="45">
        <v>150000</v>
      </c>
      <c r="K46" s="45" t="s">
        <v>326</v>
      </c>
    </row>
    <row r="47" spans="1:11" ht="19" x14ac:dyDescent="0.2">
      <c r="A47" s="57">
        <v>1477000</v>
      </c>
      <c r="B47" s="47">
        <v>45581</v>
      </c>
      <c r="C47" s="51" t="s">
        <v>16</v>
      </c>
      <c r="D47" s="48" t="s">
        <v>136</v>
      </c>
      <c r="E47" s="49">
        <v>505000</v>
      </c>
      <c r="F47" s="50">
        <v>474000</v>
      </c>
      <c r="G47" s="50">
        <v>498000</v>
      </c>
      <c r="H47" s="95">
        <v>7690000</v>
      </c>
      <c r="I47" s="95" t="s">
        <v>358</v>
      </c>
      <c r="J47" s="50">
        <v>50000</v>
      </c>
      <c r="K47" s="50" t="s">
        <v>213</v>
      </c>
    </row>
    <row r="48" spans="1:11" ht="19" x14ac:dyDescent="0.2">
      <c r="A48" s="61"/>
      <c r="B48" s="43"/>
      <c r="C48" s="46"/>
      <c r="D48" s="44"/>
      <c r="E48" s="62"/>
      <c r="F48" s="45"/>
      <c r="G48" s="45"/>
      <c r="H48" s="45"/>
      <c r="I48" s="45"/>
      <c r="J48" s="45">
        <v>9000</v>
      </c>
      <c r="K48" s="45" t="s">
        <v>186</v>
      </c>
    </row>
    <row r="49" spans="1:11" ht="19" x14ac:dyDescent="0.2">
      <c r="A49" s="57"/>
      <c r="B49" s="47"/>
      <c r="C49" s="51"/>
      <c r="D49" s="48"/>
      <c r="E49" s="49"/>
      <c r="F49" s="50"/>
      <c r="G49" s="50"/>
      <c r="H49" s="50"/>
      <c r="I49" s="50"/>
      <c r="J49" s="50">
        <v>100000</v>
      </c>
      <c r="K49" s="50" t="s">
        <v>159</v>
      </c>
    </row>
    <row r="50" spans="1:11" ht="19" x14ac:dyDescent="0.2">
      <c r="A50" s="61">
        <v>1009000</v>
      </c>
      <c r="B50" s="43">
        <v>45582</v>
      </c>
      <c r="C50" s="46" t="s">
        <v>16</v>
      </c>
      <c r="D50" s="44" t="s">
        <v>136</v>
      </c>
      <c r="E50" s="62">
        <v>480000</v>
      </c>
      <c r="F50" s="45">
        <v>175000</v>
      </c>
      <c r="G50" s="45">
        <v>354000</v>
      </c>
      <c r="H50" s="45"/>
      <c r="I50" s="45"/>
      <c r="J50" s="45">
        <v>200000</v>
      </c>
      <c r="K50" s="45" t="s">
        <v>335</v>
      </c>
    </row>
    <row r="51" spans="1:11" ht="19" x14ac:dyDescent="0.2">
      <c r="A51" s="57"/>
      <c r="B51" s="47"/>
      <c r="C51" s="51"/>
      <c r="D51" s="48"/>
      <c r="E51" s="49"/>
      <c r="F51" s="50"/>
      <c r="G51" s="50"/>
      <c r="H51" s="50"/>
      <c r="I51" s="50"/>
      <c r="J51" s="50">
        <v>27000</v>
      </c>
      <c r="K51" s="50" t="s">
        <v>336</v>
      </c>
    </row>
    <row r="52" spans="1:11" ht="19" x14ac:dyDescent="0.2">
      <c r="A52" s="61"/>
      <c r="B52" s="43"/>
      <c r="C52" s="46"/>
      <c r="D52" s="44"/>
      <c r="E52" s="62"/>
      <c r="F52" s="45"/>
      <c r="G52" s="45"/>
      <c r="H52" s="45"/>
      <c r="I52" s="45"/>
      <c r="J52" s="45">
        <v>50000</v>
      </c>
      <c r="K52" s="45" t="s">
        <v>337</v>
      </c>
    </row>
    <row r="53" spans="1:11" ht="19" x14ac:dyDescent="0.2">
      <c r="A53" s="57"/>
      <c r="B53" s="47"/>
      <c r="C53" s="51"/>
      <c r="D53" s="48"/>
      <c r="E53" s="49"/>
      <c r="F53" s="50"/>
      <c r="G53" s="50"/>
      <c r="H53" s="50"/>
      <c r="I53" s="50"/>
      <c r="J53" s="50">
        <v>33000</v>
      </c>
      <c r="K53" s="50" t="s">
        <v>338</v>
      </c>
    </row>
    <row r="54" spans="1:11" ht="19" x14ac:dyDescent="0.2">
      <c r="A54" s="61"/>
      <c r="B54" s="43"/>
      <c r="C54" s="46"/>
      <c r="D54" s="44"/>
      <c r="E54" s="62"/>
      <c r="F54" s="45"/>
      <c r="G54" s="45"/>
      <c r="H54" s="45"/>
      <c r="I54" s="45"/>
      <c r="J54" s="45"/>
      <c r="K54" s="91"/>
    </row>
    <row r="55" spans="1:11" ht="19" x14ac:dyDescent="0.2">
      <c r="A55" s="57"/>
      <c r="B55" s="47"/>
      <c r="C55" s="51"/>
      <c r="D55" s="48"/>
      <c r="E55" s="49"/>
      <c r="F55" s="50"/>
      <c r="G55" s="50"/>
      <c r="H55" s="50"/>
      <c r="I55" s="50"/>
      <c r="J55" s="50">
        <v>225000</v>
      </c>
      <c r="K55" s="50" t="s">
        <v>339</v>
      </c>
    </row>
    <row r="56" spans="1:11" ht="19" x14ac:dyDescent="0.2">
      <c r="A56" s="61"/>
      <c r="B56" s="43"/>
      <c r="C56" s="46"/>
      <c r="D56" s="44"/>
      <c r="E56" s="62"/>
      <c r="F56" s="45"/>
      <c r="G56" s="45"/>
      <c r="H56" s="45"/>
      <c r="I56" s="45"/>
      <c r="J56" s="45">
        <v>140000</v>
      </c>
      <c r="K56" s="45" t="s">
        <v>340</v>
      </c>
    </row>
    <row r="57" spans="1:11" ht="19" x14ac:dyDescent="0.2">
      <c r="A57" s="57"/>
      <c r="B57" s="47"/>
      <c r="C57" s="51"/>
      <c r="D57" s="48"/>
      <c r="E57" s="49"/>
      <c r="F57" s="50"/>
      <c r="G57" s="50"/>
      <c r="H57" s="50"/>
      <c r="I57" s="50"/>
      <c r="J57" s="50">
        <v>192000</v>
      </c>
      <c r="K57" s="50" t="s">
        <v>90</v>
      </c>
    </row>
    <row r="58" spans="1:11" ht="19" x14ac:dyDescent="0.2">
      <c r="A58" s="61">
        <v>1496000</v>
      </c>
      <c r="B58" s="43">
        <v>45583</v>
      </c>
      <c r="C58" s="46" t="s">
        <v>16</v>
      </c>
      <c r="D58" s="44" t="s">
        <v>136</v>
      </c>
      <c r="E58" s="62">
        <v>616000</v>
      </c>
      <c r="F58" s="45">
        <v>392000</v>
      </c>
      <c r="G58" s="45">
        <v>488000</v>
      </c>
      <c r="H58" s="45"/>
      <c r="I58" s="45"/>
      <c r="J58" s="45">
        <v>16000</v>
      </c>
      <c r="K58" s="45" t="s">
        <v>208</v>
      </c>
    </row>
    <row r="59" spans="1:11" ht="19" x14ac:dyDescent="0.2">
      <c r="A59" s="57">
        <v>789000</v>
      </c>
      <c r="B59" s="47">
        <v>45584</v>
      </c>
      <c r="C59" s="51" t="s">
        <v>16</v>
      </c>
      <c r="D59" s="48" t="s">
        <v>168</v>
      </c>
      <c r="E59" s="49">
        <v>322000</v>
      </c>
      <c r="F59" s="50">
        <v>139000</v>
      </c>
      <c r="G59" s="50">
        <v>328000</v>
      </c>
      <c r="H59" s="50"/>
      <c r="I59" s="50"/>
      <c r="J59" s="50"/>
      <c r="K59" s="50"/>
    </row>
    <row r="60" spans="1:11" ht="19" x14ac:dyDescent="0.2">
      <c r="A60" s="61"/>
      <c r="B60" s="43">
        <v>45585</v>
      </c>
      <c r="C60" s="46"/>
      <c r="D60" s="44"/>
      <c r="E60" s="94" t="s">
        <v>125</v>
      </c>
      <c r="F60" s="45"/>
      <c r="G60" s="45"/>
      <c r="H60" s="45"/>
      <c r="I60" s="45"/>
      <c r="J60" s="45">
        <v>270000</v>
      </c>
      <c r="K60" s="45" t="s">
        <v>341</v>
      </c>
    </row>
    <row r="61" spans="1:11" ht="19" x14ac:dyDescent="0.2">
      <c r="A61" s="61">
        <v>1429000</v>
      </c>
      <c r="B61" s="43">
        <v>45586</v>
      </c>
      <c r="C61" s="46" t="s">
        <v>16</v>
      </c>
      <c r="D61" s="44" t="s">
        <v>168</v>
      </c>
      <c r="E61" s="62">
        <v>688000</v>
      </c>
      <c r="F61" s="45">
        <v>297000</v>
      </c>
      <c r="G61" s="45">
        <v>444000</v>
      </c>
      <c r="H61" s="45"/>
      <c r="I61" s="45"/>
      <c r="J61" s="45">
        <v>260000</v>
      </c>
      <c r="K61" s="45" t="s">
        <v>151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66000</v>
      </c>
      <c r="K62" s="50" t="s">
        <v>139</v>
      </c>
    </row>
    <row r="63" spans="1:11" ht="19" x14ac:dyDescent="0.2">
      <c r="A63" s="61"/>
      <c r="B63" s="43"/>
      <c r="C63" s="46"/>
      <c r="D63" s="44"/>
      <c r="E63" s="62"/>
      <c r="F63" s="83"/>
      <c r="G63" s="45"/>
      <c r="H63" s="45"/>
      <c r="I63" s="45"/>
      <c r="J63" s="45">
        <v>139000</v>
      </c>
      <c r="K63" s="45" t="s">
        <v>342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50000</v>
      </c>
      <c r="K64" s="50" t="s">
        <v>333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13000</v>
      </c>
      <c r="K65" s="45" t="s">
        <v>61</v>
      </c>
    </row>
    <row r="66" spans="1:11" ht="19" x14ac:dyDescent="0.2">
      <c r="A66" s="57"/>
      <c r="B66" s="47"/>
      <c r="C66" s="51"/>
      <c r="D66" s="48"/>
      <c r="E66" s="49"/>
      <c r="F66" s="50"/>
      <c r="G66" s="50"/>
      <c r="H66" s="50"/>
      <c r="I66" s="50"/>
      <c r="J66" s="50">
        <v>28000</v>
      </c>
      <c r="K66" s="50" t="s">
        <v>343</v>
      </c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>
        <v>45000</v>
      </c>
      <c r="K67" s="45" t="s">
        <v>208</v>
      </c>
    </row>
    <row r="68" spans="1:11" ht="19" x14ac:dyDescent="0.2">
      <c r="A68" s="68">
        <v>1179000</v>
      </c>
      <c r="B68" s="69">
        <v>45587</v>
      </c>
      <c r="C68" s="70" t="s">
        <v>16</v>
      </c>
      <c r="D68" s="71" t="s">
        <v>168</v>
      </c>
      <c r="E68" s="72">
        <v>601000</v>
      </c>
      <c r="F68" s="73">
        <v>214000</v>
      </c>
      <c r="G68" s="73">
        <v>364000</v>
      </c>
      <c r="H68" s="50"/>
      <c r="I68" s="50"/>
      <c r="J68" s="50">
        <v>80000</v>
      </c>
      <c r="K68" s="50" t="s">
        <v>344</v>
      </c>
    </row>
    <row r="69" spans="1:11" ht="19" x14ac:dyDescent="0.2">
      <c r="A69" s="61"/>
      <c r="B69" s="43"/>
      <c r="C69" s="46"/>
      <c r="D69" s="44"/>
      <c r="E69" s="62"/>
      <c r="F69" s="45"/>
      <c r="G69" s="45"/>
      <c r="H69" s="45"/>
      <c r="I69" s="45"/>
      <c r="J69" s="45">
        <v>17000</v>
      </c>
      <c r="K69" s="45" t="s">
        <v>345</v>
      </c>
    </row>
    <row r="70" spans="1:11" ht="19" x14ac:dyDescent="0.2">
      <c r="A70" s="57"/>
      <c r="B70" s="47"/>
      <c r="C70" s="51"/>
      <c r="D70" s="48"/>
      <c r="E70" s="49"/>
      <c r="F70" s="50"/>
      <c r="G70" s="50"/>
      <c r="H70" s="50"/>
      <c r="I70" s="50"/>
      <c r="J70" s="50"/>
      <c r="K70" s="50"/>
    </row>
    <row r="71" spans="1:11" ht="19" x14ac:dyDescent="0.2">
      <c r="A71" s="61">
        <v>1423000</v>
      </c>
      <c r="B71" s="43">
        <v>45588</v>
      </c>
      <c r="C71" s="46" t="s">
        <v>16</v>
      </c>
      <c r="D71" s="44" t="s">
        <v>168</v>
      </c>
      <c r="E71" s="62">
        <v>828000</v>
      </c>
      <c r="F71" s="45">
        <v>241000</v>
      </c>
      <c r="G71" s="45">
        <v>354000</v>
      </c>
      <c r="H71" s="45"/>
      <c r="I71" s="45"/>
      <c r="J71" s="45">
        <v>90000</v>
      </c>
      <c r="K71" s="45" t="s">
        <v>58</v>
      </c>
    </row>
    <row r="72" spans="1:11" ht="19" x14ac:dyDescent="0.2">
      <c r="A72" s="57"/>
      <c r="B72" s="47"/>
      <c r="C72" s="51"/>
      <c r="D72" s="48"/>
      <c r="E72" s="49"/>
      <c r="F72" s="50"/>
      <c r="G72" s="50"/>
      <c r="H72" s="50"/>
      <c r="J72" s="73"/>
      <c r="K72" s="73"/>
    </row>
    <row r="73" spans="1:11" ht="19" x14ac:dyDescent="0.2">
      <c r="A73" s="61">
        <v>1363000</v>
      </c>
      <c r="B73" s="43">
        <v>45589</v>
      </c>
      <c r="C73" s="46" t="s">
        <v>16</v>
      </c>
      <c r="D73" s="44" t="s">
        <v>346</v>
      </c>
      <c r="E73" s="62">
        <v>528000</v>
      </c>
      <c r="F73" s="45">
        <v>466000</v>
      </c>
      <c r="G73" s="45">
        <v>369000</v>
      </c>
      <c r="H73" s="45"/>
      <c r="I73" s="45"/>
      <c r="J73" s="45">
        <v>27000</v>
      </c>
      <c r="K73" s="45" t="s">
        <v>264</v>
      </c>
    </row>
    <row r="74" spans="1:11" ht="19" x14ac:dyDescent="0.2">
      <c r="A74" s="57">
        <v>1189000</v>
      </c>
      <c r="B74" s="47">
        <v>45590</v>
      </c>
      <c r="C74" s="51" t="s">
        <v>16</v>
      </c>
      <c r="D74" s="48" t="s">
        <v>168</v>
      </c>
      <c r="E74" s="49">
        <v>311000</v>
      </c>
      <c r="F74" s="50">
        <v>357000</v>
      </c>
      <c r="G74" s="50">
        <v>521000</v>
      </c>
      <c r="H74" s="50"/>
      <c r="I74" s="50"/>
      <c r="J74" s="63">
        <v>165000</v>
      </c>
      <c r="K74" s="63" t="s">
        <v>347</v>
      </c>
    </row>
    <row r="75" spans="1:11" ht="19" x14ac:dyDescent="0.2">
      <c r="A75" s="61"/>
      <c r="B75" s="43"/>
      <c r="C75" s="46"/>
      <c r="D75" s="44"/>
      <c r="E75" s="62"/>
      <c r="F75" s="45"/>
      <c r="G75" s="45"/>
      <c r="H75" s="45"/>
      <c r="I75" s="45"/>
      <c r="J75" s="64">
        <v>120000</v>
      </c>
      <c r="K75" s="64" t="s">
        <v>348</v>
      </c>
    </row>
    <row r="76" spans="1:11" ht="19" x14ac:dyDescent="0.2">
      <c r="A76" s="57"/>
      <c r="B76" s="47"/>
      <c r="C76" s="51"/>
      <c r="D76" s="48"/>
      <c r="E76" s="49"/>
      <c r="F76" s="50"/>
      <c r="G76" s="50"/>
      <c r="H76" s="50"/>
      <c r="I76" s="50"/>
      <c r="J76" s="50">
        <v>200000</v>
      </c>
      <c r="K76" s="50" t="s">
        <v>21</v>
      </c>
    </row>
    <row r="77" spans="1:11" ht="19" x14ac:dyDescent="0.2">
      <c r="A77" s="61">
        <v>586000</v>
      </c>
      <c r="B77" s="43">
        <v>45591</v>
      </c>
      <c r="C77" s="46" t="s">
        <v>16</v>
      </c>
      <c r="D77" s="44" t="s">
        <v>168</v>
      </c>
      <c r="E77" s="62">
        <v>186000</v>
      </c>
      <c r="F77" s="45">
        <v>83000</v>
      </c>
      <c r="G77" s="45">
        <v>317000</v>
      </c>
      <c r="H77" s="45"/>
      <c r="I77" s="45"/>
      <c r="J77" s="45">
        <v>47000</v>
      </c>
      <c r="K77" s="45" t="s">
        <v>249</v>
      </c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/>
      <c r="K78" s="50"/>
    </row>
    <row r="79" spans="1:11" ht="19" x14ac:dyDescent="0.2">
      <c r="A79" s="61"/>
      <c r="B79" s="43">
        <v>45592</v>
      </c>
      <c r="C79" s="46" t="s">
        <v>42</v>
      </c>
      <c r="D79" s="44"/>
      <c r="E79" s="62"/>
      <c r="F79" s="45"/>
      <c r="G79" s="45"/>
      <c r="H79" s="45"/>
      <c r="I79" s="45"/>
      <c r="J79" s="45"/>
      <c r="K79" s="45"/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/>
      <c r="K80" s="50"/>
    </row>
    <row r="81" spans="1:11" ht="19" x14ac:dyDescent="0.2">
      <c r="A81" s="61">
        <v>1204000</v>
      </c>
      <c r="B81" s="43">
        <v>45593</v>
      </c>
      <c r="C81" s="46" t="s">
        <v>16</v>
      </c>
      <c r="D81" s="44" t="s">
        <v>168</v>
      </c>
      <c r="E81" s="62">
        <v>509000</v>
      </c>
      <c r="F81" s="45">
        <v>168000</v>
      </c>
      <c r="G81" s="45">
        <v>527000</v>
      </c>
      <c r="H81" s="45"/>
      <c r="I81" s="45"/>
      <c r="J81" s="45">
        <v>32000</v>
      </c>
      <c r="K81" s="45" t="s">
        <v>349</v>
      </c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/>
      <c r="K82" s="50"/>
    </row>
    <row r="83" spans="1:11" ht="19" x14ac:dyDescent="0.2">
      <c r="A83" s="61">
        <v>1201000</v>
      </c>
      <c r="B83" s="43">
        <v>45594</v>
      </c>
      <c r="C83" s="46" t="s">
        <v>16</v>
      </c>
      <c r="D83" s="44" t="s">
        <v>168</v>
      </c>
      <c r="E83" s="62">
        <v>569000</v>
      </c>
      <c r="F83" s="45">
        <v>141000</v>
      </c>
      <c r="G83" s="45">
        <v>491000</v>
      </c>
      <c r="H83" s="45"/>
      <c r="I83" s="45"/>
      <c r="J83" s="45">
        <v>225000</v>
      </c>
      <c r="K83" s="45" t="s">
        <v>350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/>
      <c r="K84" s="50"/>
    </row>
    <row r="85" spans="1:11" ht="19" x14ac:dyDescent="0.2">
      <c r="A85" s="61">
        <v>951000</v>
      </c>
      <c r="B85" s="43">
        <v>45595</v>
      </c>
      <c r="C85" s="46" t="s">
        <v>16</v>
      </c>
      <c r="D85" s="44" t="s">
        <v>168</v>
      </c>
      <c r="E85" s="62">
        <v>518000</v>
      </c>
      <c r="F85" s="45">
        <v>94000</v>
      </c>
      <c r="G85" s="45">
        <v>339000</v>
      </c>
      <c r="H85" s="45"/>
      <c r="I85" s="45"/>
      <c r="J85" s="45"/>
      <c r="K85" s="45"/>
    </row>
    <row r="86" spans="1:11" ht="19" x14ac:dyDescent="0.2">
      <c r="A86" s="61"/>
      <c r="B86" s="43"/>
      <c r="C86" s="46"/>
      <c r="D86" s="44"/>
      <c r="E86" s="62"/>
      <c r="F86" s="45"/>
      <c r="G86" s="45"/>
      <c r="H86" s="45"/>
      <c r="I86" s="45"/>
      <c r="J86" s="45"/>
      <c r="K86" s="45"/>
    </row>
    <row r="87" spans="1:11" ht="19" x14ac:dyDescent="0.2">
      <c r="A87" s="57">
        <v>1015000</v>
      </c>
      <c r="B87" s="47">
        <v>45596</v>
      </c>
      <c r="C87" s="51" t="s">
        <v>16</v>
      </c>
      <c r="D87" s="48" t="s">
        <v>168</v>
      </c>
      <c r="E87" s="49">
        <v>317000</v>
      </c>
      <c r="F87" s="50">
        <v>250000</v>
      </c>
      <c r="G87" s="50">
        <v>448000</v>
      </c>
      <c r="H87" s="50">
        <v>200000</v>
      </c>
      <c r="I87" s="50" t="s">
        <v>351</v>
      </c>
      <c r="J87" s="50">
        <v>48000</v>
      </c>
      <c r="K87" s="50" t="s">
        <v>352</v>
      </c>
    </row>
    <row r="88" spans="1:11" ht="19" x14ac:dyDescent="0.2">
      <c r="A88" s="61"/>
      <c r="B88" s="43"/>
      <c r="C88" s="46"/>
      <c r="D88" s="44"/>
      <c r="E88" s="62"/>
      <c r="F88" s="45"/>
      <c r="G88" s="45"/>
      <c r="H88" s="45">
        <v>2000000</v>
      </c>
      <c r="I88" s="45" t="s">
        <v>285</v>
      </c>
      <c r="J88" s="45">
        <v>15000</v>
      </c>
      <c r="K88" s="45" t="s">
        <v>353</v>
      </c>
    </row>
    <row r="89" spans="1:11" ht="19" x14ac:dyDescent="0.2">
      <c r="A89" s="57"/>
      <c r="B89" s="47"/>
      <c r="C89" s="51"/>
      <c r="D89" s="48"/>
      <c r="E89" s="49"/>
      <c r="F89" s="50"/>
      <c r="G89" s="50"/>
      <c r="H89" s="50"/>
      <c r="I89" s="50"/>
      <c r="J89" s="50">
        <v>90000</v>
      </c>
      <c r="K89" s="50" t="s">
        <v>58</v>
      </c>
    </row>
    <row r="90" spans="1:11" ht="19" x14ac:dyDescent="0.2">
      <c r="A90" s="61"/>
      <c r="B90" s="43"/>
      <c r="C90" s="46"/>
      <c r="D90" s="44"/>
      <c r="E90" s="62"/>
      <c r="F90" s="45"/>
      <c r="G90" s="45"/>
      <c r="H90" s="45"/>
      <c r="I90" s="45"/>
      <c r="J90" s="45">
        <v>174000</v>
      </c>
      <c r="K90" s="45" t="s">
        <v>37</v>
      </c>
    </row>
    <row r="91" spans="1:11" ht="19" x14ac:dyDescent="0.2">
      <c r="A91" s="57"/>
      <c r="B91" s="47"/>
      <c r="C91" s="51"/>
      <c r="D91" s="48"/>
      <c r="E91" s="49"/>
      <c r="F91" s="50"/>
      <c r="G91" s="50"/>
      <c r="H91" s="50"/>
      <c r="I91" s="50"/>
      <c r="J91" s="50">
        <v>180000</v>
      </c>
      <c r="K91" s="50" t="s">
        <v>354</v>
      </c>
    </row>
    <row r="92" spans="1:11" ht="19" x14ac:dyDescent="0.2">
      <c r="A92" s="61"/>
      <c r="B92" s="43"/>
      <c r="C92" s="46"/>
      <c r="D92" s="44"/>
      <c r="E92" s="62"/>
      <c r="F92" s="45"/>
      <c r="G92" s="45"/>
      <c r="H92" s="45"/>
      <c r="I92" s="45"/>
      <c r="J92" s="45">
        <v>24000</v>
      </c>
      <c r="K92" s="45" t="s">
        <v>356</v>
      </c>
    </row>
    <row r="93" spans="1:11" ht="19" x14ac:dyDescent="0.2">
      <c r="A93" s="57"/>
      <c r="B93" s="47"/>
      <c r="C93" s="51"/>
      <c r="D93" s="48"/>
      <c r="E93" s="49"/>
      <c r="F93" s="50"/>
      <c r="G93" s="50"/>
      <c r="H93" s="50"/>
      <c r="I93" s="50"/>
      <c r="J93" s="50"/>
      <c r="K93" s="5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K95"/>
  <sheetViews>
    <sheetView workbookViewId="0">
      <selection activeCell="B7" sqref="B7"/>
    </sheetView>
  </sheetViews>
  <sheetFormatPr baseColWidth="10" defaultColWidth="11.5" defaultRowHeight="15" x14ac:dyDescent="0.2"/>
  <cols>
    <col min="1" max="1" width="20.33203125" bestFit="1" customWidth="1"/>
    <col min="3" max="3" width="13.33203125" bestFit="1" customWidth="1"/>
    <col min="4" max="4" width="12.1640625" bestFit="1" customWidth="1"/>
    <col min="5" max="5" width="20.33203125" bestFit="1" customWidth="1"/>
    <col min="6" max="6" width="27.33203125" customWidth="1"/>
    <col min="7" max="7" width="20.33203125" bestFit="1" customWidth="1"/>
    <col min="8" max="8" width="21.83203125" customWidth="1"/>
    <col min="9" max="9" width="23.83203125" bestFit="1" customWidth="1"/>
    <col min="10" max="10" width="24.5" customWidth="1"/>
    <col min="11" max="11" width="28.1640625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413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4141025</v>
      </c>
      <c r="K6" s="30" t="s">
        <v>415</v>
      </c>
    </row>
    <row r="7" spans="1:11" ht="26" x14ac:dyDescent="0.3">
      <c r="B7" s="32" t="s">
        <v>414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SUM(A11:A476)</f>
        <v>34245000</v>
      </c>
      <c r="B10" s="39"/>
      <c r="C10" s="40" t="s">
        <v>15</v>
      </c>
      <c r="D10" s="41"/>
      <c r="E10" s="42">
        <f>SUM(E11:E476)</f>
        <v>15005000</v>
      </c>
      <c r="F10" s="38">
        <f>SUM(F11:F476)</f>
        <v>6645000</v>
      </c>
      <c r="G10" s="38">
        <f>SUM(G11:G471)</f>
        <v>12595000</v>
      </c>
      <c r="H10" s="38">
        <f>SUM(H11:H476)</f>
        <v>15299000</v>
      </c>
      <c r="I10" s="38"/>
      <c r="J10" s="38">
        <f>SUM(J11:J476)</f>
        <v>6705000</v>
      </c>
      <c r="K10" s="38"/>
    </row>
    <row r="11" spans="1:11" ht="21" x14ac:dyDescent="0.2">
      <c r="A11" s="96">
        <v>1139000</v>
      </c>
      <c r="B11" s="97">
        <v>45597</v>
      </c>
      <c r="C11" s="98" t="s">
        <v>16</v>
      </c>
      <c r="D11" s="99" t="s">
        <v>168</v>
      </c>
      <c r="E11" s="13">
        <v>348000</v>
      </c>
      <c r="F11" s="13">
        <v>474000</v>
      </c>
      <c r="G11" s="13">
        <v>317000</v>
      </c>
      <c r="H11" s="13">
        <v>463000</v>
      </c>
      <c r="I11" s="13" t="s">
        <v>409</v>
      </c>
      <c r="J11" s="13"/>
      <c r="K11" s="13"/>
    </row>
    <row r="12" spans="1:11" ht="19" x14ac:dyDescent="0.2">
      <c r="A12" s="53">
        <v>552000</v>
      </c>
      <c r="B12" s="4">
        <v>45598</v>
      </c>
      <c r="C12" s="5" t="s">
        <v>16</v>
      </c>
      <c r="D12" s="2" t="s">
        <v>346</v>
      </c>
      <c r="E12" s="3">
        <v>216000</v>
      </c>
      <c r="F12" s="1">
        <v>33000</v>
      </c>
      <c r="G12" s="1">
        <v>303000</v>
      </c>
      <c r="H12" s="1"/>
      <c r="I12" s="1"/>
      <c r="J12" s="1"/>
      <c r="K12" s="1"/>
    </row>
    <row r="13" spans="1:11" ht="19" x14ac:dyDescent="0.2">
      <c r="A13" s="54"/>
      <c r="B13" s="10">
        <v>45599</v>
      </c>
      <c r="C13" s="14"/>
      <c r="D13" s="12"/>
      <c r="E13" s="15" t="s">
        <v>125</v>
      </c>
      <c r="F13" s="13"/>
      <c r="G13" s="13"/>
      <c r="H13" s="13"/>
      <c r="I13" s="13"/>
      <c r="J13" s="13">
        <v>210000</v>
      </c>
      <c r="K13" s="13" t="s">
        <v>366</v>
      </c>
    </row>
    <row r="14" spans="1:11" ht="19" x14ac:dyDescent="0.2">
      <c r="A14" s="53">
        <v>2002000</v>
      </c>
      <c r="B14" s="4">
        <v>45600</v>
      </c>
      <c r="C14" s="5" t="s">
        <v>16</v>
      </c>
      <c r="D14" s="2" t="s">
        <v>168</v>
      </c>
      <c r="E14" s="3">
        <v>987000</v>
      </c>
      <c r="F14" s="1">
        <v>339000</v>
      </c>
      <c r="G14" s="1">
        <v>676000</v>
      </c>
      <c r="H14" s="1"/>
      <c r="I14" s="1"/>
      <c r="J14" s="1">
        <v>90000</v>
      </c>
      <c r="K14" s="1" t="s">
        <v>58</v>
      </c>
    </row>
    <row r="15" spans="1:11" ht="19" x14ac:dyDescent="0.2">
      <c r="A15" s="54"/>
      <c r="B15" s="10"/>
      <c r="C15" s="14"/>
      <c r="D15" s="12"/>
      <c r="E15" s="15"/>
      <c r="F15" s="13"/>
      <c r="G15" s="13"/>
      <c r="H15" s="13"/>
      <c r="I15" s="13"/>
      <c r="J15" s="13">
        <v>31000</v>
      </c>
      <c r="K15" s="13" t="s">
        <v>367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>
        <v>23000</v>
      </c>
      <c r="K16" s="8" t="s">
        <v>368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24000</v>
      </c>
      <c r="K17" s="13" t="s">
        <v>270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>
        <v>140000</v>
      </c>
      <c r="K18" s="8" t="s">
        <v>369</v>
      </c>
    </row>
    <row r="19" spans="1:11" ht="19" x14ac:dyDescent="0.2">
      <c r="A19" s="56">
        <v>1260000</v>
      </c>
      <c r="B19" s="10">
        <v>45601</v>
      </c>
      <c r="C19" s="16" t="s">
        <v>16</v>
      </c>
      <c r="D19" s="12" t="s">
        <v>168</v>
      </c>
      <c r="E19" s="15">
        <v>715000</v>
      </c>
      <c r="F19" s="13">
        <v>218000</v>
      </c>
      <c r="G19" s="13">
        <v>327000</v>
      </c>
      <c r="H19" s="17"/>
      <c r="I19" s="17"/>
      <c r="J19" s="13">
        <v>192000</v>
      </c>
      <c r="K19" s="13" t="s">
        <v>90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173000</v>
      </c>
      <c r="K20" s="8" t="s">
        <v>370</v>
      </c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>
        <v>140000</v>
      </c>
      <c r="K21" s="13" t="s">
        <v>27</v>
      </c>
    </row>
    <row r="22" spans="1:11" ht="19" x14ac:dyDescent="0.2">
      <c r="A22" s="55"/>
      <c r="B22" s="18"/>
      <c r="C22" s="21"/>
      <c r="D22" s="20"/>
      <c r="E22" s="21"/>
      <c r="F22" s="8"/>
      <c r="G22" s="8"/>
      <c r="H22" s="23"/>
      <c r="I22" s="23"/>
      <c r="J22" s="8">
        <v>90000</v>
      </c>
      <c r="K22" s="8" t="s">
        <v>301</v>
      </c>
    </row>
    <row r="23" spans="1:11" ht="19" x14ac:dyDescent="0.2">
      <c r="A23" s="56"/>
      <c r="B23" s="10"/>
      <c r="C23" s="16"/>
      <c r="D23" s="12"/>
      <c r="E23" s="15"/>
      <c r="F23" s="13"/>
      <c r="G23" s="13"/>
      <c r="H23" s="13"/>
      <c r="I23" s="13"/>
      <c r="J23" s="13">
        <v>192000</v>
      </c>
      <c r="K23" s="13" t="s">
        <v>29</v>
      </c>
    </row>
    <row r="24" spans="1:11" ht="19" x14ac:dyDescent="0.2">
      <c r="A24" s="55"/>
      <c r="B24" s="18"/>
      <c r="C24" s="21"/>
      <c r="D24" s="20"/>
      <c r="E24" s="21"/>
      <c r="F24" s="8"/>
      <c r="G24" s="8"/>
      <c r="H24" s="8"/>
      <c r="I24" s="8"/>
      <c r="J24" s="8">
        <v>210000</v>
      </c>
      <c r="K24" s="8" t="s">
        <v>366</v>
      </c>
    </row>
    <row r="25" spans="1:11" ht="19" x14ac:dyDescent="0.2">
      <c r="A25" s="56"/>
      <c r="B25" s="10"/>
      <c r="C25" s="16"/>
      <c r="D25" s="12"/>
      <c r="E25" s="15"/>
      <c r="F25" s="13"/>
      <c r="G25" s="13"/>
      <c r="H25" s="13"/>
      <c r="I25" s="13"/>
      <c r="J25" s="13"/>
      <c r="K25" s="13"/>
    </row>
    <row r="26" spans="1:11" ht="19" x14ac:dyDescent="0.2">
      <c r="A26" s="55">
        <v>1664000</v>
      </c>
      <c r="B26" s="18">
        <v>45602</v>
      </c>
      <c r="C26" s="19" t="s">
        <v>16</v>
      </c>
      <c r="D26" s="20" t="s">
        <v>168</v>
      </c>
      <c r="E26" s="21">
        <v>828000</v>
      </c>
      <c r="F26" s="8">
        <v>406000</v>
      </c>
      <c r="G26" s="8">
        <v>430000</v>
      </c>
      <c r="H26" s="8">
        <v>800000</v>
      </c>
      <c r="I26" s="8" t="s">
        <v>411</v>
      </c>
      <c r="J26" s="8">
        <v>5000</v>
      </c>
      <c r="K26" s="8" t="s">
        <v>371</v>
      </c>
    </row>
    <row r="27" spans="1:11" ht="19" x14ac:dyDescent="0.2">
      <c r="A27" s="56"/>
      <c r="B27" s="10"/>
      <c r="C27" s="16"/>
      <c r="D27" s="12"/>
      <c r="E27" s="15"/>
      <c r="F27" s="13"/>
      <c r="G27" s="13"/>
      <c r="H27" s="13"/>
      <c r="I27" s="13"/>
      <c r="J27" s="13">
        <v>22000</v>
      </c>
      <c r="K27" s="13" t="s">
        <v>372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/>
      <c r="I28" s="8"/>
      <c r="J28" s="1">
        <v>56000</v>
      </c>
      <c r="K28" s="1" t="s">
        <v>373</v>
      </c>
    </row>
    <row r="29" spans="1:11" ht="19" x14ac:dyDescent="0.2">
      <c r="A29" s="56"/>
      <c r="B29" s="10"/>
      <c r="C29" s="14"/>
      <c r="D29" s="12"/>
      <c r="E29" s="15"/>
      <c r="F29" s="13"/>
      <c r="G29" s="13"/>
      <c r="H29" s="13"/>
      <c r="I29" s="13"/>
      <c r="J29" s="13">
        <v>200000</v>
      </c>
      <c r="K29" s="13" t="s">
        <v>21</v>
      </c>
    </row>
    <row r="30" spans="1:11" ht="19" x14ac:dyDescent="0.2">
      <c r="A30" s="55">
        <v>824000</v>
      </c>
      <c r="B30" s="4">
        <v>45603</v>
      </c>
      <c r="C30" s="5" t="s">
        <v>16</v>
      </c>
      <c r="D30" s="2" t="s">
        <v>168</v>
      </c>
      <c r="E30" s="3">
        <v>399000</v>
      </c>
      <c r="F30" s="1">
        <v>184000</v>
      </c>
      <c r="G30" s="1">
        <v>241000</v>
      </c>
      <c r="H30" s="1"/>
      <c r="I30" s="1"/>
      <c r="J30" s="1">
        <v>66000</v>
      </c>
      <c r="K30" s="1" t="s">
        <v>139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>
        <v>83000</v>
      </c>
      <c r="K31" s="13" t="s">
        <v>374</v>
      </c>
    </row>
    <row r="32" spans="1:11" ht="19" x14ac:dyDescent="0.2">
      <c r="A32" s="53"/>
      <c r="B32" s="4"/>
      <c r="C32" s="5"/>
      <c r="D32" s="2"/>
      <c r="E32" s="3"/>
      <c r="F32" s="1"/>
      <c r="G32" s="1"/>
      <c r="H32" s="1"/>
      <c r="I32" s="1"/>
      <c r="J32" s="1">
        <v>45000</v>
      </c>
      <c r="K32" s="1" t="s">
        <v>410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/>
      <c r="K33" s="13"/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>
        <v>45000</v>
      </c>
      <c r="K34" s="8" t="s">
        <v>375</v>
      </c>
    </row>
    <row r="35" spans="1:11" ht="19" x14ac:dyDescent="0.2">
      <c r="A35" s="54">
        <v>1730000</v>
      </c>
      <c r="B35" s="10">
        <v>45604</v>
      </c>
      <c r="C35" s="14" t="s">
        <v>16</v>
      </c>
      <c r="D35" s="12" t="s">
        <v>168</v>
      </c>
      <c r="E35" s="15">
        <v>754000</v>
      </c>
      <c r="F35" s="13">
        <v>358000</v>
      </c>
      <c r="G35" s="13">
        <v>618000</v>
      </c>
      <c r="H35" s="13"/>
      <c r="I35" s="13"/>
      <c r="J35" s="13">
        <v>45000</v>
      </c>
      <c r="K35" s="13" t="s">
        <v>376</v>
      </c>
    </row>
    <row r="36" spans="1:11" ht="19" x14ac:dyDescent="0.2">
      <c r="A36" s="55"/>
      <c r="B36" s="18"/>
      <c r="C36" s="22"/>
      <c r="D36" s="20"/>
      <c r="E36" s="21"/>
      <c r="F36" s="8"/>
      <c r="G36" s="8"/>
      <c r="H36" s="8"/>
      <c r="I36" s="8"/>
      <c r="J36" s="8">
        <v>260000</v>
      </c>
      <c r="K36" s="81" t="s">
        <v>151</v>
      </c>
    </row>
    <row r="37" spans="1:11" ht="19" x14ac:dyDescent="0.2">
      <c r="A37" s="56">
        <v>666000</v>
      </c>
      <c r="B37" s="10">
        <v>45605</v>
      </c>
      <c r="C37" s="14" t="s">
        <v>16</v>
      </c>
      <c r="D37" s="12" t="s">
        <v>346</v>
      </c>
      <c r="E37" s="15">
        <v>373000</v>
      </c>
      <c r="F37" s="13">
        <v>95000</v>
      </c>
      <c r="G37" s="13">
        <v>198000</v>
      </c>
      <c r="H37" s="13">
        <v>200000</v>
      </c>
      <c r="I37" s="13" t="s">
        <v>377</v>
      </c>
      <c r="J37" s="13">
        <v>27000</v>
      </c>
      <c r="K37" s="13" t="s">
        <v>264</v>
      </c>
    </row>
    <row r="38" spans="1:11" ht="19" x14ac:dyDescent="0.2">
      <c r="A38" s="55"/>
      <c r="B38" s="4">
        <v>45606</v>
      </c>
      <c r="C38" s="5"/>
      <c r="D38" s="2"/>
      <c r="E38" s="3" t="s">
        <v>125</v>
      </c>
      <c r="F38" s="1"/>
      <c r="G38" s="1"/>
      <c r="H38" s="1"/>
      <c r="I38" s="1"/>
      <c r="J38" s="1">
        <v>104000</v>
      </c>
      <c r="K38" s="1" t="s">
        <v>254</v>
      </c>
    </row>
    <row r="39" spans="1:11" ht="19" x14ac:dyDescent="0.2">
      <c r="A39" s="56">
        <v>1520000</v>
      </c>
      <c r="B39" s="10">
        <v>45607</v>
      </c>
      <c r="C39" s="14" t="s">
        <v>16</v>
      </c>
      <c r="D39" s="12" t="s">
        <v>168</v>
      </c>
      <c r="E39" s="15">
        <v>502000</v>
      </c>
      <c r="F39" s="13">
        <v>527000</v>
      </c>
      <c r="G39" s="13">
        <v>491000</v>
      </c>
      <c r="H39" s="13"/>
      <c r="I39" s="13"/>
      <c r="J39" s="13">
        <v>90000</v>
      </c>
      <c r="K39" s="13" t="s">
        <v>58</v>
      </c>
    </row>
    <row r="40" spans="1:11" ht="19" x14ac:dyDescent="0.2">
      <c r="A40" s="55"/>
      <c r="B40" s="4"/>
      <c r="C40" s="5"/>
      <c r="D40" s="2"/>
      <c r="E40" s="3"/>
      <c r="F40" s="1"/>
      <c r="G40" s="1"/>
      <c r="H40" s="1"/>
      <c r="I40" s="1"/>
      <c r="J40" s="1">
        <v>32000</v>
      </c>
      <c r="K40" s="1" t="s">
        <v>378</v>
      </c>
    </row>
    <row r="41" spans="1:11" ht="19" x14ac:dyDescent="0.2">
      <c r="A41" s="56"/>
      <c r="B41" s="10"/>
      <c r="C41" s="14"/>
      <c r="D41" s="12"/>
      <c r="E41" s="15"/>
      <c r="F41" s="13"/>
      <c r="G41" s="13"/>
      <c r="H41" s="13"/>
      <c r="I41" s="13"/>
      <c r="J41" s="13">
        <v>100000</v>
      </c>
      <c r="K41" s="13" t="s">
        <v>197</v>
      </c>
    </row>
    <row r="42" spans="1:11" ht="19" x14ac:dyDescent="0.2">
      <c r="A42" s="55">
        <v>1248000</v>
      </c>
      <c r="B42" s="4">
        <v>45608</v>
      </c>
      <c r="C42" s="5" t="s">
        <v>16</v>
      </c>
      <c r="D42" s="2" t="s">
        <v>168</v>
      </c>
      <c r="E42" s="3">
        <v>454000</v>
      </c>
      <c r="F42" s="1">
        <v>274000</v>
      </c>
      <c r="G42" s="1">
        <v>520000</v>
      </c>
      <c r="H42" s="1"/>
      <c r="I42" s="82"/>
      <c r="J42" s="8">
        <v>200000</v>
      </c>
      <c r="K42" s="1" t="s">
        <v>21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>
        <v>45000</v>
      </c>
      <c r="K43" s="13" t="s">
        <v>22</v>
      </c>
    </row>
    <row r="44" spans="1:11" ht="19" x14ac:dyDescent="0.2">
      <c r="A44" s="59">
        <v>1526000</v>
      </c>
      <c r="B44" s="47">
        <v>45609</v>
      </c>
      <c r="C44" s="51" t="s">
        <v>16</v>
      </c>
      <c r="D44" s="48" t="s">
        <v>168</v>
      </c>
      <c r="E44" s="49">
        <v>618000</v>
      </c>
      <c r="F44" s="50">
        <v>311000</v>
      </c>
      <c r="G44" s="50">
        <v>597000</v>
      </c>
      <c r="H44" s="50"/>
      <c r="I44" s="50"/>
      <c r="J44" s="50">
        <v>25000</v>
      </c>
      <c r="K44" s="50" t="s">
        <v>356</v>
      </c>
    </row>
    <row r="45" spans="1:11" ht="19" x14ac:dyDescent="0.2">
      <c r="A45" s="58">
        <v>1371000</v>
      </c>
      <c r="B45" s="43">
        <v>45610</v>
      </c>
      <c r="C45" s="46" t="s">
        <v>16</v>
      </c>
      <c r="D45" s="44" t="s">
        <v>168</v>
      </c>
      <c r="E45" s="15">
        <v>785000</v>
      </c>
      <c r="F45" s="13">
        <v>115000</v>
      </c>
      <c r="G45" s="13">
        <v>471000</v>
      </c>
      <c r="H45" s="45"/>
      <c r="I45" s="45"/>
      <c r="J45" s="45">
        <v>20000</v>
      </c>
      <c r="K45" s="45" t="s">
        <v>379</v>
      </c>
    </row>
    <row r="46" spans="1:11" ht="19" x14ac:dyDescent="0.2">
      <c r="A46" s="57"/>
      <c r="B46" s="47"/>
      <c r="C46" s="51"/>
      <c r="D46" s="48"/>
      <c r="E46" s="49"/>
      <c r="F46" s="50"/>
      <c r="G46" s="50"/>
      <c r="H46" s="50"/>
      <c r="I46" s="50"/>
      <c r="J46" s="50">
        <v>55000</v>
      </c>
      <c r="K46" s="50" t="s">
        <v>380</v>
      </c>
    </row>
    <row r="47" spans="1:11" ht="19" x14ac:dyDescent="0.2">
      <c r="A47" s="61"/>
      <c r="B47" s="43"/>
      <c r="C47" s="46"/>
      <c r="D47" s="44"/>
      <c r="E47" s="62"/>
      <c r="F47" s="45"/>
      <c r="G47" s="45"/>
      <c r="H47" s="45"/>
      <c r="I47" s="45"/>
      <c r="J47" s="45">
        <v>100000</v>
      </c>
      <c r="K47" s="45" t="s">
        <v>381</v>
      </c>
    </row>
    <row r="48" spans="1:11" ht="19" x14ac:dyDescent="0.2">
      <c r="A48" s="57"/>
      <c r="B48" s="47"/>
      <c r="C48" s="51"/>
      <c r="D48" s="48"/>
      <c r="E48" s="49"/>
      <c r="F48" s="50"/>
      <c r="G48" s="50"/>
      <c r="H48" s="50"/>
      <c r="I48" s="50"/>
      <c r="J48" s="50">
        <v>100000</v>
      </c>
      <c r="K48" s="50" t="s">
        <v>382</v>
      </c>
    </row>
    <row r="49" spans="1:11" ht="19" x14ac:dyDescent="0.2">
      <c r="A49" s="61">
        <v>1501000</v>
      </c>
      <c r="B49" s="43">
        <v>45611</v>
      </c>
      <c r="C49" s="46" t="s">
        <v>16</v>
      </c>
      <c r="D49" s="44" t="s">
        <v>168</v>
      </c>
      <c r="E49" s="62">
        <v>773000</v>
      </c>
      <c r="F49" s="45">
        <v>293000</v>
      </c>
      <c r="G49" s="45">
        <v>435000</v>
      </c>
      <c r="H49" s="45">
        <v>2450000</v>
      </c>
      <c r="I49" s="45" t="s">
        <v>238</v>
      </c>
      <c r="J49" s="45">
        <v>150000</v>
      </c>
      <c r="K49" s="45" t="s">
        <v>383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105000</v>
      </c>
      <c r="K50" s="50" t="s">
        <v>384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75000</v>
      </c>
      <c r="K51" s="45" t="s">
        <v>385</v>
      </c>
    </row>
    <row r="52" spans="1:11" ht="19" x14ac:dyDescent="0.2">
      <c r="A52" s="57">
        <v>994000</v>
      </c>
      <c r="B52" s="47">
        <v>45612</v>
      </c>
      <c r="C52" s="51" t="s">
        <v>16</v>
      </c>
      <c r="D52" s="48" t="s">
        <v>346</v>
      </c>
      <c r="E52" s="49">
        <v>309000</v>
      </c>
      <c r="F52" s="50">
        <v>66000</v>
      </c>
      <c r="G52" s="50">
        <v>619000</v>
      </c>
      <c r="H52" s="50">
        <v>200000</v>
      </c>
      <c r="I52" s="50" t="s">
        <v>386</v>
      </c>
      <c r="J52" s="50">
        <v>14000</v>
      </c>
      <c r="K52" s="50" t="s">
        <v>387</v>
      </c>
    </row>
    <row r="53" spans="1:11" ht="19" x14ac:dyDescent="0.2">
      <c r="A53" s="61"/>
      <c r="B53" s="43"/>
      <c r="C53" s="46"/>
      <c r="D53" s="44"/>
      <c r="E53" s="62"/>
      <c r="F53" s="45"/>
      <c r="G53" s="45"/>
      <c r="H53" s="45"/>
      <c r="I53" s="45"/>
      <c r="J53" s="45">
        <v>15000</v>
      </c>
      <c r="K53" s="45" t="s">
        <v>353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/>
      <c r="I54" s="50"/>
      <c r="J54" s="50">
        <v>25000</v>
      </c>
      <c r="K54" s="50" t="s">
        <v>368</v>
      </c>
    </row>
    <row r="55" spans="1:11" ht="19" x14ac:dyDescent="0.2">
      <c r="A55" s="61"/>
      <c r="B55" s="43"/>
      <c r="C55" s="46"/>
      <c r="D55" s="44"/>
      <c r="E55" s="62"/>
      <c r="F55" s="45"/>
      <c r="G55" s="45"/>
      <c r="H55" s="45"/>
      <c r="I55" s="45"/>
      <c r="J55" s="45">
        <v>8000</v>
      </c>
      <c r="K55" s="45" t="s">
        <v>388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>
        <v>10000</v>
      </c>
      <c r="K56" s="50" t="s">
        <v>389</v>
      </c>
    </row>
    <row r="57" spans="1:11" ht="19" x14ac:dyDescent="0.2">
      <c r="A57" s="61"/>
      <c r="B57" s="43">
        <v>45613</v>
      </c>
      <c r="C57" s="46"/>
      <c r="D57" s="44"/>
      <c r="E57" s="62" t="s">
        <v>135</v>
      </c>
      <c r="F57" s="45"/>
      <c r="G57" s="45"/>
      <c r="H57" s="45"/>
      <c r="I57" s="45"/>
      <c r="J57" s="45">
        <v>66000</v>
      </c>
      <c r="K57" s="45" t="s">
        <v>390</v>
      </c>
    </row>
    <row r="58" spans="1:11" ht="19" x14ac:dyDescent="0.2">
      <c r="A58" s="57">
        <v>1430000</v>
      </c>
      <c r="B58" s="47">
        <v>45614</v>
      </c>
      <c r="C58" s="51" t="s">
        <v>16</v>
      </c>
      <c r="D58" s="48" t="s">
        <v>168</v>
      </c>
      <c r="E58" s="49">
        <v>672000</v>
      </c>
      <c r="F58" s="50">
        <v>228000</v>
      </c>
      <c r="G58" s="50">
        <v>530000</v>
      </c>
      <c r="H58" s="50"/>
      <c r="I58" s="50"/>
      <c r="J58" s="50">
        <v>90000</v>
      </c>
      <c r="K58" s="50" t="s">
        <v>58</v>
      </c>
    </row>
    <row r="59" spans="1:11" ht="19" x14ac:dyDescent="0.2">
      <c r="A59" s="61"/>
      <c r="B59" s="43"/>
      <c r="C59" s="46"/>
      <c r="D59" s="44"/>
      <c r="E59" s="62"/>
      <c r="F59" s="45"/>
      <c r="G59" s="45"/>
      <c r="H59" s="45"/>
      <c r="I59" s="45"/>
      <c r="J59" s="45">
        <v>75000</v>
      </c>
      <c r="K59" s="45" t="s">
        <v>391</v>
      </c>
    </row>
    <row r="60" spans="1:11" ht="19" x14ac:dyDescent="0.2">
      <c r="A60" s="57">
        <v>1291000</v>
      </c>
      <c r="B60" s="47">
        <v>45615</v>
      </c>
      <c r="C60" s="51" t="s">
        <v>16</v>
      </c>
      <c r="D60" s="48" t="s">
        <v>168</v>
      </c>
      <c r="E60" s="49">
        <v>655000</v>
      </c>
      <c r="F60" s="50">
        <v>238000</v>
      </c>
      <c r="G60" s="50">
        <v>398000</v>
      </c>
      <c r="H60" s="50"/>
      <c r="I60" s="50"/>
      <c r="J60" s="50">
        <v>180000</v>
      </c>
      <c r="K60" s="50" t="s">
        <v>354</v>
      </c>
    </row>
    <row r="61" spans="1:11" ht="19" x14ac:dyDescent="0.2">
      <c r="A61" s="61">
        <v>1315000</v>
      </c>
      <c r="B61" s="43">
        <v>45616</v>
      </c>
      <c r="C61" s="46" t="s">
        <v>16</v>
      </c>
      <c r="D61" s="44" t="s">
        <v>392</v>
      </c>
      <c r="E61" s="62">
        <v>612000</v>
      </c>
      <c r="F61" s="83">
        <v>111000</v>
      </c>
      <c r="G61" s="45">
        <v>592000</v>
      </c>
      <c r="H61" s="45"/>
      <c r="I61" s="45"/>
      <c r="J61" s="45">
        <v>99000</v>
      </c>
      <c r="K61" s="45" t="s">
        <v>393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90000</v>
      </c>
      <c r="K62" s="50" t="s">
        <v>58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83000</v>
      </c>
      <c r="K63" s="45" t="s">
        <v>96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174000</v>
      </c>
      <c r="K64" s="50" t="s">
        <v>37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19000</v>
      </c>
      <c r="K65" s="45" t="s">
        <v>394</v>
      </c>
    </row>
    <row r="66" spans="1:11" ht="19" x14ac:dyDescent="0.2">
      <c r="A66" s="68"/>
      <c r="B66" s="69"/>
      <c r="C66" s="70"/>
      <c r="D66" s="71"/>
      <c r="E66" s="72"/>
      <c r="F66" s="73"/>
      <c r="G66" s="73"/>
      <c r="H66" s="50"/>
      <c r="I66" s="50"/>
      <c r="J66" s="50">
        <v>120000</v>
      </c>
      <c r="K66" s="50" t="s">
        <v>395</v>
      </c>
    </row>
    <row r="67" spans="1:11" ht="19" x14ac:dyDescent="0.2">
      <c r="A67" s="61">
        <v>1602000</v>
      </c>
      <c r="B67" s="43">
        <v>45617</v>
      </c>
      <c r="C67" s="46" t="s">
        <v>16</v>
      </c>
      <c r="D67" s="44" t="s">
        <v>392</v>
      </c>
      <c r="E67" s="62">
        <v>694000</v>
      </c>
      <c r="F67" s="45">
        <v>376000</v>
      </c>
      <c r="G67" s="45">
        <v>532000</v>
      </c>
      <c r="H67" s="45">
        <v>6677000</v>
      </c>
      <c r="I67" s="45" t="s">
        <v>412</v>
      </c>
      <c r="J67" s="45">
        <v>200000</v>
      </c>
      <c r="K67" s="45" t="s">
        <v>21</v>
      </c>
    </row>
    <row r="68" spans="1:11" ht="19" x14ac:dyDescent="0.2">
      <c r="A68" s="57"/>
      <c r="B68" s="47"/>
      <c r="C68" s="51"/>
      <c r="D68" s="48"/>
      <c r="E68" s="49"/>
      <c r="F68" s="50"/>
      <c r="G68" s="50"/>
      <c r="H68" s="50"/>
      <c r="I68" s="50"/>
      <c r="J68" s="50">
        <v>9000</v>
      </c>
      <c r="K68" s="50" t="s">
        <v>396</v>
      </c>
    </row>
    <row r="69" spans="1:11" ht="19" x14ac:dyDescent="0.2">
      <c r="A69" s="61"/>
      <c r="B69" s="43"/>
      <c r="C69" s="46"/>
      <c r="D69" s="44"/>
      <c r="E69" s="62"/>
      <c r="F69" s="45"/>
      <c r="G69" s="45"/>
      <c r="H69" s="45"/>
      <c r="I69" s="45"/>
      <c r="J69" s="45">
        <v>192000</v>
      </c>
      <c r="K69" s="45" t="s">
        <v>29</v>
      </c>
    </row>
    <row r="70" spans="1:11" ht="19" x14ac:dyDescent="0.2">
      <c r="A70" s="57">
        <v>1436000</v>
      </c>
      <c r="B70" s="47">
        <v>45618</v>
      </c>
      <c r="C70" s="51" t="s">
        <v>16</v>
      </c>
      <c r="D70" s="48" t="s">
        <v>392</v>
      </c>
      <c r="E70" s="49">
        <v>509000</v>
      </c>
      <c r="F70" s="50">
        <v>379000</v>
      </c>
      <c r="G70" s="50">
        <v>548000</v>
      </c>
      <c r="H70" s="50"/>
      <c r="J70" s="73">
        <v>35000</v>
      </c>
      <c r="K70" s="73" t="s">
        <v>397</v>
      </c>
    </row>
    <row r="71" spans="1:11" ht="19" x14ac:dyDescent="0.2">
      <c r="A71" s="61"/>
      <c r="B71" s="43"/>
      <c r="C71" s="46"/>
      <c r="D71" s="44"/>
      <c r="E71" s="62"/>
      <c r="F71" s="45"/>
      <c r="G71" s="45"/>
      <c r="H71" s="45"/>
      <c r="I71" s="45"/>
      <c r="J71" s="45">
        <v>8000</v>
      </c>
      <c r="K71" s="45" t="s">
        <v>398</v>
      </c>
    </row>
    <row r="72" spans="1:11" ht="19" x14ac:dyDescent="0.2">
      <c r="A72" s="57"/>
      <c r="B72" s="47"/>
      <c r="C72" s="51"/>
      <c r="D72" s="48"/>
      <c r="E72" s="49"/>
      <c r="F72" s="50"/>
      <c r="G72" s="50"/>
      <c r="H72" s="50"/>
      <c r="I72" s="50"/>
      <c r="J72" s="63">
        <v>30000</v>
      </c>
      <c r="K72" s="63" t="s">
        <v>399</v>
      </c>
    </row>
    <row r="73" spans="1:11" ht="19" x14ac:dyDescent="0.2">
      <c r="A73" s="61">
        <v>928000</v>
      </c>
      <c r="B73" s="43">
        <v>45619</v>
      </c>
      <c r="C73" s="46" t="s">
        <v>16</v>
      </c>
      <c r="D73" s="44" t="s">
        <v>400</v>
      </c>
      <c r="E73" s="62">
        <v>422000</v>
      </c>
      <c r="F73" s="45">
        <v>294000</v>
      </c>
      <c r="G73" s="45">
        <v>212000</v>
      </c>
      <c r="H73" s="45"/>
      <c r="I73" s="45"/>
      <c r="J73" s="64">
        <v>50000</v>
      </c>
      <c r="K73" s="64" t="s">
        <v>70</v>
      </c>
    </row>
    <row r="74" spans="1:11" ht="19" x14ac:dyDescent="0.2">
      <c r="A74" s="57"/>
      <c r="B74" s="47"/>
      <c r="C74" s="51"/>
      <c r="D74" s="48"/>
      <c r="E74" s="49"/>
      <c r="F74" s="50"/>
      <c r="G74" s="50"/>
      <c r="H74" s="50"/>
      <c r="I74" s="50"/>
      <c r="J74" s="50"/>
      <c r="K74" s="50"/>
    </row>
    <row r="75" spans="1:11" ht="19" x14ac:dyDescent="0.2">
      <c r="A75" s="61"/>
      <c r="B75" s="43">
        <v>45620</v>
      </c>
      <c r="C75" s="46" t="s">
        <v>16</v>
      </c>
      <c r="D75" s="44"/>
      <c r="E75" s="62" t="s">
        <v>135</v>
      </c>
      <c r="F75" s="45"/>
      <c r="G75" s="45"/>
      <c r="H75" s="45"/>
      <c r="I75" s="45"/>
      <c r="J75" s="45"/>
      <c r="K75" s="45"/>
    </row>
    <row r="76" spans="1:11" ht="19" x14ac:dyDescent="0.2">
      <c r="A76" s="57">
        <v>1521000</v>
      </c>
      <c r="B76" s="47">
        <v>45621</v>
      </c>
      <c r="C76" s="51" t="s">
        <v>16</v>
      </c>
      <c r="D76" s="48" t="s">
        <v>401</v>
      </c>
      <c r="E76" s="49">
        <v>514000</v>
      </c>
      <c r="F76" s="50">
        <v>168000</v>
      </c>
      <c r="G76" s="50">
        <v>839000</v>
      </c>
      <c r="H76" s="50"/>
      <c r="I76" s="50"/>
      <c r="J76" s="50">
        <v>150000</v>
      </c>
      <c r="K76" s="50" t="s">
        <v>326</v>
      </c>
    </row>
    <row r="77" spans="1:11" ht="19" x14ac:dyDescent="0.2">
      <c r="A77" s="61">
        <v>1689000</v>
      </c>
      <c r="B77" s="43">
        <v>45622</v>
      </c>
      <c r="C77" s="46" t="s">
        <v>16</v>
      </c>
      <c r="D77" s="44" t="s">
        <v>401</v>
      </c>
      <c r="E77" s="62">
        <v>841000</v>
      </c>
      <c r="F77" s="45">
        <v>204000</v>
      </c>
      <c r="G77" s="45">
        <v>644000</v>
      </c>
      <c r="H77" s="45"/>
      <c r="I77" s="45"/>
      <c r="J77" s="45">
        <v>15000</v>
      </c>
      <c r="K77" s="45" t="s">
        <v>353</v>
      </c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>
        <v>53000</v>
      </c>
      <c r="K78" s="50" t="s">
        <v>208</v>
      </c>
    </row>
    <row r="79" spans="1:11" ht="19" x14ac:dyDescent="0.2">
      <c r="A79" s="61">
        <v>1266000</v>
      </c>
      <c r="B79" s="43">
        <v>45623</v>
      </c>
      <c r="C79" s="46" t="s">
        <v>16</v>
      </c>
      <c r="D79" s="44" t="s">
        <v>401</v>
      </c>
      <c r="E79" s="62">
        <v>500000</v>
      </c>
      <c r="F79" s="45">
        <v>315000</v>
      </c>
      <c r="G79" s="45">
        <v>451000</v>
      </c>
      <c r="H79" s="45"/>
      <c r="I79" s="45"/>
      <c r="J79" s="45">
        <v>90000</v>
      </c>
      <c r="K79" s="45" t="s">
        <v>58</v>
      </c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>
        <v>180000</v>
      </c>
      <c r="K80" s="50" t="s">
        <v>354</v>
      </c>
    </row>
    <row r="81" spans="1:11" ht="19" x14ac:dyDescent="0.2">
      <c r="A81" s="61">
        <v>1030000</v>
      </c>
      <c r="B81" s="43">
        <v>45624</v>
      </c>
      <c r="C81" s="46" t="s">
        <v>16</v>
      </c>
      <c r="D81" s="44" t="s">
        <v>401</v>
      </c>
      <c r="E81" s="62">
        <v>424000</v>
      </c>
      <c r="F81" s="45">
        <v>109000</v>
      </c>
      <c r="G81" s="45">
        <v>497000</v>
      </c>
      <c r="H81" s="45"/>
      <c r="I81" s="45"/>
      <c r="J81" s="45">
        <v>100000</v>
      </c>
      <c r="K81" s="45" t="s">
        <v>197</v>
      </c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>
        <v>200000</v>
      </c>
      <c r="K82" s="50" t="s">
        <v>21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45000</v>
      </c>
      <c r="K83" s="45" t="s">
        <v>22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>
        <v>75000</v>
      </c>
      <c r="K84" s="50" t="s">
        <v>65</v>
      </c>
    </row>
    <row r="85" spans="1:11" ht="19" x14ac:dyDescent="0.2">
      <c r="A85" s="61"/>
      <c r="B85" s="43"/>
      <c r="C85" s="46"/>
      <c r="D85" s="44"/>
      <c r="E85" s="62"/>
      <c r="F85" s="45"/>
      <c r="G85" s="45"/>
      <c r="H85" s="45"/>
      <c r="I85" s="45"/>
      <c r="J85" s="45">
        <v>26000</v>
      </c>
      <c r="K85" s="45" t="s">
        <v>208</v>
      </c>
    </row>
    <row r="86" spans="1:11" ht="19" x14ac:dyDescent="0.2">
      <c r="A86" s="57">
        <v>1957000</v>
      </c>
      <c r="B86" s="47">
        <v>45625</v>
      </c>
      <c r="C86" s="51" t="s">
        <v>16</v>
      </c>
      <c r="D86" s="48" t="s">
        <v>401</v>
      </c>
      <c r="E86" s="49">
        <v>769000</v>
      </c>
      <c r="F86" s="50">
        <v>390000</v>
      </c>
      <c r="G86" s="50">
        <v>798000</v>
      </c>
      <c r="H86" s="50">
        <v>200000</v>
      </c>
      <c r="I86" s="50" t="s">
        <v>402</v>
      </c>
      <c r="J86" s="50">
        <v>150000</v>
      </c>
      <c r="K86" s="50" t="s">
        <v>403</v>
      </c>
    </row>
    <row r="87" spans="1:11" ht="19" x14ac:dyDescent="0.2">
      <c r="A87" s="61"/>
      <c r="B87" s="43"/>
      <c r="C87" s="46"/>
      <c r="D87" s="44"/>
      <c r="E87" s="62"/>
      <c r="F87" s="45"/>
      <c r="G87" s="45"/>
      <c r="H87" s="45"/>
      <c r="I87" s="45"/>
      <c r="J87" s="45">
        <v>200000</v>
      </c>
      <c r="K87" s="45" t="s">
        <v>207</v>
      </c>
    </row>
    <row r="88" spans="1:11" ht="19" x14ac:dyDescent="0.2">
      <c r="A88" s="57"/>
      <c r="B88" s="47"/>
      <c r="C88" s="51"/>
      <c r="D88" s="48"/>
      <c r="E88" s="49"/>
      <c r="F88" s="50"/>
      <c r="G88" s="50"/>
      <c r="H88" s="50"/>
      <c r="I88" s="50"/>
      <c r="J88" s="50">
        <v>105000</v>
      </c>
      <c r="K88" s="50" t="s">
        <v>301</v>
      </c>
    </row>
    <row r="89" spans="1:11" ht="19" x14ac:dyDescent="0.2">
      <c r="A89" s="61"/>
      <c r="B89" s="43"/>
      <c r="C89" s="46"/>
      <c r="D89" s="44"/>
      <c r="E89" s="62"/>
      <c r="F89" s="45"/>
      <c r="G89" s="45"/>
      <c r="H89" s="45"/>
      <c r="I89" s="45"/>
      <c r="J89" s="45">
        <v>25000</v>
      </c>
      <c r="K89" s="45" t="s">
        <v>208</v>
      </c>
    </row>
    <row r="90" spans="1:11" ht="19" x14ac:dyDescent="0.2">
      <c r="A90" s="57"/>
      <c r="B90" s="47"/>
      <c r="C90" s="51"/>
      <c r="D90" s="48"/>
      <c r="E90" s="49"/>
      <c r="F90" s="50"/>
      <c r="G90" s="50"/>
      <c r="H90" s="50"/>
      <c r="I90" s="50"/>
      <c r="J90" s="50">
        <v>20000</v>
      </c>
      <c r="K90" s="50" t="s">
        <v>404</v>
      </c>
    </row>
    <row r="91" spans="1:11" ht="19" x14ac:dyDescent="0.2">
      <c r="A91" s="61">
        <v>783000</v>
      </c>
      <c r="B91" s="43">
        <v>45626</v>
      </c>
      <c r="C91" s="46" t="s">
        <v>16</v>
      </c>
      <c r="D91" s="44" t="s">
        <v>346</v>
      </c>
      <c r="E91" s="62">
        <v>332000</v>
      </c>
      <c r="F91" s="45">
        <v>140000</v>
      </c>
      <c r="G91" s="45">
        <v>311000</v>
      </c>
      <c r="H91" s="45">
        <v>2767000</v>
      </c>
      <c r="I91" s="45" t="s">
        <v>285</v>
      </c>
      <c r="J91" s="45">
        <v>24000</v>
      </c>
      <c r="K91" s="45" t="s">
        <v>405</v>
      </c>
    </row>
    <row r="92" spans="1:11" ht="19" x14ac:dyDescent="0.2">
      <c r="A92" s="57"/>
      <c r="B92" s="47"/>
      <c r="C92" s="51"/>
      <c r="D92" s="48"/>
      <c r="E92" s="49"/>
      <c r="F92" s="50"/>
      <c r="G92" s="50"/>
      <c r="H92" s="50">
        <v>1342000</v>
      </c>
      <c r="I92" s="50" t="s">
        <v>406</v>
      </c>
      <c r="J92" s="50">
        <v>25000</v>
      </c>
      <c r="K92" s="50" t="s">
        <v>407</v>
      </c>
    </row>
    <row r="93" spans="1:11" ht="19" x14ac:dyDescent="0.2">
      <c r="A93" s="61"/>
      <c r="B93" s="43"/>
      <c r="C93" s="46"/>
      <c r="D93" s="44"/>
      <c r="E93" s="62"/>
      <c r="F93" s="45"/>
      <c r="G93" s="45"/>
      <c r="H93" s="45">
        <v>200000</v>
      </c>
      <c r="I93" s="45" t="s">
        <v>408</v>
      </c>
      <c r="J93" s="45">
        <v>60000</v>
      </c>
      <c r="K93" s="45" t="s">
        <v>235</v>
      </c>
    </row>
    <row r="94" spans="1:11" ht="19" x14ac:dyDescent="0.2">
      <c r="A94" s="57"/>
      <c r="B94" s="47"/>
      <c r="C94" s="51"/>
      <c r="D94" s="48"/>
      <c r="E94" s="49"/>
      <c r="F94" s="50"/>
      <c r="G94" s="50"/>
      <c r="H94" s="50"/>
      <c r="I94" s="50"/>
      <c r="J94" s="50"/>
      <c r="K94" s="50"/>
    </row>
    <row r="95" spans="1:11" ht="19" x14ac:dyDescent="0.2">
      <c r="A95" s="61"/>
      <c r="B95" s="43"/>
      <c r="C95" s="46"/>
      <c r="D95" s="44"/>
      <c r="E95" s="62"/>
      <c r="F95" s="45"/>
      <c r="G95" s="45"/>
      <c r="H95" s="45"/>
      <c r="I95" s="45"/>
      <c r="J95" s="45"/>
      <c r="K95" s="4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K71"/>
  <sheetViews>
    <sheetView workbookViewId="0">
      <selection activeCell="B7" sqref="B7"/>
    </sheetView>
  </sheetViews>
  <sheetFormatPr baseColWidth="10" defaultColWidth="11.5" defaultRowHeight="15" x14ac:dyDescent="0.2"/>
  <cols>
    <col min="1" max="1" width="20.33203125" bestFit="1" customWidth="1"/>
    <col min="3" max="3" width="13.33203125" bestFit="1" customWidth="1"/>
    <col min="4" max="4" width="11.6640625" bestFit="1" customWidth="1"/>
    <col min="5" max="5" width="20.33203125" bestFit="1" customWidth="1"/>
    <col min="6" max="6" width="23.1640625" customWidth="1"/>
    <col min="7" max="7" width="20.33203125" bestFit="1" customWidth="1"/>
    <col min="8" max="8" width="22.5" customWidth="1"/>
    <col min="9" max="9" width="28" bestFit="1" customWidth="1"/>
    <col min="10" max="10" width="19" bestFit="1" customWidth="1"/>
    <col min="11" max="11" width="28.1640625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444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1354843</v>
      </c>
      <c r="K6" s="30" t="s">
        <v>446</v>
      </c>
    </row>
    <row r="7" spans="1:11" ht="26" x14ac:dyDescent="0.3">
      <c r="B7" s="32" t="s">
        <v>445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SUM(A11:A479)</f>
        <v>29668000</v>
      </c>
      <c r="B10" s="39"/>
      <c r="C10" s="40" t="s">
        <v>15</v>
      </c>
      <c r="D10" s="41"/>
      <c r="E10" s="42">
        <f>SUM(E11:E479)</f>
        <v>13002000</v>
      </c>
      <c r="F10" s="38">
        <f>SUM(F11:F479)</f>
        <v>4819000</v>
      </c>
      <c r="G10" s="38">
        <f>SUM(G11:G474)</f>
        <v>11847000</v>
      </c>
      <c r="H10" s="38">
        <f>SUM(H11:H479)</f>
        <v>14623000</v>
      </c>
      <c r="I10" s="38"/>
      <c r="J10" s="38">
        <f>SUM(J11:J479)</f>
        <v>4666000</v>
      </c>
      <c r="K10" s="38"/>
    </row>
    <row r="11" spans="1:11" ht="21" x14ac:dyDescent="0.2">
      <c r="A11" s="86">
        <v>1684000</v>
      </c>
      <c r="B11" s="87">
        <v>45628</v>
      </c>
      <c r="C11" s="100" t="s">
        <v>16</v>
      </c>
      <c r="D11" s="101" t="s">
        <v>401</v>
      </c>
      <c r="E11" s="8">
        <v>800000</v>
      </c>
      <c r="F11" s="8">
        <v>271000</v>
      </c>
      <c r="G11" s="8">
        <v>613000</v>
      </c>
      <c r="H11" s="8">
        <v>200000</v>
      </c>
      <c r="I11" s="8" t="s">
        <v>416</v>
      </c>
      <c r="J11" s="8">
        <v>180000</v>
      </c>
      <c r="K11" s="8" t="s">
        <v>354</v>
      </c>
    </row>
    <row r="12" spans="1:11" ht="19" x14ac:dyDescent="0.2">
      <c r="A12" s="54"/>
      <c r="B12" s="10"/>
      <c r="C12" s="14"/>
      <c r="D12" s="12"/>
      <c r="E12" s="15"/>
      <c r="F12" s="13"/>
      <c r="G12" s="13"/>
      <c r="H12" s="13"/>
      <c r="I12" s="13"/>
      <c r="J12" s="13"/>
      <c r="K12" s="13"/>
    </row>
    <row r="13" spans="1:11" ht="19" x14ac:dyDescent="0.2">
      <c r="A13" s="53">
        <v>1818000</v>
      </c>
      <c r="B13" s="18">
        <v>45629</v>
      </c>
      <c r="C13" s="22" t="s">
        <v>16</v>
      </c>
      <c r="D13" s="20" t="s">
        <v>400</v>
      </c>
      <c r="E13" s="21">
        <v>843000</v>
      </c>
      <c r="F13" s="8">
        <v>339000</v>
      </c>
      <c r="G13" s="8">
        <v>636000</v>
      </c>
      <c r="H13" s="8">
        <v>468000</v>
      </c>
      <c r="I13" s="8" t="s">
        <v>442</v>
      </c>
      <c r="J13" s="8">
        <v>99000</v>
      </c>
      <c r="K13" s="8" t="s">
        <v>417</v>
      </c>
    </row>
    <row r="14" spans="1:11" ht="19" x14ac:dyDescent="0.2">
      <c r="A14" s="54"/>
      <c r="B14" s="10"/>
      <c r="C14" s="14"/>
      <c r="D14" s="12"/>
      <c r="E14" s="15"/>
      <c r="F14" s="13"/>
      <c r="G14" s="13"/>
      <c r="H14" s="13"/>
      <c r="I14" s="13"/>
      <c r="J14" s="13">
        <v>90000</v>
      </c>
      <c r="K14" s="13" t="s">
        <v>58</v>
      </c>
    </row>
    <row r="15" spans="1:11" ht="19" x14ac:dyDescent="0.2">
      <c r="A15" s="53"/>
      <c r="B15" s="18"/>
      <c r="C15" s="22"/>
      <c r="D15" s="20"/>
      <c r="E15" s="21"/>
      <c r="F15" s="8"/>
      <c r="G15" s="8"/>
      <c r="H15" s="8"/>
      <c r="I15" s="8"/>
      <c r="J15" s="8">
        <v>66000</v>
      </c>
      <c r="K15" s="8" t="s">
        <v>139</v>
      </c>
    </row>
    <row r="16" spans="1:11" ht="19" x14ac:dyDescent="0.2">
      <c r="A16" s="56">
        <v>1248000</v>
      </c>
      <c r="B16" s="10">
        <v>45630</v>
      </c>
      <c r="C16" s="16" t="s">
        <v>16</v>
      </c>
      <c r="D16" s="12" t="s">
        <v>400</v>
      </c>
      <c r="E16" s="15">
        <v>459000</v>
      </c>
      <c r="F16" s="13">
        <v>92000</v>
      </c>
      <c r="G16" s="13">
        <v>697000</v>
      </c>
      <c r="H16" s="17"/>
      <c r="I16" s="17"/>
      <c r="J16" s="13">
        <v>13000</v>
      </c>
      <c r="K16" s="13" t="s">
        <v>418</v>
      </c>
    </row>
    <row r="17" spans="1:11" ht="19" x14ac:dyDescent="0.2">
      <c r="A17" s="55"/>
      <c r="B17" s="18"/>
      <c r="C17" s="19"/>
      <c r="D17" s="20"/>
      <c r="E17" s="21"/>
      <c r="F17" s="8"/>
      <c r="G17" s="8"/>
      <c r="H17" s="23"/>
      <c r="I17" s="23"/>
      <c r="J17" s="8">
        <v>165000</v>
      </c>
      <c r="K17" s="8" t="s">
        <v>347</v>
      </c>
    </row>
    <row r="18" spans="1:11" ht="19" x14ac:dyDescent="0.2">
      <c r="A18" s="56"/>
      <c r="B18" s="10"/>
      <c r="C18" s="16"/>
      <c r="D18" s="12"/>
      <c r="E18" s="15"/>
      <c r="F18" s="13"/>
      <c r="G18" s="13"/>
      <c r="H18" s="17"/>
      <c r="I18" s="17"/>
      <c r="J18" s="13">
        <v>12000</v>
      </c>
      <c r="K18" s="13" t="s">
        <v>419</v>
      </c>
    </row>
    <row r="19" spans="1:11" ht="19" x14ac:dyDescent="0.2">
      <c r="A19" s="55"/>
      <c r="B19" s="18"/>
      <c r="C19" s="19"/>
      <c r="D19" s="20"/>
      <c r="E19" s="21"/>
      <c r="F19" s="8"/>
      <c r="G19" s="8"/>
      <c r="H19" s="23"/>
      <c r="I19" s="23"/>
      <c r="J19" s="8">
        <v>26000</v>
      </c>
      <c r="K19" s="8" t="s">
        <v>208</v>
      </c>
    </row>
    <row r="20" spans="1:11" ht="19" x14ac:dyDescent="0.2">
      <c r="A20" s="56">
        <v>1290000</v>
      </c>
      <c r="B20" s="10">
        <v>45631</v>
      </c>
      <c r="C20" s="16" t="s">
        <v>16</v>
      </c>
      <c r="D20" s="12" t="s">
        <v>400</v>
      </c>
      <c r="E20" s="15">
        <v>624000</v>
      </c>
      <c r="F20" s="13">
        <v>279000</v>
      </c>
      <c r="G20" s="13">
        <v>387000</v>
      </c>
      <c r="H20" s="17"/>
      <c r="I20" s="17"/>
      <c r="J20" s="13">
        <v>200000</v>
      </c>
      <c r="K20" s="13" t="s">
        <v>21</v>
      </c>
    </row>
    <row r="21" spans="1:11" ht="19" x14ac:dyDescent="0.2">
      <c r="A21" s="55"/>
      <c r="B21" s="18"/>
      <c r="C21" s="19"/>
      <c r="D21" s="20"/>
      <c r="E21" s="21"/>
      <c r="F21" s="8"/>
      <c r="G21" s="8"/>
      <c r="H21" s="23"/>
      <c r="I21" s="23"/>
      <c r="J21" s="8">
        <v>75000</v>
      </c>
      <c r="K21" s="8" t="s">
        <v>440</v>
      </c>
    </row>
    <row r="22" spans="1:11" ht="19" x14ac:dyDescent="0.2">
      <c r="A22" s="56">
        <v>2010000</v>
      </c>
      <c r="B22" s="10">
        <v>45632</v>
      </c>
      <c r="C22" s="16" t="s">
        <v>420</v>
      </c>
      <c r="D22" s="12" t="s">
        <v>400</v>
      </c>
      <c r="E22" s="15">
        <v>743000</v>
      </c>
      <c r="F22" s="13">
        <v>532000</v>
      </c>
      <c r="G22" s="13">
        <v>735000</v>
      </c>
      <c r="H22" s="17"/>
      <c r="I22" s="17"/>
      <c r="J22" s="13">
        <v>49000</v>
      </c>
      <c r="K22" s="13" t="s">
        <v>421</v>
      </c>
    </row>
    <row r="23" spans="1:11" ht="19" x14ac:dyDescent="0.2">
      <c r="A23" s="55"/>
      <c r="B23" s="18"/>
      <c r="C23" s="21"/>
      <c r="D23" s="20"/>
      <c r="E23" s="21"/>
      <c r="F23" s="8"/>
      <c r="G23" s="8"/>
      <c r="H23" s="23"/>
      <c r="I23" s="23"/>
      <c r="J23" s="8">
        <v>25000</v>
      </c>
      <c r="K23" s="8" t="s">
        <v>422</v>
      </c>
    </row>
    <row r="24" spans="1:11" ht="19" x14ac:dyDescent="0.2">
      <c r="A24" s="56"/>
      <c r="B24" s="10"/>
      <c r="C24" s="16"/>
      <c r="D24" s="12"/>
      <c r="E24" s="15"/>
      <c r="F24" s="13"/>
      <c r="G24" s="13"/>
      <c r="H24" s="13"/>
      <c r="I24" s="13"/>
      <c r="J24" s="13">
        <v>10000</v>
      </c>
      <c r="K24" s="13" t="s">
        <v>419</v>
      </c>
    </row>
    <row r="25" spans="1:11" ht="19" x14ac:dyDescent="0.2">
      <c r="A25" s="55">
        <v>602000</v>
      </c>
      <c r="B25" s="18">
        <v>45633</v>
      </c>
      <c r="C25" s="21" t="s">
        <v>16</v>
      </c>
      <c r="D25" s="20" t="s">
        <v>400</v>
      </c>
      <c r="E25" s="21">
        <v>267000</v>
      </c>
      <c r="F25" s="8">
        <v>103000</v>
      </c>
      <c r="G25" s="8">
        <v>232000</v>
      </c>
      <c r="H25" s="8"/>
      <c r="I25" s="8"/>
      <c r="J25" s="8"/>
      <c r="K25" s="8"/>
    </row>
    <row r="26" spans="1:11" ht="19" x14ac:dyDescent="0.2">
      <c r="A26" s="56"/>
      <c r="B26" s="10">
        <v>45634</v>
      </c>
      <c r="C26" s="16"/>
      <c r="D26" s="12"/>
      <c r="E26" s="15" t="s">
        <v>125</v>
      </c>
      <c r="F26" s="13"/>
      <c r="G26" s="13"/>
      <c r="H26" s="13"/>
      <c r="I26" s="13"/>
      <c r="J26" s="13">
        <v>195000</v>
      </c>
      <c r="K26" s="13" t="s">
        <v>423</v>
      </c>
    </row>
    <row r="27" spans="1:11" ht="19" x14ac:dyDescent="0.2">
      <c r="A27" s="55">
        <v>679000</v>
      </c>
      <c r="B27" s="18">
        <v>45635</v>
      </c>
      <c r="C27" s="19" t="s">
        <v>16</v>
      </c>
      <c r="D27" s="20" t="s">
        <v>400</v>
      </c>
      <c r="E27" s="21">
        <v>258000</v>
      </c>
      <c r="F27" s="8">
        <v>81000</v>
      </c>
      <c r="G27" s="8">
        <v>340000</v>
      </c>
      <c r="H27" s="8"/>
      <c r="I27" s="8"/>
      <c r="J27" s="8">
        <v>112000</v>
      </c>
      <c r="K27" s="8" t="s">
        <v>424</v>
      </c>
    </row>
    <row r="28" spans="1:11" ht="19" x14ac:dyDescent="0.2">
      <c r="A28" s="56"/>
      <c r="B28" s="10"/>
      <c r="C28" s="16"/>
      <c r="D28" s="12"/>
      <c r="E28" s="15"/>
      <c r="F28" s="13"/>
      <c r="G28" s="13"/>
      <c r="H28" s="13"/>
      <c r="I28" s="13"/>
      <c r="J28" s="13">
        <v>41000</v>
      </c>
      <c r="K28" s="13" t="s">
        <v>425</v>
      </c>
    </row>
    <row r="29" spans="1:11" ht="19" x14ac:dyDescent="0.2">
      <c r="A29" s="55"/>
      <c r="B29" s="18"/>
      <c r="C29" s="19"/>
      <c r="D29" s="20"/>
      <c r="E29" s="21"/>
      <c r="F29" s="8"/>
      <c r="G29" s="8"/>
      <c r="H29" s="8"/>
      <c r="I29" s="8"/>
      <c r="J29" s="8">
        <v>15000</v>
      </c>
      <c r="K29" s="8" t="s">
        <v>353</v>
      </c>
    </row>
    <row r="30" spans="1:11" ht="19" x14ac:dyDescent="0.2">
      <c r="A30" s="56">
        <v>1200000</v>
      </c>
      <c r="B30" s="10">
        <v>45636</v>
      </c>
      <c r="C30" s="14" t="s">
        <v>16</v>
      </c>
      <c r="D30" s="12" t="s">
        <v>400</v>
      </c>
      <c r="E30" s="15">
        <v>591000</v>
      </c>
      <c r="F30" s="13">
        <v>215000</v>
      </c>
      <c r="G30" s="13">
        <v>394000</v>
      </c>
      <c r="H30" s="13"/>
      <c r="I30" s="13"/>
      <c r="J30" s="13">
        <v>114000</v>
      </c>
      <c r="K30" s="13" t="s">
        <v>426</v>
      </c>
    </row>
    <row r="31" spans="1:11" ht="19" x14ac:dyDescent="0.2">
      <c r="A31" s="55">
        <v>1035000</v>
      </c>
      <c r="B31" s="18">
        <v>45637</v>
      </c>
      <c r="C31" s="22" t="s">
        <v>16</v>
      </c>
      <c r="D31" s="20" t="s">
        <v>400</v>
      </c>
      <c r="E31" s="21">
        <v>342000</v>
      </c>
      <c r="F31" s="8">
        <v>183000</v>
      </c>
      <c r="G31" s="8">
        <v>510000</v>
      </c>
      <c r="H31" s="8"/>
      <c r="I31" s="8"/>
      <c r="J31" s="8">
        <v>34000</v>
      </c>
      <c r="K31" s="8" t="s">
        <v>427</v>
      </c>
    </row>
    <row r="32" spans="1:11" ht="19" x14ac:dyDescent="0.2">
      <c r="A32" s="56"/>
      <c r="B32" s="10"/>
      <c r="C32" s="14"/>
      <c r="D32" s="12"/>
      <c r="E32" s="15"/>
      <c r="F32" s="13"/>
      <c r="G32" s="13"/>
      <c r="H32" s="13"/>
      <c r="I32" s="13"/>
      <c r="J32" s="13">
        <v>192000</v>
      </c>
      <c r="K32" s="13" t="s">
        <v>29</v>
      </c>
    </row>
    <row r="33" spans="1:11" ht="19" x14ac:dyDescent="0.2">
      <c r="A33" s="53"/>
      <c r="B33" s="18"/>
      <c r="C33" s="22"/>
      <c r="D33" s="20"/>
      <c r="E33" s="21"/>
      <c r="F33" s="8"/>
      <c r="G33" s="8"/>
      <c r="H33" s="8"/>
      <c r="I33" s="8"/>
      <c r="J33" s="8">
        <v>160000</v>
      </c>
      <c r="K33" s="8" t="s">
        <v>27</v>
      </c>
    </row>
    <row r="34" spans="1:11" ht="19" x14ac:dyDescent="0.2">
      <c r="A34" s="54"/>
      <c r="B34" s="10"/>
      <c r="C34" s="14"/>
      <c r="D34" s="12"/>
      <c r="E34" s="15"/>
      <c r="F34" s="13"/>
      <c r="G34" s="13"/>
      <c r="H34" s="13"/>
      <c r="I34" s="13"/>
      <c r="J34" s="13">
        <v>105000</v>
      </c>
      <c r="K34" s="13" t="s">
        <v>301</v>
      </c>
    </row>
    <row r="35" spans="1:11" ht="19" x14ac:dyDescent="0.2">
      <c r="A35" s="53">
        <v>1235000</v>
      </c>
      <c r="B35" s="18">
        <v>45638</v>
      </c>
      <c r="C35" s="22" t="s">
        <v>16</v>
      </c>
      <c r="D35" s="20" t="s">
        <v>400</v>
      </c>
      <c r="E35" s="21">
        <v>408000</v>
      </c>
      <c r="F35" s="8">
        <v>294000</v>
      </c>
      <c r="G35" s="8">
        <v>533000</v>
      </c>
      <c r="H35" s="8"/>
      <c r="I35" s="8"/>
      <c r="J35" s="8">
        <v>100000</v>
      </c>
      <c r="K35" s="8" t="s">
        <v>197</v>
      </c>
    </row>
    <row r="36" spans="1:11" ht="19" x14ac:dyDescent="0.2">
      <c r="A36" s="54">
        <v>1723000</v>
      </c>
      <c r="B36" s="10">
        <v>45639</v>
      </c>
      <c r="C36" s="14" t="s">
        <v>16</v>
      </c>
      <c r="D36" s="12" t="s">
        <v>400</v>
      </c>
      <c r="E36" s="15">
        <v>812000</v>
      </c>
      <c r="F36" s="13">
        <v>365000</v>
      </c>
      <c r="G36" s="13">
        <v>546000</v>
      </c>
      <c r="H36" s="13">
        <v>900000</v>
      </c>
      <c r="I36" s="13" t="s">
        <v>359</v>
      </c>
      <c r="J36" s="13">
        <v>20000</v>
      </c>
      <c r="K36" s="13" t="s">
        <v>34</v>
      </c>
    </row>
    <row r="37" spans="1:11" ht="19" x14ac:dyDescent="0.2">
      <c r="A37" s="55">
        <v>1177000</v>
      </c>
      <c r="B37" s="18">
        <v>45640</v>
      </c>
      <c r="C37" s="22" t="s">
        <v>16</v>
      </c>
      <c r="D37" s="20" t="s">
        <v>346</v>
      </c>
      <c r="E37" s="21">
        <v>646000</v>
      </c>
      <c r="F37" s="8">
        <v>39000</v>
      </c>
      <c r="G37" s="8">
        <v>492000</v>
      </c>
      <c r="H37" s="8">
        <v>7215000</v>
      </c>
      <c r="I37" s="8" t="s">
        <v>441</v>
      </c>
      <c r="J37" s="8">
        <v>174000</v>
      </c>
      <c r="K37" s="81" t="s">
        <v>37</v>
      </c>
    </row>
    <row r="38" spans="1:11" ht="19" x14ac:dyDescent="0.2">
      <c r="A38" s="56"/>
      <c r="B38" s="10">
        <v>45641</v>
      </c>
      <c r="C38" s="14"/>
      <c r="D38" s="12"/>
      <c r="E38" s="15" t="s">
        <v>125</v>
      </c>
      <c r="F38" s="13"/>
      <c r="G38" s="13"/>
      <c r="H38" s="13">
        <v>300000</v>
      </c>
      <c r="I38" s="13" t="s">
        <v>360</v>
      </c>
      <c r="J38" s="13">
        <v>149000</v>
      </c>
      <c r="K38" s="13" t="s">
        <v>194</v>
      </c>
    </row>
    <row r="39" spans="1:11" ht="19" x14ac:dyDescent="0.2">
      <c r="A39" s="55">
        <v>1335000</v>
      </c>
      <c r="B39" s="18">
        <v>45642</v>
      </c>
      <c r="C39" s="22" t="s">
        <v>16</v>
      </c>
      <c r="D39" s="20" t="s">
        <v>400</v>
      </c>
      <c r="E39" s="21">
        <v>706000</v>
      </c>
      <c r="F39" s="8">
        <v>228000</v>
      </c>
      <c r="G39" s="8">
        <v>401000</v>
      </c>
      <c r="H39" s="8"/>
      <c r="I39" s="8"/>
      <c r="J39" s="8"/>
      <c r="K39" s="8"/>
    </row>
    <row r="40" spans="1:11" ht="19" x14ac:dyDescent="0.2">
      <c r="A40" s="56"/>
      <c r="B40" s="10"/>
      <c r="C40" s="14"/>
      <c r="D40" s="12"/>
      <c r="E40" s="15"/>
      <c r="F40" s="13"/>
      <c r="G40" s="13"/>
      <c r="H40" s="13">
        <v>1870000</v>
      </c>
      <c r="I40" s="13" t="s">
        <v>428</v>
      </c>
      <c r="J40" s="13">
        <v>180000</v>
      </c>
      <c r="K40" s="13" t="s">
        <v>354</v>
      </c>
    </row>
    <row r="41" spans="1:11" ht="19" x14ac:dyDescent="0.2">
      <c r="A41" s="55"/>
      <c r="B41" s="18"/>
      <c r="C41" s="22"/>
      <c r="D41" s="20"/>
      <c r="E41" s="21"/>
      <c r="F41" s="8"/>
      <c r="G41" s="8"/>
      <c r="H41" s="8"/>
      <c r="I41" s="8"/>
      <c r="J41" s="8">
        <v>75000</v>
      </c>
      <c r="K41" s="8" t="s">
        <v>65</v>
      </c>
    </row>
    <row r="42" spans="1:11" ht="19" x14ac:dyDescent="0.2">
      <c r="A42" s="56"/>
      <c r="B42" s="10"/>
      <c r="C42" s="14"/>
      <c r="D42" s="12"/>
      <c r="E42" s="15"/>
      <c r="F42" s="13"/>
      <c r="G42" s="13"/>
      <c r="H42" s="13"/>
      <c r="I42" s="13"/>
      <c r="J42" s="13">
        <v>200000</v>
      </c>
      <c r="K42" s="13" t="s">
        <v>21</v>
      </c>
    </row>
    <row r="43" spans="1:11" ht="19" x14ac:dyDescent="0.2">
      <c r="A43" s="55">
        <v>1285000</v>
      </c>
      <c r="B43" s="18">
        <v>45643</v>
      </c>
      <c r="C43" s="22" t="s">
        <v>16</v>
      </c>
      <c r="D43" s="20" t="s">
        <v>400</v>
      </c>
      <c r="E43" s="21">
        <v>384000</v>
      </c>
      <c r="F43" s="8">
        <v>277000</v>
      </c>
      <c r="G43" s="8">
        <v>624000</v>
      </c>
      <c r="H43" s="8"/>
      <c r="I43" s="8"/>
      <c r="J43" s="8"/>
      <c r="K43" s="8"/>
    </row>
    <row r="44" spans="1:11" ht="19" x14ac:dyDescent="0.2">
      <c r="A44" s="56">
        <v>1006000</v>
      </c>
      <c r="B44" s="10">
        <v>45644</v>
      </c>
      <c r="C44" s="14" t="s">
        <v>16</v>
      </c>
      <c r="D44" s="12" t="s">
        <v>400</v>
      </c>
      <c r="E44" s="15">
        <v>456000</v>
      </c>
      <c r="F44" s="13">
        <v>120000</v>
      </c>
      <c r="G44" s="13">
        <v>430000</v>
      </c>
      <c r="H44" s="13"/>
      <c r="I44" s="80"/>
      <c r="J44" s="13">
        <v>4000</v>
      </c>
      <c r="K44" s="13" t="s">
        <v>429</v>
      </c>
    </row>
    <row r="45" spans="1:11" ht="19" x14ac:dyDescent="0.2">
      <c r="A45" s="55"/>
      <c r="B45" s="18"/>
      <c r="C45" s="22"/>
      <c r="D45" s="20"/>
      <c r="E45" s="21"/>
      <c r="F45" s="8"/>
      <c r="G45" s="8"/>
      <c r="H45" s="8"/>
      <c r="I45" s="8"/>
      <c r="J45" s="8">
        <v>19000</v>
      </c>
      <c r="K45" s="8" t="s">
        <v>430</v>
      </c>
    </row>
    <row r="46" spans="1:11" ht="19" x14ac:dyDescent="0.2">
      <c r="A46" s="58"/>
      <c r="B46" s="43"/>
      <c r="C46" s="46"/>
      <c r="D46" s="44"/>
      <c r="E46" s="62"/>
      <c r="F46" s="45"/>
      <c r="G46" s="45"/>
      <c r="H46" s="45"/>
      <c r="I46" s="45"/>
      <c r="J46" s="45">
        <v>57000</v>
      </c>
      <c r="K46" s="45" t="s">
        <v>431</v>
      </c>
    </row>
    <row r="47" spans="1:11" ht="19" x14ac:dyDescent="0.2">
      <c r="A47" s="59"/>
      <c r="B47" s="47"/>
      <c r="C47" s="51"/>
      <c r="D47" s="48"/>
      <c r="E47" s="21"/>
      <c r="F47" s="8"/>
      <c r="G47" s="8"/>
      <c r="H47" s="50"/>
      <c r="I47" s="50"/>
      <c r="J47" s="50">
        <v>15000</v>
      </c>
      <c r="K47" s="50" t="s">
        <v>353</v>
      </c>
    </row>
    <row r="48" spans="1:11" ht="19" x14ac:dyDescent="0.2">
      <c r="A48" s="61">
        <v>1436000</v>
      </c>
      <c r="B48" s="43">
        <v>45645</v>
      </c>
      <c r="C48" s="46" t="s">
        <v>16</v>
      </c>
      <c r="D48" s="44" t="s">
        <v>400</v>
      </c>
      <c r="E48" s="62">
        <v>751000</v>
      </c>
      <c r="F48" s="45">
        <v>137000</v>
      </c>
      <c r="G48" s="45">
        <v>548000</v>
      </c>
      <c r="H48" s="45"/>
      <c r="I48" s="45"/>
      <c r="J48" s="45">
        <v>165000</v>
      </c>
      <c r="K48" s="45" t="s">
        <v>347</v>
      </c>
    </row>
    <row r="49" spans="1:11" ht="19" x14ac:dyDescent="0.2">
      <c r="A49" s="57">
        <v>939000</v>
      </c>
      <c r="B49" s="47">
        <v>45646</v>
      </c>
      <c r="C49" s="51" t="s">
        <v>16</v>
      </c>
      <c r="D49" s="48" t="s">
        <v>400</v>
      </c>
      <c r="E49" s="49">
        <v>321000</v>
      </c>
      <c r="F49" s="50">
        <v>131000</v>
      </c>
      <c r="G49" s="50">
        <v>487000</v>
      </c>
      <c r="H49" s="50"/>
      <c r="I49" s="50"/>
      <c r="J49" s="50"/>
      <c r="K49" s="50"/>
    </row>
    <row r="50" spans="1:11" ht="19" x14ac:dyDescent="0.2">
      <c r="A50" s="61">
        <v>545000</v>
      </c>
      <c r="B50" s="43">
        <v>45647</v>
      </c>
      <c r="C50" s="46" t="s">
        <v>16</v>
      </c>
      <c r="D50" s="44" t="s">
        <v>346</v>
      </c>
      <c r="E50" s="62">
        <v>351000</v>
      </c>
      <c r="F50" s="45">
        <v>96000</v>
      </c>
      <c r="G50" s="45">
        <v>98000</v>
      </c>
      <c r="H50" s="45">
        <v>200000</v>
      </c>
      <c r="I50" s="45" t="s">
        <v>432</v>
      </c>
      <c r="J50" s="45"/>
      <c r="K50" s="45"/>
    </row>
    <row r="51" spans="1:11" ht="19" x14ac:dyDescent="0.2">
      <c r="A51" s="57"/>
      <c r="B51" s="47">
        <v>45648</v>
      </c>
      <c r="C51" s="51"/>
      <c r="D51" s="48"/>
      <c r="E51" s="49" t="s">
        <v>125</v>
      </c>
      <c r="F51" s="50"/>
      <c r="G51" s="50"/>
      <c r="H51" s="50"/>
      <c r="I51" s="50"/>
      <c r="J51" s="50"/>
      <c r="K51" s="50"/>
    </row>
    <row r="52" spans="1:11" ht="19" x14ac:dyDescent="0.2">
      <c r="A52" s="61">
        <v>1080000</v>
      </c>
      <c r="B52" s="43">
        <v>45649</v>
      </c>
      <c r="C52" s="46" t="s">
        <v>16</v>
      </c>
      <c r="D52" s="44" t="s">
        <v>400</v>
      </c>
      <c r="E52" s="62">
        <v>379000</v>
      </c>
      <c r="F52" s="45">
        <v>118000</v>
      </c>
      <c r="G52" s="45">
        <v>583000</v>
      </c>
      <c r="H52" s="45"/>
      <c r="I52" s="45"/>
      <c r="J52" s="45">
        <v>260000</v>
      </c>
      <c r="K52" s="45" t="s">
        <v>151</v>
      </c>
    </row>
    <row r="53" spans="1:11" ht="19" x14ac:dyDescent="0.2">
      <c r="A53" s="57"/>
      <c r="B53" s="47"/>
      <c r="C53" s="51"/>
      <c r="D53" s="48"/>
      <c r="E53" s="49"/>
      <c r="F53" s="50"/>
      <c r="G53" s="50"/>
      <c r="H53" s="50"/>
      <c r="I53" s="50"/>
      <c r="J53" s="50">
        <v>60000</v>
      </c>
      <c r="K53" s="50" t="s">
        <v>235</v>
      </c>
    </row>
    <row r="54" spans="1:11" ht="19" x14ac:dyDescent="0.2">
      <c r="A54" s="61"/>
      <c r="B54" s="43"/>
      <c r="C54" s="46"/>
      <c r="D54" s="44"/>
      <c r="E54" s="62"/>
      <c r="F54" s="45"/>
      <c r="G54" s="45"/>
      <c r="H54" s="45"/>
      <c r="I54" s="45"/>
      <c r="J54" s="45">
        <v>255000</v>
      </c>
      <c r="K54" s="45" t="s">
        <v>433</v>
      </c>
    </row>
    <row r="55" spans="1:11" ht="19" x14ac:dyDescent="0.2">
      <c r="A55" s="57">
        <v>1854000</v>
      </c>
      <c r="B55" s="47">
        <v>45650</v>
      </c>
      <c r="C55" s="51" t="s">
        <v>16</v>
      </c>
      <c r="D55" s="48" t="s">
        <v>400</v>
      </c>
      <c r="E55" s="49">
        <v>914000</v>
      </c>
      <c r="F55" s="50">
        <v>278000</v>
      </c>
      <c r="G55" s="50">
        <v>662000</v>
      </c>
      <c r="H55" s="50"/>
      <c r="I55" s="50"/>
      <c r="J55" s="50">
        <v>200000</v>
      </c>
      <c r="K55" s="50" t="s">
        <v>21</v>
      </c>
    </row>
    <row r="56" spans="1:11" ht="19" x14ac:dyDescent="0.2">
      <c r="A56" s="61"/>
      <c r="B56" s="43"/>
      <c r="C56" s="46"/>
      <c r="D56" s="44"/>
      <c r="E56" s="62"/>
      <c r="F56" s="45"/>
      <c r="G56" s="45"/>
      <c r="H56" s="45"/>
      <c r="I56" s="45"/>
      <c r="J56" s="45"/>
      <c r="K56" s="91"/>
    </row>
    <row r="57" spans="1:11" ht="19" x14ac:dyDescent="0.2">
      <c r="A57" s="57">
        <v>920000</v>
      </c>
      <c r="B57" s="47">
        <v>45651</v>
      </c>
      <c r="C57" s="51" t="s">
        <v>16</v>
      </c>
      <c r="D57" s="48" t="s">
        <v>346</v>
      </c>
      <c r="E57" s="49">
        <v>383000</v>
      </c>
      <c r="F57" s="50">
        <v>42000</v>
      </c>
      <c r="G57" s="50">
        <v>495000</v>
      </c>
      <c r="H57" s="50">
        <v>200000</v>
      </c>
      <c r="I57" s="50" t="s">
        <v>434</v>
      </c>
      <c r="J57" s="50">
        <v>66000</v>
      </c>
      <c r="K57" s="50" t="s">
        <v>139</v>
      </c>
    </row>
    <row r="58" spans="1:11" ht="19" x14ac:dyDescent="0.2">
      <c r="A58" s="61"/>
      <c r="B58" s="43"/>
      <c r="C58" s="46"/>
      <c r="D58" s="44"/>
      <c r="E58" s="62"/>
      <c r="F58" s="45"/>
      <c r="G58" s="45"/>
      <c r="H58" s="45"/>
      <c r="I58" s="45"/>
      <c r="J58" s="45">
        <v>164000</v>
      </c>
      <c r="K58" s="45" t="s">
        <v>435</v>
      </c>
    </row>
    <row r="59" spans="1:11" ht="19" x14ac:dyDescent="0.2">
      <c r="A59" s="57"/>
      <c r="B59" s="47"/>
      <c r="C59" s="51"/>
      <c r="D59" s="48"/>
      <c r="E59" s="49"/>
      <c r="F59" s="50"/>
      <c r="G59" s="50"/>
      <c r="H59" s="50"/>
      <c r="I59" s="50"/>
      <c r="J59" s="50">
        <v>173000</v>
      </c>
      <c r="K59" s="50" t="s">
        <v>37</v>
      </c>
    </row>
    <row r="60" spans="1:11" ht="19" x14ac:dyDescent="0.2">
      <c r="A60" s="61"/>
      <c r="B60" s="43"/>
      <c r="C60" s="46"/>
      <c r="D60" s="44"/>
      <c r="E60" s="62"/>
      <c r="F60" s="45"/>
      <c r="G60" s="45"/>
      <c r="H60" s="45"/>
      <c r="I60" s="45"/>
      <c r="J60" s="45">
        <v>11000</v>
      </c>
      <c r="K60" s="45" t="s">
        <v>436</v>
      </c>
    </row>
    <row r="61" spans="1:11" ht="19" x14ac:dyDescent="0.2">
      <c r="A61" s="57"/>
      <c r="B61" s="47"/>
      <c r="C61" s="51"/>
      <c r="D61" s="48"/>
      <c r="E61" s="49"/>
      <c r="F61" s="50"/>
      <c r="G61" s="50"/>
      <c r="H61" s="50"/>
      <c r="I61" s="50"/>
      <c r="J61" s="50">
        <v>56000</v>
      </c>
      <c r="K61" s="50" t="s">
        <v>437</v>
      </c>
    </row>
    <row r="62" spans="1:11" ht="19" x14ac:dyDescent="0.2">
      <c r="A62" s="61"/>
      <c r="B62" s="43"/>
      <c r="C62" s="46"/>
      <c r="D62" s="44"/>
      <c r="E62" s="62"/>
      <c r="F62" s="45"/>
      <c r="G62" s="45"/>
      <c r="H62" s="45"/>
      <c r="I62" s="45"/>
      <c r="J62" s="45">
        <v>135000</v>
      </c>
      <c r="K62" s="45" t="s">
        <v>438</v>
      </c>
    </row>
    <row r="63" spans="1:11" ht="19" x14ac:dyDescent="0.2">
      <c r="A63" s="57"/>
      <c r="B63" s="47"/>
      <c r="C63" s="51"/>
      <c r="D63" s="48"/>
      <c r="E63" s="49"/>
      <c r="F63" s="50"/>
      <c r="G63" s="50"/>
      <c r="H63" s="50"/>
      <c r="I63" s="50"/>
      <c r="J63" s="50">
        <v>75000</v>
      </c>
      <c r="K63" s="50" t="s">
        <v>65</v>
      </c>
    </row>
    <row r="64" spans="1:11" ht="19" x14ac:dyDescent="0.2">
      <c r="A64" s="61">
        <v>1174000</v>
      </c>
      <c r="B64" s="43">
        <v>45652</v>
      </c>
      <c r="C64" s="46" t="s">
        <v>16</v>
      </c>
      <c r="D64" s="44" t="s">
        <v>400</v>
      </c>
      <c r="E64" s="62">
        <v>620000</v>
      </c>
      <c r="F64" s="102">
        <v>208000</v>
      </c>
      <c r="G64" s="45">
        <v>346000</v>
      </c>
      <c r="H64" s="45"/>
      <c r="I64" s="45"/>
      <c r="J64" s="45"/>
      <c r="K64" s="45"/>
    </row>
    <row r="65" spans="1:11" ht="19" x14ac:dyDescent="0.2">
      <c r="A65" s="57">
        <v>1037000</v>
      </c>
      <c r="B65" s="47">
        <v>45653</v>
      </c>
      <c r="C65" s="51" t="s">
        <v>16</v>
      </c>
      <c r="D65" s="48" t="s">
        <v>400</v>
      </c>
      <c r="E65" s="49">
        <v>468000</v>
      </c>
      <c r="F65" s="50">
        <v>234000</v>
      </c>
      <c r="G65" s="50">
        <v>335000</v>
      </c>
      <c r="H65" s="50"/>
      <c r="I65" s="50"/>
      <c r="J65" s="50">
        <v>75000</v>
      </c>
      <c r="K65" s="50" t="s">
        <v>331</v>
      </c>
    </row>
    <row r="66" spans="1:11" ht="19" x14ac:dyDescent="0.2">
      <c r="A66" s="61">
        <v>661000</v>
      </c>
      <c r="B66" s="43">
        <v>45654</v>
      </c>
      <c r="C66" s="46" t="s">
        <v>16</v>
      </c>
      <c r="D66" s="44" t="s">
        <v>400</v>
      </c>
      <c r="E66" s="62">
        <v>367000</v>
      </c>
      <c r="F66" s="45">
        <v>83000</v>
      </c>
      <c r="G66" s="45">
        <v>211000</v>
      </c>
      <c r="H66" s="45"/>
      <c r="I66" s="45"/>
      <c r="J66" s="45"/>
      <c r="K66" s="45"/>
    </row>
    <row r="67" spans="1:11" ht="19" x14ac:dyDescent="0.2">
      <c r="A67" s="57"/>
      <c r="B67" s="47">
        <v>45655</v>
      </c>
      <c r="C67" s="51"/>
      <c r="D67" s="48"/>
      <c r="E67" s="49" t="s">
        <v>125</v>
      </c>
      <c r="F67" s="50"/>
      <c r="G67" s="50"/>
      <c r="H67" s="50">
        <v>200000</v>
      </c>
      <c r="I67" s="50" t="s">
        <v>439</v>
      </c>
      <c r="J67" s="50"/>
      <c r="K67" s="50"/>
    </row>
    <row r="68" spans="1:11" ht="19" x14ac:dyDescent="0.2">
      <c r="A68" s="61">
        <v>695000</v>
      </c>
      <c r="B68" s="43">
        <v>45656</v>
      </c>
      <c r="C68" s="46" t="s">
        <v>16</v>
      </c>
      <c r="D68" s="44" t="s">
        <v>400</v>
      </c>
      <c r="E68" s="62">
        <v>109000</v>
      </c>
      <c r="F68" s="45">
        <v>74000</v>
      </c>
      <c r="G68" s="45">
        <v>512000</v>
      </c>
      <c r="H68" s="45">
        <v>2070000</v>
      </c>
      <c r="I68" s="45" t="s">
        <v>428</v>
      </c>
      <c r="J68" s="45"/>
      <c r="K68" s="45"/>
    </row>
    <row r="69" spans="1:11" ht="32" x14ac:dyDescent="0.2">
      <c r="A69" s="57"/>
      <c r="B69" s="47">
        <v>45657</v>
      </c>
      <c r="C69" s="51"/>
      <c r="D69" s="48"/>
      <c r="E69" s="49" t="s">
        <v>125</v>
      </c>
      <c r="F69" s="50"/>
      <c r="G69" s="50"/>
      <c r="H69" s="50">
        <v>1000000</v>
      </c>
      <c r="I69" s="78" t="s">
        <v>443</v>
      </c>
      <c r="J69" s="50"/>
      <c r="K69" s="50"/>
    </row>
    <row r="70" spans="1:11" ht="19" x14ac:dyDescent="0.2">
      <c r="A70" s="61"/>
      <c r="B70" s="43"/>
      <c r="C70" s="46"/>
      <c r="D70" s="44"/>
      <c r="E70" s="62"/>
      <c r="F70" s="45"/>
      <c r="G70" s="45"/>
      <c r="H70" s="45"/>
      <c r="I70" s="45"/>
      <c r="J70" s="45"/>
      <c r="K70" s="45"/>
    </row>
    <row r="71" spans="1:11" ht="19" x14ac:dyDescent="0.2">
      <c r="A71" s="57"/>
      <c r="B71" s="47"/>
      <c r="C71" s="51"/>
      <c r="D71" s="48"/>
      <c r="E71" s="49"/>
      <c r="F71" s="50"/>
      <c r="G71" s="50"/>
      <c r="H71" s="50"/>
      <c r="I71" s="50"/>
      <c r="J71" s="50"/>
      <c r="K71" s="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K73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3.5" bestFit="1" customWidth="1"/>
    <col min="2" max="2" width="12.5" customWidth="1"/>
    <col min="3" max="3" width="12" customWidth="1"/>
    <col min="4" max="4" width="12.5" customWidth="1"/>
    <col min="5" max="5" width="23.5" bestFit="1" customWidth="1"/>
    <col min="6" max="6" width="26.6640625" customWidth="1"/>
    <col min="7" max="7" width="23.5" bestFit="1" customWidth="1"/>
    <col min="8" max="8" width="22" bestFit="1" customWidth="1"/>
    <col min="9" max="9" width="32.5" bestFit="1" customWidth="1"/>
    <col min="10" max="10" width="22" bestFit="1" customWidth="1"/>
    <col min="11" max="11" width="40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483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4532674</v>
      </c>
      <c r="K6" s="30" t="s">
        <v>485</v>
      </c>
    </row>
    <row r="7" spans="1:11" ht="26" x14ac:dyDescent="0.3">
      <c r="B7" s="32" t="s">
        <v>484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SUM(A11:A481)</f>
        <v>26539000</v>
      </c>
      <c r="B10" s="39"/>
      <c r="C10" s="40" t="s">
        <v>15</v>
      </c>
      <c r="D10" s="41"/>
      <c r="E10" s="42">
        <f>SUM(E11:E481)</f>
        <v>12197000</v>
      </c>
      <c r="F10" s="38">
        <f>SUM(F11:F481)</f>
        <v>4787000</v>
      </c>
      <c r="G10" s="38">
        <f>SUM(G11:G476)</f>
        <v>9555000</v>
      </c>
      <c r="H10" s="38">
        <f>SUM(H11:H481)</f>
        <v>14532000</v>
      </c>
      <c r="I10" s="38"/>
      <c r="J10" s="38">
        <f>SUM(J11:J481)</f>
        <v>5527000</v>
      </c>
      <c r="K10" s="38"/>
    </row>
    <row r="11" spans="1:11" ht="21" x14ac:dyDescent="0.2">
      <c r="A11" s="96"/>
      <c r="B11" s="97">
        <v>45658</v>
      </c>
      <c r="C11" s="98"/>
      <c r="D11" s="99"/>
      <c r="E11" s="13" t="s">
        <v>125</v>
      </c>
      <c r="F11" s="13"/>
      <c r="G11" s="13"/>
      <c r="H11" s="13">
        <v>468000</v>
      </c>
      <c r="I11" s="13" t="s">
        <v>481</v>
      </c>
      <c r="J11" s="13"/>
      <c r="K11" s="13"/>
    </row>
    <row r="12" spans="1:11" ht="19" x14ac:dyDescent="0.2">
      <c r="A12" s="53">
        <v>487000</v>
      </c>
      <c r="B12" s="4">
        <v>45659</v>
      </c>
      <c r="C12" s="5" t="s">
        <v>16</v>
      </c>
      <c r="D12" s="2" t="s">
        <v>400</v>
      </c>
      <c r="E12" s="1">
        <v>277000</v>
      </c>
      <c r="F12" s="1">
        <v>123000</v>
      </c>
      <c r="G12" s="1">
        <v>87000</v>
      </c>
      <c r="H12" s="1"/>
      <c r="I12" s="1"/>
      <c r="J12" s="1">
        <v>405000</v>
      </c>
      <c r="K12" s="1" t="s">
        <v>447</v>
      </c>
    </row>
    <row r="13" spans="1:11" ht="19" x14ac:dyDescent="0.2">
      <c r="A13" s="54">
        <v>1126000</v>
      </c>
      <c r="B13" s="10">
        <v>45660</v>
      </c>
      <c r="C13" s="14" t="s">
        <v>16</v>
      </c>
      <c r="D13" s="12" t="s">
        <v>400</v>
      </c>
      <c r="E13" s="15">
        <v>538000</v>
      </c>
      <c r="F13" s="13">
        <v>230000</v>
      </c>
      <c r="G13" s="13">
        <v>358000</v>
      </c>
      <c r="H13" s="13"/>
      <c r="I13" s="13"/>
      <c r="J13" s="13"/>
      <c r="K13" s="13"/>
    </row>
    <row r="14" spans="1:11" ht="19" x14ac:dyDescent="0.2">
      <c r="A14" s="53">
        <v>1046000</v>
      </c>
      <c r="B14" s="4">
        <v>45661</v>
      </c>
      <c r="C14" s="5" t="s">
        <v>16</v>
      </c>
      <c r="D14" s="2" t="s">
        <v>346</v>
      </c>
      <c r="E14" s="3">
        <v>215000</v>
      </c>
      <c r="F14" s="1">
        <v>370000</v>
      </c>
      <c r="G14" s="1">
        <v>461000</v>
      </c>
      <c r="H14" s="1"/>
      <c r="I14" s="1"/>
      <c r="J14" s="1">
        <v>150000</v>
      </c>
      <c r="K14" s="1" t="s">
        <v>326</v>
      </c>
    </row>
    <row r="15" spans="1:11" ht="19" x14ac:dyDescent="0.2">
      <c r="A15" s="54"/>
      <c r="B15" s="10">
        <v>45662</v>
      </c>
      <c r="C15" s="14"/>
      <c r="D15" s="12"/>
      <c r="E15" s="15" t="s">
        <v>125</v>
      </c>
      <c r="F15" s="13"/>
      <c r="G15" s="13"/>
      <c r="H15" s="13"/>
      <c r="I15" s="13"/>
      <c r="J15" s="13"/>
      <c r="K15" s="13"/>
    </row>
    <row r="16" spans="1:11" ht="19" x14ac:dyDescent="0.2">
      <c r="A16" s="55">
        <v>775000</v>
      </c>
      <c r="B16" s="18">
        <v>45663</v>
      </c>
      <c r="C16" s="19" t="s">
        <v>16</v>
      </c>
      <c r="D16" s="20" t="s">
        <v>400</v>
      </c>
      <c r="E16" s="21">
        <v>304000</v>
      </c>
      <c r="F16" s="8">
        <v>186000</v>
      </c>
      <c r="G16" s="8">
        <v>285000</v>
      </c>
      <c r="H16" s="23"/>
      <c r="I16" s="23"/>
      <c r="J16" s="8"/>
      <c r="K16" s="8"/>
    </row>
    <row r="17" spans="1:11" ht="19" x14ac:dyDescent="0.2">
      <c r="A17" s="56">
        <v>1039000</v>
      </c>
      <c r="B17" s="10">
        <v>45664</v>
      </c>
      <c r="C17" s="16" t="s">
        <v>16</v>
      </c>
      <c r="D17" s="12" t="s">
        <v>400</v>
      </c>
      <c r="E17" s="15">
        <v>613000</v>
      </c>
      <c r="F17" s="13">
        <v>71000</v>
      </c>
      <c r="G17" s="13">
        <v>355000</v>
      </c>
      <c r="H17" s="17"/>
      <c r="I17" s="17"/>
      <c r="J17" s="13">
        <v>165000</v>
      </c>
      <c r="K17" s="13" t="s">
        <v>347</v>
      </c>
    </row>
    <row r="18" spans="1:11" ht="19" x14ac:dyDescent="0.2">
      <c r="A18" s="55">
        <v>1361000</v>
      </c>
      <c r="B18" s="18">
        <v>45665</v>
      </c>
      <c r="C18" s="19" t="s">
        <v>16</v>
      </c>
      <c r="D18" s="20" t="s">
        <v>400</v>
      </c>
      <c r="E18" s="21">
        <v>580000</v>
      </c>
      <c r="F18" s="8">
        <v>403000</v>
      </c>
      <c r="G18" s="8">
        <v>378000</v>
      </c>
      <c r="H18" s="23"/>
      <c r="I18" s="23"/>
      <c r="J18" s="8">
        <v>75000</v>
      </c>
      <c r="K18" s="8" t="s">
        <v>448</v>
      </c>
    </row>
    <row r="19" spans="1:11" ht="19" x14ac:dyDescent="0.2">
      <c r="A19" s="56">
        <v>1078000</v>
      </c>
      <c r="B19" s="10">
        <v>45666</v>
      </c>
      <c r="C19" s="16" t="s">
        <v>16</v>
      </c>
      <c r="D19" s="12" t="s">
        <v>400</v>
      </c>
      <c r="E19" s="15">
        <v>450000</v>
      </c>
      <c r="F19" s="13">
        <v>51000</v>
      </c>
      <c r="G19" s="13">
        <v>577000</v>
      </c>
      <c r="H19" s="17"/>
      <c r="I19" s="17"/>
      <c r="J19" s="13">
        <v>29000</v>
      </c>
      <c r="K19" s="13" t="s">
        <v>449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6000</v>
      </c>
      <c r="K20" s="8" t="s">
        <v>450</v>
      </c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>
        <v>37000</v>
      </c>
      <c r="K21" s="13" t="s">
        <v>451</v>
      </c>
    </row>
    <row r="22" spans="1:11" ht="19" x14ac:dyDescent="0.2">
      <c r="A22" s="55"/>
      <c r="B22" s="18"/>
      <c r="C22" s="19"/>
      <c r="D22" s="20"/>
      <c r="E22" s="21"/>
      <c r="F22" s="8"/>
      <c r="G22" s="8"/>
      <c r="H22" s="23"/>
      <c r="I22" s="23"/>
      <c r="J22" s="8">
        <v>74000</v>
      </c>
      <c r="K22" s="8" t="s">
        <v>452</v>
      </c>
    </row>
    <row r="23" spans="1:11" ht="19" x14ac:dyDescent="0.2">
      <c r="A23" s="56"/>
      <c r="B23" s="10"/>
      <c r="C23" s="15"/>
      <c r="D23" s="12"/>
      <c r="E23" s="15"/>
      <c r="F23" s="13"/>
      <c r="G23" s="13"/>
      <c r="H23" s="17"/>
      <c r="I23" s="17"/>
      <c r="J23" s="13">
        <v>67000</v>
      </c>
      <c r="K23" s="13" t="s">
        <v>453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180000</v>
      </c>
      <c r="K24" s="8" t="s">
        <v>354</v>
      </c>
    </row>
    <row r="25" spans="1:11" ht="19" x14ac:dyDescent="0.2">
      <c r="A25" s="56">
        <v>877000</v>
      </c>
      <c r="B25" s="10">
        <v>45667</v>
      </c>
      <c r="C25" s="15" t="s">
        <v>16</v>
      </c>
      <c r="D25" s="12" t="s">
        <v>400</v>
      </c>
      <c r="E25" s="15">
        <v>287000</v>
      </c>
      <c r="F25" s="13">
        <v>312000</v>
      </c>
      <c r="G25" s="13">
        <v>278000</v>
      </c>
      <c r="H25" s="13">
        <v>1300000</v>
      </c>
      <c r="I25" s="13" t="s">
        <v>359</v>
      </c>
      <c r="J25" s="13">
        <v>52000</v>
      </c>
      <c r="K25" s="13" t="s">
        <v>454</v>
      </c>
    </row>
    <row r="26" spans="1:11" ht="19" x14ac:dyDescent="0.2">
      <c r="A26" s="55"/>
      <c r="B26" s="18"/>
      <c r="C26" s="19"/>
      <c r="D26" s="20"/>
      <c r="E26" s="21"/>
      <c r="F26" s="8"/>
      <c r="G26" s="8"/>
      <c r="H26" s="8"/>
      <c r="I26" s="8"/>
      <c r="J26" s="8">
        <v>200000</v>
      </c>
      <c r="K26" s="8" t="s">
        <v>21</v>
      </c>
    </row>
    <row r="27" spans="1:11" ht="19" x14ac:dyDescent="0.2">
      <c r="A27" s="56"/>
      <c r="B27" s="10"/>
      <c r="C27" s="16"/>
      <c r="D27" s="12"/>
      <c r="E27" s="15"/>
      <c r="F27" s="13"/>
      <c r="G27" s="13"/>
      <c r="H27" s="13"/>
      <c r="I27" s="13"/>
      <c r="J27" s="13">
        <v>150000</v>
      </c>
      <c r="K27" s="13" t="s">
        <v>23</v>
      </c>
    </row>
    <row r="28" spans="1:11" ht="19" x14ac:dyDescent="0.2">
      <c r="A28" s="55">
        <v>679000</v>
      </c>
      <c r="B28" s="18">
        <v>45668</v>
      </c>
      <c r="C28" s="19" t="s">
        <v>16</v>
      </c>
      <c r="D28" s="20" t="s">
        <v>346</v>
      </c>
      <c r="E28" s="21">
        <v>413000</v>
      </c>
      <c r="F28" s="8">
        <v>61000</v>
      </c>
      <c r="G28" s="8">
        <v>205000</v>
      </c>
      <c r="H28" s="8">
        <v>200000</v>
      </c>
      <c r="I28" s="8" t="s">
        <v>455</v>
      </c>
      <c r="J28" s="8">
        <v>240000</v>
      </c>
      <c r="K28" s="8" t="s">
        <v>456</v>
      </c>
    </row>
    <row r="29" spans="1:11" ht="19" x14ac:dyDescent="0.2">
      <c r="A29" s="56"/>
      <c r="B29" s="10">
        <v>45669</v>
      </c>
      <c r="C29" s="16"/>
      <c r="D29" s="12"/>
      <c r="E29" s="15" t="s">
        <v>125</v>
      </c>
      <c r="F29" s="13"/>
      <c r="G29" s="13"/>
      <c r="H29" s="13"/>
      <c r="I29" s="13"/>
      <c r="J29" s="13">
        <v>140000</v>
      </c>
      <c r="K29" s="13" t="s">
        <v>457</v>
      </c>
    </row>
    <row r="30" spans="1:11" ht="19" x14ac:dyDescent="0.2">
      <c r="A30" s="55">
        <v>989000</v>
      </c>
      <c r="B30" s="18">
        <v>45670</v>
      </c>
      <c r="C30" s="22" t="s">
        <v>16</v>
      </c>
      <c r="D30" s="20" t="s">
        <v>400</v>
      </c>
      <c r="E30" s="21">
        <v>543000</v>
      </c>
      <c r="F30" s="8">
        <v>68000</v>
      </c>
      <c r="G30" s="8">
        <v>378000</v>
      </c>
      <c r="H30" s="8"/>
      <c r="I30" s="8"/>
      <c r="J30" s="8">
        <v>150000</v>
      </c>
      <c r="K30" s="8" t="s">
        <v>326</v>
      </c>
    </row>
    <row r="31" spans="1:11" ht="19" x14ac:dyDescent="0.2">
      <c r="A31" s="56">
        <v>1217000</v>
      </c>
      <c r="B31" s="10">
        <v>45671</v>
      </c>
      <c r="C31" s="14" t="s">
        <v>16</v>
      </c>
      <c r="D31" s="12" t="s">
        <v>400</v>
      </c>
      <c r="E31" s="15">
        <v>577000</v>
      </c>
      <c r="F31" s="13">
        <v>309000</v>
      </c>
      <c r="G31" s="13">
        <v>331000</v>
      </c>
      <c r="H31" s="13"/>
      <c r="I31" s="13"/>
      <c r="J31" s="13">
        <v>150000</v>
      </c>
      <c r="K31" s="13" t="s">
        <v>326</v>
      </c>
    </row>
    <row r="32" spans="1:11" ht="19" x14ac:dyDescent="0.2">
      <c r="A32" s="55"/>
      <c r="B32" s="18"/>
      <c r="C32" s="22"/>
      <c r="D32" s="20"/>
      <c r="E32" s="21"/>
      <c r="F32" s="8"/>
      <c r="G32" s="8"/>
      <c r="H32" s="8"/>
      <c r="I32" s="8"/>
      <c r="J32" s="8"/>
      <c r="K32" s="8"/>
    </row>
    <row r="33" spans="1:11" ht="19" x14ac:dyDescent="0.2">
      <c r="A33" s="54">
        <v>969000</v>
      </c>
      <c r="B33" s="10">
        <v>45306</v>
      </c>
      <c r="C33" s="14" t="s">
        <v>16</v>
      </c>
      <c r="D33" s="12" t="s">
        <v>400</v>
      </c>
      <c r="E33" s="15">
        <v>321000</v>
      </c>
      <c r="F33" s="13">
        <v>138000</v>
      </c>
      <c r="G33" s="13">
        <v>510000</v>
      </c>
      <c r="H33" s="13">
        <v>2000000</v>
      </c>
      <c r="I33" s="13" t="s">
        <v>458</v>
      </c>
      <c r="J33" s="13"/>
      <c r="K33" s="13"/>
    </row>
    <row r="34" spans="1:11" ht="19" x14ac:dyDescent="0.2">
      <c r="A34" s="53">
        <v>1126000</v>
      </c>
      <c r="B34" s="18">
        <v>45673</v>
      </c>
      <c r="C34" s="22" t="s">
        <v>16</v>
      </c>
      <c r="D34" s="20" t="s">
        <v>400</v>
      </c>
      <c r="E34" s="21">
        <v>457000</v>
      </c>
      <c r="F34" s="8">
        <v>250000</v>
      </c>
      <c r="G34" s="8">
        <v>419000</v>
      </c>
      <c r="H34" s="8">
        <v>46000</v>
      </c>
      <c r="I34" s="8" t="s">
        <v>459</v>
      </c>
      <c r="J34" s="8">
        <v>90000</v>
      </c>
      <c r="K34" s="8" t="s">
        <v>460</v>
      </c>
    </row>
    <row r="35" spans="1:11" ht="19" x14ac:dyDescent="0.2">
      <c r="A35" s="54">
        <v>853000</v>
      </c>
      <c r="B35" s="10">
        <v>45674</v>
      </c>
      <c r="C35" s="14" t="s">
        <v>16</v>
      </c>
      <c r="D35" s="12" t="s">
        <v>400</v>
      </c>
      <c r="E35" s="15">
        <v>383000</v>
      </c>
      <c r="F35" s="13">
        <v>112000</v>
      </c>
      <c r="G35" s="13">
        <v>358000</v>
      </c>
      <c r="H35" s="13"/>
      <c r="I35" s="13"/>
      <c r="J35" s="13">
        <v>159000</v>
      </c>
      <c r="K35" s="13" t="s">
        <v>461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>
        <v>75000</v>
      </c>
      <c r="K36" s="8" t="s">
        <v>41</v>
      </c>
    </row>
    <row r="37" spans="1:11" ht="19" x14ac:dyDescent="0.2">
      <c r="A37" s="56"/>
      <c r="B37" s="10"/>
      <c r="C37" s="14"/>
      <c r="D37" s="12"/>
      <c r="E37" s="15"/>
      <c r="F37" s="13"/>
      <c r="G37" s="13"/>
      <c r="H37" s="13"/>
      <c r="I37" s="13"/>
      <c r="J37" s="13">
        <v>62000</v>
      </c>
      <c r="K37" s="79" t="s">
        <v>462</v>
      </c>
    </row>
    <row r="38" spans="1:11" ht="19" x14ac:dyDescent="0.2">
      <c r="A38" s="55"/>
      <c r="B38" s="18"/>
      <c r="C38" s="22"/>
      <c r="D38" s="20"/>
      <c r="E38" s="21"/>
      <c r="F38" s="8"/>
      <c r="G38" s="8"/>
      <c r="H38" s="8"/>
      <c r="I38" s="8"/>
      <c r="J38" s="8">
        <v>27000</v>
      </c>
      <c r="K38" s="8" t="s">
        <v>463</v>
      </c>
    </row>
    <row r="39" spans="1:11" ht="19" x14ac:dyDescent="0.2">
      <c r="A39" s="56"/>
      <c r="B39" s="10"/>
      <c r="C39" s="14"/>
      <c r="D39" s="12"/>
      <c r="E39" s="15"/>
      <c r="F39" s="13"/>
      <c r="G39" s="13"/>
      <c r="H39" s="13"/>
      <c r="I39" s="13"/>
      <c r="J39" s="13">
        <v>90000</v>
      </c>
      <c r="K39" s="13" t="s">
        <v>464</v>
      </c>
    </row>
    <row r="40" spans="1:11" ht="19" x14ac:dyDescent="0.2">
      <c r="A40" s="55">
        <v>724000</v>
      </c>
      <c r="B40" s="18">
        <v>45675</v>
      </c>
      <c r="C40" s="22" t="s">
        <v>16</v>
      </c>
      <c r="D40" s="20" t="s">
        <v>346</v>
      </c>
      <c r="E40" s="21">
        <v>315000</v>
      </c>
      <c r="F40" s="8">
        <v>115000</v>
      </c>
      <c r="G40" s="8">
        <v>294000</v>
      </c>
      <c r="H40" s="8">
        <v>200000</v>
      </c>
      <c r="I40" s="8" t="s">
        <v>465</v>
      </c>
      <c r="J40" s="8"/>
      <c r="K40" s="8"/>
    </row>
    <row r="41" spans="1:11" ht="19" x14ac:dyDescent="0.2">
      <c r="A41" s="56"/>
      <c r="B41" s="10">
        <v>45676</v>
      </c>
      <c r="C41" s="14" t="s">
        <v>16</v>
      </c>
      <c r="D41" s="12"/>
      <c r="E41" s="15" t="s">
        <v>125</v>
      </c>
      <c r="F41" s="13"/>
      <c r="G41" s="13"/>
      <c r="H41" s="13"/>
      <c r="I41" s="13"/>
      <c r="J41" s="13"/>
      <c r="K41" s="13"/>
    </row>
    <row r="42" spans="1:11" ht="19" x14ac:dyDescent="0.2">
      <c r="A42" s="55">
        <v>1028000</v>
      </c>
      <c r="B42" s="18">
        <v>45677</v>
      </c>
      <c r="C42" s="22" t="s">
        <v>16</v>
      </c>
      <c r="D42" s="20" t="s">
        <v>400</v>
      </c>
      <c r="E42" s="21">
        <v>464000</v>
      </c>
      <c r="F42" s="8">
        <v>165000</v>
      </c>
      <c r="G42" s="8">
        <v>399000</v>
      </c>
      <c r="H42" s="8"/>
      <c r="I42" s="8"/>
      <c r="J42" s="8">
        <v>180000</v>
      </c>
      <c r="K42" s="8" t="s">
        <v>354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>
        <v>2000</v>
      </c>
      <c r="K43" s="13" t="s">
        <v>466</v>
      </c>
    </row>
    <row r="44" spans="1:11" ht="19" x14ac:dyDescent="0.2">
      <c r="A44" s="55">
        <v>1132000</v>
      </c>
      <c r="B44" s="18">
        <v>45678</v>
      </c>
      <c r="C44" s="22" t="s">
        <v>16</v>
      </c>
      <c r="D44" s="20" t="s">
        <v>400</v>
      </c>
      <c r="E44" s="21">
        <v>702000</v>
      </c>
      <c r="F44" s="8">
        <v>93000</v>
      </c>
      <c r="G44" s="8">
        <v>337000</v>
      </c>
      <c r="H44" s="8"/>
      <c r="I44" s="82"/>
      <c r="J44" s="8">
        <v>160000</v>
      </c>
      <c r="K44" s="8" t="s">
        <v>27</v>
      </c>
    </row>
    <row r="45" spans="1:11" ht="19" x14ac:dyDescent="0.2">
      <c r="A45" s="56"/>
      <c r="B45" s="10"/>
      <c r="C45" s="14"/>
      <c r="D45" s="12"/>
      <c r="E45" s="15"/>
      <c r="F45" s="13"/>
      <c r="G45" s="13"/>
      <c r="H45" s="13"/>
      <c r="I45" s="13"/>
      <c r="J45" s="45">
        <v>192000</v>
      </c>
      <c r="K45" s="45" t="s">
        <v>29</v>
      </c>
    </row>
    <row r="46" spans="1:11" ht="19" x14ac:dyDescent="0.2">
      <c r="A46" s="59">
        <v>774000</v>
      </c>
      <c r="B46" s="47">
        <v>45679</v>
      </c>
      <c r="C46" s="51" t="s">
        <v>16</v>
      </c>
      <c r="D46" s="48" t="s">
        <v>400</v>
      </c>
      <c r="E46" s="49">
        <v>408000</v>
      </c>
      <c r="F46" s="50">
        <v>57000</v>
      </c>
      <c r="G46" s="50">
        <v>309000</v>
      </c>
      <c r="H46" s="50"/>
      <c r="I46" s="50"/>
      <c r="J46" s="50">
        <v>150000</v>
      </c>
      <c r="K46" s="50" t="s">
        <v>326</v>
      </c>
    </row>
    <row r="47" spans="1:11" ht="19" x14ac:dyDescent="0.2">
      <c r="A47" s="58"/>
      <c r="B47" s="43"/>
      <c r="C47" s="46"/>
      <c r="D47" s="44"/>
      <c r="E47" s="15"/>
      <c r="F47" s="13"/>
      <c r="G47" s="13"/>
      <c r="H47" s="45"/>
      <c r="I47" s="45"/>
      <c r="J47" s="45">
        <v>150000</v>
      </c>
      <c r="K47" s="45" t="s">
        <v>467</v>
      </c>
    </row>
    <row r="48" spans="1:11" ht="19" x14ac:dyDescent="0.2">
      <c r="A48" s="57">
        <v>1202000</v>
      </c>
      <c r="B48" s="47">
        <v>45680</v>
      </c>
      <c r="C48" s="51" t="s">
        <v>16</v>
      </c>
      <c r="D48" s="48" t="s">
        <v>400</v>
      </c>
      <c r="E48" s="49">
        <v>382000</v>
      </c>
      <c r="F48" s="50">
        <v>324000</v>
      </c>
      <c r="G48" s="50">
        <v>496000</v>
      </c>
      <c r="H48" s="50"/>
      <c r="I48" s="50"/>
      <c r="J48" s="50"/>
      <c r="K48" s="50"/>
    </row>
    <row r="49" spans="1:11" ht="19" x14ac:dyDescent="0.2">
      <c r="A49" s="61">
        <v>1292000</v>
      </c>
      <c r="B49" s="43">
        <v>45681</v>
      </c>
      <c r="C49" s="46" t="s">
        <v>16</v>
      </c>
      <c r="D49" s="44" t="s">
        <v>400</v>
      </c>
      <c r="E49" s="62">
        <v>712000</v>
      </c>
      <c r="F49" s="45">
        <v>65000</v>
      </c>
      <c r="G49" s="45">
        <v>515000</v>
      </c>
      <c r="H49" s="45"/>
      <c r="I49" s="45"/>
      <c r="J49" s="45">
        <v>66000</v>
      </c>
      <c r="K49" s="45" t="s">
        <v>139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75000</v>
      </c>
      <c r="K50" s="50" t="s">
        <v>331</v>
      </c>
    </row>
    <row r="51" spans="1:11" ht="19" x14ac:dyDescent="0.2">
      <c r="A51" s="61">
        <v>478000</v>
      </c>
      <c r="B51" s="43">
        <v>45682</v>
      </c>
      <c r="C51" s="46" t="s">
        <v>16</v>
      </c>
      <c r="D51" s="44" t="s">
        <v>346</v>
      </c>
      <c r="E51" s="62">
        <v>147000</v>
      </c>
      <c r="F51" s="45">
        <v>0</v>
      </c>
      <c r="G51" s="45">
        <v>331000</v>
      </c>
      <c r="H51" s="45">
        <v>200000</v>
      </c>
      <c r="I51" s="45" t="s">
        <v>468</v>
      </c>
      <c r="J51" s="45">
        <v>46000</v>
      </c>
      <c r="K51" s="45" t="s">
        <v>469</v>
      </c>
    </row>
    <row r="52" spans="1:11" ht="19" x14ac:dyDescent="0.2">
      <c r="A52" s="57"/>
      <c r="B52" s="47">
        <v>45683</v>
      </c>
      <c r="C52" s="51"/>
      <c r="D52" s="48"/>
      <c r="E52" s="49" t="s">
        <v>125</v>
      </c>
      <c r="F52" s="50"/>
      <c r="G52" s="50"/>
      <c r="H52" s="50"/>
      <c r="I52" s="50"/>
      <c r="J52" s="50"/>
      <c r="K52" s="50"/>
    </row>
    <row r="53" spans="1:11" ht="19" x14ac:dyDescent="0.2">
      <c r="A53" s="61">
        <v>1032000</v>
      </c>
      <c r="B53" s="43">
        <v>45684</v>
      </c>
      <c r="C53" s="46" t="s">
        <v>16</v>
      </c>
      <c r="D53" s="44" t="s">
        <v>400</v>
      </c>
      <c r="E53" s="62">
        <v>480000</v>
      </c>
      <c r="F53" s="45">
        <v>191000</v>
      </c>
      <c r="G53" s="45">
        <v>361000</v>
      </c>
      <c r="H53" s="45"/>
      <c r="I53" s="45"/>
      <c r="J53" s="45">
        <v>35000</v>
      </c>
      <c r="K53" s="45" t="s">
        <v>470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/>
      <c r="I54" s="50"/>
      <c r="J54" s="50">
        <v>30000</v>
      </c>
      <c r="K54" s="50" t="s">
        <v>471</v>
      </c>
    </row>
    <row r="55" spans="1:11" ht="19" x14ac:dyDescent="0.2">
      <c r="A55" s="61"/>
      <c r="B55" s="43"/>
      <c r="C55" s="46"/>
      <c r="D55" s="44"/>
      <c r="E55" s="62"/>
      <c r="F55" s="45"/>
      <c r="G55" s="45"/>
      <c r="H55" s="45"/>
      <c r="I55" s="45"/>
      <c r="J55" s="45">
        <v>9000</v>
      </c>
      <c r="K55" s="45" t="s">
        <v>472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>
        <v>8000</v>
      </c>
      <c r="K56" s="63" t="s">
        <v>316</v>
      </c>
    </row>
    <row r="57" spans="1:11" ht="19" x14ac:dyDescent="0.2">
      <c r="A57" s="61"/>
      <c r="B57" s="43"/>
      <c r="C57" s="46"/>
      <c r="D57" s="44"/>
      <c r="E57" s="62"/>
      <c r="F57" s="45"/>
      <c r="G57" s="45"/>
      <c r="H57" s="45"/>
      <c r="I57" s="45"/>
      <c r="J57" s="45">
        <v>150000</v>
      </c>
      <c r="K57" s="45" t="s">
        <v>473</v>
      </c>
    </row>
    <row r="58" spans="1:11" ht="19" x14ac:dyDescent="0.2">
      <c r="A58" s="57"/>
      <c r="B58" s="47"/>
      <c r="C58" s="51"/>
      <c r="D58" s="48"/>
      <c r="E58" s="49"/>
      <c r="F58" s="50"/>
      <c r="G58" s="50"/>
      <c r="H58" s="50"/>
      <c r="I58" s="50"/>
      <c r="J58" s="50">
        <v>150000</v>
      </c>
      <c r="K58" s="50" t="s">
        <v>326</v>
      </c>
    </row>
    <row r="59" spans="1:11" ht="19" x14ac:dyDescent="0.2">
      <c r="A59" s="61">
        <v>1392000</v>
      </c>
      <c r="B59" s="43">
        <v>45685</v>
      </c>
      <c r="C59" s="46" t="s">
        <v>16</v>
      </c>
      <c r="D59" s="44" t="s">
        <v>400</v>
      </c>
      <c r="E59" s="62">
        <v>628000</v>
      </c>
      <c r="F59" s="45">
        <v>283000</v>
      </c>
      <c r="G59" s="45">
        <v>481000</v>
      </c>
      <c r="H59" s="45">
        <v>7268000</v>
      </c>
      <c r="I59" s="45" t="s">
        <v>482</v>
      </c>
      <c r="J59" s="45">
        <v>48000</v>
      </c>
      <c r="K59" s="45" t="s">
        <v>290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>
        <v>100000</v>
      </c>
      <c r="K60" s="50" t="s">
        <v>197</v>
      </c>
    </row>
    <row r="61" spans="1:11" ht="19" x14ac:dyDescent="0.2">
      <c r="A61" s="61"/>
      <c r="B61" s="43"/>
      <c r="C61" s="46"/>
      <c r="D61" s="44"/>
      <c r="E61" s="62"/>
      <c r="F61" s="45"/>
      <c r="G61" s="45"/>
      <c r="H61" s="45"/>
      <c r="I61" s="45"/>
      <c r="J61" s="45">
        <v>200000</v>
      </c>
      <c r="K61" s="45" t="s">
        <v>21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150000</v>
      </c>
      <c r="K62" s="50" t="s">
        <v>23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26000</v>
      </c>
      <c r="K63" s="45" t="s">
        <v>208</v>
      </c>
    </row>
    <row r="64" spans="1:11" ht="19" x14ac:dyDescent="0.2">
      <c r="A64" s="57"/>
      <c r="B64" s="47"/>
      <c r="C64" s="51"/>
      <c r="D64" s="48"/>
      <c r="E64" s="49"/>
      <c r="F64" s="103"/>
      <c r="G64" s="50"/>
      <c r="H64" s="50"/>
      <c r="I64" s="50"/>
      <c r="J64" s="50">
        <v>60000</v>
      </c>
      <c r="K64" s="50" t="s">
        <v>474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19000</v>
      </c>
      <c r="K65" s="45" t="s">
        <v>475</v>
      </c>
    </row>
    <row r="66" spans="1:11" ht="19" x14ac:dyDescent="0.2">
      <c r="A66" s="57"/>
      <c r="B66" s="47"/>
      <c r="C66" s="51"/>
      <c r="D66" s="48"/>
      <c r="E66" s="49"/>
      <c r="F66" s="50"/>
      <c r="G66" s="50"/>
      <c r="H66" s="50"/>
      <c r="I66" s="50"/>
      <c r="J66" s="50">
        <v>48000</v>
      </c>
      <c r="K66" s="50" t="s">
        <v>70</v>
      </c>
    </row>
    <row r="67" spans="1:11" ht="19" x14ac:dyDescent="0.2">
      <c r="A67" s="61">
        <v>1055000</v>
      </c>
      <c r="B67" s="43">
        <v>45686</v>
      </c>
      <c r="C67" s="46" t="s">
        <v>16</v>
      </c>
      <c r="D67" s="44" t="s">
        <v>400</v>
      </c>
      <c r="E67" s="62">
        <v>510000</v>
      </c>
      <c r="F67" s="45">
        <v>197000</v>
      </c>
      <c r="G67" s="45">
        <v>348000</v>
      </c>
      <c r="H67" s="45">
        <v>200000</v>
      </c>
      <c r="I67" s="45" t="s">
        <v>312</v>
      </c>
      <c r="J67" s="45"/>
      <c r="K67" s="45"/>
    </row>
    <row r="68" spans="1:11" ht="19" x14ac:dyDescent="0.2">
      <c r="A68" s="57">
        <v>1685000</v>
      </c>
      <c r="B68" s="47">
        <v>45687</v>
      </c>
      <c r="C68" s="51" t="s">
        <v>16</v>
      </c>
      <c r="D68" s="48" t="s">
        <v>400</v>
      </c>
      <c r="E68" s="49">
        <v>926000</v>
      </c>
      <c r="F68" s="50">
        <v>330000</v>
      </c>
      <c r="G68" s="50">
        <v>429000</v>
      </c>
      <c r="H68" s="50">
        <v>200000</v>
      </c>
      <c r="I68" s="50" t="s">
        <v>476</v>
      </c>
      <c r="J68" s="50">
        <v>234000</v>
      </c>
      <c r="K68" s="50" t="s">
        <v>423</v>
      </c>
    </row>
    <row r="69" spans="1:11" ht="19" x14ac:dyDescent="0.2">
      <c r="A69" s="61">
        <v>1123000</v>
      </c>
      <c r="B69" s="43">
        <v>45688</v>
      </c>
      <c r="C69" s="46" t="s">
        <v>16</v>
      </c>
      <c r="D69" s="44" t="s">
        <v>400</v>
      </c>
      <c r="E69" s="62">
        <v>565000</v>
      </c>
      <c r="F69" s="45">
        <v>283000</v>
      </c>
      <c r="G69" s="45">
        <v>275000</v>
      </c>
      <c r="H69" s="45">
        <v>2450000</v>
      </c>
      <c r="I69" s="45" t="s">
        <v>477</v>
      </c>
      <c r="J69" s="45">
        <v>50000</v>
      </c>
      <c r="K69" s="45" t="s">
        <v>478</v>
      </c>
    </row>
    <row r="70" spans="1:11" ht="19" x14ac:dyDescent="0.2">
      <c r="A70" s="57"/>
      <c r="B70" s="47"/>
      <c r="C70" s="51"/>
      <c r="D70" s="48"/>
      <c r="E70" s="49"/>
      <c r="F70" s="50"/>
      <c r="G70" s="50"/>
      <c r="H70" s="50"/>
      <c r="I70" s="50"/>
      <c r="J70" s="50">
        <v>16000</v>
      </c>
      <c r="K70" s="50" t="s">
        <v>479</v>
      </c>
    </row>
    <row r="71" spans="1:11" ht="19" x14ac:dyDescent="0.2">
      <c r="A71" s="61"/>
      <c r="B71" s="43"/>
      <c r="C71" s="46"/>
      <c r="D71" s="44"/>
      <c r="E71" s="62"/>
      <c r="F71" s="45"/>
      <c r="G71" s="45"/>
      <c r="H71" s="45"/>
      <c r="I71" s="45"/>
      <c r="J71" s="45">
        <v>160000</v>
      </c>
      <c r="K71" s="45" t="s">
        <v>27</v>
      </c>
    </row>
    <row r="72" spans="1:11" ht="19" x14ac:dyDescent="0.2">
      <c r="A72" s="57"/>
      <c r="B72" s="47"/>
      <c r="C72" s="51"/>
      <c r="D72" s="48"/>
      <c r="E72" s="49"/>
      <c r="F72" s="50"/>
      <c r="G72" s="50"/>
      <c r="H72" s="50"/>
      <c r="I72" s="50"/>
      <c r="J72" s="50">
        <v>240000</v>
      </c>
      <c r="K72" s="50" t="s">
        <v>480</v>
      </c>
    </row>
    <row r="73" spans="1:11" ht="19" x14ac:dyDescent="0.2">
      <c r="A73" s="61"/>
      <c r="B73" s="43"/>
      <c r="C73" s="46"/>
      <c r="D73" s="44"/>
      <c r="E73" s="62"/>
      <c r="F73" s="45"/>
      <c r="G73" s="45"/>
      <c r="H73" s="45"/>
      <c r="I73" s="45"/>
      <c r="J73" s="45"/>
      <c r="K73" s="4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60"/>
  <sheetViews>
    <sheetView workbookViewId="0">
      <selection activeCell="H5" sqref="H5"/>
    </sheetView>
  </sheetViews>
  <sheetFormatPr baseColWidth="10" defaultColWidth="11.5" defaultRowHeight="15" x14ac:dyDescent="0.2"/>
  <cols>
    <col min="1" max="1" width="20.33203125" bestFit="1" customWidth="1"/>
    <col min="3" max="3" width="13.33203125" bestFit="1" customWidth="1"/>
    <col min="5" max="5" width="19" bestFit="1" customWidth="1"/>
    <col min="6" max="6" width="28.5" customWidth="1"/>
    <col min="7" max="7" width="22.6640625" customWidth="1"/>
    <col min="8" max="8" width="23.1640625" customWidth="1"/>
    <col min="9" max="9" width="37.33203125" customWidth="1"/>
    <col min="10" max="10" width="22.6640625" customWidth="1"/>
    <col min="11" max="11" width="25.6640625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513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2995326</v>
      </c>
      <c r="K6" s="30" t="s">
        <v>514</v>
      </c>
    </row>
    <row r="7" spans="1:11" ht="26" x14ac:dyDescent="0.3">
      <c r="B7" s="32" t="s">
        <v>515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SUM(A11:A477)</f>
        <v>22490000</v>
      </c>
      <c r="B10" s="39"/>
      <c r="C10" s="40" t="s">
        <v>15</v>
      </c>
      <c r="D10" s="41"/>
      <c r="E10" s="42">
        <f>SUM(E11:E477)</f>
        <v>9941000</v>
      </c>
      <c r="F10" s="38">
        <f>SUM(F11:F477)</f>
        <v>3109000</v>
      </c>
      <c r="G10" s="38">
        <f>SUM(G11:G472)</f>
        <v>9440000</v>
      </c>
      <c r="H10" s="38">
        <f>SUM(H11:H477)</f>
        <v>11487000</v>
      </c>
      <c r="I10" s="38"/>
      <c r="J10" s="38">
        <f>SUM(J11:J477)</f>
        <v>3543000</v>
      </c>
      <c r="K10" s="38"/>
    </row>
    <row r="11" spans="1:11" ht="21" x14ac:dyDescent="0.2">
      <c r="A11" s="96">
        <v>938000</v>
      </c>
      <c r="B11" s="97">
        <v>45689</v>
      </c>
      <c r="C11" s="98" t="s">
        <v>16</v>
      </c>
      <c r="D11" s="99" t="s">
        <v>346</v>
      </c>
      <c r="E11" s="13">
        <v>450000</v>
      </c>
      <c r="F11" s="13">
        <v>235000</v>
      </c>
      <c r="G11" s="13">
        <v>253000</v>
      </c>
      <c r="H11" s="13">
        <v>468000</v>
      </c>
      <c r="I11" s="13" t="s">
        <v>511</v>
      </c>
      <c r="J11" s="13">
        <v>90000</v>
      </c>
      <c r="K11" s="13" t="s">
        <v>486</v>
      </c>
    </row>
    <row r="12" spans="1:11" ht="19" x14ac:dyDescent="0.2">
      <c r="A12" s="53"/>
      <c r="B12" s="4"/>
      <c r="C12" s="5"/>
      <c r="D12" s="2"/>
      <c r="E12" s="1"/>
      <c r="F12" s="1"/>
      <c r="G12" s="1"/>
      <c r="H12" s="1"/>
      <c r="I12" s="1"/>
      <c r="J12" s="1">
        <v>17000</v>
      </c>
      <c r="K12" s="1" t="s">
        <v>208</v>
      </c>
    </row>
    <row r="13" spans="1:11" ht="19" x14ac:dyDescent="0.2">
      <c r="A13" s="54"/>
      <c r="B13" s="10">
        <v>45690</v>
      </c>
      <c r="C13" s="14"/>
      <c r="D13" s="12"/>
      <c r="E13" s="15" t="s">
        <v>125</v>
      </c>
      <c r="F13" s="13"/>
      <c r="G13" s="13"/>
      <c r="H13" s="13"/>
      <c r="I13" s="13"/>
      <c r="J13" s="13"/>
      <c r="K13" s="13"/>
    </row>
    <row r="14" spans="1:11" ht="19" x14ac:dyDescent="0.2">
      <c r="A14" s="53">
        <v>1082000</v>
      </c>
      <c r="B14" s="4">
        <v>45691</v>
      </c>
      <c r="C14" s="5" t="s">
        <v>16</v>
      </c>
      <c r="D14" s="2" t="s">
        <v>400</v>
      </c>
      <c r="E14" s="3">
        <v>578000</v>
      </c>
      <c r="F14" s="1">
        <v>91000</v>
      </c>
      <c r="G14" s="1">
        <v>413000</v>
      </c>
      <c r="H14" s="1"/>
      <c r="I14" s="1"/>
      <c r="J14" s="1">
        <v>216000</v>
      </c>
      <c r="K14" s="1" t="s">
        <v>354</v>
      </c>
    </row>
    <row r="15" spans="1:11" ht="19" x14ac:dyDescent="0.2">
      <c r="A15" s="54">
        <v>666000</v>
      </c>
      <c r="B15" s="10">
        <v>45692</v>
      </c>
      <c r="C15" s="14" t="s">
        <v>16</v>
      </c>
      <c r="D15" s="12" t="s">
        <v>487</v>
      </c>
      <c r="E15" s="15">
        <v>424000</v>
      </c>
      <c r="F15" s="13">
        <v>45000</v>
      </c>
      <c r="G15" s="13">
        <v>197000</v>
      </c>
      <c r="H15" s="13"/>
      <c r="I15" s="13"/>
      <c r="J15" s="13">
        <v>27000</v>
      </c>
      <c r="K15" s="13" t="s">
        <v>488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>
        <v>99000</v>
      </c>
      <c r="K16" s="8" t="s">
        <v>417</v>
      </c>
    </row>
    <row r="17" spans="1:11" ht="19" x14ac:dyDescent="0.2">
      <c r="A17" s="56">
        <v>1021000</v>
      </c>
      <c r="B17" s="10">
        <v>45693</v>
      </c>
      <c r="C17" s="16" t="s">
        <v>16</v>
      </c>
      <c r="D17" s="12" t="s">
        <v>487</v>
      </c>
      <c r="E17" s="15">
        <v>411000</v>
      </c>
      <c r="F17" s="13">
        <v>54000</v>
      </c>
      <c r="G17" s="13">
        <v>556000</v>
      </c>
      <c r="H17" s="17"/>
      <c r="I17" s="17"/>
      <c r="J17" s="13">
        <v>6000</v>
      </c>
      <c r="K17" s="13" t="s">
        <v>510</v>
      </c>
    </row>
    <row r="18" spans="1:11" ht="19" x14ac:dyDescent="0.2">
      <c r="A18" s="55">
        <v>1071000</v>
      </c>
      <c r="B18" s="18">
        <v>45694</v>
      </c>
      <c r="C18" s="19" t="s">
        <v>16</v>
      </c>
      <c r="D18" s="20" t="s">
        <v>487</v>
      </c>
      <c r="E18" s="21">
        <v>236000</v>
      </c>
      <c r="F18" s="8">
        <v>250000</v>
      </c>
      <c r="G18" s="8">
        <v>585000</v>
      </c>
      <c r="H18" s="23"/>
      <c r="I18" s="23"/>
      <c r="J18" s="8">
        <v>150000</v>
      </c>
      <c r="K18" s="8" t="s">
        <v>489</v>
      </c>
    </row>
    <row r="19" spans="1:11" ht="19" x14ac:dyDescent="0.2">
      <c r="A19" s="56"/>
      <c r="B19" s="10"/>
      <c r="C19" s="16"/>
      <c r="D19" s="12"/>
      <c r="E19" s="15"/>
      <c r="F19" s="13"/>
      <c r="G19" s="13"/>
      <c r="H19" s="17"/>
      <c r="I19" s="17"/>
      <c r="J19" s="13">
        <v>150000</v>
      </c>
      <c r="K19" s="13" t="s">
        <v>490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108000</v>
      </c>
      <c r="K20" s="8" t="s">
        <v>460</v>
      </c>
    </row>
    <row r="21" spans="1:11" ht="19" x14ac:dyDescent="0.2">
      <c r="A21" s="56">
        <v>771000</v>
      </c>
      <c r="B21" s="10">
        <v>45695</v>
      </c>
      <c r="C21" s="16" t="s">
        <v>16</v>
      </c>
      <c r="D21" s="12" t="s">
        <v>487</v>
      </c>
      <c r="E21" s="15">
        <v>418000</v>
      </c>
      <c r="F21" s="13">
        <v>93000</v>
      </c>
      <c r="G21" s="13">
        <v>260000</v>
      </c>
      <c r="H21" s="17"/>
      <c r="I21" s="17"/>
      <c r="J21" s="13">
        <v>18000</v>
      </c>
      <c r="K21" s="13" t="s">
        <v>491</v>
      </c>
    </row>
    <row r="22" spans="1:11" ht="19" x14ac:dyDescent="0.2">
      <c r="A22" s="55">
        <v>738000</v>
      </c>
      <c r="B22" s="18">
        <v>45696</v>
      </c>
      <c r="C22" s="21" t="s">
        <v>16</v>
      </c>
      <c r="D22" s="20" t="s">
        <v>346</v>
      </c>
      <c r="E22" s="21">
        <v>83000</v>
      </c>
      <c r="F22" s="8">
        <v>132000</v>
      </c>
      <c r="G22" s="8">
        <v>523000</v>
      </c>
      <c r="H22" s="8">
        <v>200000</v>
      </c>
      <c r="I22" s="8" t="s">
        <v>492</v>
      </c>
      <c r="J22" s="8">
        <v>25000</v>
      </c>
      <c r="K22" s="8" t="s">
        <v>208</v>
      </c>
    </row>
    <row r="23" spans="1:11" ht="19" x14ac:dyDescent="0.2">
      <c r="A23" s="56"/>
      <c r="B23" s="10">
        <v>45697</v>
      </c>
      <c r="C23" s="16"/>
      <c r="D23" s="12"/>
      <c r="E23" s="15" t="s">
        <v>125</v>
      </c>
      <c r="F23" s="13"/>
      <c r="G23" s="13"/>
      <c r="H23" s="13"/>
      <c r="I23" s="13"/>
      <c r="J23" s="13"/>
      <c r="K23" s="13"/>
    </row>
    <row r="24" spans="1:11" ht="19" x14ac:dyDescent="0.2">
      <c r="A24" s="55">
        <v>1110000</v>
      </c>
      <c r="B24" s="18">
        <v>45698</v>
      </c>
      <c r="C24" s="21" t="s">
        <v>16</v>
      </c>
      <c r="D24" s="20" t="s">
        <v>487</v>
      </c>
      <c r="E24" s="21">
        <v>474000</v>
      </c>
      <c r="F24" s="8">
        <v>117000</v>
      </c>
      <c r="G24" s="8">
        <v>519000</v>
      </c>
      <c r="H24" s="8"/>
      <c r="I24" s="8"/>
      <c r="J24" s="8">
        <v>216000</v>
      </c>
      <c r="K24" s="8" t="s">
        <v>354</v>
      </c>
    </row>
    <row r="25" spans="1:11" ht="19" x14ac:dyDescent="0.2">
      <c r="A25" s="56">
        <v>1417000</v>
      </c>
      <c r="B25" s="10">
        <v>45699</v>
      </c>
      <c r="C25" s="16" t="s">
        <v>16</v>
      </c>
      <c r="D25" s="12" t="s">
        <v>487</v>
      </c>
      <c r="E25" s="15">
        <v>705000</v>
      </c>
      <c r="F25" s="13">
        <v>183000</v>
      </c>
      <c r="G25" s="13">
        <v>529000</v>
      </c>
      <c r="H25" s="13"/>
      <c r="I25" s="13"/>
      <c r="J25" s="13"/>
      <c r="K25" s="13"/>
    </row>
    <row r="26" spans="1:11" ht="19" x14ac:dyDescent="0.2">
      <c r="A26" s="55">
        <v>1195000</v>
      </c>
      <c r="B26" s="18">
        <v>45700</v>
      </c>
      <c r="C26" s="19" t="s">
        <v>16</v>
      </c>
      <c r="D26" s="20" t="s">
        <v>487</v>
      </c>
      <c r="E26" s="21">
        <v>704000</v>
      </c>
      <c r="F26" s="8">
        <v>139000</v>
      </c>
      <c r="G26" s="8">
        <v>352000</v>
      </c>
      <c r="H26" s="8"/>
      <c r="I26" s="8"/>
      <c r="J26" s="8">
        <v>260000</v>
      </c>
      <c r="K26" s="8" t="s">
        <v>151</v>
      </c>
    </row>
    <row r="27" spans="1:11" ht="19" x14ac:dyDescent="0.2">
      <c r="A27" s="56"/>
      <c r="B27" s="10"/>
      <c r="C27" s="16"/>
      <c r="D27" s="12"/>
      <c r="E27" s="15"/>
      <c r="F27" s="13"/>
      <c r="G27" s="13"/>
      <c r="H27" s="13"/>
      <c r="I27" s="13"/>
      <c r="J27" s="13">
        <v>105000</v>
      </c>
      <c r="K27" s="13" t="s">
        <v>301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>
        <v>7274000</v>
      </c>
      <c r="I28" s="8" t="s">
        <v>512</v>
      </c>
      <c r="J28" s="1">
        <v>180000</v>
      </c>
      <c r="K28" s="1" t="s">
        <v>493</v>
      </c>
    </row>
    <row r="29" spans="1:11" ht="19" x14ac:dyDescent="0.2">
      <c r="A29" s="56"/>
      <c r="B29" s="10"/>
      <c r="C29" s="14"/>
      <c r="D29" s="12"/>
      <c r="E29" s="15"/>
      <c r="F29" s="13"/>
      <c r="G29" s="13"/>
      <c r="H29" s="13"/>
      <c r="I29" s="13"/>
      <c r="J29" s="13">
        <v>34000</v>
      </c>
      <c r="K29" s="13" t="s">
        <v>494</v>
      </c>
    </row>
    <row r="30" spans="1:11" ht="19" x14ac:dyDescent="0.2">
      <c r="A30" s="55">
        <v>561000</v>
      </c>
      <c r="B30" s="4">
        <v>45701</v>
      </c>
      <c r="C30" s="5" t="s">
        <v>16</v>
      </c>
      <c r="D30" s="2" t="s">
        <v>487</v>
      </c>
      <c r="E30" s="3">
        <v>263000</v>
      </c>
      <c r="F30" s="1">
        <v>51000</v>
      </c>
      <c r="G30" s="1">
        <v>247000</v>
      </c>
      <c r="H30" s="1">
        <v>900000</v>
      </c>
      <c r="I30" s="1" t="s">
        <v>216</v>
      </c>
      <c r="J30" s="1">
        <v>72000</v>
      </c>
      <c r="K30" s="1" t="s">
        <v>495</v>
      </c>
    </row>
    <row r="31" spans="1:11" ht="19" x14ac:dyDescent="0.2">
      <c r="A31" s="56">
        <v>1017000</v>
      </c>
      <c r="B31" s="10">
        <v>45702</v>
      </c>
      <c r="C31" s="14" t="s">
        <v>16</v>
      </c>
      <c r="D31" s="12" t="s">
        <v>487</v>
      </c>
      <c r="E31" s="15">
        <v>441000</v>
      </c>
      <c r="F31" s="13">
        <v>52000</v>
      </c>
      <c r="G31" s="13">
        <v>524000</v>
      </c>
      <c r="H31" s="13"/>
      <c r="I31" s="13"/>
      <c r="J31" s="13">
        <v>200000</v>
      </c>
      <c r="K31" s="13" t="s">
        <v>21</v>
      </c>
    </row>
    <row r="32" spans="1:11" ht="19" x14ac:dyDescent="0.2">
      <c r="A32" s="53"/>
      <c r="B32" s="18"/>
      <c r="C32" s="22"/>
      <c r="D32" s="20"/>
      <c r="E32" s="21"/>
      <c r="F32" s="8"/>
      <c r="G32" s="8"/>
      <c r="H32" s="1"/>
      <c r="I32" s="1"/>
      <c r="J32" s="1">
        <v>45000</v>
      </c>
      <c r="K32" s="1" t="s">
        <v>496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>
        <v>150000</v>
      </c>
      <c r="K33" s="13" t="s">
        <v>23</v>
      </c>
    </row>
    <row r="34" spans="1:11" ht="19" x14ac:dyDescent="0.2">
      <c r="A34" s="53"/>
      <c r="B34" s="18">
        <v>45703</v>
      </c>
      <c r="C34" s="22"/>
      <c r="D34" s="20"/>
      <c r="E34" s="21" t="s">
        <v>125</v>
      </c>
      <c r="F34" s="8"/>
      <c r="G34" s="8"/>
      <c r="H34" s="8"/>
      <c r="I34" s="8"/>
      <c r="J34" s="8"/>
      <c r="K34" s="8"/>
    </row>
    <row r="35" spans="1:11" ht="19" x14ac:dyDescent="0.2">
      <c r="A35" s="54"/>
      <c r="B35" s="10">
        <v>45704</v>
      </c>
      <c r="C35" s="14"/>
      <c r="D35" s="12"/>
      <c r="E35" s="15" t="s">
        <v>125</v>
      </c>
      <c r="F35" s="13"/>
      <c r="G35" s="13"/>
      <c r="H35" s="13">
        <v>200000</v>
      </c>
      <c r="I35" s="13" t="s">
        <v>497</v>
      </c>
      <c r="J35" s="13"/>
      <c r="K35" s="13"/>
    </row>
    <row r="36" spans="1:11" ht="19" x14ac:dyDescent="0.2">
      <c r="A36" s="55"/>
      <c r="B36" s="18"/>
      <c r="C36" s="22"/>
      <c r="D36" s="20"/>
      <c r="E36" s="21"/>
      <c r="F36" s="8"/>
      <c r="G36" s="8"/>
      <c r="H36" s="8">
        <v>200000</v>
      </c>
      <c r="I36" s="8" t="s">
        <v>498</v>
      </c>
      <c r="J36" s="8"/>
      <c r="K36" s="81"/>
    </row>
    <row r="37" spans="1:11" ht="32" x14ac:dyDescent="0.2">
      <c r="A37" s="56"/>
      <c r="B37" s="10"/>
      <c r="C37" s="14"/>
      <c r="D37" s="12"/>
      <c r="E37" s="15"/>
      <c r="F37" s="13"/>
      <c r="G37" s="13"/>
      <c r="H37" s="13">
        <v>645000</v>
      </c>
      <c r="I37" s="104" t="s">
        <v>499</v>
      </c>
      <c r="J37" s="13">
        <v>45000</v>
      </c>
      <c r="K37" s="13" t="s">
        <v>208</v>
      </c>
    </row>
    <row r="38" spans="1:11" ht="19" x14ac:dyDescent="0.2">
      <c r="A38" s="55">
        <v>1213000</v>
      </c>
      <c r="B38" s="18">
        <v>45705</v>
      </c>
      <c r="C38" s="22" t="s">
        <v>16</v>
      </c>
      <c r="D38" s="20" t="s">
        <v>400</v>
      </c>
      <c r="E38" s="21">
        <v>279000</v>
      </c>
      <c r="F38" s="8">
        <v>253000</v>
      </c>
      <c r="G38" s="8">
        <v>681000</v>
      </c>
      <c r="H38" s="8"/>
      <c r="I38" s="8"/>
      <c r="J38" s="8">
        <v>50000</v>
      </c>
      <c r="K38" s="8" t="s">
        <v>333</v>
      </c>
    </row>
    <row r="39" spans="1:11" ht="19" x14ac:dyDescent="0.2">
      <c r="A39" s="56"/>
      <c r="B39" s="10"/>
      <c r="C39" s="14"/>
      <c r="D39" s="12"/>
      <c r="E39" s="15"/>
      <c r="F39" s="13"/>
      <c r="G39" s="13"/>
      <c r="H39" s="13"/>
      <c r="I39" s="13"/>
      <c r="J39" s="13">
        <v>70000</v>
      </c>
      <c r="K39" s="13" t="s">
        <v>462</v>
      </c>
    </row>
    <row r="40" spans="1:11" ht="19" x14ac:dyDescent="0.2">
      <c r="A40" s="55"/>
      <c r="B40" s="4"/>
      <c r="C40" s="5"/>
      <c r="D40" s="2"/>
      <c r="E40" s="3"/>
      <c r="F40" s="1"/>
      <c r="G40" s="1"/>
      <c r="H40" s="1"/>
      <c r="I40" s="1"/>
      <c r="J40" s="8">
        <v>45000</v>
      </c>
      <c r="K40" s="1" t="s">
        <v>500</v>
      </c>
    </row>
    <row r="41" spans="1:11" ht="19" x14ac:dyDescent="0.2">
      <c r="A41" s="56">
        <v>969000</v>
      </c>
      <c r="B41" s="10">
        <v>45706</v>
      </c>
      <c r="C41" s="14" t="s">
        <v>16</v>
      </c>
      <c r="D41" s="12" t="s">
        <v>400</v>
      </c>
      <c r="E41" s="15">
        <v>407000</v>
      </c>
      <c r="F41" s="13">
        <v>240000</v>
      </c>
      <c r="G41" s="13">
        <v>322000</v>
      </c>
      <c r="H41" s="13"/>
      <c r="I41" s="13"/>
      <c r="J41" s="13">
        <v>144000</v>
      </c>
      <c r="K41" s="13" t="s">
        <v>501</v>
      </c>
    </row>
    <row r="42" spans="1:11" ht="19" x14ac:dyDescent="0.2">
      <c r="A42" s="55">
        <v>594000</v>
      </c>
      <c r="B42" s="4">
        <v>45707</v>
      </c>
      <c r="C42" s="5" t="s">
        <v>16</v>
      </c>
      <c r="D42" s="2" t="s">
        <v>400</v>
      </c>
      <c r="E42" s="3">
        <v>335000</v>
      </c>
      <c r="F42" s="1">
        <v>25000</v>
      </c>
      <c r="G42" s="1">
        <v>234000</v>
      </c>
      <c r="H42" s="1"/>
      <c r="I42" s="105"/>
      <c r="J42" s="8"/>
      <c r="K42" s="1"/>
    </row>
    <row r="43" spans="1:11" ht="19" x14ac:dyDescent="0.2">
      <c r="A43" s="56">
        <v>1219000</v>
      </c>
      <c r="B43" s="10">
        <v>45708</v>
      </c>
      <c r="C43" s="14" t="s">
        <v>16</v>
      </c>
      <c r="D43" s="12" t="s">
        <v>400</v>
      </c>
      <c r="E43" s="15">
        <v>619000</v>
      </c>
      <c r="F43" s="13">
        <v>286000</v>
      </c>
      <c r="G43" s="13">
        <v>314000</v>
      </c>
      <c r="H43" s="13"/>
      <c r="I43" s="13"/>
      <c r="J43" s="45">
        <v>200000</v>
      </c>
      <c r="K43" s="45" t="s">
        <v>21</v>
      </c>
    </row>
    <row r="44" spans="1:11" ht="19" x14ac:dyDescent="0.2">
      <c r="A44" s="59"/>
      <c r="B44" s="47"/>
      <c r="C44" s="51"/>
      <c r="D44" s="48"/>
      <c r="E44" s="49"/>
      <c r="F44" s="50"/>
      <c r="G44" s="50"/>
      <c r="H44" s="50"/>
      <c r="I44" s="50"/>
      <c r="J44" s="50">
        <v>45000</v>
      </c>
      <c r="K44" s="50" t="s">
        <v>496</v>
      </c>
    </row>
    <row r="45" spans="1:11" ht="19" x14ac:dyDescent="0.2">
      <c r="A45" s="58"/>
      <c r="B45" s="43"/>
      <c r="C45" s="46"/>
      <c r="D45" s="44"/>
      <c r="E45" s="15"/>
      <c r="F45" s="13"/>
      <c r="G45" s="13"/>
      <c r="H45" s="45"/>
      <c r="I45" s="45"/>
      <c r="J45" s="45">
        <v>150000</v>
      </c>
      <c r="K45" s="45" t="s">
        <v>23</v>
      </c>
    </row>
    <row r="46" spans="1:11" ht="19" x14ac:dyDescent="0.2">
      <c r="A46" s="57">
        <v>1063000</v>
      </c>
      <c r="B46" s="47">
        <v>45709</v>
      </c>
      <c r="C46" s="51" t="s">
        <v>16</v>
      </c>
      <c r="D46" s="48" t="s">
        <v>346</v>
      </c>
      <c r="E46" s="49">
        <v>550000</v>
      </c>
      <c r="F46" s="50">
        <v>116000</v>
      </c>
      <c r="G46" s="50">
        <v>397000</v>
      </c>
      <c r="H46" s="50"/>
      <c r="I46" s="50"/>
      <c r="J46" s="50">
        <v>27000</v>
      </c>
      <c r="K46" s="50" t="s">
        <v>479</v>
      </c>
    </row>
    <row r="47" spans="1:11" ht="19" x14ac:dyDescent="0.2">
      <c r="A47" s="61"/>
      <c r="B47" s="43"/>
      <c r="C47" s="46"/>
      <c r="D47" s="44"/>
      <c r="E47" s="62"/>
      <c r="F47" s="45"/>
      <c r="G47" s="45"/>
      <c r="H47" s="45"/>
      <c r="I47" s="45"/>
      <c r="J47" s="45">
        <v>39000</v>
      </c>
      <c r="K47" s="45" t="s">
        <v>502</v>
      </c>
    </row>
    <row r="48" spans="1:11" ht="19" x14ac:dyDescent="0.2">
      <c r="A48" s="57"/>
      <c r="B48" s="47"/>
      <c r="C48" s="51"/>
      <c r="D48" s="48"/>
      <c r="E48" s="49"/>
      <c r="F48" s="50"/>
      <c r="G48" s="50"/>
      <c r="H48" s="50"/>
      <c r="I48" s="50"/>
      <c r="J48" s="50">
        <v>80000</v>
      </c>
      <c r="K48" s="50" t="s">
        <v>503</v>
      </c>
    </row>
    <row r="49" spans="1:11" ht="19" x14ac:dyDescent="0.2">
      <c r="A49" s="61"/>
      <c r="B49" s="43"/>
      <c r="C49" s="46"/>
      <c r="D49" s="44"/>
      <c r="E49" s="62"/>
      <c r="F49" s="45"/>
      <c r="G49" s="45"/>
      <c r="H49" s="45"/>
      <c r="I49" s="45"/>
      <c r="J49" s="45">
        <v>80000</v>
      </c>
      <c r="K49" s="45" t="s">
        <v>504</v>
      </c>
    </row>
    <row r="50" spans="1:11" ht="19" x14ac:dyDescent="0.2">
      <c r="A50" s="57">
        <v>757000</v>
      </c>
      <c r="B50" s="47">
        <v>45710</v>
      </c>
      <c r="C50" s="51" t="s">
        <v>16</v>
      </c>
      <c r="D50" s="48" t="s">
        <v>400</v>
      </c>
      <c r="E50" s="49">
        <v>372000</v>
      </c>
      <c r="F50" s="50">
        <v>101000</v>
      </c>
      <c r="G50" s="50">
        <v>284000</v>
      </c>
      <c r="H50" s="50"/>
      <c r="I50" s="50"/>
      <c r="J50" s="50">
        <v>17000</v>
      </c>
      <c r="K50" s="50" t="s">
        <v>505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4000</v>
      </c>
      <c r="K51" s="45" t="s">
        <v>506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19000</v>
      </c>
      <c r="K52" s="50" t="s">
        <v>507</v>
      </c>
    </row>
    <row r="53" spans="1:11" ht="19" x14ac:dyDescent="0.2">
      <c r="A53" s="61"/>
      <c r="B53" s="43"/>
      <c r="C53" s="46"/>
      <c r="D53" s="44"/>
      <c r="E53" s="62"/>
      <c r="F53" s="45"/>
      <c r="G53" s="45"/>
      <c r="H53" s="45"/>
      <c r="I53" s="45"/>
      <c r="J53" s="45">
        <v>24000</v>
      </c>
      <c r="K53" s="45" t="s">
        <v>368</v>
      </c>
    </row>
    <row r="54" spans="1:11" ht="19" x14ac:dyDescent="0.2">
      <c r="A54" s="57"/>
      <c r="B54" s="47">
        <v>45711</v>
      </c>
      <c r="C54" s="51"/>
      <c r="D54" s="48"/>
      <c r="E54" s="49" t="s">
        <v>125</v>
      </c>
      <c r="F54" s="50"/>
      <c r="G54" s="50"/>
      <c r="H54" s="50"/>
      <c r="I54" s="50"/>
      <c r="J54" s="50"/>
      <c r="K54" s="63"/>
    </row>
    <row r="55" spans="1:11" ht="19" x14ac:dyDescent="0.2">
      <c r="A55" s="61">
        <v>1339000</v>
      </c>
      <c r="B55" s="43">
        <v>45712</v>
      </c>
      <c r="C55" s="46" t="s">
        <v>16</v>
      </c>
      <c r="D55" s="44" t="s">
        <v>400</v>
      </c>
      <c r="E55" s="62">
        <v>651000</v>
      </c>
      <c r="F55" s="45">
        <v>227000</v>
      </c>
      <c r="G55" s="45">
        <v>461000</v>
      </c>
      <c r="H55" s="45"/>
      <c r="I55" s="45"/>
      <c r="J55" s="45"/>
      <c r="K55" s="45"/>
    </row>
    <row r="56" spans="1:11" ht="19" x14ac:dyDescent="0.2">
      <c r="A56" s="57">
        <v>991000</v>
      </c>
      <c r="B56" s="47">
        <v>45713</v>
      </c>
      <c r="C56" s="51" t="s">
        <v>16</v>
      </c>
      <c r="D56" s="48" t="s">
        <v>136</v>
      </c>
      <c r="E56" s="49">
        <v>319000</v>
      </c>
      <c r="F56" s="50">
        <v>66000</v>
      </c>
      <c r="G56" s="50">
        <v>606000</v>
      </c>
      <c r="H56" s="50"/>
      <c r="I56" s="50"/>
      <c r="J56" s="50">
        <v>216000</v>
      </c>
      <c r="K56" s="50" t="s">
        <v>354</v>
      </c>
    </row>
    <row r="57" spans="1:11" ht="19" x14ac:dyDescent="0.2">
      <c r="A57" s="61">
        <v>848000</v>
      </c>
      <c r="B57" s="43">
        <v>45714</v>
      </c>
      <c r="C57" s="46" t="s">
        <v>16</v>
      </c>
      <c r="D57" s="44" t="s">
        <v>136</v>
      </c>
      <c r="E57" s="62">
        <v>261000</v>
      </c>
      <c r="F57" s="45">
        <v>104000</v>
      </c>
      <c r="G57" s="45">
        <v>483000</v>
      </c>
      <c r="H57" s="45"/>
      <c r="I57" s="45"/>
      <c r="J57" s="45"/>
      <c r="K57" s="45"/>
    </row>
    <row r="58" spans="1:11" ht="19" x14ac:dyDescent="0.2">
      <c r="A58" s="57">
        <v>927000</v>
      </c>
      <c r="B58" s="47">
        <v>45715</v>
      </c>
      <c r="C58" s="51" t="s">
        <v>16</v>
      </c>
      <c r="D58" s="48" t="s">
        <v>136</v>
      </c>
      <c r="E58" s="49">
        <v>558000</v>
      </c>
      <c r="F58" s="50">
        <v>94000</v>
      </c>
      <c r="G58" s="50">
        <v>275000</v>
      </c>
      <c r="H58" s="50">
        <v>200000</v>
      </c>
      <c r="I58" s="50" t="s">
        <v>351</v>
      </c>
      <c r="J58" s="50">
        <v>120000</v>
      </c>
      <c r="K58" s="50" t="s">
        <v>508</v>
      </c>
    </row>
    <row r="59" spans="1:11" ht="19" x14ac:dyDescent="0.2">
      <c r="A59" s="61">
        <v>983000</v>
      </c>
      <c r="B59" s="43">
        <v>45716</v>
      </c>
      <c r="C59" s="46" t="s">
        <v>16</v>
      </c>
      <c r="D59" s="44" t="s">
        <v>400</v>
      </c>
      <c r="E59" s="62">
        <v>403000</v>
      </c>
      <c r="F59" s="45">
        <v>155000</v>
      </c>
      <c r="G59" s="45">
        <v>425000</v>
      </c>
      <c r="H59" s="45">
        <v>1400000</v>
      </c>
      <c r="I59" s="45" t="s">
        <v>509</v>
      </c>
      <c r="J59" s="45"/>
      <c r="K59" s="45"/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/>
      <c r="K60" s="5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K59"/>
  <sheetViews>
    <sheetView workbookViewId="0">
      <selection activeCell="B7" sqref="B7"/>
    </sheetView>
  </sheetViews>
  <sheetFormatPr baseColWidth="10" defaultColWidth="11.5" defaultRowHeight="15" x14ac:dyDescent="0.2"/>
  <cols>
    <col min="1" max="1" width="20.33203125" bestFit="1" customWidth="1"/>
    <col min="5" max="5" width="19" bestFit="1" customWidth="1"/>
    <col min="6" max="6" width="32.5" customWidth="1"/>
    <col min="7" max="7" width="25.1640625" customWidth="1"/>
    <col min="8" max="8" width="24.33203125" customWidth="1"/>
    <col min="9" max="9" width="23.5" bestFit="1" customWidth="1"/>
    <col min="10" max="10" width="22.33203125" customWidth="1"/>
    <col min="11" max="11" width="30.33203125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539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/>
      <c r="K6" s="30"/>
    </row>
    <row r="7" spans="1:11" ht="26" x14ac:dyDescent="0.3">
      <c r="B7" s="32" t="s">
        <v>540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SUM(A11:A479)</f>
        <v>16188000</v>
      </c>
      <c r="B10" s="39"/>
      <c r="C10" s="40" t="s">
        <v>15</v>
      </c>
      <c r="D10" s="41"/>
      <c r="E10" s="42">
        <f>SUM(E11:E479)</f>
        <v>7359000</v>
      </c>
      <c r="F10" s="38">
        <f>SUM(F11:F479)</f>
        <v>2168000</v>
      </c>
      <c r="G10" s="38">
        <f>SUM(G11:G474)</f>
        <v>6661000</v>
      </c>
      <c r="H10" s="38">
        <f>SUM(H11:H479)</f>
        <v>15047000</v>
      </c>
      <c r="I10" s="38"/>
      <c r="J10" s="38">
        <f>SUM(J11:J479)</f>
        <v>2874000</v>
      </c>
      <c r="K10" s="38"/>
    </row>
    <row r="11" spans="1:11" ht="21" x14ac:dyDescent="0.2">
      <c r="A11" s="96">
        <v>316000</v>
      </c>
      <c r="B11" s="97">
        <v>45717</v>
      </c>
      <c r="C11" s="98" t="s">
        <v>16</v>
      </c>
      <c r="D11" s="99" t="s">
        <v>346</v>
      </c>
      <c r="E11" s="13">
        <v>16000</v>
      </c>
      <c r="F11" s="13">
        <v>0</v>
      </c>
      <c r="G11" s="13">
        <v>300000</v>
      </c>
      <c r="H11" s="13">
        <v>200000</v>
      </c>
      <c r="I11" s="13" t="s">
        <v>516</v>
      </c>
      <c r="J11" s="13">
        <v>36000</v>
      </c>
      <c r="K11" s="13" t="s">
        <v>517</v>
      </c>
    </row>
    <row r="12" spans="1:11" ht="19" x14ac:dyDescent="0.2">
      <c r="A12" s="53"/>
      <c r="B12" s="4">
        <v>45718</v>
      </c>
      <c r="C12" s="5"/>
      <c r="D12" s="2"/>
      <c r="E12" s="1" t="s">
        <v>125</v>
      </c>
      <c r="F12" s="1"/>
      <c r="G12" s="1"/>
      <c r="H12" s="1"/>
      <c r="I12" s="1"/>
      <c r="J12" s="1"/>
      <c r="K12" s="1"/>
    </row>
    <row r="13" spans="1:11" ht="19" x14ac:dyDescent="0.2">
      <c r="A13" s="54">
        <v>613000</v>
      </c>
      <c r="B13" s="10">
        <v>45719</v>
      </c>
      <c r="C13" s="14" t="s">
        <v>16</v>
      </c>
      <c r="D13" s="12" t="s">
        <v>136</v>
      </c>
      <c r="E13" s="15">
        <v>385000</v>
      </c>
      <c r="F13" s="13">
        <v>0</v>
      </c>
      <c r="G13" s="13">
        <v>228000</v>
      </c>
      <c r="H13" s="13"/>
      <c r="I13" s="13"/>
      <c r="J13" s="13"/>
      <c r="K13" s="13"/>
    </row>
    <row r="14" spans="1:11" ht="19" x14ac:dyDescent="0.2">
      <c r="A14" s="53">
        <v>801000</v>
      </c>
      <c r="B14" s="4">
        <v>45720</v>
      </c>
      <c r="C14" s="5" t="s">
        <v>16</v>
      </c>
      <c r="D14" s="2" t="s">
        <v>136</v>
      </c>
      <c r="E14" s="3">
        <v>287000</v>
      </c>
      <c r="F14" s="1">
        <v>124000</v>
      </c>
      <c r="G14" s="1">
        <v>390000</v>
      </c>
      <c r="H14" s="1"/>
      <c r="I14" s="1"/>
      <c r="J14" s="1">
        <v>240000</v>
      </c>
      <c r="K14" s="1" t="s">
        <v>480</v>
      </c>
    </row>
    <row r="15" spans="1:11" ht="19" x14ac:dyDescent="0.2">
      <c r="A15" s="54">
        <v>806000</v>
      </c>
      <c r="B15" s="10">
        <v>45721</v>
      </c>
      <c r="C15" s="14" t="s">
        <v>16</v>
      </c>
      <c r="D15" s="12" t="s">
        <v>400</v>
      </c>
      <c r="E15" s="15">
        <v>341000</v>
      </c>
      <c r="F15" s="13">
        <v>245000</v>
      </c>
      <c r="G15" s="13">
        <v>220000</v>
      </c>
      <c r="H15" s="13"/>
      <c r="I15" s="13"/>
      <c r="J15" s="13">
        <v>55000</v>
      </c>
      <c r="K15" s="13" t="s">
        <v>518</v>
      </c>
    </row>
    <row r="16" spans="1:11" ht="19" x14ac:dyDescent="0.2">
      <c r="A16" s="55">
        <v>905000</v>
      </c>
      <c r="B16" s="18">
        <v>45722</v>
      </c>
      <c r="C16" s="19" t="s">
        <v>16</v>
      </c>
      <c r="D16" s="20" t="s">
        <v>400</v>
      </c>
      <c r="E16" s="21">
        <v>308000</v>
      </c>
      <c r="F16" s="8">
        <v>207000</v>
      </c>
      <c r="G16" s="8">
        <v>390000</v>
      </c>
      <c r="H16" s="23"/>
      <c r="I16" s="23"/>
      <c r="J16" s="8">
        <v>66000</v>
      </c>
      <c r="K16" s="8" t="s">
        <v>139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160000</v>
      </c>
      <c r="K17" s="13" t="s">
        <v>519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>
        <v>140000</v>
      </c>
      <c r="K18" s="8" t="s">
        <v>457</v>
      </c>
    </row>
    <row r="19" spans="1:11" ht="19" x14ac:dyDescent="0.2">
      <c r="A19" s="56"/>
      <c r="B19" s="10"/>
      <c r="C19" s="16"/>
      <c r="D19" s="12"/>
      <c r="E19" s="15"/>
      <c r="F19" s="13"/>
      <c r="G19" s="13"/>
      <c r="H19" s="17"/>
      <c r="I19" s="17"/>
      <c r="J19" s="13">
        <v>72000</v>
      </c>
      <c r="K19" s="13" t="s">
        <v>520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46000</v>
      </c>
      <c r="K20" s="8" t="s">
        <v>208</v>
      </c>
    </row>
    <row r="21" spans="1:11" ht="19" x14ac:dyDescent="0.2">
      <c r="A21" s="56">
        <v>548000</v>
      </c>
      <c r="B21" s="10">
        <v>45723</v>
      </c>
      <c r="C21" s="16" t="s">
        <v>16</v>
      </c>
      <c r="D21" s="12" t="s">
        <v>400</v>
      </c>
      <c r="E21" s="15">
        <v>137000</v>
      </c>
      <c r="F21" s="13">
        <v>30000</v>
      </c>
      <c r="G21" s="13">
        <v>381000</v>
      </c>
      <c r="H21" s="17"/>
      <c r="I21" s="17"/>
      <c r="J21" s="13"/>
      <c r="K21" s="13"/>
    </row>
    <row r="22" spans="1:11" ht="19" x14ac:dyDescent="0.2">
      <c r="A22" s="55"/>
      <c r="B22" s="18">
        <v>45724</v>
      </c>
      <c r="C22" s="21"/>
      <c r="D22" s="20"/>
      <c r="E22" s="21" t="s">
        <v>125</v>
      </c>
      <c r="F22" s="8"/>
      <c r="G22" s="8"/>
      <c r="H22" s="23"/>
      <c r="I22" s="23"/>
      <c r="J22" s="8"/>
      <c r="K22" s="8"/>
    </row>
    <row r="23" spans="1:11" ht="19" x14ac:dyDescent="0.2">
      <c r="A23" s="56"/>
      <c r="B23" s="10">
        <v>45725</v>
      </c>
      <c r="C23" s="16"/>
      <c r="D23" s="12"/>
      <c r="E23" s="15" t="s">
        <v>125</v>
      </c>
      <c r="F23" s="13"/>
      <c r="G23" s="13"/>
      <c r="H23" s="13"/>
      <c r="I23" s="13"/>
      <c r="J23" s="13"/>
      <c r="K23" s="13"/>
    </row>
    <row r="24" spans="1:11" ht="19" x14ac:dyDescent="0.2">
      <c r="A24" s="55">
        <v>312000</v>
      </c>
      <c r="B24" s="18">
        <v>45726</v>
      </c>
      <c r="C24" s="21" t="s">
        <v>16</v>
      </c>
      <c r="D24" s="20" t="s">
        <v>400</v>
      </c>
      <c r="E24" s="21">
        <v>148000</v>
      </c>
      <c r="F24" s="8">
        <v>30000</v>
      </c>
      <c r="G24" s="8">
        <v>134000</v>
      </c>
      <c r="H24" s="8">
        <v>1000000</v>
      </c>
      <c r="I24" s="8" t="s">
        <v>537</v>
      </c>
      <c r="J24" s="8">
        <v>100000</v>
      </c>
      <c r="K24" s="8" t="s">
        <v>521</v>
      </c>
    </row>
    <row r="25" spans="1:11" ht="19" x14ac:dyDescent="0.2">
      <c r="A25" s="56"/>
      <c r="B25" s="10"/>
      <c r="C25" s="16"/>
      <c r="D25" s="12"/>
      <c r="E25" s="15"/>
      <c r="F25" s="13"/>
      <c r="G25" s="13"/>
      <c r="H25" s="13"/>
      <c r="I25" s="13"/>
      <c r="J25" s="13">
        <v>40000</v>
      </c>
      <c r="K25" s="13" t="s">
        <v>522</v>
      </c>
    </row>
    <row r="26" spans="1:11" ht="19" x14ac:dyDescent="0.2">
      <c r="A26" s="55">
        <v>746000</v>
      </c>
      <c r="B26" s="18">
        <v>45727</v>
      </c>
      <c r="C26" s="19" t="s">
        <v>16</v>
      </c>
      <c r="D26" s="20" t="s">
        <v>400</v>
      </c>
      <c r="E26" s="21">
        <v>348000</v>
      </c>
      <c r="F26" s="8">
        <v>103000</v>
      </c>
      <c r="G26" s="8">
        <v>295000</v>
      </c>
      <c r="H26" s="8"/>
      <c r="I26" s="8"/>
      <c r="J26" s="8"/>
      <c r="K26" s="8"/>
    </row>
    <row r="27" spans="1:11" ht="19" x14ac:dyDescent="0.2">
      <c r="A27" s="56">
        <v>718000</v>
      </c>
      <c r="B27" s="10">
        <v>45728</v>
      </c>
      <c r="C27" s="16" t="s">
        <v>16</v>
      </c>
      <c r="D27" s="12" t="s">
        <v>400</v>
      </c>
      <c r="E27" s="15">
        <v>460000</v>
      </c>
      <c r="F27" s="13">
        <v>0</v>
      </c>
      <c r="G27" s="13">
        <v>258000</v>
      </c>
      <c r="H27" s="13"/>
      <c r="I27" s="13"/>
      <c r="J27" s="13">
        <v>60000</v>
      </c>
      <c r="K27" s="13" t="s">
        <v>208</v>
      </c>
    </row>
    <row r="28" spans="1:11" ht="19" x14ac:dyDescent="0.2">
      <c r="A28" s="55">
        <v>737000</v>
      </c>
      <c r="B28" s="18">
        <v>45729</v>
      </c>
      <c r="C28" s="19" t="s">
        <v>16</v>
      </c>
      <c r="D28" s="20" t="s">
        <v>400</v>
      </c>
      <c r="E28" s="21">
        <v>342000</v>
      </c>
      <c r="F28" s="8">
        <v>147000</v>
      </c>
      <c r="G28" s="8">
        <v>248000</v>
      </c>
      <c r="H28" s="8">
        <v>100000</v>
      </c>
      <c r="I28" s="8" t="s">
        <v>523</v>
      </c>
      <c r="J28" s="1"/>
      <c r="K28" s="1"/>
    </row>
    <row r="29" spans="1:11" ht="19" x14ac:dyDescent="0.2">
      <c r="A29" s="56">
        <v>932000</v>
      </c>
      <c r="B29" s="10">
        <v>45730</v>
      </c>
      <c r="C29" s="14" t="s">
        <v>16</v>
      </c>
      <c r="D29" s="12" t="s">
        <v>400</v>
      </c>
      <c r="E29" s="15">
        <v>591000</v>
      </c>
      <c r="F29" s="13">
        <v>115000</v>
      </c>
      <c r="G29" s="13">
        <v>226000</v>
      </c>
      <c r="H29" s="13"/>
      <c r="I29" s="13"/>
      <c r="J29" s="13">
        <v>144000</v>
      </c>
      <c r="K29" s="13" t="s">
        <v>19</v>
      </c>
    </row>
    <row r="30" spans="1:11" ht="19" x14ac:dyDescent="0.2">
      <c r="A30" s="55">
        <v>539000</v>
      </c>
      <c r="B30" s="18">
        <v>45731</v>
      </c>
      <c r="C30" s="22" t="s">
        <v>16</v>
      </c>
      <c r="D30" s="20" t="s">
        <v>346</v>
      </c>
      <c r="E30" s="21">
        <v>172000</v>
      </c>
      <c r="F30" s="8">
        <v>15000</v>
      </c>
      <c r="G30" s="8">
        <v>352000</v>
      </c>
      <c r="H30" s="8">
        <v>200000</v>
      </c>
      <c r="I30" s="8" t="s">
        <v>524</v>
      </c>
      <c r="J30" s="8"/>
      <c r="K30" s="8"/>
    </row>
    <row r="31" spans="1:11" ht="19" x14ac:dyDescent="0.2">
      <c r="A31" s="56"/>
      <c r="B31" s="10">
        <v>45732</v>
      </c>
      <c r="C31" s="14"/>
      <c r="D31" s="12"/>
      <c r="E31" s="15" t="s">
        <v>125</v>
      </c>
      <c r="F31" s="13"/>
      <c r="G31" s="13"/>
      <c r="H31" s="13">
        <v>1575000</v>
      </c>
      <c r="I31" s="13" t="s">
        <v>525</v>
      </c>
      <c r="J31" s="13"/>
      <c r="K31" s="13"/>
    </row>
    <row r="32" spans="1:11" ht="19" x14ac:dyDescent="0.2">
      <c r="A32" s="53">
        <v>921000</v>
      </c>
      <c r="B32" s="18">
        <v>45733</v>
      </c>
      <c r="C32" s="22" t="s">
        <v>16</v>
      </c>
      <c r="D32" s="20" t="s">
        <v>400</v>
      </c>
      <c r="E32" s="21">
        <v>647000</v>
      </c>
      <c r="F32" s="8">
        <v>125000</v>
      </c>
      <c r="G32" s="8">
        <v>149000</v>
      </c>
      <c r="H32" s="1"/>
      <c r="I32" s="1"/>
      <c r="J32" s="8">
        <v>26000</v>
      </c>
      <c r="K32" s="8" t="s">
        <v>208</v>
      </c>
    </row>
    <row r="33" spans="1:11" ht="19" x14ac:dyDescent="0.2">
      <c r="A33" s="54">
        <v>659000</v>
      </c>
      <c r="B33" s="10">
        <v>45734</v>
      </c>
      <c r="C33" s="14" t="s">
        <v>16</v>
      </c>
      <c r="D33" s="12" t="s">
        <v>400</v>
      </c>
      <c r="E33" s="15">
        <v>239000</v>
      </c>
      <c r="F33" s="13">
        <v>117000</v>
      </c>
      <c r="G33" s="13">
        <v>303000</v>
      </c>
      <c r="H33" s="13">
        <v>7256000</v>
      </c>
      <c r="I33" s="13" t="s">
        <v>538</v>
      </c>
      <c r="J33" s="13">
        <v>17000</v>
      </c>
      <c r="K33" s="13" t="s">
        <v>55</v>
      </c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>
        <v>67000</v>
      </c>
      <c r="K34" s="8" t="s">
        <v>176</v>
      </c>
    </row>
    <row r="35" spans="1:11" ht="19" x14ac:dyDescent="0.2">
      <c r="A35" s="54"/>
      <c r="B35" s="10"/>
      <c r="C35" s="14"/>
      <c r="D35" s="12"/>
      <c r="E35" s="15"/>
      <c r="F35" s="13"/>
      <c r="G35" s="13"/>
      <c r="H35" s="13"/>
      <c r="I35" s="13"/>
      <c r="J35" s="13">
        <v>119000</v>
      </c>
      <c r="K35" s="13" t="s">
        <v>342</v>
      </c>
    </row>
    <row r="36" spans="1:11" ht="19" x14ac:dyDescent="0.2">
      <c r="A36" s="55"/>
      <c r="B36" s="18"/>
      <c r="C36" s="22"/>
      <c r="D36" s="20"/>
      <c r="E36" s="21"/>
      <c r="F36" s="8"/>
      <c r="G36" s="8"/>
      <c r="H36" s="8"/>
      <c r="I36" s="8"/>
      <c r="J36" s="8">
        <v>9000</v>
      </c>
      <c r="K36" s="81" t="s">
        <v>526</v>
      </c>
    </row>
    <row r="37" spans="1:11" ht="19" x14ac:dyDescent="0.2">
      <c r="A37" s="56"/>
      <c r="B37" s="10"/>
      <c r="C37" s="14"/>
      <c r="D37" s="12"/>
      <c r="E37" s="15"/>
      <c r="F37" s="13"/>
      <c r="G37" s="13"/>
      <c r="H37" s="13"/>
      <c r="I37" s="13"/>
      <c r="J37" s="13">
        <v>25000</v>
      </c>
      <c r="K37" s="13" t="s">
        <v>368</v>
      </c>
    </row>
    <row r="38" spans="1:11" ht="19" x14ac:dyDescent="0.2">
      <c r="A38" s="55"/>
      <c r="B38" s="18"/>
      <c r="C38" s="22"/>
      <c r="D38" s="20"/>
      <c r="E38" s="21"/>
      <c r="F38" s="8"/>
      <c r="G38" s="8"/>
      <c r="H38" s="1"/>
      <c r="I38" s="1"/>
      <c r="J38" s="8">
        <v>41000</v>
      </c>
      <c r="K38" s="8" t="s">
        <v>527</v>
      </c>
    </row>
    <row r="39" spans="1:11" ht="19" x14ac:dyDescent="0.2">
      <c r="A39" s="56">
        <v>856000</v>
      </c>
      <c r="B39" s="10">
        <v>45735</v>
      </c>
      <c r="C39" s="14" t="s">
        <v>16</v>
      </c>
      <c r="D39" s="12" t="s">
        <v>400</v>
      </c>
      <c r="E39" s="15">
        <v>342000</v>
      </c>
      <c r="F39" s="13">
        <v>91000</v>
      </c>
      <c r="G39" s="13">
        <v>423000</v>
      </c>
      <c r="H39" s="13"/>
      <c r="I39" s="13"/>
      <c r="J39" s="13">
        <v>30000</v>
      </c>
      <c r="K39" s="13" t="s">
        <v>208</v>
      </c>
    </row>
    <row r="40" spans="1:11" ht="19" x14ac:dyDescent="0.2">
      <c r="A40" s="55"/>
      <c r="B40" s="4"/>
      <c r="C40" s="5"/>
      <c r="D40" s="2"/>
      <c r="E40" s="3"/>
      <c r="F40" s="1"/>
      <c r="G40" s="1"/>
      <c r="H40" s="1"/>
      <c r="I40" s="1"/>
      <c r="J40" s="8">
        <v>150000</v>
      </c>
      <c r="K40" s="1" t="s">
        <v>528</v>
      </c>
    </row>
    <row r="41" spans="1:11" ht="19" x14ac:dyDescent="0.2">
      <c r="A41" s="56">
        <v>827000</v>
      </c>
      <c r="B41" s="10">
        <v>45736</v>
      </c>
      <c r="C41" s="14" t="s">
        <v>16</v>
      </c>
      <c r="D41" s="12" t="s">
        <v>529</v>
      </c>
      <c r="E41" s="15">
        <v>257000</v>
      </c>
      <c r="F41" s="13">
        <v>118000</v>
      </c>
      <c r="G41" s="13">
        <v>452000</v>
      </c>
      <c r="H41" s="13"/>
      <c r="I41" s="13"/>
      <c r="J41" s="13">
        <v>28000</v>
      </c>
      <c r="K41" s="13" t="s">
        <v>208</v>
      </c>
    </row>
    <row r="42" spans="1:11" ht="19" x14ac:dyDescent="0.2">
      <c r="A42" s="55"/>
      <c r="B42" s="4">
        <v>45737</v>
      </c>
      <c r="C42" s="5"/>
      <c r="D42" s="2"/>
      <c r="E42" s="3" t="s">
        <v>125</v>
      </c>
      <c r="F42" s="1"/>
      <c r="G42" s="1"/>
      <c r="H42" s="1"/>
      <c r="I42" s="105"/>
      <c r="J42" s="8"/>
      <c r="K42" s="1"/>
    </row>
    <row r="43" spans="1:11" ht="19" x14ac:dyDescent="0.2">
      <c r="A43" s="56">
        <v>226000</v>
      </c>
      <c r="B43" s="10">
        <v>45738</v>
      </c>
      <c r="C43" s="14" t="s">
        <v>16</v>
      </c>
      <c r="D43" s="12" t="s">
        <v>530</v>
      </c>
      <c r="E43" s="15">
        <v>50000</v>
      </c>
      <c r="F43" s="13">
        <v>0</v>
      </c>
      <c r="G43" s="13">
        <v>176000</v>
      </c>
      <c r="H43" s="13"/>
      <c r="I43" s="13"/>
      <c r="J43" s="45">
        <v>200000</v>
      </c>
      <c r="K43" s="45" t="s">
        <v>21</v>
      </c>
    </row>
    <row r="44" spans="1:11" ht="19" x14ac:dyDescent="0.2">
      <c r="A44" s="59"/>
      <c r="B44" s="47">
        <v>45739</v>
      </c>
      <c r="C44" s="51"/>
      <c r="D44" s="48"/>
      <c r="E44" s="49" t="s">
        <v>125</v>
      </c>
      <c r="F44" s="50"/>
      <c r="G44" s="50"/>
      <c r="H44" s="50"/>
      <c r="I44" s="50"/>
      <c r="J44" s="50"/>
      <c r="K44" s="50"/>
    </row>
    <row r="45" spans="1:11" ht="19" x14ac:dyDescent="0.2">
      <c r="A45" s="58">
        <v>1166000</v>
      </c>
      <c r="B45" s="43">
        <v>45740</v>
      </c>
      <c r="C45" s="46" t="s">
        <v>16</v>
      </c>
      <c r="D45" s="44" t="s">
        <v>530</v>
      </c>
      <c r="E45" s="15">
        <v>282000</v>
      </c>
      <c r="F45" s="13">
        <v>429000</v>
      </c>
      <c r="G45" s="13">
        <v>455000</v>
      </c>
      <c r="H45" s="45"/>
      <c r="I45" s="45"/>
      <c r="J45" s="45">
        <v>33000</v>
      </c>
      <c r="K45" s="45" t="s">
        <v>531</v>
      </c>
    </row>
    <row r="46" spans="1:11" ht="19" x14ac:dyDescent="0.2">
      <c r="A46" s="57"/>
      <c r="B46" s="47"/>
      <c r="C46" s="51"/>
      <c r="D46" s="48"/>
      <c r="E46" s="49"/>
      <c r="F46" s="50"/>
      <c r="G46" s="50"/>
      <c r="H46" s="50"/>
      <c r="I46" s="50"/>
      <c r="J46" s="50">
        <v>27000</v>
      </c>
      <c r="K46" s="50" t="s">
        <v>343</v>
      </c>
    </row>
    <row r="47" spans="1:11" ht="19" x14ac:dyDescent="0.2">
      <c r="A47" s="61">
        <v>862000</v>
      </c>
      <c r="B47" s="43">
        <v>45741</v>
      </c>
      <c r="C47" s="46" t="s">
        <v>16</v>
      </c>
      <c r="D47" s="44" t="s">
        <v>530</v>
      </c>
      <c r="E47" s="62">
        <v>450000</v>
      </c>
      <c r="F47" s="45">
        <v>125000</v>
      </c>
      <c r="G47" s="45">
        <v>287000</v>
      </c>
      <c r="H47" s="45"/>
      <c r="I47" s="45"/>
      <c r="J47" s="45">
        <v>90000</v>
      </c>
      <c r="K47" s="45" t="s">
        <v>532</v>
      </c>
    </row>
    <row r="48" spans="1:11" ht="19" x14ac:dyDescent="0.2">
      <c r="A48" s="57">
        <v>697000</v>
      </c>
      <c r="B48" s="47">
        <v>45742</v>
      </c>
      <c r="C48" s="51" t="s">
        <v>16</v>
      </c>
      <c r="D48" s="48" t="s">
        <v>530</v>
      </c>
      <c r="E48" s="49">
        <v>305000</v>
      </c>
      <c r="F48" s="50">
        <v>43000</v>
      </c>
      <c r="G48" s="50">
        <v>349000</v>
      </c>
      <c r="H48" s="50"/>
      <c r="I48" s="50"/>
      <c r="J48" s="50">
        <v>200000</v>
      </c>
      <c r="K48" s="50" t="s">
        <v>21</v>
      </c>
    </row>
    <row r="49" spans="1:11" ht="19" x14ac:dyDescent="0.2">
      <c r="A49" s="61">
        <v>640000</v>
      </c>
      <c r="B49" s="43">
        <v>45743</v>
      </c>
      <c r="C49" s="46" t="s">
        <v>16</v>
      </c>
      <c r="D49" s="44" t="s">
        <v>530</v>
      </c>
      <c r="E49" s="62">
        <v>335000</v>
      </c>
      <c r="F49" s="45">
        <v>71000</v>
      </c>
      <c r="G49" s="45">
        <v>234000</v>
      </c>
      <c r="H49" s="45"/>
      <c r="I49" s="45"/>
      <c r="J49" s="45">
        <v>45000</v>
      </c>
      <c r="K49" s="45" t="s">
        <v>500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17000</v>
      </c>
      <c r="K50" s="50" t="s">
        <v>83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126000</v>
      </c>
      <c r="K51" s="45" t="s">
        <v>533</v>
      </c>
    </row>
    <row r="52" spans="1:11" ht="19" x14ac:dyDescent="0.2">
      <c r="A52" s="57">
        <v>758000</v>
      </c>
      <c r="B52" s="47">
        <v>45744</v>
      </c>
      <c r="C52" s="51" t="s">
        <v>16</v>
      </c>
      <c r="D52" s="48" t="s">
        <v>530</v>
      </c>
      <c r="E52" s="49">
        <v>464000</v>
      </c>
      <c r="F52" s="50">
        <v>33000</v>
      </c>
      <c r="G52" s="50">
        <v>261000</v>
      </c>
      <c r="H52" s="50"/>
      <c r="I52" s="50"/>
      <c r="J52" s="50">
        <v>40000</v>
      </c>
      <c r="K52" s="50" t="s">
        <v>208</v>
      </c>
    </row>
    <row r="53" spans="1:11" ht="19" x14ac:dyDescent="0.2">
      <c r="A53" s="61">
        <v>603000</v>
      </c>
      <c r="B53" s="43">
        <v>45745</v>
      </c>
      <c r="C53" s="46" t="s">
        <v>16</v>
      </c>
      <c r="D53" s="44" t="s">
        <v>346</v>
      </c>
      <c r="E53" s="62">
        <v>453000</v>
      </c>
      <c r="F53" s="45">
        <v>0</v>
      </c>
      <c r="G53" s="45">
        <v>150000</v>
      </c>
      <c r="H53" s="45"/>
      <c r="I53" s="45"/>
      <c r="J53" s="45">
        <v>25000</v>
      </c>
      <c r="K53" s="45" t="s">
        <v>208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>
        <v>200000</v>
      </c>
      <c r="I54" s="50" t="s">
        <v>534</v>
      </c>
      <c r="J54" s="50">
        <v>240000</v>
      </c>
      <c r="K54" s="63" t="s">
        <v>480</v>
      </c>
    </row>
    <row r="55" spans="1:11" ht="19" x14ac:dyDescent="0.2">
      <c r="A55" s="61"/>
      <c r="B55" s="43">
        <v>45746</v>
      </c>
      <c r="C55" s="46"/>
      <c r="D55" s="44"/>
      <c r="E55" s="62" t="s">
        <v>125</v>
      </c>
      <c r="F55" s="45"/>
      <c r="G55" s="45"/>
      <c r="H55" s="45">
        <v>600000</v>
      </c>
      <c r="I55" s="45" t="s">
        <v>535</v>
      </c>
      <c r="J55" s="45">
        <v>160000</v>
      </c>
      <c r="K55" s="45" t="s">
        <v>27</v>
      </c>
    </row>
    <row r="56" spans="1:11" ht="19" x14ac:dyDescent="0.2">
      <c r="A56" s="57"/>
      <c r="B56" s="47">
        <v>45747</v>
      </c>
      <c r="C56" s="51"/>
      <c r="D56" s="48"/>
      <c r="E56" s="49" t="s">
        <v>125</v>
      </c>
      <c r="F56" s="50"/>
      <c r="G56" s="50"/>
      <c r="H56" s="50">
        <v>1032000</v>
      </c>
      <c r="I56" s="50" t="s">
        <v>536</v>
      </c>
      <c r="J56" s="50"/>
      <c r="K56" s="50"/>
    </row>
    <row r="57" spans="1:11" ht="19" x14ac:dyDescent="0.2">
      <c r="A57" s="61"/>
      <c r="B57" s="43"/>
      <c r="C57" s="46"/>
      <c r="D57" s="44"/>
      <c r="E57" s="62"/>
      <c r="F57" s="45"/>
      <c r="G57" s="45"/>
      <c r="H57" s="45"/>
      <c r="I57" s="45"/>
      <c r="J57" s="45"/>
      <c r="K57" s="45"/>
    </row>
    <row r="58" spans="1:11" ht="19" x14ac:dyDescent="0.2">
      <c r="A58" s="57"/>
      <c r="B58" s="47"/>
      <c r="C58" s="51"/>
      <c r="D58" s="48"/>
      <c r="E58" s="49"/>
      <c r="F58" s="50"/>
      <c r="G58" s="50"/>
      <c r="H58" s="50">
        <v>2884000</v>
      </c>
      <c r="I58" s="50" t="s">
        <v>46</v>
      </c>
      <c r="J58" s="50"/>
      <c r="K58" s="50"/>
    </row>
    <row r="59" spans="1:11" ht="19" x14ac:dyDescent="0.2">
      <c r="A59" s="61"/>
      <c r="B59" s="43"/>
      <c r="C59" s="46"/>
      <c r="D59" s="44"/>
      <c r="E59" s="62"/>
      <c r="F59" s="45"/>
      <c r="G59" s="45"/>
      <c r="H59" s="45"/>
      <c r="I59" s="45"/>
      <c r="J59" s="45"/>
      <c r="K59" s="4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K76"/>
  <sheetViews>
    <sheetView topLeftCell="A2" workbookViewId="0">
      <selection activeCell="B7" sqref="B7"/>
    </sheetView>
  </sheetViews>
  <sheetFormatPr baseColWidth="10" defaultColWidth="11.5" defaultRowHeight="15" x14ac:dyDescent="0.2"/>
  <cols>
    <col min="1" max="1" width="23.1640625" customWidth="1"/>
    <col min="2" max="2" width="13.6640625" customWidth="1"/>
    <col min="3" max="3" width="13.33203125" bestFit="1" customWidth="1"/>
    <col min="5" max="5" width="20.33203125" bestFit="1" customWidth="1"/>
    <col min="6" max="6" width="26.5" customWidth="1"/>
    <col min="7" max="7" width="20.33203125" bestFit="1" customWidth="1"/>
    <col min="8" max="8" width="23" customWidth="1"/>
    <col min="9" max="9" width="24.83203125" bestFit="1" customWidth="1"/>
    <col min="10" max="10" width="19" bestFit="1" customWidth="1"/>
    <col min="11" max="11" width="36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568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4281942</v>
      </c>
      <c r="K6" s="30" t="s">
        <v>572</v>
      </c>
    </row>
    <row r="7" spans="1:11" ht="26" x14ac:dyDescent="0.3">
      <c r="B7" s="32" t="s">
        <v>571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SUM(A11:A497)</f>
        <v>27359000</v>
      </c>
      <c r="B10" s="39"/>
      <c r="C10" s="40" t="s">
        <v>15</v>
      </c>
      <c r="D10" s="41"/>
      <c r="E10" s="42">
        <f>SUM(E11:E497)</f>
        <v>12331000</v>
      </c>
      <c r="F10" s="38">
        <f>SUM(F11:F497)</f>
        <v>4654000</v>
      </c>
      <c r="G10" s="38">
        <f>SUM(G11:G492)</f>
        <v>10374000</v>
      </c>
      <c r="H10" s="38">
        <f>SUM(H11:H497)</f>
        <v>12634000</v>
      </c>
      <c r="I10" s="38"/>
      <c r="J10" s="38">
        <f>SUM(J11:J497)</f>
        <v>4426000</v>
      </c>
      <c r="K10" s="38"/>
    </row>
    <row r="11" spans="1:11" ht="21" x14ac:dyDescent="0.2">
      <c r="A11" s="96">
        <v>711000</v>
      </c>
      <c r="B11" s="97">
        <v>45748</v>
      </c>
      <c r="C11" s="98" t="s">
        <v>16</v>
      </c>
      <c r="D11" s="99" t="s">
        <v>136</v>
      </c>
      <c r="E11" s="13">
        <v>311000</v>
      </c>
      <c r="F11" s="13">
        <v>172000</v>
      </c>
      <c r="G11" s="13">
        <v>228000</v>
      </c>
      <c r="H11" s="13"/>
      <c r="I11" s="13"/>
      <c r="J11" s="13">
        <v>30000</v>
      </c>
      <c r="K11" s="13" t="s">
        <v>208</v>
      </c>
    </row>
    <row r="12" spans="1:11" ht="19" x14ac:dyDescent="0.2">
      <c r="A12" s="53">
        <v>971000</v>
      </c>
      <c r="B12" s="4">
        <v>45749</v>
      </c>
      <c r="C12" s="5" t="s">
        <v>16</v>
      </c>
      <c r="D12" s="2" t="s">
        <v>530</v>
      </c>
      <c r="E12" s="1">
        <v>612000</v>
      </c>
      <c r="F12" s="1">
        <v>232000</v>
      </c>
      <c r="G12" s="1">
        <v>127000</v>
      </c>
      <c r="H12" s="1"/>
      <c r="I12" s="1"/>
      <c r="J12" s="1"/>
      <c r="K12" s="1"/>
    </row>
    <row r="13" spans="1:11" ht="19" x14ac:dyDescent="0.2">
      <c r="A13" s="54">
        <v>970000</v>
      </c>
      <c r="B13" s="10">
        <v>45750</v>
      </c>
      <c r="C13" s="14" t="s">
        <v>16</v>
      </c>
      <c r="D13" s="12" t="s">
        <v>530</v>
      </c>
      <c r="E13" s="15">
        <v>576000</v>
      </c>
      <c r="F13" s="13">
        <v>26000</v>
      </c>
      <c r="G13" s="13">
        <v>368000</v>
      </c>
      <c r="H13" s="13"/>
      <c r="I13" s="13"/>
      <c r="J13" s="13">
        <v>15000</v>
      </c>
      <c r="K13" s="13" t="s">
        <v>541</v>
      </c>
    </row>
    <row r="14" spans="1:11" ht="19" x14ac:dyDescent="0.2">
      <c r="A14" s="53"/>
      <c r="B14" s="4"/>
      <c r="C14" s="5"/>
      <c r="D14" s="2"/>
      <c r="E14" s="3"/>
      <c r="F14" s="1"/>
      <c r="G14" s="1"/>
      <c r="H14" s="1"/>
      <c r="I14" s="1"/>
      <c r="J14" s="1">
        <v>30000</v>
      </c>
      <c r="K14" s="1" t="s">
        <v>122</v>
      </c>
    </row>
    <row r="15" spans="1:11" ht="19" x14ac:dyDescent="0.2">
      <c r="A15" s="54"/>
      <c r="B15" s="10"/>
      <c r="C15" s="14"/>
      <c r="D15" s="12"/>
      <c r="E15" s="15"/>
      <c r="F15" s="13"/>
      <c r="G15" s="13"/>
      <c r="H15" s="13"/>
      <c r="I15" s="13"/>
      <c r="J15" s="13">
        <v>50000</v>
      </c>
      <c r="K15" s="13" t="s">
        <v>333</v>
      </c>
    </row>
    <row r="16" spans="1:11" ht="19" x14ac:dyDescent="0.2">
      <c r="A16" s="55">
        <v>1228000</v>
      </c>
      <c r="B16" s="18">
        <v>45751</v>
      </c>
      <c r="C16" s="19" t="s">
        <v>16</v>
      </c>
      <c r="D16" s="20" t="s">
        <v>530</v>
      </c>
      <c r="E16" s="21">
        <v>569000</v>
      </c>
      <c r="F16" s="8">
        <v>307000</v>
      </c>
      <c r="G16" s="8">
        <v>352000</v>
      </c>
      <c r="H16" s="23"/>
      <c r="I16" s="23"/>
      <c r="J16" s="8">
        <v>47000</v>
      </c>
      <c r="K16" s="8" t="s">
        <v>40</v>
      </c>
    </row>
    <row r="17" spans="1:11" ht="19" x14ac:dyDescent="0.2">
      <c r="A17" s="56">
        <v>638000</v>
      </c>
      <c r="B17" s="10">
        <v>45752</v>
      </c>
      <c r="C17" s="16" t="s">
        <v>16</v>
      </c>
      <c r="D17" s="12" t="s">
        <v>346</v>
      </c>
      <c r="E17" s="15">
        <v>286000</v>
      </c>
      <c r="F17" s="13">
        <v>22000</v>
      </c>
      <c r="G17" s="13">
        <v>330000</v>
      </c>
      <c r="H17" s="17"/>
      <c r="I17" s="17"/>
      <c r="J17" s="13">
        <v>126000</v>
      </c>
      <c r="K17" s="13" t="s">
        <v>100</v>
      </c>
    </row>
    <row r="18" spans="1:11" ht="19" x14ac:dyDescent="0.2">
      <c r="A18" s="55"/>
      <c r="B18" s="18">
        <v>45753</v>
      </c>
      <c r="C18" s="19" t="s">
        <v>16</v>
      </c>
      <c r="D18" s="20"/>
      <c r="E18" s="21" t="s">
        <v>125</v>
      </c>
      <c r="F18" s="8"/>
      <c r="G18" s="8"/>
      <c r="H18" s="23"/>
      <c r="I18" s="23"/>
      <c r="J18" s="8">
        <v>195000</v>
      </c>
      <c r="K18" s="8" t="s">
        <v>542</v>
      </c>
    </row>
    <row r="19" spans="1:11" ht="19" x14ac:dyDescent="0.2">
      <c r="A19" s="56">
        <v>1186000</v>
      </c>
      <c r="B19" s="10">
        <v>45754</v>
      </c>
      <c r="C19" s="16" t="s">
        <v>16</v>
      </c>
      <c r="D19" s="12" t="s">
        <v>530</v>
      </c>
      <c r="E19" s="15">
        <v>427000</v>
      </c>
      <c r="F19" s="13">
        <v>382000</v>
      </c>
      <c r="G19" s="13">
        <v>377000</v>
      </c>
      <c r="H19" s="17"/>
      <c r="I19" s="17"/>
      <c r="J19" s="13">
        <v>9000</v>
      </c>
      <c r="K19" s="13" t="s">
        <v>543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47000</v>
      </c>
      <c r="K20" s="8" t="s">
        <v>544</v>
      </c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>
        <v>24000</v>
      </c>
      <c r="K21" s="13" t="s">
        <v>368</v>
      </c>
    </row>
    <row r="22" spans="1:11" ht="19" x14ac:dyDescent="0.2">
      <c r="A22" s="55"/>
      <c r="B22" s="18"/>
      <c r="C22" s="19"/>
      <c r="D22" s="20"/>
      <c r="E22" s="21"/>
      <c r="F22" s="8"/>
      <c r="G22" s="8"/>
      <c r="H22" s="23"/>
      <c r="I22" s="23"/>
      <c r="J22" s="8">
        <v>35000</v>
      </c>
      <c r="K22" s="8" t="s">
        <v>208</v>
      </c>
    </row>
    <row r="23" spans="1:11" ht="19" x14ac:dyDescent="0.2">
      <c r="A23" s="56"/>
      <c r="B23" s="10"/>
      <c r="C23" s="15"/>
      <c r="D23" s="12"/>
      <c r="E23" s="15"/>
      <c r="F23" s="13"/>
      <c r="G23" s="13"/>
      <c r="H23" s="17"/>
      <c r="I23" s="17"/>
      <c r="J23" s="13">
        <v>200000</v>
      </c>
      <c r="K23" s="13" t="s">
        <v>21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45000</v>
      </c>
      <c r="K24" s="8" t="s">
        <v>496</v>
      </c>
    </row>
    <row r="25" spans="1:11" ht="19" x14ac:dyDescent="0.2">
      <c r="A25" s="56">
        <v>798000</v>
      </c>
      <c r="B25" s="10">
        <v>45755</v>
      </c>
      <c r="C25" s="15" t="s">
        <v>16</v>
      </c>
      <c r="D25" s="12" t="s">
        <v>530</v>
      </c>
      <c r="E25" s="15">
        <v>390000</v>
      </c>
      <c r="F25" s="13">
        <v>76000</v>
      </c>
      <c r="G25" s="13">
        <v>332000</v>
      </c>
      <c r="H25" s="13"/>
      <c r="I25" s="13"/>
      <c r="J25" s="13">
        <v>99000</v>
      </c>
      <c r="K25" s="13" t="s">
        <v>393</v>
      </c>
    </row>
    <row r="26" spans="1:11" ht="19" x14ac:dyDescent="0.2">
      <c r="A26" s="55"/>
      <c r="B26" s="18"/>
      <c r="C26" s="19"/>
      <c r="D26" s="20"/>
      <c r="E26" s="21"/>
      <c r="F26" s="8"/>
      <c r="G26" s="8"/>
      <c r="H26" s="8"/>
      <c r="I26" s="8"/>
      <c r="J26" s="8">
        <v>72000</v>
      </c>
      <c r="K26" s="8" t="s">
        <v>462</v>
      </c>
    </row>
    <row r="27" spans="1:11" ht="19" x14ac:dyDescent="0.2">
      <c r="A27" s="56"/>
      <c r="B27" s="10"/>
      <c r="C27" s="16"/>
      <c r="D27" s="12"/>
      <c r="E27" s="15"/>
      <c r="F27" s="13"/>
      <c r="G27" s="13"/>
      <c r="H27" s="13"/>
      <c r="I27" s="13"/>
      <c r="J27" s="13">
        <v>23000</v>
      </c>
      <c r="K27" s="13" t="s">
        <v>545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/>
      <c r="I28" s="8"/>
      <c r="J28" s="8">
        <v>180000</v>
      </c>
      <c r="K28" s="8" t="s">
        <v>326</v>
      </c>
    </row>
    <row r="29" spans="1:11" ht="19" x14ac:dyDescent="0.2">
      <c r="A29" s="56">
        <v>823000</v>
      </c>
      <c r="B29" s="10">
        <v>45756</v>
      </c>
      <c r="C29" s="16" t="s">
        <v>16</v>
      </c>
      <c r="D29" s="12" t="s">
        <v>530</v>
      </c>
      <c r="E29" s="15">
        <v>325000</v>
      </c>
      <c r="F29" s="13">
        <v>150000</v>
      </c>
      <c r="G29" s="13">
        <v>348000</v>
      </c>
      <c r="H29" s="13"/>
      <c r="I29" s="13"/>
      <c r="J29" s="13">
        <v>100000</v>
      </c>
      <c r="K29" s="13" t="s">
        <v>546</v>
      </c>
    </row>
    <row r="30" spans="1:11" ht="19" x14ac:dyDescent="0.2">
      <c r="A30" s="55"/>
      <c r="B30" s="18"/>
      <c r="C30" s="22"/>
      <c r="D30" s="20"/>
      <c r="E30" s="21"/>
      <c r="F30" s="8"/>
      <c r="G30" s="8"/>
      <c r="H30" s="8"/>
      <c r="I30" s="8"/>
      <c r="J30" s="8">
        <v>180000</v>
      </c>
      <c r="K30" s="8" t="s">
        <v>326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>
        <v>150000</v>
      </c>
      <c r="K31" s="13" t="s">
        <v>547</v>
      </c>
    </row>
    <row r="32" spans="1:11" ht="19" x14ac:dyDescent="0.2">
      <c r="A32" s="55">
        <v>1141000</v>
      </c>
      <c r="B32" s="18">
        <v>45757</v>
      </c>
      <c r="C32" s="22" t="s">
        <v>16</v>
      </c>
      <c r="D32" s="20" t="s">
        <v>530</v>
      </c>
      <c r="E32" s="21">
        <v>509000</v>
      </c>
      <c r="F32" s="8">
        <v>270000</v>
      </c>
      <c r="G32" s="8">
        <v>362000</v>
      </c>
      <c r="H32" s="8">
        <v>7274000</v>
      </c>
      <c r="I32" s="8" t="s">
        <v>569</v>
      </c>
      <c r="J32" s="8">
        <v>25000</v>
      </c>
      <c r="K32" s="8" t="s">
        <v>548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>
        <v>8000</v>
      </c>
      <c r="K33" s="13" t="s">
        <v>24</v>
      </c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>
        <v>20000</v>
      </c>
      <c r="K34" s="8" t="s">
        <v>208</v>
      </c>
    </row>
    <row r="35" spans="1:11" ht="19" x14ac:dyDescent="0.2">
      <c r="A35" s="54">
        <v>1591000</v>
      </c>
      <c r="B35" s="10">
        <v>45758</v>
      </c>
      <c r="C35" s="14" t="s">
        <v>16</v>
      </c>
      <c r="D35" s="12" t="s">
        <v>530</v>
      </c>
      <c r="E35" s="15">
        <v>753000</v>
      </c>
      <c r="F35" s="13">
        <v>287000</v>
      </c>
      <c r="G35" s="13">
        <v>551000</v>
      </c>
      <c r="H35" s="13"/>
      <c r="I35" s="13"/>
      <c r="J35" s="13">
        <v>140000</v>
      </c>
      <c r="K35" s="13" t="s">
        <v>342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>
        <v>36000</v>
      </c>
      <c r="K36" s="8" t="s">
        <v>549</v>
      </c>
    </row>
    <row r="37" spans="1:11" ht="19" x14ac:dyDescent="0.2">
      <c r="A37" s="56"/>
      <c r="B37" s="10"/>
      <c r="C37" s="14"/>
      <c r="D37" s="12"/>
      <c r="E37" s="15"/>
      <c r="F37" s="13"/>
      <c r="G37" s="13"/>
      <c r="H37" s="13"/>
      <c r="I37" s="13"/>
      <c r="J37" s="13">
        <v>36000</v>
      </c>
      <c r="K37" s="79" t="s">
        <v>40</v>
      </c>
    </row>
    <row r="38" spans="1:11" ht="19" x14ac:dyDescent="0.2">
      <c r="A38" s="55">
        <v>704000</v>
      </c>
      <c r="B38" s="18">
        <v>45759</v>
      </c>
      <c r="C38" s="22" t="s">
        <v>16</v>
      </c>
      <c r="D38" s="20" t="s">
        <v>346</v>
      </c>
      <c r="E38" s="21">
        <v>312000</v>
      </c>
      <c r="F38" s="8">
        <v>89000</v>
      </c>
      <c r="G38" s="8">
        <v>303000</v>
      </c>
      <c r="H38" s="8">
        <v>200000</v>
      </c>
      <c r="I38" s="8" t="s">
        <v>550</v>
      </c>
      <c r="J38" s="8"/>
      <c r="K38" s="8"/>
    </row>
    <row r="39" spans="1:11" ht="19" x14ac:dyDescent="0.2">
      <c r="A39" s="56"/>
      <c r="B39" s="10">
        <v>45760</v>
      </c>
      <c r="C39" s="14"/>
      <c r="D39" s="12"/>
      <c r="E39" s="15" t="s">
        <v>125</v>
      </c>
      <c r="F39" s="13"/>
      <c r="G39" s="13"/>
      <c r="H39" s="13"/>
      <c r="I39" s="13"/>
      <c r="J39" s="13"/>
      <c r="K39" s="13"/>
    </row>
    <row r="40" spans="1:11" ht="19" x14ac:dyDescent="0.2">
      <c r="A40" s="55">
        <v>922000</v>
      </c>
      <c r="B40" s="18">
        <v>45761</v>
      </c>
      <c r="C40" s="22" t="s">
        <v>16</v>
      </c>
      <c r="D40" s="20" t="s">
        <v>400</v>
      </c>
      <c r="E40" s="21">
        <v>371000</v>
      </c>
      <c r="F40" s="8">
        <v>190000</v>
      </c>
      <c r="G40" s="8">
        <v>361000</v>
      </c>
      <c r="H40" s="8"/>
      <c r="I40" s="8"/>
      <c r="J40" s="8">
        <v>28000</v>
      </c>
      <c r="K40" s="8" t="s">
        <v>208</v>
      </c>
    </row>
    <row r="41" spans="1:11" ht="19" x14ac:dyDescent="0.2">
      <c r="A41" s="56">
        <v>1345000</v>
      </c>
      <c r="B41" s="10">
        <v>45762</v>
      </c>
      <c r="C41" s="14" t="s">
        <v>16</v>
      </c>
      <c r="D41" s="12" t="s">
        <v>400</v>
      </c>
      <c r="E41" s="15">
        <v>490000</v>
      </c>
      <c r="F41" s="13">
        <v>384000</v>
      </c>
      <c r="G41" s="13">
        <v>471000</v>
      </c>
      <c r="H41" s="13">
        <v>1360000</v>
      </c>
      <c r="I41" s="13" t="s">
        <v>551</v>
      </c>
      <c r="J41" s="13">
        <v>44000</v>
      </c>
      <c r="K41" s="13" t="s">
        <v>552</v>
      </c>
    </row>
    <row r="42" spans="1:11" ht="19" x14ac:dyDescent="0.2">
      <c r="A42" s="55">
        <v>1352000</v>
      </c>
      <c r="B42" s="18">
        <v>45763</v>
      </c>
      <c r="C42" s="22" t="s">
        <v>16</v>
      </c>
      <c r="D42" s="20" t="s">
        <v>400</v>
      </c>
      <c r="E42" s="21">
        <v>665000</v>
      </c>
      <c r="F42" s="8">
        <v>145000</v>
      </c>
      <c r="G42" s="8">
        <v>542000</v>
      </c>
      <c r="H42" s="8">
        <v>400000</v>
      </c>
      <c r="I42" s="8" t="s">
        <v>553</v>
      </c>
      <c r="J42" s="8">
        <v>180000</v>
      </c>
      <c r="K42" s="8" t="s">
        <v>326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>
        <v>200000</v>
      </c>
      <c r="K43" s="13" t="s">
        <v>21</v>
      </c>
    </row>
    <row r="44" spans="1:11" ht="19" x14ac:dyDescent="0.2">
      <c r="A44" s="55"/>
      <c r="B44" s="18"/>
      <c r="C44" s="22"/>
      <c r="D44" s="20"/>
      <c r="E44" s="21"/>
      <c r="F44" s="8"/>
      <c r="G44" s="8"/>
      <c r="H44" s="8"/>
      <c r="I44" s="105"/>
      <c r="J44" s="8">
        <v>216000</v>
      </c>
      <c r="K44" s="8" t="s">
        <v>554</v>
      </c>
    </row>
    <row r="45" spans="1:11" ht="19" x14ac:dyDescent="0.2">
      <c r="A45" s="56">
        <v>913000</v>
      </c>
      <c r="B45" s="10">
        <v>45764</v>
      </c>
      <c r="C45" s="14" t="s">
        <v>16</v>
      </c>
      <c r="D45" s="12" t="s">
        <v>400</v>
      </c>
      <c r="E45" s="15">
        <v>324000</v>
      </c>
      <c r="F45" s="13">
        <v>0</v>
      </c>
      <c r="G45" s="13">
        <v>589000</v>
      </c>
      <c r="H45" s="13"/>
      <c r="I45" s="13"/>
      <c r="J45" s="45">
        <v>91000</v>
      </c>
      <c r="K45" s="45" t="s">
        <v>58</v>
      </c>
    </row>
    <row r="46" spans="1:11" ht="19" x14ac:dyDescent="0.2">
      <c r="A46" s="59">
        <v>1037000</v>
      </c>
      <c r="B46" s="47">
        <v>45765</v>
      </c>
      <c r="C46" s="51" t="s">
        <v>16</v>
      </c>
      <c r="D46" s="48" t="s">
        <v>400</v>
      </c>
      <c r="E46" s="49">
        <v>197000</v>
      </c>
      <c r="F46" s="50">
        <v>153000</v>
      </c>
      <c r="G46" s="50">
        <v>687000</v>
      </c>
      <c r="H46" s="50"/>
      <c r="I46" s="50"/>
      <c r="J46" s="50">
        <v>83000</v>
      </c>
      <c r="K46" s="50" t="s">
        <v>555</v>
      </c>
    </row>
    <row r="47" spans="1:11" ht="19" x14ac:dyDescent="0.2">
      <c r="A47" s="58"/>
      <c r="B47" s="43"/>
      <c r="C47" s="46"/>
      <c r="D47" s="44"/>
      <c r="E47" s="15"/>
      <c r="F47" s="13"/>
      <c r="G47" s="13"/>
      <c r="H47" s="45"/>
      <c r="I47" s="45"/>
      <c r="J47" s="45">
        <v>16000</v>
      </c>
      <c r="K47" s="45" t="s">
        <v>556</v>
      </c>
    </row>
    <row r="48" spans="1:11" ht="19" x14ac:dyDescent="0.2">
      <c r="A48" s="57"/>
      <c r="B48" s="47"/>
      <c r="C48" s="51"/>
      <c r="D48" s="48"/>
      <c r="E48" s="49"/>
      <c r="F48" s="50"/>
      <c r="G48" s="50"/>
      <c r="H48" s="50"/>
      <c r="I48" s="50"/>
      <c r="J48" s="50">
        <v>10000</v>
      </c>
      <c r="K48" s="50" t="s">
        <v>472</v>
      </c>
    </row>
    <row r="49" spans="1:11" ht="19" x14ac:dyDescent="0.2">
      <c r="A49" s="61"/>
      <c r="B49" s="43"/>
      <c r="C49" s="46"/>
      <c r="D49" s="44"/>
      <c r="E49" s="62"/>
      <c r="F49" s="45"/>
      <c r="G49" s="45"/>
      <c r="H49" s="45"/>
      <c r="I49" s="45"/>
      <c r="J49" s="45">
        <v>50000</v>
      </c>
      <c r="K49" s="45" t="s">
        <v>557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20000</v>
      </c>
      <c r="K50" s="50" t="s">
        <v>208</v>
      </c>
    </row>
    <row r="51" spans="1:11" ht="19" x14ac:dyDescent="0.2">
      <c r="A51" s="61">
        <v>812000</v>
      </c>
      <c r="B51" s="43">
        <v>45766</v>
      </c>
      <c r="C51" s="46" t="s">
        <v>16</v>
      </c>
      <c r="D51" s="44" t="s">
        <v>400</v>
      </c>
      <c r="E51" s="62">
        <v>433000</v>
      </c>
      <c r="F51" s="45">
        <v>0</v>
      </c>
      <c r="G51" s="45">
        <v>379000</v>
      </c>
      <c r="H51" s="45"/>
      <c r="I51" s="45"/>
      <c r="J51" s="45">
        <v>80000</v>
      </c>
      <c r="K51" s="45" t="s">
        <v>558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70000</v>
      </c>
      <c r="K52" s="50" t="s">
        <v>559</v>
      </c>
    </row>
    <row r="53" spans="1:11" ht="19" x14ac:dyDescent="0.2">
      <c r="A53" s="61"/>
      <c r="B53" s="43">
        <v>45767</v>
      </c>
      <c r="C53" s="46"/>
      <c r="D53" s="44"/>
      <c r="E53" s="62" t="s">
        <v>125</v>
      </c>
      <c r="F53" s="45"/>
      <c r="G53" s="45"/>
      <c r="H53" s="45"/>
      <c r="I53" s="45"/>
      <c r="J53" s="45">
        <v>54000</v>
      </c>
      <c r="K53" s="45" t="s">
        <v>375</v>
      </c>
    </row>
    <row r="54" spans="1:11" ht="19" x14ac:dyDescent="0.2">
      <c r="A54" s="57">
        <v>1160000</v>
      </c>
      <c r="B54" s="47">
        <v>45768</v>
      </c>
      <c r="C54" s="51" t="s">
        <v>16</v>
      </c>
      <c r="D54" s="48" t="s">
        <v>346</v>
      </c>
      <c r="E54" s="49">
        <v>668000</v>
      </c>
      <c r="F54" s="50">
        <v>114000</v>
      </c>
      <c r="G54" s="50">
        <v>378000</v>
      </c>
      <c r="H54" s="50"/>
      <c r="I54" s="50"/>
      <c r="J54" s="50">
        <v>24000</v>
      </c>
      <c r="K54" s="50" t="s">
        <v>368</v>
      </c>
    </row>
    <row r="55" spans="1:11" ht="19" x14ac:dyDescent="0.2">
      <c r="A55" s="61"/>
      <c r="B55" s="43"/>
      <c r="C55" s="46"/>
      <c r="D55" s="44"/>
      <c r="E55" s="62"/>
      <c r="F55" s="45"/>
      <c r="G55" s="45"/>
      <c r="H55" s="45">
        <v>100000</v>
      </c>
      <c r="I55" s="45" t="s">
        <v>560</v>
      </c>
      <c r="J55" s="45">
        <v>55000</v>
      </c>
      <c r="K55" s="45" t="s">
        <v>561</v>
      </c>
    </row>
    <row r="56" spans="1:11" ht="19" x14ac:dyDescent="0.2">
      <c r="A56" s="57">
        <v>1388000</v>
      </c>
      <c r="B56" s="47">
        <v>45769</v>
      </c>
      <c r="C56" s="51" t="s">
        <v>16</v>
      </c>
      <c r="D56" s="48" t="s">
        <v>400</v>
      </c>
      <c r="E56" s="49">
        <v>559000</v>
      </c>
      <c r="F56" s="50">
        <v>157000</v>
      </c>
      <c r="G56" s="50">
        <v>672000</v>
      </c>
      <c r="H56" s="50">
        <v>500000</v>
      </c>
      <c r="I56" s="50" t="s">
        <v>562</v>
      </c>
      <c r="J56" s="50">
        <v>19000</v>
      </c>
      <c r="K56" s="63" t="s">
        <v>541</v>
      </c>
    </row>
    <row r="57" spans="1:11" ht="19" x14ac:dyDescent="0.2">
      <c r="A57" s="61"/>
      <c r="B57" s="43"/>
      <c r="C57" s="46"/>
      <c r="D57" s="44"/>
      <c r="E57" s="62"/>
      <c r="F57" s="45"/>
      <c r="G57" s="45"/>
      <c r="H57" s="45"/>
      <c r="I57" s="45"/>
      <c r="J57" s="45">
        <v>200000</v>
      </c>
      <c r="K57" s="45" t="s">
        <v>21</v>
      </c>
    </row>
    <row r="58" spans="1:11" ht="19" x14ac:dyDescent="0.2">
      <c r="A58" s="57">
        <v>1285000</v>
      </c>
      <c r="B58" s="47">
        <v>45770</v>
      </c>
      <c r="C58" s="51" t="s">
        <v>16</v>
      </c>
      <c r="D58" s="48" t="s">
        <v>400</v>
      </c>
      <c r="E58" s="49">
        <v>636000</v>
      </c>
      <c r="F58" s="50">
        <v>154000</v>
      </c>
      <c r="G58" s="50">
        <v>495000</v>
      </c>
      <c r="H58" s="50"/>
      <c r="I58" s="50"/>
      <c r="J58" s="50">
        <v>12000</v>
      </c>
      <c r="K58" s="50" t="s">
        <v>570</v>
      </c>
    </row>
    <row r="59" spans="1:11" ht="19" x14ac:dyDescent="0.2">
      <c r="A59" s="61"/>
      <c r="B59" s="43"/>
      <c r="C59" s="46"/>
      <c r="D59" s="44"/>
      <c r="E59" s="62"/>
      <c r="F59" s="45"/>
      <c r="G59" s="45"/>
      <c r="H59" s="45"/>
      <c r="I59" s="45"/>
      <c r="J59" s="45">
        <v>216000</v>
      </c>
      <c r="K59" s="45" t="s">
        <v>354</v>
      </c>
    </row>
    <row r="60" spans="1:11" ht="19" x14ac:dyDescent="0.2">
      <c r="A60" s="57">
        <v>885000</v>
      </c>
      <c r="B60" s="47">
        <v>45771</v>
      </c>
      <c r="C60" s="51" t="s">
        <v>16</v>
      </c>
      <c r="D60" s="48" t="s">
        <v>400</v>
      </c>
      <c r="E60" s="49">
        <v>292000</v>
      </c>
      <c r="F60" s="50">
        <v>173000</v>
      </c>
      <c r="G60" s="50">
        <v>420000</v>
      </c>
      <c r="H60" s="50"/>
      <c r="I60" s="50"/>
      <c r="J60" s="50">
        <v>10000</v>
      </c>
      <c r="K60" s="50" t="s">
        <v>563</v>
      </c>
    </row>
    <row r="61" spans="1:11" ht="19" x14ac:dyDescent="0.2">
      <c r="A61" s="61"/>
      <c r="B61" s="43"/>
      <c r="C61" s="46"/>
      <c r="D61" s="44"/>
      <c r="E61" s="62"/>
      <c r="F61" s="45"/>
      <c r="G61" s="45"/>
      <c r="H61" s="45"/>
      <c r="I61" s="45"/>
      <c r="J61" s="45">
        <v>198000</v>
      </c>
      <c r="K61" s="45" t="s">
        <v>347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240000</v>
      </c>
      <c r="K62" s="50" t="s">
        <v>480</v>
      </c>
    </row>
    <row r="63" spans="1:11" ht="19" x14ac:dyDescent="0.2">
      <c r="A63" s="61">
        <v>1181000</v>
      </c>
      <c r="B63" s="43">
        <v>45772</v>
      </c>
      <c r="C63" s="46" t="s">
        <v>16</v>
      </c>
      <c r="D63" s="44" t="s">
        <v>400</v>
      </c>
      <c r="E63" s="62">
        <v>581000</v>
      </c>
      <c r="F63" s="45">
        <v>253000</v>
      </c>
      <c r="G63" s="45">
        <v>347000</v>
      </c>
      <c r="H63" s="45"/>
      <c r="I63" s="45"/>
      <c r="J63" s="45">
        <v>120000</v>
      </c>
      <c r="K63" s="45" t="s">
        <v>508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105000</v>
      </c>
      <c r="K64" s="50" t="s">
        <v>301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66000</v>
      </c>
      <c r="K65" s="45" t="s">
        <v>139</v>
      </c>
    </row>
    <row r="66" spans="1:11" ht="19" x14ac:dyDescent="0.2">
      <c r="A66" s="57"/>
      <c r="B66" s="47"/>
      <c r="C66" s="51"/>
      <c r="D66" s="48"/>
      <c r="E66" s="49"/>
      <c r="F66" s="50"/>
      <c r="G66" s="50"/>
      <c r="H66" s="50"/>
      <c r="I66" s="50"/>
      <c r="J66" s="50">
        <v>17000</v>
      </c>
      <c r="K66" s="50" t="s">
        <v>564</v>
      </c>
    </row>
    <row r="67" spans="1:11" ht="19" x14ac:dyDescent="0.2">
      <c r="A67" s="61">
        <v>776000</v>
      </c>
      <c r="B67" s="43">
        <v>45773</v>
      </c>
      <c r="C67" s="46" t="s">
        <v>16</v>
      </c>
      <c r="D67" s="44" t="s">
        <v>400</v>
      </c>
      <c r="E67" s="62">
        <v>298000</v>
      </c>
      <c r="F67" s="45">
        <v>134000</v>
      </c>
      <c r="G67" s="45">
        <v>344000</v>
      </c>
      <c r="H67" s="45"/>
      <c r="I67" s="45"/>
      <c r="J67" s="45"/>
      <c r="K67" s="45"/>
    </row>
    <row r="68" spans="1:11" ht="19" x14ac:dyDescent="0.2">
      <c r="A68" s="57"/>
      <c r="B68" s="47">
        <v>45774</v>
      </c>
      <c r="C68" s="51"/>
      <c r="D68" s="48"/>
      <c r="E68" s="49" t="s">
        <v>125</v>
      </c>
      <c r="F68" s="50"/>
      <c r="G68" s="50"/>
      <c r="H68" s="50"/>
      <c r="I68" s="50"/>
      <c r="J68" s="50"/>
      <c r="K68" s="50"/>
    </row>
    <row r="69" spans="1:11" ht="19" x14ac:dyDescent="0.2">
      <c r="A69" s="61">
        <v>1043000</v>
      </c>
      <c r="B69" s="43">
        <v>45775</v>
      </c>
      <c r="C69" s="46" t="s">
        <v>16</v>
      </c>
      <c r="D69" s="44" t="s">
        <v>346</v>
      </c>
      <c r="E69" s="62">
        <v>613000</v>
      </c>
      <c r="F69" s="45">
        <v>157000</v>
      </c>
      <c r="G69" s="45">
        <v>273000</v>
      </c>
      <c r="H69" s="45"/>
      <c r="I69" s="45"/>
      <c r="J69" s="45">
        <v>57000</v>
      </c>
      <c r="K69" s="45" t="s">
        <v>565</v>
      </c>
    </row>
    <row r="70" spans="1:11" ht="19" x14ac:dyDescent="0.2">
      <c r="A70" s="57">
        <v>1250000</v>
      </c>
      <c r="B70" s="47">
        <v>45776</v>
      </c>
      <c r="C70" s="51" t="s">
        <v>16</v>
      </c>
      <c r="D70" s="48" t="s">
        <v>400</v>
      </c>
      <c r="E70" s="49">
        <v>486000</v>
      </c>
      <c r="F70" s="50">
        <v>347000</v>
      </c>
      <c r="G70" s="50">
        <v>417000</v>
      </c>
      <c r="H70" s="50">
        <v>600000</v>
      </c>
      <c r="I70" s="50" t="s">
        <v>566</v>
      </c>
      <c r="J70" s="50"/>
      <c r="K70" s="50"/>
    </row>
    <row r="71" spans="1:11" ht="19" x14ac:dyDescent="0.2">
      <c r="A71" s="61">
        <v>1249000</v>
      </c>
      <c r="B71" s="43">
        <v>45777</v>
      </c>
      <c r="C71" s="46" t="s">
        <v>16</v>
      </c>
      <c r="D71" s="44" t="s">
        <v>400</v>
      </c>
      <c r="E71" s="62">
        <v>648000</v>
      </c>
      <c r="F71" s="45">
        <v>280000</v>
      </c>
      <c r="G71" s="45">
        <v>321000</v>
      </c>
      <c r="H71" s="45">
        <v>2200000</v>
      </c>
      <c r="I71" s="45" t="s">
        <v>567</v>
      </c>
      <c r="J71" s="45">
        <v>23000</v>
      </c>
      <c r="K71" s="45" t="s">
        <v>208</v>
      </c>
    </row>
    <row r="72" spans="1:11" ht="19" x14ac:dyDescent="0.2">
      <c r="A72" s="57"/>
      <c r="B72" s="47"/>
      <c r="C72" s="51"/>
      <c r="D72" s="48"/>
      <c r="E72" s="49"/>
      <c r="F72" s="50"/>
      <c r="G72" s="50"/>
      <c r="H72" s="50"/>
      <c r="I72" s="50"/>
      <c r="J72" s="50"/>
      <c r="K72" s="50"/>
    </row>
    <row r="73" spans="1:11" ht="19" x14ac:dyDescent="0.2">
      <c r="A73" s="61"/>
      <c r="B73" s="43"/>
      <c r="C73" s="46"/>
      <c r="D73" s="44"/>
      <c r="E73" s="62"/>
      <c r="F73" s="45"/>
      <c r="G73" s="45"/>
      <c r="H73" s="45"/>
      <c r="I73" s="45"/>
      <c r="J73" s="45"/>
      <c r="K73" s="45"/>
    </row>
    <row r="74" spans="1:11" ht="19" x14ac:dyDescent="0.2">
      <c r="A74" s="57"/>
      <c r="B74" s="47"/>
      <c r="C74" s="51"/>
      <c r="D74" s="48"/>
      <c r="E74" s="49"/>
      <c r="F74" s="50"/>
      <c r="G74" s="50"/>
      <c r="H74" s="50"/>
      <c r="I74" s="50"/>
      <c r="J74" s="50"/>
      <c r="K74" s="50"/>
    </row>
    <row r="75" spans="1:11" ht="19" x14ac:dyDescent="0.2">
      <c r="A75" s="61"/>
      <c r="B75" s="43"/>
      <c r="C75" s="46"/>
      <c r="D75" s="44"/>
      <c r="E75" s="62"/>
      <c r="F75" s="45"/>
      <c r="G75" s="45"/>
      <c r="H75" s="45"/>
      <c r="I75" s="45"/>
      <c r="J75" s="45"/>
      <c r="K75" s="45"/>
    </row>
    <row r="76" spans="1:11" ht="19" x14ac:dyDescent="0.2">
      <c r="A76" s="57"/>
      <c r="B76" s="47"/>
      <c r="C76" s="51"/>
      <c r="D76" s="48"/>
      <c r="E76" s="49"/>
      <c r="F76" s="50"/>
      <c r="G76" s="50"/>
      <c r="H76" s="50"/>
      <c r="I76" s="50"/>
      <c r="J76" s="50"/>
      <c r="K76" s="5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K91"/>
  <sheetViews>
    <sheetView workbookViewId="0">
      <selection activeCell="B7" sqref="B7"/>
    </sheetView>
  </sheetViews>
  <sheetFormatPr baseColWidth="10" defaultColWidth="11.5" defaultRowHeight="15" x14ac:dyDescent="0.2"/>
  <cols>
    <col min="1" max="1" width="25.1640625" customWidth="1"/>
    <col min="3" max="3" width="13.33203125" bestFit="1" customWidth="1"/>
    <col min="4" max="4" width="11.83203125" bestFit="1" customWidth="1"/>
    <col min="5" max="5" width="20.33203125" bestFit="1" customWidth="1"/>
    <col min="6" max="6" width="28.6640625" customWidth="1"/>
    <col min="7" max="7" width="24" customWidth="1"/>
    <col min="8" max="8" width="25.6640625" customWidth="1"/>
    <col min="9" max="9" width="36.5" customWidth="1"/>
    <col min="10" max="10" width="24.83203125" customWidth="1"/>
    <col min="11" max="11" width="30.83203125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617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4317204</v>
      </c>
      <c r="K6" s="30" t="s">
        <v>620</v>
      </c>
    </row>
    <row r="7" spans="1:11" ht="26" x14ac:dyDescent="0.3">
      <c r="B7" s="32" t="s">
        <v>619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SUM(A11:A514)</f>
        <v>31808000</v>
      </c>
      <c r="B10" s="39"/>
      <c r="C10" s="40" t="s">
        <v>15</v>
      </c>
      <c r="D10" s="41"/>
      <c r="E10" s="42">
        <f>SUM(E11:E514)</f>
        <v>13782000</v>
      </c>
      <c r="F10" s="38">
        <f>SUM(F11:F514)</f>
        <v>5381000</v>
      </c>
      <c r="G10" s="38">
        <f>SUM(G11:G509)</f>
        <v>12645000</v>
      </c>
      <c r="H10" s="38">
        <f>SUM(H11:H514)</f>
        <v>12825000</v>
      </c>
      <c r="I10" s="38"/>
      <c r="J10" s="38">
        <f>SUM(J11:J514)</f>
        <v>5884000</v>
      </c>
      <c r="K10" s="38"/>
    </row>
    <row r="11" spans="1:11" ht="21" x14ac:dyDescent="0.2">
      <c r="A11" s="96">
        <v>1012000</v>
      </c>
      <c r="B11" s="97">
        <v>45778</v>
      </c>
      <c r="C11" s="98" t="s">
        <v>16</v>
      </c>
      <c r="D11" s="99" t="s">
        <v>136</v>
      </c>
      <c r="E11" s="13">
        <v>243000</v>
      </c>
      <c r="F11" s="13">
        <v>99000</v>
      </c>
      <c r="G11" s="13">
        <v>670000</v>
      </c>
      <c r="H11" s="13"/>
      <c r="I11" s="13"/>
      <c r="J11" s="13">
        <v>252000</v>
      </c>
      <c r="K11" s="13" t="s">
        <v>366</v>
      </c>
    </row>
    <row r="12" spans="1:11" ht="19" x14ac:dyDescent="0.2">
      <c r="A12" s="53">
        <v>1145000</v>
      </c>
      <c r="B12" s="4">
        <v>45779</v>
      </c>
      <c r="C12" s="5" t="s">
        <v>16</v>
      </c>
      <c r="D12" s="2" t="s">
        <v>400</v>
      </c>
      <c r="E12" s="1">
        <v>589000</v>
      </c>
      <c r="F12" s="1">
        <v>270000</v>
      </c>
      <c r="G12" s="1">
        <v>286000</v>
      </c>
      <c r="H12" s="1"/>
      <c r="I12" s="1"/>
      <c r="J12" s="1">
        <v>54000</v>
      </c>
      <c r="K12" s="1" t="s">
        <v>375</v>
      </c>
    </row>
    <row r="13" spans="1:11" ht="19" x14ac:dyDescent="0.2">
      <c r="A13" s="54"/>
      <c r="B13" s="10"/>
      <c r="C13" s="14"/>
      <c r="D13" s="12"/>
      <c r="E13" s="15"/>
      <c r="F13" s="13"/>
      <c r="G13" s="13"/>
      <c r="H13" s="13"/>
      <c r="I13" s="13"/>
      <c r="J13" s="13">
        <v>111000</v>
      </c>
      <c r="K13" s="13" t="s">
        <v>573</v>
      </c>
    </row>
    <row r="14" spans="1:11" ht="19" x14ac:dyDescent="0.2">
      <c r="A14" s="53"/>
      <c r="B14" s="4"/>
      <c r="C14" s="5"/>
      <c r="D14" s="2"/>
      <c r="E14" s="3"/>
      <c r="F14" s="1"/>
      <c r="G14" s="1"/>
      <c r="H14" s="1"/>
      <c r="I14" s="1"/>
      <c r="J14" s="8">
        <v>43000</v>
      </c>
      <c r="K14" s="1" t="s">
        <v>574</v>
      </c>
    </row>
    <row r="15" spans="1:11" ht="19" x14ac:dyDescent="0.2">
      <c r="A15" s="54"/>
      <c r="B15" s="10"/>
      <c r="C15" s="14"/>
      <c r="D15" s="12"/>
      <c r="E15" s="15"/>
      <c r="F15" s="13"/>
      <c r="G15" s="13"/>
      <c r="H15" s="13"/>
      <c r="I15" s="13"/>
      <c r="J15" s="13">
        <v>40000</v>
      </c>
      <c r="K15" s="13" t="s">
        <v>575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>
        <v>7000</v>
      </c>
      <c r="K16" s="8" t="s">
        <v>316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10000</v>
      </c>
      <c r="K17" s="13" t="s">
        <v>472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>
        <v>34000</v>
      </c>
      <c r="K18" s="8" t="s">
        <v>576</v>
      </c>
    </row>
    <row r="19" spans="1:11" ht="19" x14ac:dyDescent="0.2">
      <c r="A19" s="56"/>
      <c r="B19" s="10"/>
      <c r="C19" s="16"/>
      <c r="D19" s="12"/>
      <c r="E19" s="15"/>
      <c r="F19" s="13"/>
      <c r="G19" s="13"/>
      <c r="H19" s="17"/>
      <c r="I19" s="17"/>
      <c r="J19" s="13">
        <v>15000</v>
      </c>
      <c r="K19" s="13" t="s">
        <v>577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41000</v>
      </c>
      <c r="K20" s="8" t="s">
        <v>578</v>
      </c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>
        <v>140000</v>
      </c>
      <c r="K21" s="13" t="s">
        <v>342</v>
      </c>
    </row>
    <row r="22" spans="1:11" ht="19" x14ac:dyDescent="0.2">
      <c r="A22" s="55"/>
      <c r="B22" s="18"/>
      <c r="C22" s="19"/>
      <c r="D22" s="20"/>
      <c r="E22" s="21"/>
      <c r="F22" s="8"/>
      <c r="G22" s="8"/>
      <c r="H22" s="23"/>
      <c r="I22" s="23"/>
      <c r="J22" s="8">
        <v>50000</v>
      </c>
      <c r="K22" s="8" t="s">
        <v>333</v>
      </c>
    </row>
    <row r="23" spans="1:11" ht="19" x14ac:dyDescent="0.2">
      <c r="A23" s="56"/>
      <c r="B23" s="10"/>
      <c r="C23" s="15"/>
      <c r="D23" s="12"/>
      <c r="E23" s="15"/>
      <c r="F23" s="13"/>
      <c r="G23" s="13"/>
      <c r="H23" s="17"/>
      <c r="I23" s="17"/>
      <c r="J23" s="13">
        <v>30000</v>
      </c>
      <c r="K23" s="13" t="s">
        <v>378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65000</v>
      </c>
      <c r="K24" s="8" t="s">
        <v>579</v>
      </c>
    </row>
    <row r="25" spans="1:11" ht="19" x14ac:dyDescent="0.2">
      <c r="A25" s="56">
        <v>843000</v>
      </c>
      <c r="B25" s="10">
        <v>45780</v>
      </c>
      <c r="C25" s="15" t="s">
        <v>16</v>
      </c>
      <c r="D25" s="12" t="s">
        <v>400</v>
      </c>
      <c r="E25" s="15">
        <v>210000</v>
      </c>
      <c r="F25" s="13">
        <v>231000</v>
      </c>
      <c r="G25" s="13">
        <v>402000</v>
      </c>
      <c r="H25" s="13"/>
      <c r="I25" s="13"/>
      <c r="J25" s="13"/>
      <c r="K25" s="13"/>
    </row>
    <row r="26" spans="1:11" ht="19" x14ac:dyDescent="0.2">
      <c r="A26" s="55"/>
      <c r="B26" s="18">
        <v>45781</v>
      </c>
      <c r="C26" s="19"/>
      <c r="D26" s="20"/>
      <c r="E26" s="21" t="s">
        <v>125</v>
      </c>
      <c r="F26" s="8"/>
      <c r="G26" s="8"/>
      <c r="H26" s="8"/>
      <c r="I26" s="8"/>
      <c r="J26" s="8"/>
      <c r="K26" s="8"/>
    </row>
    <row r="27" spans="1:11" ht="19" x14ac:dyDescent="0.2">
      <c r="A27" s="56">
        <v>1240000</v>
      </c>
      <c r="B27" s="10">
        <v>45782</v>
      </c>
      <c r="C27" s="16" t="s">
        <v>16</v>
      </c>
      <c r="D27" s="12" t="s">
        <v>346</v>
      </c>
      <c r="E27" s="15">
        <v>465000</v>
      </c>
      <c r="F27" s="13">
        <v>93000</v>
      </c>
      <c r="G27" s="13">
        <v>682000</v>
      </c>
      <c r="H27" s="13"/>
      <c r="I27" s="13"/>
      <c r="J27" s="13">
        <v>19000</v>
      </c>
      <c r="K27" s="13" t="s">
        <v>580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/>
      <c r="I28" s="8"/>
      <c r="J28" s="8">
        <v>40000</v>
      </c>
      <c r="K28" s="8" t="s">
        <v>581</v>
      </c>
    </row>
    <row r="29" spans="1:11" ht="19" x14ac:dyDescent="0.2">
      <c r="A29" s="56"/>
      <c r="B29" s="10"/>
      <c r="C29" s="16"/>
      <c r="D29" s="12"/>
      <c r="E29" s="15"/>
      <c r="F29" s="13"/>
      <c r="G29" s="13"/>
      <c r="H29" s="13"/>
      <c r="I29" s="13"/>
      <c r="J29" s="13">
        <v>4000</v>
      </c>
      <c r="K29" s="13" t="s">
        <v>24</v>
      </c>
    </row>
    <row r="30" spans="1:11" ht="19" x14ac:dyDescent="0.2">
      <c r="A30" s="55">
        <v>1342000</v>
      </c>
      <c r="B30" s="18">
        <v>45783</v>
      </c>
      <c r="C30" s="22" t="s">
        <v>16</v>
      </c>
      <c r="D30" s="20" t="s">
        <v>400</v>
      </c>
      <c r="E30" s="21">
        <v>416000</v>
      </c>
      <c r="F30" s="8">
        <v>283000</v>
      </c>
      <c r="G30" s="8">
        <v>643000</v>
      </c>
      <c r="H30" s="8">
        <v>7280000</v>
      </c>
      <c r="I30" s="8" t="s">
        <v>618</v>
      </c>
      <c r="J30" s="8">
        <v>325000</v>
      </c>
      <c r="K30" s="8" t="s">
        <v>582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>
        <v>200000</v>
      </c>
      <c r="K31" s="13" t="s">
        <v>21</v>
      </c>
    </row>
    <row r="32" spans="1:11" ht="19" x14ac:dyDescent="0.2">
      <c r="A32" s="55"/>
      <c r="B32" s="18"/>
      <c r="C32" s="22"/>
      <c r="D32" s="20"/>
      <c r="E32" s="21"/>
      <c r="F32" s="8"/>
      <c r="G32" s="8"/>
      <c r="H32" s="8"/>
      <c r="I32" s="8"/>
      <c r="J32" s="8">
        <v>45000</v>
      </c>
      <c r="K32" s="8" t="s">
        <v>396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>
        <v>216000</v>
      </c>
      <c r="K33" s="13" t="s">
        <v>554</v>
      </c>
    </row>
    <row r="34" spans="1:11" ht="19" x14ac:dyDescent="0.2">
      <c r="A34" s="53">
        <v>1636000</v>
      </c>
      <c r="B34" s="18">
        <v>45784</v>
      </c>
      <c r="C34" s="22" t="s">
        <v>16</v>
      </c>
      <c r="D34" s="20" t="s">
        <v>400</v>
      </c>
      <c r="E34" s="21">
        <v>549000</v>
      </c>
      <c r="F34" s="8">
        <v>295000</v>
      </c>
      <c r="G34" s="8">
        <v>792000</v>
      </c>
      <c r="H34" s="8"/>
      <c r="I34" s="8"/>
      <c r="J34" s="8">
        <v>36000</v>
      </c>
      <c r="K34" s="8" t="s">
        <v>583</v>
      </c>
    </row>
    <row r="35" spans="1:11" ht="19" x14ac:dyDescent="0.2">
      <c r="A35" s="54"/>
      <c r="B35" s="10"/>
      <c r="C35" s="14"/>
      <c r="D35" s="12"/>
      <c r="E35" s="15"/>
      <c r="F35" s="13"/>
      <c r="G35" s="13"/>
      <c r="H35" s="13"/>
      <c r="I35" s="13"/>
      <c r="J35" s="13">
        <v>44000</v>
      </c>
      <c r="K35" s="13" t="s">
        <v>584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>
        <v>25000</v>
      </c>
      <c r="K36" s="8" t="s">
        <v>585</v>
      </c>
    </row>
    <row r="37" spans="1:11" ht="19" x14ac:dyDescent="0.2">
      <c r="A37" s="56"/>
      <c r="B37" s="10"/>
      <c r="C37" s="14"/>
      <c r="D37" s="12"/>
      <c r="E37" s="15"/>
      <c r="F37" s="13"/>
      <c r="G37" s="13"/>
      <c r="H37" s="13"/>
      <c r="I37" s="13"/>
      <c r="J37" s="13">
        <v>24000</v>
      </c>
      <c r="K37" s="79" t="s">
        <v>368</v>
      </c>
    </row>
    <row r="38" spans="1:11" ht="19" x14ac:dyDescent="0.2">
      <c r="A38" s="55"/>
      <c r="B38" s="18"/>
      <c r="C38" s="22"/>
      <c r="D38" s="20"/>
      <c r="E38" s="21"/>
      <c r="F38" s="8"/>
      <c r="G38" s="8"/>
      <c r="H38" s="8"/>
      <c r="I38" s="8"/>
      <c r="J38" s="8">
        <v>59000</v>
      </c>
      <c r="K38" s="8" t="s">
        <v>586</v>
      </c>
    </row>
    <row r="39" spans="1:11" ht="19" x14ac:dyDescent="0.2">
      <c r="A39" s="56"/>
      <c r="B39" s="10"/>
      <c r="C39" s="14"/>
      <c r="D39" s="12"/>
      <c r="E39" s="15"/>
      <c r="F39" s="13"/>
      <c r="G39" s="13"/>
      <c r="H39" s="13"/>
      <c r="I39" s="13"/>
      <c r="J39" s="13">
        <v>81000</v>
      </c>
      <c r="K39" s="13" t="s">
        <v>587</v>
      </c>
    </row>
    <row r="40" spans="1:11" ht="19" x14ac:dyDescent="0.2">
      <c r="A40" s="55"/>
      <c r="B40" s="18"/>
      <c r="C40" s="22"/>
      <c r="D40" s="20"/>
      <c r="E40" s="21"/>
      <c r="F40" s="8"/>
      <c r="G40" s="8"/>
      <c r="H40" s="8"/>
      <c r="I40" s="8"/>
      <c r="J40" s="8">
        <v>42000</v>
      </c>
      <c r="K40" s="8" t="s">
        <v>356</v>
      </c>
    </row>
    <row r="41" spans="1:11" ht="19" x14ac:dyDescent="0.2">
      <c r="A41" s="56">
        <v>827000</v>
      </c>
      <c r="B41" s="10">
        <v>45785</v>
      </c>
      <c r="C41" s="14" t="s">
        <v>16</v>
      </c>
      <c r="D41" s="12" t="s">
        <v>136</v>
      </c>
      <c r="E41" s="15">
        <v>281000</v>
      </c>
      <c r="F41" s="13">
        <v>108000</v>
      </c>
      <c r="G41" s="13">
        <v>438000</v>
      </c>
      <c r="H41" s="13"/>
      <c r="I41" s="13"/>
      <c r="J41" s="13">
        <v>66000</v>
      </c>
      <c r="K41" s="13" t="s">
        <v>588</v>
      </c>
    </row>
    <row r="42" spans="1:11" ht="19" x14ac:dyDescent="0.2">
      <c r="A42" s="55"/>
      <c r="B42" s="18"/>
      <c r="C42" s="22"/>
      <c r="D42" s="20"/>
      <c r="E42" s="21"/>
      <c r="F42" s="8"/>
      <c r="G42" s="8"/>
      <c r="H42" s="8"/>
      <c r="I42" s="8"/>
      <c r="J42" s="8">
        <v>33000</v>
      </c>
      <c r="K42" s="8" t="s">
        <v>589</v>
      </c>
    </row>
    <row r="43" spans="1:11" ht="19" x14ac:dyDescent="0.2">
      <c r="A43" s="56">
        <v>491000</v>
      </c>
      <c r="B43" s="10">
        <v>45786</v>
      </c>
      <c r="C43" s="14" t="s">
        <v>16</v>
      </c>
      <c r="D43" s="12" t="s">
        <v>400</v>
      </c>
      <c r="E43" s="15">
        <v>188000</v>
      </c>
      <c r="F43" s="13">
        <v>94000</v>
      </c>
      <c r="G43" s="13">
        <v>209000</v>
      </c>
      <c r="H43" s="13"/>
      <c r="I43" s="13"/>
      <c r="J43" s="13">
        <v>140000</v>
      </c>
      <c r="K43" s="13" t="s">
        <v>342</v>
      </c>
    </row>
    <row r="44" spans="1:11" ht="19" x14ac:dyDescent="0.2">
      <c r="A44" s="55">
        <v>388000</v>
      </c>
      <c r="B44" s="18">
        <v>45787</v>
      </c>
      <c r="C44" s="22" t="s">
        <v>16</v>
      </c>
      <c r="D44" s="20" t="s">
        <v>400</v>
      </c>
      <c r="E44" s="21">
        <v>70000</v>
      </c>
      <c r="F44" s="8">
        <v>31000</v>
      </c>
      <c r="G44" s="8">
        <v>287000</v>
      </c>
      <c r="H44" s="8"/>
      <c r="I44" s="105"/>
      <c r="J44" s="8">
        <v>52000</v>
      </c>
      <c r="K44" s="8" t="s">
        <v>590</v>
      </c>
    </row>
    <row r="45" spans="1:11" ht="19" x14ac:dyDescent="0.2">
      <c r="A45" s="56"/>
      <c r="B45" s="10">
        <v>45788</v>
      </c>
      <c r="C45" s="14"/>
      <c r="D45" s="12"/>
      <c r="E45" s="15" t="s">
        <v>125</v>
      </c>
      <c r="F45" s="13"/>
      <c r="G45" s="13"/>
      <c r="H45" s="13"/>
      <c r="I45" s="13"/>
      <c r="J45" s="45"/>
      <c r="K45" s="45"/>
    </row>
    <row r="46" spans="1:11" ht="19" x14ac:dyDescent="0.2">
      <c r="A46" s="59">
        <v>1366000</v>
      </c>
      <c r="B46" s="47">
        <v>45789</v>
      </c>
      <c r="C46" s="51" t="s">
        <v>16</v>
      </c>
      <c r="D46" s="48" t="s">
        <v>400</v>
      </c>
      <c r="E46" s="49">
        <v>703000</v>
      </c>
      <c r="F46" s="50">
        <v>295000</v>
      </c>
      <c r="G46" s="50">
        <v>368000</v>
      </c>
      <c r="H46" s="50">
        <v>100000</v>
      </c>
      <c r="I46" s="50" t="s">
        <v>560</v>
      </c>
      <c r="J46" s="50"/>
      <c r="K46" s="50"/>
    </row>
    <row r="47" spans="1:11" ht="19" x14ac:dyDescent="0.2">
      <c r="A47" s="58">
        <v>1604000</v>
      </c>
      <c r="B47" s="43">
        <v>45790</v>
      </c>
      <c r="C47" s="46" t="s">
        <v>16</v>
      </c>
      <c r="D47" s="44" t="s">
        <v>400</v>
      </c>
      <c r="E47" s="15">
        <v>773000</v>
      </c>
      <c r="F47" s="13">
        <v>267000</v>
      </c>
      <c r="G47" s="13">
        <v>564000</v>
      </c>
      <c r="H47" s="45"/>
      <c r="I47" s="45"/>
      <c r="J47" s="45">
        <v>252000</v>
      </c>
      <c r="K47" s="45" t="s">
        <v>366</v>
      </c>
    </row>
    <row r="48" spans="1:11" ht="19" x14ac:dyDescent="0.2">
      <c r="A48" s="57">
        <v>1392000</v>
      </c>
      <c r="B48" s="47">
        <v>45791</v>
      </c>
      <c r="C48" s="51" t="s">
        <v>16</v>
      </c>
      <c r="D48" s="48" t="s">
        <v>400</v>
      </c>
      <c r="E48" s="49">
        <v>611000</v>
      </c>
      <c r="F48" s="50">
        <v>303000</v>
      </c>
      <c r="G48" s="50">
        <v>478000</v>
      </c>
      <c r="H48" s="50">
        <v>200000</v>
      </c>
      <c r="I48" s="50" t="s">
        <v>591</v>
      </c>
      <c r="J48" s="50">
        <v>30000</v>
      </c>
      <c r="K48" s="50" t="s">
        <v>356</v>
      </c>
    </row>
    <row r="49" spans="1:11" ht="19" x14ac:dyDescent="0.2">
      <c r="A49" s="61"/>
      <c r="B49" s="43"/>
      <c r="C49" s="46"/>
      <c r="D49" s="44"/>
      <c r="E49" s="62"/>
      <c r="F49" s="45"/>
      <c r="G49" s="45"/>
      <c r="H49" s="45"/>
      <c r="I49" s="45"/>
      <c r="J49" s="45">
        <v>73000</v>
      </c>
      <c r="K49" s="45" t="s">
        <v>592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>
        <v>1050000</v>
      </c>
      <c r="I50" s="50" t="s">
        <v>615</v>
      </c>
      <c r="J50" s="50">
        <v>11000</v>
      </c>
      <c r="K50" s="50" t="s">
        <v>593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4000</v>
      </c>
      <c r="K51" s="45" t="s">
        <v>24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20000</v>
      </c>
      <c r="K52" s="50" t="s">
        <v>594</v>
      </c>
    </row>
    <row r="53" spans="1:11" ht="32" x14ac:dyDescent="0.2">
      <c r="A53" s="61">
        <v>1425000</v>
      </c>
      <c r="B53" s="43">
        <v>45792</v>
      </c>
      <c r="C53" s="46" t="s">
        <v>16</v>
      </c>
      <c r="D53" s="44" t="s">
        <v>400</v>
      </c>
      <c r="E53" s="62">
        <v>377000</v>
      </c>
      <c r="F53" s="45">
        <v>399000</v>
      </c>
      <c r="G53" s="45">
        <v>649000</v>
      </c>
      <c r="H53" s="45">
        <v>845000</v>
      </c>
      <c r="I53" s="106" t="s">
        <v>595</v>
      </c>
      <c r="J53" s="45">
        <v>40000</v>
      </c>
      <c r="K53" s="45" t="s">
        <v>40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/>
      <c r="I54" s="50"/>
      <c r="J54" s="50">
        <v>100000</v>
      </c>
      <c r="K54" s="50" t="s">
        <v>197</v>
      </c>
    </row>
    <row r="55" spans="1:11" ht="19" x14ac:dyDescent="0.2">
      <c r="A55" s="61">
        <v>1690000</v>
      </c>
      <c r="B55" s="43">
        <v>45793</v>
      </c>
      <c r="C55" s="46" t="s">
        <v>16</v>
      </c>
      <c r="D55" s="44" t="s">
        <v>596</v>
      </c>
      <c r="E55" s="62">
        <v>700000</v>
      </c>
      <c r="F55" s="45">
        <v>225000</v>
      </c>
      <c r="G55" s="45">
        <v>765000</v>
      </c>
      <c r="H55" s="45"/>
      <c r="I55" s="45"/>
      <c r="J55" s="45">
        <v>17000</v>
      </c>
      <c r="K55" s="45" t="s">
        <v>356</v>
      </c>
    </row>
    <row r="56" spans="1:11" ht="19" x14ac:dyDescent="0.2">
      <c r="A56" s="57">
        <v>1056000</v>
      </c>
      <c r="B56" s="47">
        <v>45794</v>
      </c>
      <c r="C56" s="51" t="s">
        <v>16</v>
      </c>
      <c r="D56" s="48" t="s">
        <v>597</v>
      </c>
      <c r="E56" s="49">
        <v>411000</v>
      </c>
      <c r="F56" s="50">
        <v>276000</v>
      </c>
      <c r="G56" s="50">
        <v>369000</v>
      </c>
      <c r="H56" s="50"/>
      <c r="I56" s="50"/>
      <c r="J56" s="50">
        <v>34000</v>
      </c>
      <c r="K56" s="63" t="s">
        <v>598</v>
      </c>
    </row>
    <row r="57" spans="1:11" ht="19" x14ac:dyDescent="0.2">
      <c r="A57" s="61"/>
      <c r="B57" s="43">
        <v>45795</v>
      </c>
      <c r="C57" s="46"/>
      <c r="D57" s="44"/>
      <c r="E57" s="62" t="s">
        <v>125</v>
      </c>
      <c r="F57" s="45"/>
      <c r="G57" s="45"/>
      <c r="H57" s="45"/>
      <c r="I57" s="45"/>
      <c r="J57" s="45">
        <v>84000</v>
      </c>
      <c r="K57" s="45" t="s">
        <v>96</v>
      </c>
    </row>
    <row r="58" spans="1:11" ht="19" x14ac:dyDescent="0.2">
      <c r="A58" s="57">
        <v>1300000</v>
      </c>
      <c r="B58" s="47">
        <v>45796</v>
      </c>
      <c r="C58" s="51" t="s">
        <v>16</v>
      </c>
      <c r="D58" s="48" t="s">
        <v>597</v>
      </c>
      <c r="E58" s="49">
        <v>693000</v>
      </c>
      <c r="F58" s="50">
        <v>131000</v>
      </c>
      <c r="G58" s="50">
        <v>476000</v>
      </c>
      <c r="H58" s="50"/>
      <c r="I58" s="50"/>
      <c r="J58" s="50">
        <v>72000</v>
      </c>
      <c r="K58" s="50" t="s">
        <v>462</v>
      </c>
    </row>
    <row r="59" spans="1:11" ht="19" x14ac:dyDescent="0.2">
      <c r="A59" s="61"/>
      <c r="B59" s="43"/>
      <c r="C59" s="46"/>
      <c r="D59" s="44"/>
      <c r="E59" s="62"/>
      <c r="F59" s="45"/>
      <c r="G59" s="45"/>
      <c r="H59" s="45"/>
      <c r="I59" s="45"/>
      <c r="J59" s="45">
        <v>40000</v>
      </c>
      <c r="K59" s="45" t="s">
        <v>599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>
        <v>33000</v>
      </c>
      <c r="K60" s="50" t="s">
        <v>55</v>
      </c>
    </row>
    <row r="61" spans="1:11" ht="19" x14ac:dyDescent="0.2">
      <c r="A61" s="61"/>
      <c r="B61" s="43"/>
      <c r="C61" s="46"/>
      <c r="D61" s="44"/>
      <c r="E61" s="62"/>
      <c r="F61" s="45"/>
      <c r="G61" s="45"/>
      <c r="H61" s="45"/>
      <c r="I61" s="45"/>
      <c r="J61" s="45">
        <v>139000</v>
      </c>
      <c r="K61" s="45" t="s">
        <v>600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87000</v>
      </c>
      <c r="K62" s="50" t="s">
        <v>601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12000</v>
      </c>
      <c r="K63" s="45" t="s">
        <v>52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216000</v>
      </c>
      <c r="K64" s="50" t="s">
        <v>354</v>
      </c>
    </row>
    <row r="65" spans="1:11" ht="19" x14ac:dyDescent="0.2">
      <c r="A65" s="61">
        <v>1175000</v>
      </c>
      <c r="B65" s="43">
        <v>45797</v>
      </c>
      <c r="C65" s="46" t="s">
        <v>16</v>
      </c>
      <c r="D65" s="44" t="s">
        <v>400</v>
      </c>
      <c r="E65" s="62">
        <v>537000</v>
      </c>
      <c r="F65" s="45">
        <v>22000</v>
      </c>
      <c r="G65" s="45">
        <v>616000</v>
      </c>
      <c r="H65" s="45"/>
      <c r="I65" s="45"/>
      <c r="J65" s="45">
        <v>33000</v>
      </c>
      <c r="K65" s="45" t="s">
        <v>356</v>
      </c>
    </row>
    <row r="66" spans="1:11" ht="19" x14ac:dyDescent="0.2">
      <c r="A66" s="57"/>
      <c r="B66" s="47"/>
      <c r="C66" s="51"/>
      <c r="D66" s="48"/>
      <c r="E66" s="49"/>
      <c r="F66" s="50"/>
      <c r="G66" s="50"/>
      <c r="H66" s="50"/>
      <c r="I66" s="50"/>
      <c r="J66" s="50">
        <v>81000</v>
      </c>
      <c r="K66" s="50" t="s">
        <v>393</v>
      </c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>
        <v>60000</v>
      </c>
      <c r="K67" s="45" t="s">
        <v>602</v>
      </c>
    </row>
    <row r="68" spans="1:11" ht="19" x14ac:dyDescent="0.2">
      <c r="A68" s="57"/>
      <c r="B68" s="47"/>
      <c r="C68" s="51"/>
      <c r="D68" s="48"/>
      <c r="E68" s="49"/>
      <c r="F68" s="50"/>
      <c r="G68" s="50"/>
      <c r="H68" s="50"/>
      <c r="I68" s="50"/>
      <c r="J68" s="50">
        <v>51000</v>
      </c>
      <c r="K68" s="50" t="s">
        <v>500</v>
      </c>
    </row>
    <row r="69" spans="1:11" ht="19" x14ac:dyDescent="0.2">
      <c r="A69" s="61">
        <v>1725000</v>
      </c>
      <c r="B69" s="43">
        <v>45798</v>
      </c>
      <c r="C69" s="46" t="s">
        <v>16</v>
      </c>
      <c r="D69" s="44" t="s">
        <v>597</v>
      </c>
      <c r="E69" s="62">
        <v>949000</v>
      </c>
      <c r="F69" s="45">
        <v>150000</v>
      </c>
      <c r="G69" s="45">
        <v>626000</v>
      </c>
      <c r="H69" s="45"/>
      <c r="I69" s="45"/>
      <c r="J69" s="45">
        <v>150000</v>
      </c>
      <c r="K69" s="45" t="s">
        <v>603</v>
      </c>
    </row>
    <row r="70" spans="1:11" ht="19" x14ac:dyDescent="0.2">
      <c r="A70" s="57"/>
      <c r="B70" s="47"/>
      <c r="C70" s="51"/>
      <c r="D70" s="48"/>
      <c r="E70" s="49"/>
      <c r="F70" s="50"/>
      <c r="G70" s="50"/>
      <c r="H70" s="50"/>
      <c r="I70" s="50"/>
      <c r="J70" s="50">
        <v>288000</v>
      </c>
      <c r="K70" s="50" t="s">
        <v>604</v>
      </c>
    </row>
    <row r="71" spans="1:11" ht="19" x14ac:dyDescent="0.2">
      <c r="A71" s="61"/>
      <c r="B71" s="43"/>
      <c r="C71" s="46"/>
      <c r="D71" s="44"/>
      <c r="E71" s="62"/>
      <c r="F71" s="45"/>
      <c r="G71" s="45"/>
      <c r="H71" s="45"/>
      <c r="I71" s="45"/>
      <c r="J71" s="45">
        <v>200000</v>
      </c>
      <c r="K71" s="45" t="s">
        <v>21</v>
      </c>
    </row>
    <row r="72" spans="1:11" ht="19" x14ac:dyDescent="0.2">
      <c r="A72" s="57"/>
      <c r="B72" s="47"/>
      <c r="C72" s="51"/>
      <c r="D72" s="48"/>
      <c r="E72" s="49"/>
      <c r="F72" s="50"/>
      <c r="G72" s="50"/>
      <c r="H72" s="50"/>
      <c r="I72" s="50"/>
      <c r="J72" s="50">
        <v>27000</v>
      </c>
      <c r="K72" s="50" t="s">
        <v>605</v>
      </c>
    </row>
    <row r="73" spans="1:11" ht="19" x14ac:dyDescent="0.2">
      <c r="A73" s="61">
        <v>1588000</v>
      </c>
      <c r="B73" s="43">
        <v>45799</v>
      </c>
      <c r="C73" s="46" t="s">
        <v>16</v>
      </c>
      <c r="D73" s="44" t="s">
        <v>400</v>
      </c>
      <c r="E73" s="62">
        <v>609000</v>
      </c>
      <c r="F73" s="45">
        <v>621000</v>
      </c>
      <c r="G73" s="45">
        <v>358000</v>
      </c>
      <c r="H73" s="45"/>
      <c r="I73" s="45"/>
      <c r="J73" s="45">
        <v>150000</v>
      </c>
      <c r="K73" s="45" t="s">
        <v>327</v>
      </c>
    </row>
    <row r="74" spans="1:11" ht="19" x14ac:dyDescent="0.2">
      <c r="A74" s="57"/>
      <c r="B74" s="47"/>
      <c r="C74" s="51"/>
      <c r="D74" s="48"/>
      <c r="E74" s="49"/>
      <c r="F74" s="50"/>
      <c r="G74" s="50"/>
      <c r="H74" s="50"/>
      <c r="I74" s="50"/>
      <c r="J74" s="50">
        <v>27000</v>
      </c>
      <c r="K74" s="50" t="s">
        <v>356</v>
      </c>
    </row>
    <row r="75" spans="1:11" ht="19" x14ac:dyDescent="0.2">
      <c r="A75" s="61">
        <v>1286000</v>
      </c>
      <c r="B75" s="43">
        <v>45800</v>
      </c>
      <c r="C75" s="46" t="s">
        <v>16</v>
      </c>
      <c r="D75" s="44" t="s">
        <v>597</v>
      </c>
      <c r="E75" s="62">
        <v>552000</v>
      </c>
      <c r="F75" s="45">
        <v>227000</v>
      </c>
      <c r="G75" s="45">
        <v>507000</v>
      </c>
      <c r="H75" s="45"/>
      <c r="I75" s="45"/>
      <c r="J75" s="45">
        <v>150000</v>
      </c>
      <c r="K75" s="45" t="s">
        <v>606</v>
      </c>
    </row>
    <row r="76" spans="1:11" ht="19" x14ac:dyDescent="0.2">
      <c r="A76" s="57"/>
      <c r="B76" s="47"/>
      <c r="C76" s="51"/>
      <c r="D76" s="48"/>
      <c r="E76" s="49"/>
      <c r="F76" s="50"/>
      <c r="G76" s="50"/>
      <c r="H76" s="50"/>
      <c r="I76" s="50"/>
      <c r="J76" s="50">
        <v>216000</v>
      </c>
      <c r="K76" s="50" t="s">
        <v>354</v>
      </c>
    </row>
    <row r="77" spans="1:11" ht="19" x14ac:dyDescent="0.2">
      <c r="A77" s="61"/>
      <c r="B77" s="43"/>
      <c r="C77" s="46"/>
      <c r="D77" s="44"/>
      <c r="E77" s="62"/>
      <c r="F77" s="45"/>
      <c r="G77" s="45"/>
      <c r="H77" s="45"/>
      <c r="I77" s="45"/>
      <c r="J77" s="45">
        <v>37000</v>
      </c>
      <c r="K77" s="45" t="s">
        <v>40</v>
      </c>
    </row>
    <row r="78" spans="1:11" ht="19" x14ac:dyDescent="0.2">
      <c r="A78" s="57">
        <v>573000</v>
      </c>
      <c r="B78" s="47">
        <v>45801</v>
      </c>
      <c r="C78" s="51" t="s">
        <v>16</v>
      </c>
      <c r="D78" s="48" t="s">
        <v>597</v>
      </c>
      <c r="E78" s="49">
        <v>217000</v>
      </c>
      <c r="F78" s="50">
        <v>158000</v>
      </c>
      <c r="G78" s="50">
        <v>198000</v>
      </c>
      <c r="H78" s="50"/>
      <c r="I78" s="50"/>
      <c r="J78" s="50">
        <v>16000</v>
      </c>
      <c r="K78" s="50" t="s">
        <v>607</v>
      </c>
    </row>
    <row r="79" spans="1:11" ht="19" x14ac:dyDescent="0.2">
      <c r="A79" s="61"/>
      <c r="B79" s="43">
        <v>45802</v>
      </c>
      <c r="C79" s="46"/>
      <c r="D79" s="44"/>
      <c r="E79" s="62" t="s">
        <v>125</v>
      </c>
      <c r="F79" s="45"/>
      <c r="G79" s="45"/>
      <c r="H79" s="45"/>
      <c r="I79" s="45"/>
      <c r="J79" s="45">
        <v>140000</v>
      </c>
      <c r="K79" s="45" t="s">
        <v>608</v>
      </c>
    </row>
    <row r="80" spans="1:11" ht="19" x14ac:dyDescent="0.2">
      <c r="A80" s="57">
        <v>1232000</v>
      </c>
      <c r="B80" s="47">
        <v>45803</v>
      </c>
      <c r="C80" s="51" t="s">
        <v>16</v>
      </c>
      <c r="D80" s="48" t="s">
        <v>597</v>
      </c>
      <c r="E80" s="49">
        <v>716000</v>
      </c>
      <c r="F80" s="50">
        <v>134000</v>
      </c>
      <c r="G80" s="50">
        <v>382000</v>
      </c>
      <c r="H80" s="50"/>
      <c r="I80" s="50"/>
      <c r="J80" s="50">
        <v>162000</v>
      </c>
      <c r="K80" s="50" t="s">
        <v>93</v>
      </c>
    </row>
    <row r="81" spans="1:11" ht="19" x14ac:dyDescent="0.2">
      <c r="A81" s="61">
        <v>959000</v>
      </c>
      <c r="B81" s="43">
        <v>45804</v>
      </c>
      <c r="C81" s="46" t="s">
        <v>16</v>
      </c>
      <c r="D81" s="44" t="s">
        <v>400</v>
      </c>
      <c r="E81" s="62">
        <v>554000</v>
      </c>
      <c r="F81" s="45">
        <v>95000</v>
      </c>
      <c r="G81" s="45">
        <v>310000</v>
      </c>
      <c r="H81" s="45">
        <v>550000</v>
      </c>
      <c r="I81" s="45" t="s">
        <v>616</v>
      </c>
      <c r="J81" s="45">
        <v>27000</v>
      </c>
      <c r="K81" s="45" t="s">
        <v>356</v>
      </c>
    </row>
    <row r="82" spans="1:11" ht="19" x14ac:dyDescent="0.2">
      <c r="A82" s="57">
        <v>1260000</v>
      </c>
      <c r="B82" s="47">
        <v>45805</v>
      </c>
      <c r="C82" s="51" t="s">
        <v>16</v>
      </c>
      <c r="D82" s="48" t="s">
        <v>400</v>
      </c>
      <c r="E82" s="49">
        <v>480000</v>
      </c>
      <c r="F82" s="50">
        <v>88000</v>
      </c>
      <c r="G82" s="50">
        <v>692000</v>
      </c>
      <c r="H82" s="50">
        <v>1100000</v>
      </c>
      <c r="I82" s="50" t="s">
        <v>609</v>
      </c>
      <c r="J82" s="50">
        <v>80000</v>
      </c>
      <c r="K82" s="50" t="s">
        <v>189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119000</v>
      </c>
      <c r="K83" s="45" t="s">
        <v>610</v>
      </c>
    </row>
    <row r="84" spans="1:11" ht="19" x14ac:dyDescent="0.2">
      <c r="A84" s="57">
        <v>1062000</v>
      </c>
      <c r="B84" s="47">
        <v>45806</v>
      </c>
      <c r="C84" s="51" t="s">
        <v>16</v>
      </c>
      <c r="D84" s="48" t="s">
        <v>597</v>
      </c>
      <c r="E84" s="49">
        <v>668000</v>
      </c>
      <c r="F84" s="50">
        <v>136000</v>
      </c>
      <c r="G84" s="50">
        <v>258000</v>
      </c>
      <c r="H84" s="50"/>
      <c r="I84" s="50"/>
      <c r="J84" s="50">
        <v>54000</v>
      </c>
      <c r="K84" s="50" t="s">
        <v>302</v>
      </c>
    </row>
    <row r="85" spans="1:11" ht="19" x14ac:dyDescent="0.2">
      <c r="A85" s="61">
        <v>1289000</v>
      </c>
      <c r="B85" s="43">
        <v>45807</v>
      </c>
      <c r="C85" s="46" t="s">
        <v>16</v>
      </c>
      <c r="D85" s="44" t="s">
        <v>597</v>
      </c>
      <c r="E85" s="62">
        <v>778000</v>
      </c>
      <c r="F85" s="45">
        <v>186000</v>
      </c>
      <c r="G85" s="45">
        <v>325000</v>
      </c>
      <c r="H85" s="45"/>
      <c r="I85" s="45"/>
      <c r="J85" s="45">
        <v>56000</v>
      </c>
      <c r="K85" s="45" t="s">
        <v>70</v>
      </c>
    </row>
    <row r="86" spans="1:11" ht="19" x14ac:dyDescent="0.2">
      <c r="A86" s="57">
        <v>902000</v>
      </c>
      <c r="B86" s="47">
        <v>45808</v>
      </c>
      <c r="C86" s="51" t="s">
        <v>16</v>
      </c>
      <c r="D86" s="48" t="s">
        <v>597</v>
      </c>
      <c r="E86" s="49">
        <v>443000</v>
      </c>
      <c r="F86" s="50">
        <v>164000</v>
      </c>
      <c r="G86" s="50">
        <v>295000</v>
      </c>
      <c r="H86" s="50">
        <v>1700000</v>
      </c>
      <c r="I86" s="50" t="s">
        <v>611</v>
      </c>
      <c r="J86" s="50">
        <v>40000</v>
      </c>
      <c r="K86" s="50" t="s">
        <v>356</v>
      </c>
    </row>
    <row r="87" spans="1:11" ht="19" x14ac:dyDescent="0.2">
      <c r="A87" s="61"/>
      <c r="B87" s="43"/>
      <c r="C87" s="46"/>
      <c r="D87" s="44"/>
      <c r="E87" s="62"/>
      <c r="F87" s="45"/>
      <c r="G87" s="45"/>
      <c r="H87" s="45"/>
      <c r="I87" s="45"/>
      <c r="J87" s="45">
        <v>13000</v>
      </c>
      <c r="K87" s="45" t="s">
        <v>612</v>
      </c>
    </row>
    <row r="88" spans="1:11" ht="19" x14ac:dyDescent="0.2">
      <c r="A88" s="57"/>
      <c r="B88" s="47"/>
      <c r="C88" s="51"/>
      <c r="D88" s="48"/>
      <c r="E88" s="49"/>
      <c r="F88" s="50"/>
      <c r="G88" s="50"/>
      <c r="H88" s="50"/>
      <c r="I88" s="50"/>
      <c r="J88" s="50">
        <v>22000</v>
      </c>
      <c r="K88" s="50" t="s">
        <v>613</v>
      </c>
    </row>
    <row r="89" spans="1:11" ht="19" x14ac:dyDescent="0.2">
      <c r="A89" s="61"/>
      <c r="B89" s="43"/>
      <c r="C89" s="46"/>
      <c r="D89" s="44"/>
      <c r="E89" s="62"/>
      <c r="F89" s="45"/>
      <c r="G89" s="45"/>
      <c r="H89" s="45"/>
      <c r="I89" s="45"/>
      <c r="J89" s="45">
        <v>70000</v>
      </c>
      <c r="K89" s="45" t="s">
        <v>614</v>
      </c>
    </row>
    <row r="90" spans="1:11" ht="19" x14ac:dyDescent="0.2">
      <c r="A90" s="57"/>
      <c r="B90" s="47"/>
      <c r="C90" s="51"/>
      <c r="D90" s="48"/>
      <c r="E90" s="49"/>
      <c r="F90" s="50"/>
      <c r="G90" s="50"/>
      <c r="H90" s="50"/>
      <c r="I90" s="50"/>
      <c r="J90" s="50">
        <v>8000</v>
      </c>
      <c r="K90" s="50" t="s">
        <v>24</v>
      </c>
    </row>
    <row r="91" spans="1:11" ht="19" x14ac:dyDescent="0.2">
      <c r="A91" s="61"/>
      <c r="B91" s="43"/>
      <c r="C91" s="46"/>
      <c r="D91" s="44"/>
      <c r="E91" s="62"/>
      <c r="F91" s="45"/>
      <c r="G91" s="45"/>
      <c r="H91" s="45"/>
      <c r="I91" s="45"/>
      <c r="J91" s="45"/>
      <c r="K91" s="4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K67"/>
  <sheetViews>
    <sheetView workbookViewId="0">
      <selection activeCell="B7" sqref="B7"/>
    </sheetView>
  </sheetViews>
  <sheetFormatPr baseColWidth="10" defaultColWidth="11.5" defaultRowHeight="15" x14ac:dyDescent="0.2"/>
  <cols>
    <col min="1" max="1" width="20.33203125" bestFit="1" customWidth="1"/>
    <col min="3" max="3" width="13.33203125" bestFit="1" customWidth="1"/>
    <col min="4" max="4" width="17.1640625" customWidth="1"/>
    <col min="5" max="5" width="19" bestFit="1" customWidth="1"/>
    <col min="6" max="6" width="29.33203125" customWidth="1"/>
    <col min="7" max="7" width="20.33203125" bestFit="1" customWidth="1"/>
    <col min="8" max="8" width="23.1640625" customWidth="1"/>
    <col min="9" max="9" width="37.1640625" bestFit="1" customWidth="1"/>
    <col min="10" max="10" width="21.33203125" customWidth="1"/>
    <col min="11" max="11" width="26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651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3104907</v>
      </c>
      <c r="K6" s="30" t="s">
        <v>652</v>
      </c>
    </row>
    <row r="7" spans="1:11" ht="26" x14ac:dyDescent="0.3">
      <c r="B7" s="32" t="s">
        <v>653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SUM(A11:A514)</f>
        <v>23614000</v>
      </c>
      <c r="B10" s="39"/>
      <c r="C10" s="40" t="s">
        <v>15</v>
      </c>
      <c r="D10" s="41"/>
      <c r="E10" s="42">
        <f>SUM(E11:E514)</f>
        <v>9538000</v>
      </c>
      <c r="F10" s="38">
        <f>SUM(F11:F514)</f>
        <v>3692000</v>
      </c>
      <c r="G10" s="38">
        <f>SUM(G11:G509)</f>
        <v>10384000</v>
      </c>
      <c r="H10" s="38">
        <f>SUM(H11:H514)</f>
        <v>11963000</v>
      </c>
      <c r="I10" s="38"/>
      <c r="J10" s="38">
        <f>SUM(J11:J514)</f>
        <v>4649000</v>
      </c>
      <c r="K10" s="38"/>
    </row>
    <row r="11" spans="1:11" ht="21" x14ac:dyDescent="0.2">
      <c r="A11" s="96"/>
      <c r="B11" s="97">
        <v>45809</v>
      </c>
      <c r="C11" s="98"/>
      <c r="D11" s="99"/>
      <c r="E11" s="13" t="s">
        <v>125</v>
      </c>
      <c r="F11" s="13"/>
      <c r="G11" s="13"/>
      <c r="H11" s="13"/>
      <c r="I11" s="13"/>
      <c r="J11" s="13"/>
      <c r="K11" s="13"/>
    </row>
    <row r="12" spans="1:11" ht="19" x14ac:dyDescent="0.2">
      <c r="A12" s="53">
        <v>1099000</v>
      </c>
      <c r="B12" s="4">
        <v>45810</v>
      </c>
      <c r="C12" s="5" t="s">
        <v>16</v>
      </c>
      <c r="D12" s="2" t="s">
        <v>597</v>
      </c>
      <c r="E12" s="1">
        <v>370000</v>
      </c>
      <c r="F12" s="1">
        <v>94000</v>
      </c>
      <c r="G12" s="1">
        <v>635000</v>
      </c>
      <c r="H12" s="1"/>
      <c r="I12" s="1"/>
      <c r="J12" s="1"/>
      <c r="K12" s="1"/>
    </row>
    <row r="13" spans="1:11" ht="19" x14ac:dyDescent="0.2">
      <c r="A13" s="54">
        <v>847000</v>
      </c>
      <c r="B13" s="10">
        <v>45811</v>
      </c>
      <c r="C13" s="14" t="s">
        <v>16</v>
      </c>
      <c r="D13" s="12" t="s">
        <v>597</v>
      </c>
      <c r="E13" s="15">
        <v>485000</v>
      </c>
      <c r="F13" s="13">
        <v>30000</v>
      </c>
      <c r="G13" s="13">
        <v>332000</v>
      </c>
      <c r="H13" s="13"/>
      <c r="I13" s="13"/>
      <c r="J13" s="13">
        <v>49000</v>
      </c>
      <c r="K13" s="13" t="s">
        <v>40</v>
      </c>
    </row>
    <row r="14" spans="1:11" ht="19" x14ac:dyDescent="0.2">
      <c r="A14" s="53">
        <v>1006000</v>
      </c>
      <c r="B14" s="4">
        <v>45812</v>
      </c>
      <c r="C14" s="5" t="s">
        <v>16</v>
      </c>
      <c r="D14" s="2" t="s">
        <v>597</v>
      </c>
      <c r="E14" s="3">
        <v>266000</v>
      </c>
      <c r="F14" s="1">
        <v>395000</v>
      </c>
      <c r="G14" s="1">
        <v>345000</v>
      </c>
      <c r="H14" s="1"/>
      <c r="I14" s="1"/>
      <c r="J14" s="8">
        <v>59000</v>
      </c>
      <c r="K14" s="1" t="s">
        <v>621</v>
      </c>
    </row>
    <row r="15" spans="1:11" ht="19" x14ac:dyDescent="0.2">
      <c r="A15" s="54"/>
      <c r="B15" s="10"/>
      <c r="C15" s="14"/>
      <c r="D15" s="12"/>
      <c r="E15" s="15"/>
      <c r="F15" s="13"/>
      <c r="G15" s="13"/>
      <c r="H15" s="13"/>
      <c r="I15" s="13"/>
      <c r="J15" s="13">
        <v>54000</v>
      </c>
      <c r="K15" s="13" t="s">
        <v>139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>
        <v>50000</v>
      </c>
      <c r="K16" s="8" t="s">
        <v>333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240000</v>
      </c>
      <c r="K17" s="13" t="s">
        <v>480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>
        <v>200000</v>
      </c>
      <c r="K18" s="8" t="s">
        <v>207</v>
      </c>
    </row>
    <row r="19" spans="1:11" ht="19" x14ac:dyDescent="0.2">
      <c r="A19" s="56"/>
      <c r="B19" s="10"/>
      <c r="C19" s="16"/>
      <c r="D19" s="12"/>
      <c r="E19" s="15"/>
      <c r="F19" s="13"/>
      <c r="G19" s="13"/>
      <c r="H19" s="17"/>
      <c r="I19" s="17"/>
      <c r="J19" s="13">
        <v>105000</v>
      </c>
      <c r="K19" s="13" t="s">
        <v>28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162000</v>
      </c>
      <c r="K20" s="8" t="s">
        <v>622</v>
      </c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>
        <v>150000</v>
      </c>
      <c r="K21" s="13" t="s">
        <v>623</v>
      </c>
    </row>
    <row r="22" spans="1:11" ht="19" x14ac:dyDescent="0.2">
      <c r="A22" s="55">
        <v>1211000</v>
      </c>
      <c r="B22" s="18">
        <v>45813</v>
      </c>
      <c r="C22" s="19" t="s">
        <v>16</v>
      </c>
      <c r="D22" s="20" t="s">
        <v>597</v>
      </c>
      <c r="E22" s="21">
        <v>472000</v>
      </c>
      <c r="F22" s="8">
        <v>110000</v>
      </c>
      <c r="G22" s="8">
        <v>629000</v>
      </c>
      <c r="H22" s="23"/>
      <c r="I22" s="23"/>
      <c r="J22" s="8">
        <v>150000</v>
      </c>
      <c r="K22" s="8" t="s">
        <v>624</v>
      </c>
    </row>
    <row r="23" spans="1:11" ht="19" x14ac:dyDescent="0.2">
      <c r="A23" s="56"/>
      <c r="B23" s="10">
        <v>45814</v>
      </c>
      <c r="C23" s="15"/>
      <c r="D23" s="12"/>
      <c r="E23" s="15" t="s">
        <v>125</v>
      </c>
      <c r="F23" s="13"/>
      <c r="G23" s="13"/>
      <c r="H23" s="17"/>
      <c r="I23" s="17"/>
      <c r="J23" s="13"/>
      <c r="K23" s="13"/>
    </row>
    <row r="24" spans="1:11" ht="19" x14ac:dyDescent="0.2">
      <c r="A24" s="55">
        <v>1188000</v>
      </c>
      <c r="B24" s="18">
        <v>45815</v>
      </c>
      <c r="C24" s="19" t="s">
        <v>16</v>
      </c>
      <c r="D24" s="20" t="s">
        <v>597</v>
      </c>
      <c r="E24" s="21">
        <v>1058000</v>
      </c>
      <c r="F24" s="8">
        <v>30000</v>
      </c>
      <c r="G24" s="8">
        <v>100000</v>
      </c>
      <c r="H24" s="8"/>
      <c r="I24" s="8"/>
      <c r="J24" s="8">
        <v>84000</v>
      </c>
      <c r="K24" s="8" t="s">
        <v>96</v>
      </c>
    </row>
    <row r="25" spans="1:11" ht="19" x14ac:dyDescent="0.2">
      <c r="A25" s="56"/>
      <c r="B25" s="10">
        <v>45816</v>
      </c>
      <c r="C25" s="15"/>
      <c r="D25" s="12"/>
      <c r="E25" s="15" t="s">
        <v>125</v>
      </c>
      <c r="F25" s="13"/>
      <c r="G25" s="13"/>
      <c r="H25" s="13"/>
      <c r="I25" s="13"/>
      <c r="J25" s="13">
        <v>187000</v>
      </c>
      <c r="K25" s="13" t="s">
        <v>37</v>
      </c>
    </row>
    <row r="26" spans="1:11" ht="19" x14ac:dyDescent="0.2">
      <c r="A26" s="55">
        <v>1307000</v>
      </c>
      <c r="B26" s="18">
        <v>45817</v>
      </c>
      <c r="C26" s="19" t="s">
        <v>16</v>
      </c>
      <c r="D26" s="20" t="s">
        <v>597</v>
      </c>
      <c r="E26" s="21">
        <v>370000</v>
      </c>
      <c r="F26" s="8">
        <v>288000</v>
      </c>
      <c r="G26" s="8">
        <v>649000</v>
      </c>
      <c r="H26" s="8"/>
      <c r="I26" s="8"/>
      <c r="J26" s="8">
        <v>200000</v>
      </c>
      <c r="K26" s="8" t="s">
        <v>625</v>
      </c>
    </row>
    <row r="27" spans="1:11" ht="19" x14ac:dyDescent="0.2">
      <c r="A27" s="56">
        <v>1279000</v>
      </c>
      <c r="B27" s="10">
        <v>45818</v>
      </c>
      <c r="C27" s="16" t="s">
        <v>16</v>
      </c>
      <c r="D27" s="12" t="s">
        <v>597</v>
      </c>
      <c r="E27" s="15">
        <v>469000</v>
      </c>
      <c r="F27" s="13">
        <v>164000</v>
      </c>
      <c r="G27" s="13">
        <v>646000</v>
      </c>
      <c r="H27" s="13"/>
      <c r="I27" s="13"/>
      <c r="J27" s="13">
        <v>150000</v>
      </c>
      <c r="K27" s="13" t="s">
        <v>23</v>
      </c>
    </row>
    <row r="28" spans="1:11" ht="19" x14ac:dyDescent="0.2">
      <c r="A28" s="55">
        <v>1031000</v>
      </c>
      <c r="B28" s="18">
        <v>45819</v>
      </c>
      <c r="C28" s="19" t="s">
        <v>16</v>
      </c>
      <c r="D28" s="20" t="s">
        <v>136</v>
      </c>
      <c r="E28" s="21">
        <v>518000</v>
      </c>
      <c r="F28" s="8">
        <v>126000</v>
      </c>
      <c r="G28" s="8">
        <v>387000</v>
      </c>
      <c r="H28" s="8">
        <v>7136000</v>
      </c>
      <c r="I28" s="8" t="s">
        <v>648</v>
      </c>
      <c r="J28" s="8">
        <v>23000</v>
      </c>
      <c r="K28" s="8" t="s">
        <v>626</v>
      </c>
    </row>
    <row r="29" spans="1:11" ht="19" x14ac:dyDescent="0.2">
      <c r="A29" s="56"/>
      <c r="B29" s="10"/>
      <c r="C29" s="16"/>
      <c r="D29" s="12"/>
      <c r="E29" s="15"/>
      <c r="F29" s="13"/>
      <c r="G29" s="13"/>
      <c r="H29" s="13"/>
      <c r="I29" s="13"/>
      <c r="J29" s="13">
        <v>87000</v>
      </c>
      <c r="K29" s="13" t="s">
        <v>627</v>
      </c>
    </row>
    <row r="30" spans="1:11" ht="19" x14ac:dyDescent="0.2">
      <c r="A30" s="55"/>
      <c r="B30" s="18"/>
      <c r="C30" s="22"/>
      <c r="D30" s="20"/>
      <c r="E30" s="21"/>
      <c r="F30" s="8"/>
      <c r="G30" s="8"/>
      <c r="H30" s="8"/>
      <c r="I30" s="8"/>
      <c r="J30" s="8">
        <v>35000</v>
      </c>
      <c r="K30" s="8" t="s">
        <v>628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>
        <v>270000</v>
      </c>
      <c r="K31" s="13" t="s">
        <v>629</v>
      </c>
    </row>
    <row r="32" spans="1:11" ht="19" x14ac:dyDescent="0.2">
      <c r="A32" s="55">
        <v>1091000</v>
      </c>
      <c r="B32" s="18">
        <v>45820</v>
      </c>
      <c r="C32" s="22" t="s">
        <v>16</v>
      </c>
      <c r="D32" s="20" t="s">
        <v>597</v>
      </c>
      <c r="E32" s="21">
        <v>448000</v>
      </c>
      <c r="F32" s="8">
        <v>131000</v>
      </c>
      <c r="G32" s="8">
        <v>512000</v>
      </c>
      <c r="H32" s="8"/>
      <c r="I32" s="8"/>
      <c r="J32" s="8">
        <v>45000</v>
      </c>
      <c r="K32" s="8" t="s">
        <v>496</v>
      </c>
    </row>
    <row r="33" spans="1:11" ht="19" x14ac:dyDescent="0.2">
      <c r="A33" s="54">
        <v>1211000</v>
      </c>
      <c r="B33" s="10">
        <v>45821</v>
      </c>
      <c r="C33" s="14" t="s">
        <v>16</v>
      </c>
      <c r="D33" s="12" t="s">
        <v>630</v>
      </c>
      <c r="E33" s="15">
        <v>517000</v>
      </c>
      <c r="F33" s="13">
        <v>139000</v>
      </c>
      <c r="G33" s="13">
        <v>555000</v>
      </c>
      <c r="H33" s="13"/>
      <c r="I33" s="13"/>
      <c r="J33" s="13">
        <v>40000</v>
      </c>
      <c r="K33" s="13" t="s">
        <v>40</v>
      </c>
    </row>
    <row r="34" spans="1:11" ht="19" x14ac:dyDescent="0.2">
      <c r="A34" s="53">
        <v>477000</v>
      </c>
      <c r="B34" s="18">
        <v>45822</v>
      </c>
      <c r="C34" s="22" t="s">
        <v>16</v>
      </c>
      <c r="D34" s="20" t="s">
        <v>631</v>
      </c>
      <c r="E34" s="21">
        <v>238000</v>
      </c>
      <c r="F34" s="8">
        <v>53000</v>
      </c>
      <c r="G34" s="8">
        <v>186000</v>
      </c>
      <c r="H34" s="8">
        <v>100000</v>
      </c>
      <c r="I34" s="8" t="s">
        <v>523</v>
      </c>
      <c r="J34" s="8">
        <v>4000</v>
      </c>
      <c r="K34" s="8" t="s">
        <v>632</v>
      </c>
    </row>
    <row r="35" spans="1:11" ht="19" x14ac:dyDescent="0.2">
      <c r="A35" s="54"/>
      <c r="B35" s="10">
        <v>45823</v>
      </c>
      <c r="C35" s="14"/>
      <c r="D35" s="12"/>
      <c r="E35" s="15" t="s">
        <v>125</v>
      </c>
      <c r="F35" s="13"/>
      <c r="G35" s="13"/>
      <c r="H35" s="13">
        <v>600000</v>
      </c>
      <c r="I35" s="13" t="s">
        <v>537</v>
      </c>
      <c r="J35" s="13">
        <v>150000</v>
      </c>
      <c r="K35" s="13" t="s">
        <v>528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>
        <v>1700000</v>
      </c>
      <c r="I36" s="8" t="s">
        <v>633</v>
      </c>
      <c r="J36" s="8">
        <v>240000</v>
      </c>
      <c r="K36" s="8" t="s">
        <v>650</v>
      </c>
    </row>
    <row r="37" spans="1:11" ht="19" x14ac:dyDescent="0.2">
      <c r="A37" s="56">
        <v>1113000</v>
      </c>
      <c r="B37" s="10">
        <v>45824</v>
      </c>
      <c r="C37" s="14" t="s">
        <v>16</v>
      </c>
      <c r="D37" s="12" t="s">
        <v>634</v>
      </c>
      <c r="E37" s="15">
        <v>410000</v>
      </c>
      <c r="F37" s="13">
        <v>274000</v>
      </c>
      <c r="G37" s="13">
        <v>429000</v>
      </c>
      <c r="H37" s="13"/>
      <c r="I37" s="13"/>
      <c r="J37" s="13">
        <v>126000</v>
      </c>
      <c r="K37" s="79" t="s">
        <v>533</v>
      </c>
    </row>
    <row r="38" spans="1:11" ht="19" x14ac:dyDescent="0.2">
      <c r="A38" s="55">
        <v>901000</v>
      </c>
      <c r="B38" s="18">
        <v>45825</v>
      </c>
      <c r="C38" s="22" t="s">
        <v>16</v>
      </c>
      <c r="D38" s="20" t="s">
        <v>597</v>
      </c>
      <c r="E38" s="21">
        <v>361000</v>
      </c>
      <c r="F38" s="8">
        <v>100000</v>
      </c>
      <c r="G38" s="8">
        <v>440000</v>
      </c>
      <c r="H38" s="8"/>
      <c r="I38" s="8"/>
      <c r="J38" s="8">
        <v>100000</v>
      </c>
      <c r="K38" s="8" t="s">
        <v>635</v>
      </c>
    </row>
    <row r="39" spans="1:11" ht="19" x14ac:dyDescent="0.2">
      <c r="A39" s="56"/>
      <c r="B39" s="10"/>
      <c r="C39" s="14"/>
      <c r="D39" s="12"/>
      <c r="E39" s="15"/>
      <c r="F39" s="13"/>
      <c r="G39" s="13"/>
      <c r="H39" s="13"/>
      <c r="I39" s="13"/>
      <c r="J39" s="13">
        <v>100000</v>
      </c>
      <c r="K39" s="13" t="s">
        <v>636</v>
      </c>
    </row>
    <row r="40" spans="1:11" ht="19" x14ac:dyDescent="0.2">
      <c r="A40" s="55"/>
      <c r="B40" s="18"/>
      <c r="C40" s="22"/>
      <c r="D40" s="20"/>
      <c r="E40" s="21"/>
      <c r="F40" s="8"/>
      <c r="G40" s="8"/>
      <c r="H40" s="8"/>
      <c r="I40" s="8"/>
      <c r="J40" s="8">
        <v>100000</v>
      </c>
      <c r="K40" s="8" t="s">
        <v>637</v>
      </c>
    </row>
    <row r="41" spans="1:11" ht="19" x14ac:dyDescent="0.2">
      <c r="A41" s="56">
        <v>1219000</v>
      </c>
      <c r="B41" s="10">
        <v>45826</v>
      </c>
      <c r="C41" s="14" t="s">
        <v>16</v>
      </c>
      <c r="D41" s="12" t="s">
        <v>638</v>
      </c>
      <c r="E41" s="15">
        <v>375000</v>
      </c>
      <c r="F41" s="13">
        <v>290000</v>
      </c>
      <c r="G41" s="13">
        <v>554000</v>
      </c>
      <c r="H41" s="13"/>
      <c r="I41" s="13"/>
      <c r="J41" s="13">
        <v>33000</v>
      </c>
      <c r="K41" s="13" t="s">
        <v>55</v>
      </c>
    </row>
    <row r="42" spans="1:11" ht="19" x14ac:dyDescent="0.2">
      <c r="A42" s="55"/>
      <c r="B42" s="18"/>
      <c r="C42" s="22"/>
      <c r="D42" s="20"/>
      <c r="E42" s="21"/>
      <c r="F42" s="8"/>
      <c r="G42" s="8"/>
      <c r="H42" s="8"/>
      <c r="I42" s="8"/>
      <c r="J42" s="8">
        <v>54000</v>
      </c>
      <c r="K42" s="8" t="s">
        <v>639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>
        <v>51000</v>
      </c>
      <c r="K43" s="13" t="s">
        <v>500</v>
      </c>
    </row>
    <row r="44" spans="1:11" ht="19" x14ac:dyDescent="0.2">
      <c r="A44" s="55"/>
      <c r="B44" s="18"/>
      <c r="C44" s="22"/>
      <c r="D44" s="20"/>
      <c r="E44" s="21"/>
      <c r="F44" s="8"/>
      <c r="G44" s="8"/>
      <c r="H44" s="8">
        <v>387000</v>
      </c>
      <c r="I44" s="105" t="s">
        <v>649</v>
      </c>
      <c r="J44" s="8">
        <v>51000</v>
      </c>
      <c r="K44" s="8" t="s">
        <v>640</v>
      </c>
    </row>
    <row r="45" spans="1:11" ht="19" x14ac:dyDescent="0.2">
      <c r="A45" s="56"/>
      <c r="B45" s="10"/>
      <c r="C45" s="14"/>
      <c r="D45" s="12"/>
      <c r="E45" s="15"/>
      <c r="F45" s="13"/>
      <c r="G45" s="13"/>
      <c r="H45" s="13"/>
      <c r="I45" s="13"/>
      <c r="J45" s="45">
        <v>26000</v>
      </c>
      <c r="K45" s="45" t="s">
        <v>641</v>
      </c>
    </row>
    <row r="46" spans="1:11" ht="19" x14ac:dyDescent="0.2">
      <c r="A46" s="59"/>
      <c r="B46" s="47"/>
      <c r="C46" s="51"/>
      <c r="D46" s="48"/>
      <c r="E46" s="49"/>
      <c r="F46" s="50"/>
      <c r="G46" s="50"/>
      <c r="H46" s="50"/>
      <c r="I46" s="50"/>
      <c r="J46" s="50">
        <v>33000</v>
      </c>
      <c r="K46" s="50" t="s">
        <v>208</v>
      </c>
    </row>
    <row r="47" spans="1:11" ht="19" x14ac:dyDescent="0.2">
      <c r="A47" s="58">
        <v>847000</v>
      </c>
      <c r="B47" s="43">
        <v>45827</v>
      </c>
      <c r="C47" s="46" t="s">
        <v>16</v>
      </c>
      <c r="D47" s="44" t="s">
        <v>631</v>
      </c>
      <c r="E47" s="15">
        <v>151000</v>
      </c>
      <c r="F47" s="13">
        <v>310000</v>
      </c>
      <c r="G47" s="13">
        <v>386000</v>
      </c>
      <c r="H47" s="45"/>
      <c r="I47" s="45"/>
      <c r="J47" s="45">
        <v>14000</v>
      </c>
      <c r="K47" s="45" t="s">
        <v>594</v>
      </c>
    </row>
    <row r="48" spans="1:11" ht="19" x14ac:dyDescent="0.2">
      <c r="A48" s="57">
        <v>953000</v>
      </c>
      <c r="B48" s="47">
        <v>45828</v>
      </c>
      <c r="C48" s="51" t="s">
        <v>16</v>
      </c>
      <c r="D48" s="48" t="s">
        <v>631</v>
      </c>
      <c r="E48" s="49">
        <v>362000</v>
      </c>
      <c r="F48" s="50">
        <v>221000</v>
      </c>
      <c r="G48" s="50">
        <v>370000</v>
      </c>
      <c r="H48" s="50"/>
      <c r="I48" s="50"/>
      <c r="J48" s="50">
        <v>100000</v>
      </c>
      <c r="K48" s="50" t="s">
        <v>642</v>
      </c>
    </row>
    <row r="49" spans="1:11" ht="19" x14ac:dyDescent="0.2">
      <c r="A49" s="61"/>
      <c r="B49" s="43"/>
      <c r="C49" s="46"/>
      <c r="D49" s="44"/>
      <c r="E49" s="62"/>
      <c r="F49" s="45"/>
      <c r="G49" s="45"/>
      <c r="H49" s="45"/>
      <c r="I49" s="45"/>
      <c r="J49" s="45">
        <v>12000</v>
      </c>
      <c r="K49" s="45" t="s">
        <v>317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23000</v>
      </c>
      <c r="K50" s="50" t="s">
        <v>208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150000</v>
      </c>
      <c r="K51" s="45" t="s">
        <v>643</v>
      </c>
    </row>
    <row r="52" spans="1:11" ht="19" x14ac:dyDescent="0.2">
      <c r="A52" s="57">
        <v>486000</v>
      </c>
      <c r="B52" s="47">
        <v>45829</v>
      </c>
      <c r="C52" s="51" t="s">
        <v>16</v>
      </c>
      <c r="D52" s="48" t="s">
        <v>631</v>
      </c>
      <c r="E52" s="49">
        <v>49000</v>
      </c>
      <c r="F52" s="50">
        <v>142000</v>
      </c>
      <c r="G52" s="50">
        <v>295000</v>
      </c>
      <c r="H52" s="50"/>
      <c r="I52" s="50"/>
      <c r="J52" s="50"/>
      <c r="K52" s="50"/>
    </row>
    <row r="53" spans="1:11" ht="19" x14ac:dyDescent="0.2">
      <c r="A53" s="61"/>
      <c r="B53" s="43">
        <v>45830</v>
      </c>
      <c r="C53" s="46"/>
      <c r="D53" s="44"/>
      <c r="E53" s="62" t="s">
        <v>125</v>
      </c>
      <c r="F53" s="45"/>
      <c r="G53" s="45"/>
      <c r="H53" s="45"/>
      <c r="I53" s="45"/>
      <c r="J53" s="45"/>
      <c r="K53" s="45"/>
    </row>
    <row r="54" spans="1:11" ht="19" x14ac:dyDescent="0.2">
      <c r="A54" s="57">
        <v>1271000</v>
      </c>
      <c r="B54" s="47">
        <v>45831</v>
      </c>
      <c r="C54" s="51" t="s">
        <v>16</v>
      </c>
      <c r="D54" s="48" t="s">
        <v>631</v>
      </c>
      <c r="E54" s="49">
        <v>486000</v>
      </c>
      <c r="F54" s="50">
        <v>154000</v>
      </c>
      <c r="G54" s="50">
        <v>631000</v>
      </c>
      <c r="H54" s="50"/>
      <c r="I54" s="50"/>
      <c r="J54" s="50">
        <v>200000</v>
      </c>
      <c r="K54" s="50" t="s">
        <v>21</v>
      </c>
    </row>
    <row r="55" spans="1:11" ht="19" x14ac:dyDescent="0.2">
      <c r="A55" s="61"/>
      <c r="B55" s="43"/>
      <c r="C55" s="46"/>
      <c r="D55" s="44"/>
      <c r="E55" s="62"/>
      <c r="F55" s="45"/>
      <c r="G55" s="45"/>
      <c r="H55" s="45"/>
      <c r="I55" s="45"/>
      <c r="J55" s="45">
        <v>150000</v>
      </c>
      <c r="K55" s="45" t="s">
        <v>23</v>
      </c>
    </row>
    <row r="56" spans="1:11" ht="19" x14ac:dyDescent="0.2">
      <c r="A56" s="57">
        <v>659000</v>
      </c>
      <c r="B56" s="47">
        <v>45832</v>
      </c>
      <c r="C56" s="51" t="s">
        <v>16</v>
      </c>
      <c r="D56" s="48" t="s">
        <v>631</v>
      </c>
      <c r="E56" s="49">
        <v>359000</v>
      </c>
      <c r="F56" s="50">
        <v>0</v>
      </c>
      <c r="G56" s="50">
        <v>300000</v>
      </c>
      <c r="H56" s="50"/>
      <c r="I56" s="50"/>
      <c r="J56" s="50">
        <v>45000</v>
      </c>
      <c r="K56" s="63" t="s">
        <v>496</v>
      </c>
    </row>
    <row r="57" spans="1:11" ht="19" x14ac:dyDescent="0.2">
      <c r="A57" s="61"/>
      <c r="B57" s="43"/>
      <c r="C57" s="46"/>
      <c r="D57" s="44"/>
      <c r="E57" s="62"/>
      <c r="F57" s="45"/>
      <c r="G57" s="45"/>
      <c r="H57" s="45"/>
      <c r="I57" s="45"/>
      <c r="J57" s="45">
        <v>100000</v>
      </c>
      <c r="K57" s="45" t="s">
        <v>197</v>
      </c>
    </row>
    <row r="58" spans="1:11" ht="19" x14ac:dyDescent="0.2">
      <c r="A58" s="57">
        <v>932000</v>
      </c>
      <c r="B58" s="47">
        <v>45833</v>
      </c>
      <c r="C58" s="51" t="s">
        <v>16</v>
      </c>
      <c r="D58" s="48" t="s">
        <v>631</v>
      </c>
      <c r="E58" s="49">
        <v>268000</v>
      </c>
      <c r="F58" s="50">
        <v>216000</v>
      </c>
      <c r="G58" s="50">
        <v>448000</v>
      </c>
      <c r="H58" s="50"/>
      <c r="I58" s="50"/>
      <c r="J58" s="50">
        <v>44000</v>
      </c>
      <c r="K58" s="50" t="s">
        <v>644</v>
      </c>
    </row>
    <row r="59" spans="1:11" ht="19" x14ac:dyDescent="0.2">
      <c r="A59" s="61"/>
      <c r="B59" s="43"/>
      <c r="C59" s="46"/>
      <c r="D59" s="44"/>
      <c r="E59" s="62"/>
      <c r="F59" s="45"/>
      <c r="G59" s="45"/>
      <c r="H59" s="45"/>
      <c r="I59" s="45"/>
      <c r="J59" s="45">
        <v>12000</v>
      </c>
      <c r="K59" s="45" t="s">
        <v>645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>
        <v>49000</v>
      </c>
      <c r="K60" s="50" t="s">
        <v>40</v>
      </c>
    </row>
    <row r="61" spans="1:11" ht="19" x14ac:dyDescent="0.2">
      <c r="A61" s="61">
        <v>620000</v>
      </c>
      <c r="B61" s="43">
        <v>45834</v>
      </c>
      <c r="C61" s="46" t="s">
        <v>16</v>
      </c>
      <c r="D61" s="44" t="s">
        <v>631</v>
      </c>
      <c r="E61" s="62">
        <v>345000</v>
      </c>
      <c r="F61" s="45">
        <v>0</v>
      </c>
      <c r="G61" s="45">
        <v>275000</v>
      </c>
      <c r="H61" s="45"/>
      <c r="I61" s="45"/>
      <c r="J61" s="45">
        <v>180000</v>
      </c>
      <c r="K61" s="45" t="s">
        <v>646</v>
      </c>
    </row>
    <row r="62" spans="1:11" ht="19" x14ac:dyDescent="0.2">
      <c r="A62" s="57">
        <v>1135000</v>
      </c>
      <c r="B62" s="47">
        <v>45835</v>
      </c>
      <c r="C62" s="51" t="s">
        <v>16</v>
      </c>
      <c r="D62" s="48" t="s">
        <v>631</v>
      </c>
      <c r="E62" s="49">
        <v>471000</v>
      </c>
      <c r="F62" s="50">
        <v>113000</v>
      </c>
      <c r="G62" s="50">
        <v>551000</v>
      </c>
      <c r="H62" s="50"/>
      <c r="I62" s="50"/>
      <c r="J62" s="50">
        <v>105000</v>
      </c>
      <c r="K62" s="50" t="s">
        <v>28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33000</v>
      </c>
      <c r="K63" s="45" t="s">
        <v>208</v>
      </c>
    </row>
    <row r="64" spans="1:11" ht="19" x14ac:dyDescent="0.2">
      <c r="A64" s="57">
        <v>354000</v>
      </c>
      <c r="B64" s="47">
        <v>45836</v>
      </c>
      <c r="C64" s="51" t="s">
        <v>16</v>
      </c>
      <c r="D64" s="48" t="s">
        <v>631</v>
      </c>
      <c r="E64" s="49">
        <v>151000</v>
      </c>
      <c r="F64" s="50">
        <v>0</v>
      </c>
      <c r="G64" s="50">
        <v>203000</v>
      </c>
      <c r="H64" s="50"/>
      <c r="I64" s="50"/>
      <c r="J64" s="50">
        <v>24000</v>
      </c>
      <c r="K64" s="50" t="s">
        <v>368</v>
      </c>
    </row>
    <row r="65" spans="1:11" ht="19" x14ac:dyDescent="0.2">
      <c r="A65" s="61"/>
      <c r="B65" s="43">
        <v>45837</v>
      </c>
      <c r="C65" s="46"/>
      <c r="D65" s="44"/>
      <c r="E65" s="62" t="s">
        <v>125</v>
      </c>
      <c r="F65" s="45"/>
      <c r="G65" s="45"/>
      <c r="H65" s="45">
        <v>2040000</v>
      </c>
      <c r="I65" s="45" t="s">
        <v>647</v>
      </c>
      <c r="J65" s="45"/>
      <c r="K65" s="45"/>
    </row>
    <row r="66" spans="1:11" ht="19" x14ac:dyDescent="0.2">
      <c r="A66" s="57">
        <v>1377000</v>
      </c>
      <c r="B66" s="47">
        <v>45838</v>
      </c>
      <c r="C66" s="51" t="s">
        <v>16</v>
      </c>
      <c r="D66" s="48" t="s">
        <v>631</v>
      </c>
      <c r="E66" s="49">
        <v>539000</v>
      </c>
      <c r="F66" s="50">
        <v>312000</v>
      </c>
      <c r="G66" s="50">
        <v>526000</v>
      </c>
      <c r="H66" s="50"/>
      <c r="I66" s="50"/>
      <c r="J66" s="50"/>
      <c r="K66" s="50"/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/>
      <c r="K67" s="4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K91"/>
  <sheetViews>
    <sheetView workbookViewId="0">
      <selection activeCell="B7" sqref="B7"/>
    </sheetView>
  </sheetViews>
  <sheetFormatPr baseColWidth="10" defaultColWidth="11.5" defaultRowHeight="15" x14ac:dyDescent="0.2"/>
  <cols>
    <col min="1" max="1" width="22.33203125" customWidth="1"/>
    <col min="3" max="3" width="13.33203125" bestFit="1" customWidth="1"/>
    <col min="4" max="4" width="10" bestFit="1" customWidth="1"/>
    <col min="5" max="5" width="20.33203125" bestFit="1" customWidth="1"/>
    <col min="6" max="6" width="28" customWidth="1"/>
    <col min="7" max="7" width="20.33203125" bestFit="1" customWidth="1"/>
    <col min="8" max="8" width="22.33203125" customWidth="1"/>
    <col min="9" max="9" width="29.6640625" customWidth="1"/>
    <col min="10" max="10" width="19" bestFit="1" customWidth="1"/>
    <col min="11" max="11" width="25.6640625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687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2536166</v>
      </c>
      <c r="K6" s="30" t="s">
        <v>688</v>
      </c>
    </row>
    <row r="7" spans="1:11" ht="26" x14ac:dyDescent="0.3">
      <c r="B7" s="32" t="s">
        <v>689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SUM(A11:A538)</f>
        <v>27254000</v>
      </c>
      <c r="B10" s="39"/>
      <c r="C10" s="40" t="s">
        <v>15</v>
      </c>
      <c r="D10" s="41"/>
      <c r="E10" s="42">
        <f>SUM(E11:E538)</f>
        <v>10379000</v>
      </c>
      <c r="F10" s="38">
        <f>SUM(F11:F538)</f>
        <v>4007000</v>
      </c>
      <c r="G10" s="38">
        <f>SUM(G11:G533)</f>
        <v>12868000</v>
      </c>
      <c r="H10" s="38">
        <f>SUM(H11:H538)</f>
        <v>13960000</v>
      </c>
      <c r="I10" s="38"/>
      <c r="J10" s="38">
        <f>SUM(J11:J538)</f>
        <v>4725000</v>
      </c>
      <c r="K10" s="38"/>
    </row>
    <row r="11" spans="1:11" ht="21" x14ac:dyDescent="0.2">
      <c r="A11" s="96">
        <v>881000</v>
      </c>
      <c r="B11" s="97">
        <v>45839</v>
      </c>
      <c r="C11" s="98" t="s">
        <v>16</v>
      </c>
      <c r="D11" s="99" t="s">
        <v>654</v>
      </c>
      <c r="E11" s="13">
        <v>382000</v>
      </c>
      <c r="F11" s="13">
        <v>155000</v>
      </c>
      <c r="G11" s="13">
        <v>344000</v>
      </c>
      <c r="H11" s="13"/>
      <c r="I11" s="13"/>
      <c r="J11" s="13">
        <v>126000</v>
      </c>
      <c r="K11" s="13" t="s">
        <v>533</v>
      </c>
    </row>
    <row r="12" spans="1:11" ht="19" x14ac:dyDescent="0.2">
      <c r="A12" s="53">
        <v>765000</v>
      </c>
      <c r="B12" s="4">
        <v>45840</v>
      </c>
      <c r="C12" s="5" t="s">
        <v>16</v>
      </c>
      <c r="D12" s="2" t="s">
        <v>654</v>
      </c>
      <c r="E12" s="1">
        <v>111000</v>
      </c>
      <c r="F12" s="1">
        <v>116000</v>
      </c>
      <c r="G12" s="1">
        <v>538000</v>
      </c>
      <c r="H12" s="1"/>
      <c r="I12" s="1"/>
      <c r="J12" s="1">
        <v>50000</v>
      </c>
      <c r="K12" s="1" t="s">
        <v>208</v>
      </c>
    </row>
    <row r="13" spans="1:11" ht="19" x14ac:dyDescent="0.2">
      <c r="A13" s="54">
        <v>853000</v>
      </c>
      <c r="B13" s="10">
        <v>45841</v>
      </c>
      <c r="C13" s="14" t="s">
        <v>16</v>
      </c>
      <c r="D13" s="12" t="s">
        <v>654</v>
      </c>
      <c r="E13" s="15">
        <v>157000</v>
      </c>
      <c r="F13" s="13">
        <v>211000</v>
      </c>
      <c r="G13" s="13">
        <v>485000</v>
      </c>
      <c r="H13" s="13"/>
      <c r="I13" s="13"/>
      <c r="J13" s="13"/>
      <c r="K13" s="13"/>
    </row>
    <row r="14" spans="1:11" ht="19" x14ac:dyDescent="0.2">
      <c r="A14" s="53">
        <v>806000</v>
      </c>
      <c r="B14" s="4">
        <v>45842</v>
      </c>
      <c r="C14" s="5" t="s">
        <v>16</v>
      </c>
      <c r="D14" s="2" t="s">
        <v>168</v>
      </c>
      <c r="E14" s="3">
        <v>260000</v>
      </c>
      <c r="F14" s="1">
        <v>50000</v>
      </c>
      <c r="G14" s="1">
        <v>496000</v>
      </c>
      <c r="H14" s="1"/>
      <c r="I14" s="1"/>
      <c r="J14" s="8">
        <v>69000</v>
      </c>
      <c r="K14" s="1" t="s">
        <v>655</v>
      </c>
    </row>
    <row r="15" spans="1:11" ht="19" x14ac:dyDescent="0.2">
      <c r="A15" s="54"/>
      <c r="B15" s="10"/>
      <c r="C15" s="14"/>
      <c r="D15" s="12"/>
      <c r="E15" s="15"/>
      <c r="F15" s="13"/>
      <c r="G15" s="13"/>
      <c r="H15" s="13"/>
      <c r="I15" s="13"/>
      <c r="J15" s="13">
        <v>149000</v>
      </c>
      <c r="K15" s="13" t="s">
        <v>656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>
        <v>54000</v>
      </c>
      <c r="K16" s="8" t="s">
        <v>139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67000</v>
      </c>
      <c r="K17" s="13" t="s">
        <v>176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>
        <v>21000</v>
      </c>
      <c r="K18" s="8" t="s">
        <v>594</v>
      </c>
    </row>
    <row r="19" spans="1:11" ht="19" x14ac:dyDescent="0.2">
      <c r="A19" s="56">
        <v>505000</v>
      </c>
      <c r="B19" s="10">
        <v>45843</v>
      </c>
      <c r="C19" s="16" t="s">
        <v>16</v>
      </c>
      <c r="D19" s="12" t="s">
        <v>654</v>
      </c>
      <c r="E19" s="15">
        <v>297000</v>
      </c>
      <c r="F19" s="13">
        <v>0</v>
      </c>
      <c r="G19" s="13">
        <v>208000</v>
      </c>
      <c r="H19" s="17"/>
      <c r="I19" s="17"/>
      <c r="J19" s="13"/>
      <c r="K19" s="13"/>
    </row>
    <row r="20" spans="1:11" ht="19" x14ac:dyDescent="0.2">
      <c r="A20" s="55"/>
      <c r="B20" s="18">
        <v>45844</v>
      </c>
      <c r="C20" s="19"/>
      <c r="D20" s="20"/>
      <c r="E20" s="21" t="s">
        <v>125</v>
      </c>
      <c r="F20" s="8"/>
      <c r="G20" s="8"/>
      <c r="H20" s="23"/>
      <c r="I20" s="23"/>
      <c r="J20" s="8"/>
      <c r="K20" s="8"/>
    </row>
    <row r="21" spans="1:11" ht="19" x14ac:dyDescent="0.2">
      <c r="A21" s="56">
        <v>1145000</v>
      </c>
      <c r="B21" s="10">
        <v>45845</v>
      </c>
      <c r="C21" s="16" t="s">
        <v>16</v>
      </c>
      <c r="D21" s="12" t="s">
        <v>168</v>
      </c>
      <c r="E21" s="15">
        <v>558000</v>
      </c>
      <c r="F21" s="13">
        <v>169000</v>
      </c>
      <c r="G21" s="13">
        <v>418000</v>
      </c>
      <c r="H21" s="17"/>
      <c r="I21" s="17"/>
      <c r="J21" s="13"/>
      <c r="K21" s="13"/>
    </row>
    <row r="22" spans="1:11" ht="19" x14ac:dyDescent="0.2">
      <c r="A22" s="55">
        <v>1060000</v>
      </c>
      <c r="B22" s="18" t="s">
        <v>657</v>
      </c>
      <c r="C22" s="19" t="s">
        <v>16</v>
      </c>
      <c r="D22" s="20" t="s">
        <v>168</v>
      </c>
      <c r="E22" s="21">
        <v>298000</v>
      </c>
      <c r="F22" s="8">
        <v>13000</v>
      </c>
      <c r="G22" s="8">
        <v>749000</v>
      </c>
      <c r="H22" s="23"/>
      <c r="I22" s="23"/>
      <c r="J22" s="8">
        <v>49000</v>
      </c>
      <c r="K22" s="8" t="s">
        <v>40</v>
      </c>
    </row>
    <row r="23" spans="1:11" ht="19" x14ac:dyDescent="0.2">
      <c r="A23" s="56"/>
      <c r="B23" s="10"/>
      <c r="C23" s="15"/>
      <c r="D23" s="12"/>
      <c r="E23" s="15"/>
      <c r="F23" s="13"/>
      <c r="G23" s="13"/>
      <c r="H23" s="17"/>
      <c r="I23" s="17"/>
      <c r="J23" s="13">
        <v>12000</v>
      </c>
      <c r="K23" s="13" t="s">
        <v>658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124000</v>
      </c>
      <c r="K24" s="8" t="s">
        <v>659</v>
      </c>
    </row>
    <row r="25" spans="1:11" ht="19" x14ac:dyDescent="0.2">
      <c r="A25" s="56"/>
      <c r="B25" s="10"/>
      <c r="C25" s="15"/>
      <c r="D25" s="12"/>
      <c r="E25" s="15"/>
      <c r="F25" s="13"/>
      <c r="G25" s="13"/>
      <c r="H25" s="13"/>
      <c r="I25" s="13"/>
      <c r="J25" s="13">
        <v>16000</v>
      </c>
      <c r="K25" s="13" t="s">
        <v>594</v>
      </c>
    </row>
    <row r="26" spans="1:11" ht="19" x14ac:dyDescent="0.2">
      <c r="A26" s="55"/>
      <c r="B26" s="18"/>
      <c r="C26" s="19"/>
      <c r="D26" s="20"/>
      <c r="E26" s="21"/>
      <c r="F26" s="8"/>
      <c r="G26" s="8"/>
      <c r="H26" s="8"/>
      <c r="I26" s="8"/>
      <c r="J26" s="8">
        <v>35000</v>
      </c>
      <c r="K26" s="8" t="s">
        <v>208</v>
      </c>
    </row>
    <row r="27" spans="1:11" ht="19" x14ac:dyDescent="0.2">
      <c r="A27" s="56">
        <v>1104000</v>
      </c>
      <c r="B27" s="10">
        <v>45847</v>
      </c>
      <c r="C27" s="16" t="s">
        <v>16</v>
      </c>
      <c r="D27" s="12" t="s">
        <v>168</v>
      </c>
      <c r="E27" s="15">
        <v>370000</v>
      </c>
      <c r="F27" s="13">
        <v>273000</v>
      </c>
      <c r="G27" s="13">
        <v>461000</v>
      </c>
      <c r="H27" s="13"/>
      <c r="I27" s="13"/>
      <c r="J27" s="13">
        <v>108000</v>
      </c>
      <c r="K27" s="13" t="s">
        <v>460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/>
      <c r="I28" s="8"/>
      <c r="J28" s="8">
        <v>25000</v>
      </c>
      <c r="K28" s="8" t="s">
        <v>660</v>
      </c>
    </row>
    <row r="29" spans="1:11" ht="19" x14ac:dyDescent="0.2">
      <c r="A29" s="56"/>
      <c r="B29" s="10"/>
      <c r="C29" s="16"/>
      <c r="D29" s="12"/>
      <c r="E29" s="15"/>
      <c r="F29" s="13"/>
      <c r="G29" s="13"/>
      <c r="H29" s="13"/>
      <c r="I29" s="13"/>
      <c r="J29" s="13">
        <v>81000</v>
      </c>
      <c r="K29" s="13" t="s">
        <v>393</v>
      </c>
    </row>
    <row r="30" spans="1:11" ht="19" x14ac:dyDescent="0.2">
      <c r="A30" s="55"/>
      <c r="B30" s="18"/>
      <c r="C30" s="22"/>
      <c r="D30" s="20"/>
      <c r="E30" s="21"/>
      <c r="F30" s="8"/>
      <c r="G30" s="8"/>
      <c r="H30" s="8"/>
      <c r="I30" s="8"/>
      <c r="J30" s="8">
        <v>36000</v>
      </c>
      <c r="K30" s="8" t="s">
        <v>661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>
        <v>28000</v>
      </c>
      <c r="K31" s="13" t="s">
        <v>368</v>
      </c>
    </row>
    <row r="32" spans="1:11" ht="19" x14ac:dyDescent="0.2">
      <c r="A32" s="55">
        <v>1279000</v>
      </c>
      <c r="B32" s="18">
        <v>45848</v>
      </c>
      <c r="C32" s="22" t="s">
        <v>16</v>
      </c>
      <c r="D32" s="20" t="s">
        <v>168</v>
      </c>
      <c r="E32" s="21">
        <v>491000</v>
      </c>
      <c r="F32" s="8">
        <v>398000</v>
      </c>
      <c r="G32" s="8">
        <v>390000</v>
      </c>
      <c r="H32" s="8">
        <v>7115000</v>
      </c>
      <c r="I32" s="8" t="s">
        <v>685</v>
      </c>
      <c r="J32" s="8">
        <v>41000</v>
      </c>
      <c r="K32" s="8" t="s">
        <v>662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>
        <v>18000</v>
      </c>
      <c r="K33" s="13" t="s">
        <v>577</v>
      </c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>
        <v>100000</v>
      </c>
      <c r="K34" s="8" t="s">
        <v>197</v>
      </c>
    </row>
    <row r="35" spans="1:11" ht="19" x14ac:dyDescent="0.2">
      <c r="A35" s="54">
        <v>1008000</v>
      </c>
      <c r="B35" s="10">
        <v>45849</v>
      </c>
      <c r="C35" s="14" t="s">
        <v>16</v>
      </c>
      <c r="D35" s="12" t="s">
        <v>168</v>
      </c>
      <c r="E35" s="15">
        <v>306000</v>
      </c>
      <c r="F35" s="13">
        <v>319000</v>
      </c>
      <c r="G35" s="13">
        <v>383000</v>
      </c>
      <c r="H35" s="13"/>
      <c r="I35" s="13"/>
      <c r="J35" s="13">
        <v>27000</v>
      </c>
      <c r="K35" s="13" t="s">
        <v>208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>
        <v>200000</v>
      </c>
      <c r="K36" s="8" t="s">
        <v>21</v>
      </c>
    </row>
    <row r="37" spans="1:11" ht="19" x14ac:dyDescent="0.2">
      <c r="A37" s="56">
        <v>725000</v>
      </c>
      <c r="B37" s="10">
        <v>45850</v>
      </c>
      <c r="C37" s="14" t="s">
        <v>16</v>
      </c>
      <c r="D37" s="12" t="s">
        <v>168</v>
      </c>
      <c r="E37" s="15">
        <v>323000</v>
      </c>
      <c r="F37" s="13">
        <v>0</v>
      </c>
      <c r="G37" s="13">
        <v>402000</v>
      </c>
      <c r="H37" s="13"/>
      <c r="I37" s="13"/>
      <c r="J37" s="13">
        <v>27000</v>
      </c>
      <c r="K37" s="79" t="s">
        <v>56</v>
      </c>
    </row>
    <row r="38" spans="1:11" ht="19" x14ac:dyDescent="0.2">
      <c r="A38" s="55"/>
      <c r="B38" s="18"/>
      <c r="C38" s="22"/>
      <c r="D38" s="20"/>
      <c r="E38" s="21"/>
      <c r="F38" s="8"/>
      <c r="G38" s="8"/>
      <c r="H38" s="8"/>
      <c r="I38" s="8"/>
      <c r="J38" s="8">
        <v>33000</v>
      </c>
      <c r="K38" s="8" t="s">
        <v>55</v>
      </c>
    </row>
    <row r="39" spans="1:11" ht="19" x14ac:dyDescent="0.2">
      <c r="A39" s="56"/>
      <c r="B39" s="10">
        <v>45851</v>
      </c>
      <c r="C39" s="14"/>
      <c r="D39" s="12"/>
      <c r="E39" s="15" t="s">
        <v>125</v>
      </c>
      <c r="F39" s="13"/>
      <c r="G39" s="13"/>
      <c r="H39" s="13"/>
      <c r="I39" s="13"/>
      <c r="J39" s="13">
        <v>112000</v>
      </c>
      <c r="K39" s="13" t="s">
        <v>254</v>
      </c>
    </row>
    <row r="40" spans="1:11" ht="19" x14ac:dyDescent="0.2">
      <c r="A40" s="55">
        <v>890000</v>
      </c>
      <c r="B40" s="18">
        <v>45852</v>
      </c>
      <c r="C40" s="22" t="s">
        <v>16</v>
      </c>
      <c r="D40" s="20" t="s">
        <v>663</v>
      </c>
      <c r="E40" s="21">
        <v>211000</v>
      </c>
      <c r="F40" s="8">
        <v>173000</v>
      </c>
      <c r="G40" s="8">
        <v>506000</v>
      </c>
      <c r="H40" s="8"/>
      <c r="I40" s="8"/>
      <c r="J40" s="8">
        <v>27000</v>
      </c>
      <c r="K40" s="8" t="s">
        <v>56</v>
      </c>
    </row>
    <row r="41" spans="1:11" ht="19" x14ac:dyDescent="0.2">
      <c r="A41" s="56"/>
      <c r="B41" s="10"/>
      <c r="C41" s="14"/>
      <c r="D41" s="12"/>
      <c r="E41" s="15"/>
      <c r="F41" s="13"/>
      <c r="G41" s="13"/>
      <c r="H41" s="13"/>
      <c r="I41" s="13"/>
      <c r="J41" s="13">
        <v>84000</v>
      </c>
      <c r="K41" s="13" t="s">
        <v>96</v>
      </c>
    </row>
    <row r="42" spans="1:11" ht="19" x14ac:dyDescent="0.2">
      <c r="A42" s="55"/>
      <c r="B42" s="18"/>
      <c r="C42" s="22"/>
      <c r="D42" s="20"/>
      <c r="E42" s="21"/>
      <c r="F42" s="8"/>
      <c r="G42" s="8"/>
      <c r="H42" s="8"/>
      <c r="I42" s="8"/>
      <c r="J42" s="8">
        <v>260000</v>
      </c>
      <c r="K42" s="8" t="s">
        <v>664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>
        <v>25000</v>
      </c>
      <c r="K43" s="13" t="s">
        <v>208</v>
      </c>
    </row>
    <row r="44" spans="1:11" ht="19" x14ac:dyDescent="0.2">
      <c r="A44" s="55">
        <v>1256000</v>
      </c>
      <c r="B44" s="18">
        <v>45853</v>
      </c>
      <c r="C44" s="22" t="s">
        <v>16</v>
      </c>
      <c r="D44" s="20" t="s">
        <v>663</v>
      </c>
      <c r="E44" s="21">
        <v>674000</v>
      </c>
      <c r="F44" s="8">
        <v>94000</v>
      </c>
      <c r="G44" s="8">
        <v>488000</v>
      </c>
      <c r="H44" s="8">
        <v>1370000</v>
      </c>
      <c r="I44" s="105" t="s">
        <v>665</v>
      </c>
      <c r="J44" s="8"/>
      <c r="K44" s="8"/>
    </row>
    <row r="45" spans="1:11" ht="32" x14ac:dyDescent="0.2">
      <c r="A45" s="56"/>
      <c r="B45" s="10"/>
      <c r="C45" s="14"/>
      <c r="D45" s="12"/>
      <c r="E45" s="15"/>
      <c r="F45" s="13"/>
      <c r="G45" s="13"/>
      <c r="H45" s="13">
        <v>575000</v>
      </c>
      <c r="I45" s="104" t="s">
        <v>666</v>
      </c>
      <c r="J45" s="45"/>
      <c r="K45" s="45"/>
    </row>
    <row r="46" spans="1:11" ht="19" x14ac:dyDescent="0.2">
      <c r="A46" s="59"/>
      <c r="B46" s="47"/>
      <c r="C46" s="51"/>
      <c r="D46" s="48"/>
      <c r="E46" s="49"/>
      <c r="F46" s="50"/>
      <c r="G46" s="50"/>
      <c r="H46" s="50"/>
      <c r="I46" s="50"/>
      <c r="J46" s="50"/>
      <c r="K46" s="50"/>
    </row>
    <row r="47" spans="1:11" ht="19" x14ac:dyDescent="0.2">
      <c r="A47" s="58">
        <v>1042000</v>
      </c>
      <c r="B47" s="43">
        <v>45854</v>
      </c>
      <c r="C47" s="46" t="s">
        <v>16</v>
      </c>
      <c r="D47" s="44" t="s">
        <v>663</v>
      </c>
      <c r="E47" s="15">
        <v>390000</v>
      </c>
      <c r="F47" s="13">
        <v>240000</v>
      </c>
      <c r="G47" s="13">
        <v>412000</v>
      </c>
      <c r="H47" s="45">
        <v>100000</v>
      </c>
      <c r="I47" s="45" t="s">
        <v>523</v>
      </c>
      <c r="J47" s="45"/>
      <c r="K47" s="45"/>
    </row>
    <row r="48" spans="1:11" ht="19" x14ac:dyDescent="0.2">
      <c r="A48" s="57">
        <v>212000</v>
      </c>
      <c r="B48" s="47"/>
      <c r="C48" s="51" t="s">
        <v>18</v>
      </c>
      <c r="D48" s="48" t="s">
        <v>631</v>
      </c>
      <c r="E48" s="49">
        <v>142000</v>
      </c>
      <c r="F48" s="50">
        <v>0</v>
      </c>
      <c r="G48" s="50">
        <v>70000</v>
      </c>
      <c r="H48" s="50"/>
      <c r="I48" s="50"/>
      <c r="J48" s="50">
        <v>33000</v>
      </c>
      <c r="K48" s="50" t="s">
        <v>208</v>
      </c>
    </row>
    <row r="49" spans="1:11" ht="19" x14ac:dyDescent="0.2">
      <c r="A49" s="61">
        <v>873000</v>
      </c>
      <c r="B49" s="43">
        <v>45855</v>
      </c>
      <c r="C49" s="46" t="s">
        <v>16</v>
      </c>
      <c r="D49" s="44" t="s">
        <v>654</v>
      </c>
      <c r="E49" s="62">
        <v>301000</v>
      </c>
      <c r="F49" s="45">
        <v>106000</v>
      </c>
      <c r="G49" s="45">
        <v>466000</v>
      </c>
      <c r="H49" s="45"/>
      <c r="I49" s="45"/>
      <c r="J49" s="45">
        <v>67000</v>
      </c>
      <c r="K49" s="45" t="s">
        <v>667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27000</v>
      </c>
      <c r="K50" s="50" t="s">
        <v>56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51000</v>
      </c>
      <c r="K51" s="45" t="s">
        <v>500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16000</v>
      </c>
      <c r="K52" s="50" t="s">
        <v>668</v>
      </c>
    </row>
    <row r="53" spans="1:11" ht="19" x14ac:dyDescent="0.2">
      <c r="A53" s="61">
        <v>218000</v>
      </c>
      <c r="B53" s="43"/>
      <c r="C53" s="46" t="s">
        <v>18</v>
      </c>
      <c r="D53" s="44" t="s">
        <v>631</v>
      </c>
      <c r="E53" s="62">
        <v>45000</v>
      </c>
      <c r="F53" s="45">
        <v>30000</v>
      </c>
      <c r="G53" s="45">
        <v>143000</v>
      </c>
      <c r="H53" s="45"/>
      <c r="I53" s="45"/>
      <c r="J53" s="45">
        <v>36000</v>
      </c>
      <c r="K53" s="45" t="s">
        <v>669</v>
      </c>
    </row>
    <row r="54" spans="1:11" ht="19" x14ac:dyDescent="0.2">
      <c r="A54" s="57">
        <v>766000</v>
      </c>
      <c r="B54" s="47">
        <v>45856</v>
      </c>
      <c r="C54" s="51" t="s">
        <v>16</v>
      </c>
      <c r="D54" s="48" t="s">
        <v>654</v>
      </c>
      <c r="E54" s="49">
        <v>174000</v>
      </c>
      <c r="F54" s="50">
        <v>191000</v>
      </c>
      <c r="G54" s="50">
        <v>401000</v>
      </c>
      <c r="H54" s="50">
        <v>1500000</v>
      </c>
      <c r="I54" s="50" t="s">
        <v>682</v>
      </c>
      <c r="J54" s="50">
        <v>50000</v>
      </c>
      <c r="K54" s="50" t="s">
        <v>640</v>
      </c>
    </row>
    <row r="55" spans="1:11" ht="19" x14ac:dyDescent="0.2">
      <c r="A55" s="61"/>
      <c r="B55" s="43"/>
      <c r="C55" s="46"/>
      <c r="D55" s="44"/>
      <c r="E55" s="62"/>
      <c r="F55" s="45"/>
      <c r="G55" s="45"/>
      <c r="H55" s="45"/>
      <c r="I55" s="45"/>
      <c r="J55" s="45">
        <v>59000</v>
      </c>
      <c r="K55" s="45" t="s">
        <v>670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>
        <v>200000</v>
      </c>
      <c r="K56" s="63" t="s">
        <v>21</v>
      </c>
    </row>
    <row r="57" spans="1:11" ht="19" x14ac:dyDescent="0.2">
      <c r="A57" s="61"/>
      <c r="B57" s="43"/>
      <c r="C57" s="46"/>
      <c r="D57" s="44"/>
      <c r="E57" s="62"/>
      <c r="F57" s="45"/>
      <c r="G57" s="45"/>
      <c r="H57" s="45"/>
      <c r="I57" s="45"/>
      <c r="J57" s="45">
        <v>45000</v>
      </c>
      <c r="K57" s="45" t="s">
        <v>396</v>
      </c>
    </row>
    <row r="58" spans="1:11" ht="19" x14ac:dyDescent="0.2">
      <c r="A58" s="57">
        <v>221000</v>
      </c>
      <c r="B58" s="47"/>
      <c r="C58" s="51" t="s">
        <v>18</v>
      </c>
      <c r="D58" s="48" t="s">
        <v>631</v>
      </c>
      <c r="E58" s="49">
        <v>113000</v>
      </c>
      <c r="F58" s="50">
        <v>30000</v>
      </c>
      <c r="G58" s="50">
        <v>78000</v>
      </c>
      <c r="H58" s="50"/>
      <c r="I58" s="50"/>
      <c r="J58" s="50">
        <v>150000</v>
      </c>
      <c r="K58" s="50" t="s">
        <v>671</v>
      </c>
    </row>
    <row r="59" spans="1:11" ht="19" x14ac:dyDescent="0.2">
      <c r="A59" s="61">
        <v>389000</v>
      </c>
      <c r="B59" s="43">
        <v>45857</v>
      </c>
      <c r="C59" s="46" t="s">
        <v>16</v>
      </c>
      <c r="D59" s="44" t="s">
        <v>654</v>
      </c>
      <c r="E59" s="62">
        <v>165000</v>
      </c>
      <c r="F59" s="45">
        <v>13000</v>
      </c>
      <c r="G59" s="45">
        <v>211000</v>
      </c>
      <c r="H59" s="45"/>
      <c r="I59" s="45"/>
      <c r="J59" s="45">
        <v>100000</v>
      </c>
      <c r="K59" s="45" t="s">
        <v>72</v>
      </c>
    </row>
    <row r="60" spans="1:11" ht="19" x14ac:dyDescent="0.2">
      <c r="A60" s="57"/>
      <c r="B60" s="47">
        <v>45858</v>
      </c>
      <c r="C60" s="51"/>
      <c r="D60" s="48"/>
      <c r="E60" s="49" t="s">
        <v>125</v>
      </c>
      <c r="F60" s="50"/>
      <c r="G60" s="50"/>
      <c r="H60" s="50"/>
      <c r="I60" s="50"/>
      <c r="J60" s="50">
        <v>30000</v>
      </c>
      <c r="K60" s="50" t="s">
        <v>208</v>
      </c>
    </row>
    <row r="61" spans="1:11" ht="19" x14ac:dyDescent="0.2">
      <c r="A61" s="61">
        <v>1008000</v>
      </c>
      <c r="B61" s="43">
        <v>45859</v>
      </c>
      <c r="C61" s="46" t="s">
        <v>16</v>
      </c>
      <c r="D61" s="44" t="s">
        <v>654</v>
      </c>
      <c r="E61" s="62">
        <v>301000</v>
      </c>
      <c r="F61" s="45">
        <v>95000</v>
      </c>
      <c r="G61" s="45">
        <v>612000</v>
      </c>
      <c r="H61" s="45"/>
      <c r="I61" s="45"/>
      <c r="J61" s="45">
        <v>54000</v>
      </c>
      <c r="K61" s="45" t="s">
        <v>139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10000</v>
      </c>
      <c r="K62" s="50" t="s">
        <v>672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105000</v>
      </c>
      <c r="K63" s="45" t="s">
        <v>673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160000</v>
      </c>
      <c r="K64" s="50" t="s">
        <v>674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40000</v>
      </c>
      <c r="K65" s="45" t="s">
        <v>208</v>
      </c>
    </row>
    <row r="66" spans="1:11" ht="19" x14ac:dyDescent="0.2">
      <c r="A66" s="57">
        <v>972000</v>
      </c>
      <c r="B66" s="47">
        <v>45860</v>
      </c>
      <c r="C66" s="51" t="s">
        <v>16</v>
      </c>
      <c r="D66" s="48" t="s">
        <v>654</v>
      </c>
      <c r="E66" s="49">
        <v>371000</v>
      </c>
      <c r="F66" s="50">
        <v>120000</v>
      </c>
      <c r="G66" s="50">
        <v>481000</v>
      </c>
      <c r="H66" s="50"/>
      <c r="I66" s="50"/>
      <c r="J66" s="50">
        <v>49000</v>
      </c>
      <c r="K66" s="50" t="s">
        <v>40</v>
      </c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>
        <v>16000</v>
      </c>
      <c r="K67" s="45" t="s">
        <v>675</v>
      </c>
    </row>
    <row r="68" spans="1:11" ht="19" x14ac:dyDescent="0.2">
      <c r="A68" s="57"/>
      <c r="B68" s="47"/>
      <c r="C68" s="51"/>
      <c r="D68" s="48"/>
      <c r="E68" s="49"/>
      <c r="F68" s="50"/>
      <c r="G68" s="50"/>
      <c r="H68" s="50"/>
      <c r="I68" s="50"/>
      <c r="J68" s="50">
        <v>24000</v>
      </c>
      <c r="K68" s="50" t="s">
        <v>368</v>
      </c>
    </row>
    <row r="69" spans="1:11" ht="19" x14ac:dyDescent="0.2">
      <c r="A69" s="61"/>
      <c r="B69" s="43"/>
      <c r="C69" s="46"/>
      <c r="D69" s="44"/>
      <c r="E69" s="62"/>
      <c r="F69" s="45"/>
      <c r="G69" s="45"/>
      <c r="H69" s="45"/>
      <c r="I69" s="45"/>
      <c r="J69" s="45">
        <v>41000</v>
      </c>
      <c r="K69" s="45" t="s">
        <v>676</v>
      </c>
    </row>
    <row r="70" spans="1:11" ht="19" x14ac:dyDescent="0.2">
      <c r="A70" s="57"/>
      <c r="B70" s="47"/>
      <c r="C70" s="51"/>
      <c r="D70" s="48"/>
      <c r="E70" s="49"/>
      <c r="F70" s="50"/>
      <c r="G70" s="50"/>
      <c r="H70" s="50"/>
      <c r="I70" s="50"/>
      <c r="J70" s="50">
        <v>30000</v>
      </c>
      <c r="K70" s="50" t="s">
        <v>208</v>
      </c>
    </row>
    <row r="71" spans="1:11" ht="19" x14ac:dyDescent="0.2">
      <c r="A71" s="61">
        <v>1249000</v>
      </c>
      <c r="B71" s="43">
        <v>45861</v>
      </c>
      <c r="C71" s="46" t="s">
        <v>16</v>
      </c>
      <c r="D71" s="44" t="s">
        <v>168</v>
      </c>
      <c r="E71" s="62">
        <v>542000</v>
      </c>
      <c r="F71" s="45">
        <v>115000</v>
      </c>
      <c r="G71" s="45">
        <v>592000</v>
      </c>
      <c r="H71" s="45"/>
      <c r="I71" s="45"/>
      <c r="J71" s="45">
        <v>192000</v>
      </c>
      <c r="K71" s="45" t="s">
        <v>29</v>
      </c>
    </row>
    <row r="72" spans="1:11" ht="19" x14ac:dyDescent="0.2">
      <c r="A72" s="57"/>
      <c r="B72" s="47"/>
      <c r="C72" s="51"/>
      <c r="D72" s="48"/>
      <c r="E72" s="49"/>
      <c r="F72" s="50"/>
      <c r="G72" s="50"/>
      <c r="H72" s="50"/>
      <c r="I72" s="50"/>
      <c r="J72" s="50">
        <v>30000</v>
      </c>
      <c r="K72" s="50" t="s">
        <v>208</v>
      </c>
    </row>
    <row r="73" spans="1:11" ht="19" x14ac:dyDescent="0.2">
      <c r="A73" s="61">
        <v>1263000</v>
      </c>
      <c r="B73" s="43">
        <v>45862</v>
      </c>
      <c r="C73" s="46" t="s">
        <v>16</v>
      </c>
      <c r="D73" s="44" t="s">
        <v>136</v>
      </c>
      <c r="E73" s="62">
        <v>599000</v>
      </c>
      <c r="F73" s="45">
        <v>238000</v>
      </c>
      <c r="G73" s="45">
        <v>426000</v>
      </c>
      <c r="H73" s="45"/>
      <c r="I73" s="45"/>
      <c r="J73" s="45">
        <v>33000</v>
      </c>
      <c r="K73" s="45" t="s">
        <v>55</v>
      </c>
    </row>
    <row r="74" spans="1:11" ht="19" x14ac:dyDescent="0.2">
      <c r="A74" s="57">
        <v>948000</v>
      </c>
      <c r="B74" s="47">
        <v>45863</v>
      </c>
      <c r="C74" s="51" t="s">
        <v>16</v>
      </c>
      <c r="D74" s="48" t="s">
        <v>663</v>
      </c>
      <c r="E74" s="49">
        <v>279000</v>
      </c>
      <c r="F74" s="50">
        <v>36000</v>
      </c>
      <c r="G74" s="50">
        <v>633000</v>
      </c>
      <c r="H74" s="50"/>
      <c r="I74" s="50"/>
      <c r="J74" s="50"/>
      <c r="K74" s="50"/>
    </row>
    <row r="75" spans="1:11" ht="19" x14ac:dyDescent="0.2">
      <c r="A75" s="61">
        <v>468000</v>
      </c>
      <c r="B75" s="43">
        <v>45864</v>
      </c>
      <c r="C75" s="46" t="s">
        <v>16</v>
      </c>
      <c r="D75" s="44" t="s">
        <v>663</v>
      </c>
      <c r="E75" s="62">
        <v>126000</v>
      </c>
      <c r="F75" s="45">
        <v>147000</v>
      </c>
      <c r="G75" s="45">
        <v>195000</v>
      </c>
      <c r="H75" s="45"/>
      <c r="I75" s="45"/>
      <c r="J75" s="45"/>
      <c r="K75" s="45"/>
    </row>
    <row r="76" spans="1:11" ht="19" x14ac:dyDescent="0.2">
      <c r="A76" s="57"/>
      <c r="B76" s="47">
        <v>45865</v>
      </c>
      <c r="C76" s="51"/>
      <c r="D76" s="48"/>
      <c r="E76" s="49" t="s">
        <v>125</v>
      </c>
      <c r="F76" s="50"/>
      <c r="G76" s="50"/>
      <c r="H76" s="50"/>
      <c r="I76" s="50"/>
      <c r="J76" s="50"/>
      <c r="K76" s="50"/>
    </row>
    <row r="77" spans="1:11" ht="19" x14ac:dyDescent="0.2">
      <c r="A77" s="61">
        <v>1233000</v>
      </c>
      <c r="B77" s="43">
        <v>45866</v>
      </c>
      <c r="C77" s="46" t="s">
        <v>16</v>
      </c>
      <c r="D77" s="44" t="s">
        <v>168</v>
      </c>
      <c r="E77" s="62">
        <v>438000</v>
      </c>
      <c r="F77" s="45">
        <v>224000</v>
      </c>
      <c r="G77" s="45">
        <v>571000</v>
      </c>
      <c r="H77" s="45"/>
      <c r="I77" s="45"/>
      <c r="J77" s="45">
        <v>43000</v>
      </c>
      <c r="K77" s="45" t="s">
        <v>76</v>
      </c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>
        <v>50000</v>
      </c>
      <c r="K78" s="50" t="s">
        <v>333</v>
      </c>
    </row>
    <row r="79" spans="1:11" ht="19" x14ac:dyDescent="0.2">
      <c r="A79" s="61"/>
      <c r="B79" s="43"/>
      <c r="C79" s="46"/>
      <c r="D79" s="44"/>
      <c r="E79" s="62"/>
      <c r="F79" s="45"/>
      <c r="G79" s="45"/>
      <c r="H79" s="45"/>
      <c r="I79" s="45"/>
      <c r="J79" s="45">
        <v>33000</v>
      </c>
      <c r="K79" s="45" t="s">
        <v>677</v>
      </c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>
        <v>27000</v>
      </c>
      <c r="K80" s="50" t="s">
        <v>56</v>
      </c>
    </row>
    <row r="81" spans="1:11" ht="19" x14ac:dyDescent="0.2">
      <c r="A81" s="61">
        <v>1058000</v>
      </c>
      <c r="B81" s="43">
        <v>45867</v>
      </c>
      <c r="C81" s="46" t="s">
        <v>16</v>
      </c>
      <c r="D81" s="44" t="s">
        <v>168</v>
      </c>
      <c r="E81" s="62">
        <v>441000</v>
      </c>
      <c r="F81" s="45">
        <v>96000</v>
      </c>
      <c r="G81" s="45">
        <v>521000</v>
      </c>
      <c r="H81" s="45"/>
      <c r="I81" s="45"/>
      <c r="J81" s="45">
        <v>49000</v>
      </c>
      <c r="K81" s="45" t="s">
        <v>678</v>
      </c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>
        <v>65000</v>
      </c>
      <c r="K82" s="50" t="s">
        <v>437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150000</v>
      </c>
      <c r="K83" s="45" t="s">
        <v>679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>
        <v>45000</v>
      </c>
      <c r="K84" s="50" t="s">
        <v>496</v>
      </c>
    </row>
    <row r="85" spans="1:11" ht="19" x14ac:dyDescent="0.2">
      <c r="A85" s="61"/>
      <c r="B85" s="43"/>
      <c r="C85" s="46"/>
      <c r="D85" s="44"/>
      <c r="E85" s="62"/>
      <c r="F85" s="45"/>
      <c r="G85" s="45"/>
      <c r="H85" s="45"/>
      <c r="I85" s="45"/>
      <c r="J85" s="45">
        <v>200000</v>
      </c>
      <c r="K85" s="45" t="s">
        <v>21</v>
      </c>
    </row>
    <row r="86" spans="1:11" ht="19" x14ac:dyDescent="0.2">
      <c r="A86" s="57"/>
      <c r="B86" s="47"/>
      <c r="C86" s="51"/>
      <c r="D86" s="48"/>
      <c r="E86" s="49"/>
      <c r="F86" s="50"/>
      <c r="G86" s="50"/>
      <c r="H86" s="50"/>
      <c r="I86" s="50"/>
      <c r="J86" s="50">
        <v>100000</v>
      </c>
      <c r="K86" s="50" t="s">
        <v>680</v>
      </c>
    </row>
    <row r="87" spans="1:11" ht="19" x14ac:dyDescent="0.2">
      <c r="A87" s="61"/>
      <c r="B87" s="43"/>
      <c r="C87" s="46"/>
      <c r="D87" s="44"/>
      <c r="E87" s="62"/>
      <c r="F87" s="45"/>
      <c r="G87" s="45"/>
      <c r="H87" s="45"/>
      <c r="I87" s="45"/>
      <c r="J87" s="45">
        <v>29000</v>
      </c>
      <c r="K87" s="45" t="s">
        <v>208</v>
      </c>
    </row>
    <row r="88" spans="1:11" ht="19" x14ac:dyDescent="0.2">
      <c r="A88" s="57">
        <v>1531000</v>
      </c>
      <c r="B88" s="47">
        <v>45868</v>
      </c>
      <c r="C88" s="51" t="s">
        <v>16</v>
      </c>
      <c r="D88" s="48" t="s">
        <v>168</v>
      </c>
      <c r="E88" s="49">
        <v>727000</v>
      </c>
      <c r="F88" s="50">
        <v>170000</v>
      </c>
      <c r="G88" s="50">
        <v>634000</v>
      </c>
      <c r="H88" s="50">
        <v>1100000</v>
      </c>
      <c r="I88" s="50" t="s">
        <v>686</v>
      </c>
      <c r="J88" s="50">
        <v>78000</v>
      </c>
      <c r="K88" s="50" t="s">
        <v>344</v>
      </c>
    </row>
    <row r="89" spans="1:11" ht="19" x14ac:dyDescent="0.2">
      <c r="A89" s="61">
        <v>1526000</v>
      </c>
      <c r="B89" s="43">
        <v>45869</v>
      </c>
      <c r="C89" s="46" t="s">
        <v>16</v>
      </c>
      <c r="D89" s="44" t="s">
        <v>168</v>
      </c>
      <c r="E89" s="62">
        <v>787000</v>
      </c>
      <c r="F89" s="45">
        <v>185000</v>
      </c>
      <c r="G89" s="45">
        <v>554000</v>
      </c>
      <c r="H89" s="45">
        <v>600000</v>
      </c>
      <c r="I89" s="45" t="s">
        <v>683</v>
      </c>
      <c r="J89" s="45">
        <v>100000</v>
      </c>
      <c r="K89" s="45" t="s">
        <v>197</v>
      </c>
    </row>
    <row r="90" spans="1:11" ht="19" x14ac:dyDescent="0.2">
      <c r="A90" s="57"/>
      <c r="B90" s="47"/>
      <c r="C90" s="51"/>
      <c r="D90" s="48"/>
      <c r="E90" s="49"/>
      <c r="F90" s="50"/>
      <c r="G90" s="50"/>
      <c r="H90" s="50">
        <v>1600000</v>
      </c>
      <c r="I90" s="50" t="s">
        <v>684</v>
      </c>
      <c r="J90" s="50">
        <v>55000</v>
      </c>
      <c r="K90" s="50" t="s">
        <v>681</v>
      </c>
    </row>
    <row r="91" spans="1:11" ht="19" x14ac:dyDescent="0.2">
      <c r="A91" s="61"/>
      <c r="B91" s="43"/>
      <c r="C91" s="46"/>
      <c r="D91" s="44"/>
      <c r="E91" s="62"/>
      <c r="F91" s="45"/>
      <c r="G91" s="45"/>
      <c r="H91" s="45"/>
      <c r="I91" s="45"/>
      <c r="J91" s="45">
        <v>49000</v>
      </c>
      <c r="K91" s="45" t="s">
        <v>678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K84"/>
  <sheetViews>
    <sheetView zoomScale="80" zoomScaleNormal="80" workbookViewId="0">
      <selection activeCell="I29" sqref="I29"/>
    </sheetView>
  </sheetViews>
  <sheetFormatPr baseColWidth="10" defaultColWidth="8.83203125" defaultRowHeight="15" x14ac:dyDescent="0.2"/>
  <cols>
    <col min="1" max="1" width="23.5" bestFit="1" customWidth="1"/>
    <col min="2" max="2" width="10.5" customWidth="1"/>
    <col min="3" max="3" width="15.5" bestFit="1" customWidth="1"/>
    <col min="4" max="4" width="11" bestFit="1" customWidth="1"/>
    <col min="5" max="5" width="22" bestFit="1" customWidth="1"/>
    <col min="6" max="6" width="23.5" customWidth="1"/>
    <col min="7" max="7" width="24.5" bestFit="1" customWidth="1"/>
    <col min="8" max="8" width="26.33203125" customWidth="1"/>
    <col min="9" max="9" width="26.5" customWidth="1"/>
    <col min="10" max="10" width="22.6640625" bestFit="1" customWidth="1"/>
    <col min="11" max="11" width="36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726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2522514</v>
      </c>
      <c r="K6" s="30" t="s">
        <v>727</v>
      </c>
    </row>
    <row r="7" spans="1:11" ht="26" x14ac:dyDescent="0.3">
      <c r="B7" s="32" t="s">
        <v>767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SUM(A11:A538)</f>
        <v>23081000</v>
      </c>
      <c r="B10" s="39"/>
      <c r="C10" s="40" t="s">
        <v>15</v>
      </c>
      <c r="D10" s="41"/>
      <c r="E10" s="42">
        <f>SUM(E11:E538)</f>
        <v>9839000</v>
      </c>
      <c r="F10" s="38">
        <f>SUM(F11:F538)</f>
        <v>3241000</v>
      </c>
      <c r="G10" s="38">
        <f>SUM(G11:G533)</f>
        <v>10001000</v>
      </c>
      <c r="H10" s="38">
        <f>SUM(H11:H538)</f>
        <v>11159000</v>
      </c>
      <c r="I10" s="38"/>
      <c r="J10" s="38">
        <f>SUM(J11:J538)</f>
        <v>4305500</v>
      </c>
      <c r="K10" s="38"/>
    </row>
    <row r="11" spans="1:11" ht="21" x14ac:dyDescent="0.2">
      <c r="A11" s="96">
        <v>915000</v>
      </c>
      <c r="B11" s="97">
        <v>45870</v>
      </c>
      <c r="C11" s="98" t="s">
        <v>16</v>
      </c>
      <c r="D11" s="99" t="s">
        <v>654</v>
      </c>
      <c r="E11" s="13">
        <v>279000</v>
      </c>
      <c r="F11" s="13">
        <v>102000</v>
      </c>
      <c r="G11" s="13">
        <v>534000</v>
      </c>
      <c r="H11" s="13"/>
      <c r="I11" s="13"/>
      <c r="J11" s="13"/>
      <c r="K11" s="13"/>
    </row>
    <row r="12" spans="1:11" ht="19" x14ac:dyDescent="0.2">
      <c r="A12" s="53"/>
      <c r="B12" s="4"/>
      <c r="C12" s="5"/>
      <c r="D12" s="2"/>
      <c r="E12" s="1"/>
      <c r="F12" s="1"/>
      <c r="G12" s="1"/>
      <c r="H12" s="1"/>
      <c r="I12" s="1"/>
      <c r="J12" s="1">
        <v>54000</v>
      </c>
      <c r="K12" s="1" t="s">
        <v>286</v>
      </c>
    </row>
    <row r="13" spans="1:11" ht="19" x14ac:dyDescent="0.2">
      <c r="A13" s="54">
        <v>512000</v>
      </c>
      <c r="B13" s="10">
        <v>45871</v>
      </c>
      <c r="C13" s="14" t="s">
        <v>16</v>
      </c>
      <c r="D13" s="12" t="s">
        <v>663</v>
      </c>
      <c r="E13" s="15">
        <v>384000</v>
      </c>
      <c r="F13" s="13">
        <v>39000</v>
      </c>
      <c r="G13" s="13">
        <v>89000</v>
      </c>
      <c r="H13" s="13"/>
      <c r="I13" s="13"/>
      <c r="J13" s="13">
        <v>112000</v>
      </c>
      <c r="K13" s="13" t="s">
        <v>273</v>
      </c>
    </row>
    <row r="14" spans="1:11" ht="19" x14ac:dyDescent="0.2">
      <c r="A14" s="53"/>
      <c r="B14" s="4"/>
      <c r="C14" s="5"/>
      <c r="D14" s="2"/>
      <c r="E14" s="3"/>
      <c r="F14" s="1"/>
      <c r="G14" s="1"/>
      <c r="H14" s="1"/>
      <c r="I14" s="1"/>
      <c r="J14" s="8">
        <v>135000</v>
      </c>
      <c r="K14" s="1" t="s">
        <v>690</v>
      </c>
    </row>
    <row r="15" spans="1:11" ht="19" x14ac:dyDescent="0.2">
      <c r="A15" s="54"/>
      <c r="B15" s="10">
        <v>45872</v>
      </c>
      <c r="C15" s="14" t="s">
        <v>42</v>
      </c>
      <c r="D15" s="12"/>
      <c r="E15" s="15"/>
      <c r="F15" s="13"/>
      <c r="G15" s="13"/>
      <c r="H15" s="13"/>
      <c r="I15" s="13"/>
      <c r="J15" s="13">
        <v>85000</v>
      </c>
      <c r="K15" s="13" t="s">
        <v>691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>
        <v>26500</v>
      </c>
      <c r="K16" s="8" t="s">
        <v>692</v>
      </c>
    </row>
    <row r="17" spans="1:11" ht="19" x14ac:dyDescent="0.2">
      <c r="A17" s="56">
        <v>1217000</v>
      </c>
      <c r="B17" s="10">
        <v>45873</v>
      </c>
      <c r="C17" s="16" t="s">
        <v>16</v>
      </c>
      <c r="D17" s="12" t="s">
        <v>168</v>
      </c>
      <c r="E17" s="15">
        <v>370000</v>
      </c>
      <c r="F17" s="13">
        <v>152000</v>
      </c>
      <c r="G17" s="13">
        <v>695000</v>
      </c>
      <c r="H17" s="17"/>
      <c r="I17" s="17"/>
      <c r="J17" s="13">
        <v>75000</v>
      </c>
      <c r="K17" s="13" t="s">
        <v>693</v>
      </c>
    </row>
    <row r="18" spans="1:11" ht="19" x14ac:dyDescent="0.2">
      <c r="A18" s="55">
        <v>578000</v>
      </c>
      <c r="B18" s="18">
        <v>45874</v>
      </c>
      <c r="C18" s="19" t="s">
        <v>16</v>
      </c>
      <c r="D18" s="20" t="s">
        <v>168</v>
      </c>
      <c r="E18" s="21">
        <v>243000</v>
      </c>
      <c r="F18" s="8">
        <v>30000</v>
      </c>
      <c r="G18" s="8">
        <v>305000</v>
      </c>
      <c r="H18" s="23"/>
      <c r="I18" s="23"/>
      <c r="J18" s="8">
        <v>8000</v>
      </c>
      <c r="K18" s="8" t="s">
        <v>694</v>
      </c>
    </row>
    <row r="19" spans="1:11" ht="19" x14ac:dyDescent="0.2">
      <c r="A19" s="56">
        <v>519000</v>
      </c>
      <c r="B19" s="10">
        <v>45875</v>
      </c>
      <c r="C19" s="16" t="s">
        <v>16</v>
      </c>
      <c r="D19" s="12" t="s">
        <v>168</v>
      </c>
      <c r="E19" s="15">
        <v>297000</v>
      </c>
      <c r="F19" s="13">
        <v>27000</v>
      </c>
      <c r="G19" s="13">
        <v>195000</v>
      </c>
      <c r="H19" s="17"/>
      <c r="I19" s="17"/>
      <c r="J19" s="13"/>
      <c r="K19" s="13"/>
    </row>
    <row r="20" spans="1:11" ht="19" x14ac:dyDescent="0.2">
      <c r="A20" s="55">
        <v>727000</v>
      </c>
      <c r="B20" s="18">
        <v>45876</v>
      </c>
      <c r="C20" s="19" t="s">
        <v>16</v>
      </c>
      <c r="D20" s="20" t="s">
        <v>168</v>
      </c>
      <c r="E20" s="21">
        <v>309000</v>
      </c>
      <c r="F20" s="8">
        <v>50000</v>
      </c>
      <c r="G20" s="8">
        <v>368000</v>
      </c>
      <c r="H20" s="23"/>
      <c r="I20" s="23"/>
      <c r="J20" s="8">
        <v>200000</v>
      </c>
      <c r="K20" s="8" t="s">
        <v>21</v>
      </c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>
        <v>45000</v>
      </c>
      <c r="K21" s="13" t="s">
        <v>496</v>
      </c>
    </row>
    <row r="22" spans="1:11" ht="19" x14ac:dyDescent="0.2">
      <c r="A22" s="55">
        <v>1126000</v>
      </c>
      <c r="B22" s="18">
        <v>45877</v>
      </c>
      <c r="C22" s="19" t="s">
        <v>16</v>
      </c>
      <c r="D22" s="20" t="s">
        <v>663</v>
      </c>
      <c r="E22" s="21">
        <v>451000</v>
      </c>
      <c r="F22" s="8">
        <v>145000</v>
      </c>
      <c r="G22" s="8">
        <v>530000</v>
      </c>
      <c r="H22" s="23"/>
      <c r="I22" s="23"/>
      <c r="J22" s="8">
        <v>34000</v>
      </c>
      <c r="K22" s="8" t="s">
        <v>208</v>
      </c>
    </row>
    <row r="23" spans="1:11" ht="19" x14ac:dyDescent="0.2">
      <c r="A23" s="56">
        <v>374000</v>
      </c>
      <c r="B23" s="10">
        <v>45878</v>
      </c>
      <c r="C23" s="15" t="s">
        <v>16</v>
      </c>
      <c r="D23" s="12" t="s">
        <v>654</v>
      </c>
      <c r="E23" s="15">
        <v>119000</v>
      </c>
      <c r="F23" s="13">
        <v>0</v>
      </c>
      <c r="G23" s="13">
        <v>255000</v>
      </c>
      <c r="H23" s="17"/>
      <c r="I23" s="17"/>
      <c r="J23" s="13">
        <v>45000</v>
      </c>
      <c r="K23" s="13" t="s">
        <v>695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10000</v>
      </c>
      <c r="K24" s="8" t="s">
        <v>696</v>
      </c>
    </row>
    <row r="25" spans="1:11" ht="19" x14ac:dyDescent="0.2">
      <c r="A25" s="56"/>
      <c r="B25" s="10"/>
      <c r="C25" s="15"/>
      <c r="D25" s="12"/>
      <c r="E25" s="15"/>
      <c r="F25" s="13"/>
      <c r="G25" s="13"/>
      <c r="H25" s="13"/>
      <c r="I25" s="13"/>
      <c r="J25" s="13">
        <v>16000</v>
      </c>
      <c r="K25" s="13" t="s">
        <v>594</v>
      </c>
    </row>
    <row r="26" spans="1:11" ht="19" x14ac:dyDescent="0.2">
      <c r="A26" s="55"/>
      <c r="B26" s="18"/>
      <c r="C26" s="19"/>
      <c r="D26" s="20"/>
      <c r="E26" s="21"/>
      <c r="F26" s="8"/>
      <c r="G26" s="8"/>
      <c r="H26" s="8"/>
      <c r="I26" s="8"/>
      <c r="J26" s="8">
        <v>20000</v>
      </c>
      <c r="K26" s="8" t="s">
        <v>479</v>
      </c>
    </row>
    <row r="27" spans="1:11" ht="19" x14ac:dyDescent="0.2">
      <c r="A27" s="56"/>
      <c r="B27" s="10">
        <v>45879</v>
      </c>
      <c r="C27" s="16" t="s">
        <v>697</v>
      </c>
      <c r="D27" s="12"/>
      <c r="E27" s="15"/>
      <c r="F27" s="13"/>
      <c r="G27" s="13"/>
      <c r="H27" s="13"/>
      <c r="I27" s="13"/>
      <c r="J27" s="13"/>
      <c r="K27" s="13"/>
    </row>
    <row r="28" spans="1:11" ht="19" x14ac:dyDescent="0.2">
      <c r="A28" s="55">
        <v>1088000</v>
      </c>
      <c r="B28" s="18">
        <v>45880</v>
      </c>
      <c r="C28" s="19" t="s">
        <v>16</v>
      </c>
      <c r="D28" s="20" t="s">
        <v>168</v>
      </c>
      <c r="E28" s="21">
        <v>452000</v>
      </c>
      <c r="F28" s="8">
        <v>219000</v>
      </c>
      <c r="G28" s="8">
        <v>417000</v>
      </c>
      <c r="H28" s="8">
        <v>7120000</v>
      </c>
      <c r="I28" s="8" t="s">
        <v>723</v>
      </c>
      <c r="J28" s="8">
        <v>54000</v>
      </c>
      <c r="K28" s="8" t="s">
        <v>139</v>
      </c>
    </row>
    <row r="29" spans="1:11" ht="19" x14ac:dyDescent="0.2">
      <c r="A29" s="56"/>
      <c r="B29" s="10"/>
      <c r="C29" s="16"/>
      <c r="D29" s="12"/>
      <c r="E29" s="15"/>
      <c r="F29" s="13"/>
      <c r="G29" s="13"/>
      <c r="H29" s="13"/>
      <c r="I29" s="13"/>
      <c r="J29" s="13">
        <v>150000</v>
      </c>
      <c r="K29" s="13" t="s">
        <v>342</v>
      </c>
    </row>
    <row r="30" spans="1:11" ht="19" x14ac:dyDescent="0.2">
      <c r="A30" s="55"/>
      <c r="B30" s="18"/>
      <c r="C30" s="22"/>
      <c r="D30" s="20"/>
      <c r="E30" s="21"/>
      <c r="F30" s="8"/>
      <c r="G30" s="8"/>
      <c r="H30" s="8"/>
      <c r="I30" s="8"/>
      <c r="J30" s="8">
        <v>32000</v>
      </c>
      <c r="K30" s="8" t="s">
        <v>660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>
        <v>11000</v>
      </c>
      <c r="K31" s="13" t="s">
        <v>317</v>
      </c>
    </row>
    <row r="32" spans="1:11" ht="19" x14ac:dyDescent="0.2">
      <c r="A32" s="55">
        <v>1089000</v>
      </c>
      <c r="B32" s="18">
        <v>45881</v>
      </c>
      <c r="C32" s="22" t="s">
        <v>16</v>
      </c>
      <c r="D32" s="20" t="s">
        <v>168</v>
      </c>
      <c r="E32" s="21">
        <v>406000</v>
      </c>
      <c r="F32" s="8">
        <v>103000</v>
      </c>
      <c r="G32" s="8">
        <v>580000</v>
      </c>
      <c r="H32" s="8"/>
      <c r="I32" s="8"/>
      <c r="J32" s="8">
        <v>37000</v>
      </c>
      <c r="K32" s="8" t="s">
        <v>40</v>
      </c>
    </row>
    <row r="33" spans="1:11" ht="19" x14ac:dyDescent="0.2">
      <c r="A33" s="54">
        <v>890000</v>
      </c>
      <c r="B33" s="10">
        <v>45882</v>
      </c>
      <c r="C33" s="14" t="s">
        <v>16</v>
      </c>
      <c r="D33" s="12" t="s">
        <v>168</v>
      </c>
      <c r="E33" s="15">
        <v>532000</v>
      </c>
      <c r="F33" s="13">
        <v>93000</v>
      </c>
      <c r="G33" s="13">
        <v>265000</v>
      </c>
      <c r="H33" s="13"/>
      <c r="I33" s="13"/>
      <c r="J33" s="13"/>
      <c r="K33" s="13"/>
    </row>
    <row r="34" spans="1:11" ht="19" x14ac:dyDescent="0.2">
      <c r="A34" s="53">
        <v>1053000</v>
      </c>
      <c r="B34" s="18">
        <v>45883</v>
      </c>
      <c r="C34" s="22" t="s">
        <v>16</v>
      </c>
      <c r="D34" s="20" t="s">
        <v>168</v>
      </c>
      <c r="E34" s="21">
        <v>365000</v>
      </c>
      <c r="F34" s="8">
        <v>209000</v>
      </c>
      <c r="G34" s="8">
        <v>479000</v>
      </c>
      <c r="H34" s="8">
        <v>800000</v>
      </c>
      <c r="I34" s="8" t="s">
        <v>698</v>
      </c>
      <c r="J34" s="8">
        <v>55000</v>
      </c>
      <c r="K34" s="8" t="s">
        <v>699</v>
      </c>
    </row>
    <row r="35" spans="1:11" ht="32" x14ac:dyDescent="0.2">
      <c r="A35" s="54">
        <v>1079000</v>
      </c>
      <c r="B35" s="10">
        <v>45884</v>
      </c>
      <c r="C35" s="14" t="s">
        <v>16</v>
      </c>
      <c r="D35" s="12" t="s">
        <v>168</v>
      </c>
      <c r="E35" s="15">
        <v>363000</v>
      </c>
      <c r="F35" s="13">
        <v>154000</v>
      </c>
      <c r="G35" s="13">
        <v>562000</v>
      </c>
      <c r="H35" s="13">
        <v>789000</v>
      </c>
      <c r="I35" s="104" t="s">
        <v>700</v>
      </c>
      <c r="J35" s="13">
        <v>100000</v>
      </c>
      <c r="K35" s="13" t="s">
        <v>523</v>
      </c>
    </row>
    <row r="36" spans="1:11" ht="19" x14ac:dyDescent="0.2">
      <c r="A36" s="53">
        <v>733000</v>
      </c>
      <c r="B36" s="18">
        <v>45885</v>
      </c>
      <c r="C36" s="22" t="s">
        <v>16</v>
      </c>
      <c r="D36" s="20" t="s">
        <v>136</v>
      </c>
      <c r="E36" s="21">
        <v>317000</v>
      </c>
      <c r="F36" s="8">
        <v>172000</v>
      </c>
      <c r="G36" s="8">
        <v>244000</v>
      </c>
      <c r="H36" s="8"/>
      <c r="I36" s="8"/>
      <c r="J36" s="8"/>
      <c r="K36" s="8"/>
    </row>
    <row r="37" spans="1:11" ht="19" x14ac:dyDescent="0.2">
      <c r="A37" s="56"/>
      <c r="B37" s="10">
        <v>45886</v>
      </c>
      <c r="C37" s="14" t="s">
        <v>125</v>
      </c>
      <c r="D37" s="12"/>
      <c r="E37" s="15"/>
      <c r="F37" s="13"/>
      <c r="G37" s="13"/>
      <c r="H37" s="13"/>
      <c r="I37" s="13"/>
      <c r="J37" s="13"/>
      <c r="K37" s="79"/>
    </row>
    <row r="38" spans="1:11" ht="19" x14ac:dyDescent="0.2">
      <c r="A38" s="55">
        <v>1022000</v>
      </c>
      <c r="B38" s="18">
        <v>45887</v>
      </c>
      <c r="C38" s="22" t="s">
        <v>16</v>
      </c>
      <c r="D38" s="20" t="s">
        <v>168</v>
      </c>
      <c r="E38" s="21">
        <v>280000</v>
      </c>
      <c r="F38" s="8">
        <v>211000</v>
      </c>
      <c r="G38" s="8">
        <v>531000</v>
      </c>
      <c r="H38" s="8"/>
      <c r="I38" s="8"/>
      <c r="J38" s="8">
        <v>54000</v>
      </c>
      <c r="K38" s="8" t="s">
        <v>139</v>
      </c>
    </row>
    <row r="39" spans="1:11" ht="19" x14ac:dyDescent="0.2">
      <c r="A39" s="56"/>
      <c r="B39" s="10"/>
      <c r="C39" s="14"/>
      <c r="D39" s="12"/>
      <c r="E39" s="15"/>
      <c r="F39" s="13"/>
      <c r="G39" s="13"/>
      <c r="H39" s="13"/>
      <c r="I39" s="13"/>
      <c r="J39" s="13">
        <v>50000</v>
      </c>
      <c r="K39" s="13" t="s">
        <v>333</v>
      </c>
    </row>
    <row r="40" spans="1:11" ht="19" x14ac:dyDescent="0.2">
      <c r="A40" s="55"/>
      <c r="B40" s="18"/>
      <c r="C40" s="22"/>
      <c r="D40" s="20"/>
      <c r="E40" s="21"/>
      <c r="F40" s="8"/>
      <c r="G40" s="8"/>
      <c r="H40" s="8"/>
      <c r="I40" s="8"/>
      <c r="J40" s="8">
        <v>40000</v>
      </c>
      <c r="K40" s="8" t="s">
        <v>701</v>
      </c>
    </row>
    <row r="41" spans="1:11" ht="19" x14ac:dyDescent="0.2">
      <c r="A41" s="56"/>
      <c r="B41" s="10"/>
      <c r="C41" s="14"/>
      <c r="D41" s="12"/>
      <c r="E41" s="15"/>
      <c r="F41" s="13"/>
      <c r="G41" s="13"/>
      <c r="H41" s="13"/>
      <c r="I41" s="13"/>
      <c r="J41" s="13">
        <v>17000</v>
      </c>
      <c r="K41" s="13" t="s">
        <v>702</v>
      </c>
    </row>
    <row r="42" spans="1:11" ht="19" x14ac:dyDescent="0.2">
      <c r="A42" s="55">
        <v>1261000</v>
      </c>
      <c r="B42" s="18">
        <v>45888</v>
      </c>
      <c r="C42" s="22" t="s">
        <v>16</v>
      </c>
      <c r="D42" s="20" t="s">
        <v>168</v>
      </c>
      <c r="E42" s="21">
        <v>570000</v>
      </c>
      <c r="F42" s="8">
        <v>165000</v>
      </c>
      <c r="G42" s="8">
        <v>526000</v>
      </c>
      <c r="H42" s="8"/>
      <c r="I42" s="8"/>
      <c r="J42" s="8">
        <v>33000</v>
      </c>
      <c r="K42" s="8" t="s">
        <v>55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>
        <v>19000</v>
      </c>
      <c r="K43" s="13" t="s">
        <v>703</v>
      </c>
    </row>
    <row r="44" spans="1:11" ht="19" x14ac:dyDescent="0.2">
      <c r="A44" s="55"/>
      <c r="B44" s="18"/>
      <c r="C44" s="22"/>
      <c r="D44" s="20"/>
      <c r="E44" s="21"/>
      <c r="F44" s="8"/>
      <c r="G44" s="8"/>
      <c r="H44" s="8"/>
      <c r="I44" s="105"/>
      <c r="J44" s="8">
        <v>51000</v>
      </c>
      <c r="K44" s="8" t="s">
        <v>500</v>
      </c>
    </row>
    <row r="45" spans="1:11" ht="19" x14ac:dyDescent="0.2">
      <c r="A45" s="56"/>
      <c r="B45" s="10"/>
      <c r="C45" s="14"/>
      <c r="D45" s="12"/>
      <c r="E45" s="15"/>
      <c r="F45" s="13"/>
      <c r="G45" s="13"/>
      <c r="H45" s="13"/>
      <c r="I45" s="13"/>
      <c r="J45" s="45">
        <v>50000</v>
      </c>
      <c r="K45" s="45" t="s">
        <v>333</v>
      </c>
    </row>
    <row r="46" spans="1:11" ht="19" x14ac:dyDescent="0.2">
      <c r="A46" s="59"/>
      <c r="B46" s="47"/>
      <c r="C46" s="51"/>
      <c r="D46" s="48"/>
      <c r="E46" s="49"/>
      <c r="F46" s="50"/>
      <c r="G46" s="50"/>
      <c r="H46" s="50"/>
      <c r="I46" s="50"/>
      <c r="J46" s="50">
        <v>24000</v>
      </c>
      <c r="K46" s="50" t="s">
        <v>472</v>
      </c>
    </row>
    <row r="47" spans="1:11" ht="19" x14ac:dyDescent="0.2">
      <c r="A47" s="58"/>
      <c r="B47" s="43"/>
      <c r="C47" s="46"/>
      <c r="D47" s="44"/>
      <c r="E47" s="15"/>
      <c r="F47" s="13"/>
      <c r="G47" s="13"/>
      <c r="H47" s="45"/>
      <c r="I47" s="45"/>
      <c r="J47" s="45">
        <v>40000</v>
      </c>
      <c r="K47" s="45" t="s">
        <v>704</v>
      </c>
    </row>
    <row r="48" spans="1:11" ht="19" x14ac:dyDescent="0.2">
      <c r="A48" s="57">
        <v>1499000</v>
      </c>
      <c r="B48" s="47">
        <v>45889</v>
      </c>
      <c r="C48" s="51" t="s">
        <v>16</v>
      </c>
      <c r="D48" s="48" t="s">
        <v>168</v>
      </c>
      <c r="E48" s="49">
        <v>711000</v>
      </c>
      <c r="F48" s="50">
        <v>301000</v>
      </c>
      <c r="G48" s="50">
        <v>487000</v>
      </c>
      <c r="H48" s="50"/>
      <c r="I48" s="50"/>
      <c r="J48" s="50">
        <v>300000</v>
      </c>
      <c r="K48" s="50" t="s">
        <v>724</v>
      </c>
    </row>
    <row r="49" spans="1:11" ht="19" x14ac:dyDescent="0.2">
      <c r="A49" s="61">
        <v>1234000</v>
      </c>
      <c r="B49" s="43">
        <v>45890</v>
      </c>
      <c r="C49" s="46" t="s">
        <v>16</v>
      </c>
      <c r="D49" s="44" t="s">
        <v>168</v>
      </c>
      <c r="E49" s="62">
        <v>566000</v>
      </c>
      <c r="F49" s="45">
        <v>132000</v>
      </c>
      <c r="G49" s="45">
        <v>536000</v>
      </c>
      <c r="H49" s="45"/>
      <c r="I49" s="45"/>
      <c r="J49" s="45">
        <v>100000</v>
      </c>
      <c r="K49" s="45" t="s">
        <v>197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50000</v>
      </c>
      <c r="K50" s="50" t="s">
        <v>705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34000</v>
      </c>
      <c r="K51" s="45" t="s">
        <v>343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5000</v>
      </c>
      <c r="K52" s="50" t="s">
        <v>706</v>
      </c>
    </row>
    <row r="53" spans="1:11" ht="19" x14ac:dyDescent="0.2">
      <c r="A53" s="61"/>
      <c r="B53" s="43"/>
      <c r="C53" s="46"/>
      <c r="D53" s="44"/>
      <c r="E53" s="62"/>
      <c r="F53" s="45"/>
      <c r="G53" s="45"/>
      <c r="H53" s="45"/>
      <c r="I53" s="45"/>
      <c r="J53" s="45">
        <v>23000</v>
      </c>
      <c r="K53" s="45" t="s">
        <v>707</v>
      </c>
    </row>
    <row r="54" spans="1:11" ht="19" x14ac:dyDescent="0.2">
      <c r="A54" s="57">
        <v>726000</v>
      </c>
      <c r="B54" s="47">
        <v>45891</v>
      </c>
      <c r="C54" s="51" t="s">
        <v>16</v>
      </c>
      <c r="D54" s="48" t="s">
        <v>136</v>
      </c>
      <c r="E54" s="49">
        <v>373000</v>
      </c>
      <c r="F54" s="50">
        <v>114000</v>
      </c>
      <c r="G54" s="50">
        <v>239000</v>
      </c>
      <c r="H54" s="50"/>
      <c r="I54" s="50"/>
      <c r="J54" s="50">
        <v>10000</v>
      </c>
      <c r="K54" s="50" t="s">
        <v>61</v>
      </c>
    </row>
    <row r="55" spans="1:11" ht="19" x14ac:dyDescent="0.2">
      <c r="A55" s="61"/>
      <c r="B55" s="43">
        <v>45892</v>
      </c>
      <c r="C55" s="46" t="s">
        <v>125</v>
      </c>
      <c r="D55" s="44"/>
      <c r="E55" s="62"/>
      <c r="F55" s="45"/>
      <c r="G55" s="45"/>
      <c r="H55" s="45"/>
      <c r="I55" s="45"/>
      <c r="J55" s="45">
        <v>55000</v>
      </c>
      <c r="K55" s="45" t="s">
        <v>708</v>
      </c>
    </row>
    <row r="56" spans="1:11" ht="19" x14ac:dyDescent="0.2">
      <c r="A56" s="57"/>
      <c r="B56" s="47">
        <v>45893</v>
      </c>
      <c r="C56" s="51" t="s">
        <v>125</v>
      </c>
      <c r="D56" s="48"/>
      <c r="E56" s="49"/>
      <c r="F56" s="50"/>
      <c r="G56" s="50"/>
      <c r="H56" s="50"/>
      <c r="I56" s="50"/>
      <c r="J56" s="50">
        <v>99000</v>
      </c>
      <c r="K56" s="63" t="s">
        <v>709</v>
      </c>
    </row>
    <row r="57" spans="1:11" ht="19" x14ac:dyDescent="0.2">
      <c r="A57" s="61">
        <v>1238000</v>
      </c>
      <c r="B57" s="43">
        <v>45894</v>
      </c>
      <c r="C57" s="46" t="s">
        <v>16</v>
      </c>
      <c r="D57" s="44" t="s">
        <v>168</v>
      </c>
      <c r="E57" s="62">
        <v>546000</v>
      </c>
      <c r="F57" s="45">
        <v>161000</v>
      </c>
      <c r="G57" s="45">
        <v>531000</v>
      </c>
      <c r="H57" s="45">
        <v>750000</v>
      </c>
      <c r="I57" s="45" t="s">
        <v>411</v>
      </c>
      <c r="J57" s="45">
        <v>69000</v>
      </c>
      <c r="K57" s="45" t="s">
        <v>710</v>
      </c>
    </row>
    <row r="58" spans="1:11" ht="19" x14ac:dyDescent="0.2">
      <c r="A58" s="57"/>
      <c r="B58" s="47"/>
      <c r="C58" s="51"/>
      <c r="D58" s="48"/>
      <c r="E58" s="49"/>
      <c r="F58" s="50"/>
      <c r="G58" s="50"/>
      <c r="H58" s="50"/>
      <c r="I58" s="50"/>
      <c r="J58" s="50">
        <v>41000</v>
      </c>
      <c r="K58" s="50" t="s">
        <v>290</v>
      </c>
    </row>
    <row r="59" spans="1:11" ht="19" x14ac:dyDescent="0.2">
      <c r="A59" s="61"/>
      <c r="B59" s="43"/>
      <c r="C59" s="46"/>
      <c r="D59" s="44"/>
      <c r="E59" s="62"/>
      <c r="F59" s="45"/>
      <c r="G59" s="45"/>
      <c r="H59" s="45"/>
      <c r="I59" s="45"/>
      <c r="J59" s="45">
        <v>27000</v>
      </c>
      <c r="K59" s="45" t="s">
        <v>208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>
        <v>40000</v>
      </c>
      <c r="K60" s="50" t="s">
        <v>40</v>
      </c>
    </row>
    <row r="61" spans="1:11" ht="19" x14ac:dyDescent="0.2">
      <c r="A61" s="61"/>
      <c r="B61" s="43"/>
      <c r="C61" s="46"/>
      <c r="D61" s="44"/>
      <c r="E61" s="62"/>
      <c r="F61" s="45"/>
      <c r="G61" s="45"/>
      <c r="H61" s="45"/>
      <c r="I61" s="45"/>
      <c r="J61" s="45">
        <v>48000</v>
      </c>
      <c r="K61" s="45" t="s">
        <v>70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7000</v>
      </c>
      <c r="K62" s="50" t="s">
        <v>706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22000</v>
      </c>
      <c r="K63" s="45" t="s">
        <v>711</v>
      </c>
    </row>
    <row r="64" spans="1:11" ht="19" x14ac:dyDescent="0.2">
      <c r="A64" s="57">
        <v>1302000</v>
      </c>
      <c r="B64" s="47">
        <v>45895</v>
      </c>
      <c r="C64" s="51" t="s">
        <v>16</v>
      </c>
      <c r="D64" s="48" t="s">
        <v>168</v>
      </c>
      <c r="E64" s="49">
        <v>518000</v>
      </c>
      <c r="F64" s="50">
        <v>269000</v>
      </c>
      <c r="G64" s="50">
        <v>515000</v>
      </c>
      <c r="H64" s="50"/>
      <c r="I64" s="50"/>
      <c r="J64" s="50">
        <v>28000</v>
      </c>
      <c r="K64" s="50" t="s">
        <v>712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240000</v>
      </c>
      <c r="K65" s="45" t="s">
        <v>480</v>
      </c>
    </row>
    <row r="66" spans="1:11" ht="19" x14ac:dyDescent="0.2">
      <c r="A66" s="57"/>
      <c r="B66" s="47"/>
      <c r="C66" s="51"/>
      <c r="D66" s="48"/>
      <c r="E66" s="49"/>
      <c r="F66" s="50"/>
      <c r="G66" s="50"/>
      <c r="H66" s="50"/>
      <c r="I66" s="50"/>
      <c r="J66" s="50">
        <v>99000</v>
      </c>
      <c r="K66" s="50" t="s">
        <v>417</v>
      </c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>
        <v>27000</v>
      </c>
      <c r="K67" s="45" t="s">
        <v>713</v>
      </c>
    </row>
    <row r="68" spans="1:11" ht="19" x14ac:dyDescent="0.2">
      <c r="A68" s="57"/>
      <c r="B68" s="47"/>
      <c r="C68" s="51"/>
      <c r="D68" s="48"/>
      <c r="E68" s="49"/>
      <c r="F68" s="50"/>
      <c r="G68" s="50"/>
      <c r="H68" s="50"/>
      <c r="I68" s="50"/>
      <c r="J68" s="50">
        <v>30000</v>
      </c>
      <c r="K68" s="50" t="s">
        <v>491</v>
      </c>
    </row>
    <row r="69" spans="1:11" ht="19" x14ac:dyDescent="0.2">
      <c r="A69" s="61"/>
      <c r="B69" s="43"/>
      <c r="C69" s="46"/>
      <c r="D69" s="44"/>
      <c r="E69" s="62"/>
      <c r="F69" s="45"/>
      <c r="G69" s="45"/>
      <c r="H69" s="45"/>
      <c r="I69" s="45"/>
      <c r="J69" s="45">
        <v>12000</v>
      </c>
      <c r="K69" s="45" t="s">
        <v>714</v>
      </c>
    </row>
    <row r="70" spans="1:11" ht="19" x14ac:dyDescent="0.2">
      <c r="A70" s="57">
        <v>1087000</v>
      </c>
      <c r="B70" s="47">
        <v>45896</v>
      </c>
      <c r="C70" s="51" t="s">
        <v>16</v>
      </c>
      <c r="D70" s="48" t="s">
        <v>168</v>
      </c>
      <c r="E70" s="49">
        <v>584000</v>
      </c>
      <c r="F70" s="50">
        <v>111000</v>
      </c>
      <c r="G70" s="50">
        <v>392000</v>
      </c>
      <c r="H70" s="50"/>
      <c r="I70" s="50"/>
      <c r="J70" s="50">
        <v>140000</v>
      </c>
      <c r="K70" s="50" t="s">
        <v>715</v>
      </c>
    </row>
    <row r="71" spans="1:11" ht="19" x14ac:dyDescent="0.2">
      <c r="A71" s="61"/>
      <c r="B71" s="43"/>
      <c r="C71" s="46"/>
      <c r="D71" s="44"/>
      <c r="E71" s="62"/>
      <c r="F71" s="45"/>
      <c r="G71" s="45"/>
      <c r="H71" s="45"/>
      <c r="I71" s="45"/>
      <c r="J71" s="45">
        <v>25000</v>
      </c>
      <c r="K71" s="45" t="s">
        <v>208</v>
      </c>
    </row>
    <row r="72" spans="1:11" ht="19" x14ac:dyDescent="0.2">
      <c r="A72" s="57">
        <v>950000</v>
      </c>
      <c r="B72" s="47">
        <v>45897</v>
      </c>
      <c r="C72" s="51" t="s">
        <v>16</v>
      </c>
      <c r="D72" s="48" t="s">
        <v>168</v>
      </c>
      <c r="E72" s="49">
        <v>398000</v>
      </c>
      <c r="F72" s="50">
        <v>139000</v>
      </c>
      <c r="G72" s="50">
        <v>413000</v>
      </c>
      <c r="H72" s="50"/>
      <c r="I72" s="50"/>
      <c r="J72" s="50">
        <v>28000</v>
      </c>
      <c r="K72" s="50" t="s">
        <v>716</v>
      </c>
    </row>
    <row r="73" spans="1:11" ht="19" x14ac:dyDescent="0.2">
      <c r="A73" s="61"/>
      <c r="B73" s="43"/>
      <c r="C73" s="46"/>
      <c r="D73" s="44"/>
      <c r="E73" s="62"/>
      <c r="F73" s="45"/>
      <c r="G73" s="45"/>
      <c r="H73" s="45"/>
      <c r="I73" s="45"/>
      <c r="J73" s="45">
        <v>112000</v>
      </c>
      <c r="K73" s="45" t="s">
        <v>254</v>
      </c>
    </row>
    <row r="74" spans="1:11" ht="19" x14ac:dyDescent="0.2">
      <c r="A74" s="57">
        <v>862000</v>
      </c>
      <c r="B74" s="47">
        <v>45898</v>
      </c>
      <c r="C74" s="51" t="s">
        <v>16</v>
      </c>
      <c r="D74" s="48" t="s">
        <v>136</v>
      </c>
      <c r="E74" s="49">
        <v>406000</v>
      </c>
      <c r="F74" s="50">
        <v>143000</v>
      </c>
      <c r="G74" s="50">
        <v>313000</v>
      </c>
      <c r="H74" s="50"/>
      <c r="I74" s="50"/>
      <c r="J74" s="50">
        <v>120000</v>
      </c>
      <c r="K74" s="50" t="s">
        <v>717</v>
      </c>
    </row>
    <row r="75" spans="1:11" ht="19" x14ac:dyDescent="0.2">
      <c r="A75" s="61"/>
      <c r="B75" s="43"/>
      <c r="C75" s="46"/>
      <c r="D75" s="44"/>
      <c r="E75" s="62"/>
      <c r="F75" s="45"/>
      <c r="G75" s="45"/>
      <c r="H75" s="45"/>
      <c r="I75" s="45"/>
      <c r="J75" s="45">
        <v>10000</v>
      </c>
      <c r="K75" s="45" t="s">
        <v>718</v>
      </c>
    </row>
    <row r="76" spans="1:11" ht="19" x14ac:dyDescent="0.2">
      <c r="A76" s="57"/>
      <c r="B76" s="47"/>
      <c r="C76" s="51"/>
      <c r="D76" s="48"/>
      <c r="E76" s="49"/>
      <c r="F76" s="50"/>
      <c r="G76" s="50"/>
      <c r="H76" s="50"/>
      <c r="I76" s="50"/>
      <c r="J76" s="50">
        <v>40000</v>
      </c>
      <c r="K76" s="50" t="s">
        <v>40</v>
      </c>
    </row>
    <row r="77" spans="1:11" ht="19" x14ac:dyDescent="0.2">
      <c r="A77" s="61"/>
      <c r="B77" s="43">
        <v>45899</v>
      </c>
      <c r="C77" s="46" t="s">
        <v>125</v>
      </c>
      <c r="D77" s="44"/>
      <c r="E77" s="62"/>
      <c r="F77" s="45"/>
      <c r="G77" s="45"/>
      <c r="H77" s="45">
        <v>1700000</v>
      </c>
      <c r="I77" s="45" t="s">
        <v>725</v>
      </c>
      <c r="J77" s="45">
        <v>28000</v>
      </c>
      <c r="K77" s="45" t="s">
        <v>719</v>
      </c>
    </row>
    <row r="78" spans="1:11" ht="19" x14ac:dyDescent="0.2">
      <c r="A78" s="57"/>
      <c r="B78" s="47">
        <v>45900</v>
      </c>
      <c r="C78" s="51" t="s">
        <v>125</v>
      </c>
      <c r="D78" s="48"/>
      <c r="E78" s="49"/>
      <c r="F78" s="50"/>
      <c r="G78" s="50"/>
      <c r="H78" s="50"/>
      <c r="I78" s="50"/>
      <c r="J78" s="50">
        <v>41000</v>
      </c>
      <c r="K78" s="50" t="s">
        <v>720</v>
      </c>
    </row>
    <row r="79" spans="1:11" ht="19" x14ac:dyDescent="0.2">
      <c r="A79" s="61"/>
      <c r="B79" s="43"/>
      <c r="C79" s="46"/>
      <c r="D79" s="44"/>
      <c r="E79" s="62"/>
      <c r="F79" s="45"/>
      <c r="G79" s="45"/>
      <c r="H79" s="45"/>
      <c r="I79" s="45"/>
      <c r="J79" s="45">
        <v>168000</v>
      </c>
      <c r="K79" s="45" t="s">
        <v>721</v>
      </c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>
        <v>160000</v>
      </c>
      <c r="K80" s="50" t="s">
        <v>27</v>
      </c>
    </row>
    <row r="81" spans="1:11" ht="19" x14ac:dyDescent="0.2">
      <c r="A81" s="61"/>
      <c r="B81" s="43"/>
      <c r="C81" s="46"/>
      <c r="D81" s="44"/>
      <c r="E81" s="62"/>
      <c r="F81" s="45"/>
      <c r="G81" s="45"/>
      <c r="H81" s="45"/>
      <c r="I81" s="45"/>
      <c r="J81" s="45">
        <v>140000</v>
      </c>
      <c r="K81" s="45" t="s">
        <v>722</v>
      </c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>
        <v>200000</v>
      </c>
      <c r="K82" s="50" t="s">
        <v>21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45000</v>
      </c>
      <c r="K83" s="45" t="s">
        <v>496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/>
      <c r="K84" s="5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0549-45C2-7E4E-B739-341F94A5F354}">
  <dimension ref="A3:K83"/>
  <sheetViews>
    <sheetView workbookViewId="0">
      <selection activeCell="B7" sqref="B7"/>
    </sheetView>
  </sheetViews>
  <sheetFormatPr baseColWidth="10" defaultRowHeight="15" x14ac:dyDescent="0.2"/>
  <cols>
    <col min="1" max="1" width="20.33203125" bestFit="1" customWidth="1"/>
    <col min="2" max="2" width="13.33203125" customWidth="1"/>
    <col min="3" max="3" width="13.33203125" bestFit="1" customWidth="1"/>
    <col min="4" max="4" width="15" bestFit="1" customWidth="1"/>
    <col min="5" max="5" width="20.33203125" bestFit="1" customWidth="1"/>
    <col min="6" max="6" width="22.33203125" customWidth="1"/>
    <col min="7" max="7" width="20.33203125" bestFit="1" customWidth="1"/>
    <col min="8" max="8" width="24.33203125" customWidth="1"/>
    <col min="9" max="9" width="29.5" customWidth="1"/>
    <col min="10" max="10" width="19" bestFit="1" customWidth="1"/>
    <col min="11" max="11" width="25.6640625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765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3679544</v>
      </c>
      <c r="K6" s="30" t="s">
        <v>766</v>
      </c>
    </row>
    <row r="7" spans="1:11" ht="26" x14ac:dyDescent="0.3">
      <c r="B7" s="32" t="s">
        <v>768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SUM(A11:A538)</f>
        <v>28492000</v>
      </c>
      <c r="B10" s="39"/>
      <c r="C10" s="40" t="s">
        <v>15</v>
      </c>
      <c r="D10" s="41"/>
      <c r="E10" s="42">
        <f>SUM(E11:E538)</f>
        <v>14165000</v>
      </c>
      <c r="F10" s="38">
        <f>SUM(F11:F538)</f>
        <v>3686000</v>
      </c>
      <c r="G10" s="38">
        <f>SUM(G11:G533)</f>
        <v>10641000</v>
      </c>
      <c r="H10" s="38">
        <f>SUM(H11:H538)</f>
        <v>10819000</v>
      </c>
      <c r="I10" s="38"/>
      <c r="J10" s="38">
        <f>SUM(J11:J538)</f>
        <v>4769000</v>
      </c>
      <c r="K10" s="38"/>
    </row>
    <row r="11" spans="1:11" ht="21" x14ac:dyDescent="0.2">
      <c r="A11" s="96"/>
      <c r="B11" s="97">
        <v>45901</v>
      </c>
      <c r="C11" s="98" t="s">
        <v>125</v>
      </c>
      <c r="D11" s="99"/>
      <c r="E11" s="13"/>
      <c r="F11" s="13"/>
      <c r="G11" s="13"/>
      <c r="H11" s="13"/>
      <c r="I11" s="13"/>
      <c r="J11" s="13"/>
      <c r="K11" s="13"/>
    </row>
    <row r="12" spans="1:11" ht="19" x14ac:dyDescent="0.2">
      <c r="A12" s="53">
        <v>913000</v>
      </c>
      <c r="B12" s="4">
        <v>45902</v>
      </c>
      <c r="C12" s="5" t="s">
        <v>16</v>
      </c>
      <c r="D12" s="2" t="s">
        <v>168</v>
      </c>
      <c r="E12" s="1">
        <v>385000</v>
      </c>
      <c r="F12" s="1">
        <v>152000</v>
      </c>
      <c r="G12" s="1">
        <v>376000</v>
      </c>
      <c r="H12" s="1"/>
      <c r="I12" s="1"/>
      <c r="J12" s="1"/>
      <c r="K12" s="1"/>
    </row>
    <row r="13" spans="1:11" ht="19" x14ac:dyDescent="0.2">
      <c r="A13" s="54">
        <v>1090000</v>
      </c>
      <c r="B13" s="10">
        <v>45903</v>
      </c>
      <c r="C13" s="14" t="s">
        <v>16</v>
      </c>
      <c r="D13" s="12" t="s">
        <v>168</v>
      </c>
      <c r="E13" s="15">
        <v>311000</v>
      </c>
      <c r="F13" s="13">
        <v>173000</v>
      </c>
      <c r="G13" s="13">
        <v>606000</v>
      </c>
      <c r="H13" s="13"/>
      <c r="I13" s="13"/>
      <c r="J13" s="13">
        <v>99000</v>
      </c>
      <c r="K13" s="13" t="s">
        <v>417</v>
      </c>
    </row>
    <row r="14" spans="1:11" ht="19" x14ac:dyDescent="0.2">
      <c r="A14" s="53"/>
      <c r="B14" s="4"/>
      <c r="C14" s="5"/>
      <c r="D14" s="2"/>
      <c r="E14" s="3"/>
      <c r="F14" s="1"/>
      <c r="G14" s="1"/>
      <c r="H14" s="1"/>
      <c r="I14" s="1"/>
      <c r="J14" s="8">
        <v>42000</v>
      </c>
      <c r="K14" s="1" t="s">
        <v>728</v>
      </c>
    </row>
    <row r="15" spans="1:11" ht="19" x14ac:dyDescent="0.2">
      <c r="A15" s="54">
        <v>1299000</v>
      </c>
      <c r="B15" s="10">
        <v>45904</v>
      </c>
      <c r="C15" s="14" t="s">
        <v>16</v>
      </c>
      <c r="D15" s="12" t="s">
        <v>168</v>
      </c>
      <c r="E15" s="15">
        <v>582000</v>
      </c>
      <c r="F15" s="13">
        <v>194000</v>
      </c>
      <c r="G15" s="13">
        <v>523000</v>
      </c>
      <c r="H15" s="13"/>
      <c r="I15" s="13"/>
      <c r="J15" s="13">
        <v>100000</v>
      </c>
      <c r="K15" s="13" t="s">
        <v>197</v>
      </c>
    </row>
    <row r="16" spans="1:11" ht="19" x14ac:dyDescent="0.2">
      <c r="A16" s="55">
        <v>1191000</v>
      </c>
      <c r="B16" s="18">
        <v>45905</v>
      </c>
      <c r="C16" s="19" t="s">
        <v>16</v>
      </c>
      <c r="D16" s="20" t="s">
        <v>168</v>
      </c>
      <c r="E16" s="21">
        <v>644000</v>
      </c>
      <c r="F16" s="8">
        <v>217000</v>
      </c>
      <c r="G16" s="8">
        <v>330000</v>
      </c>
      <c r="H16" s="23"/>
      <c r="I16" s="23"/>
      <c r="J16" s="8">
        <v>27000</v>
      </c>
      <c r="K16" s="8" t="s">
        <v>729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100000</v>
      </c>
      <c r="K17" s="13" t="s">
        <v>72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>
        <v>100000</v>
      </c>
      <c r="K18" s="8" t="s">
        <v>730</v>
      </c>
    </row>
    <row r="19" spans="1:11" ht="19" x14ac:dyDescent="0.2">
      <c r="A19" s="56">
        <v>637000</v>
      </c>
      <c r="B19" s="10">
        <v>45906</v>
      </c>
      <c r="C19" s="16" t="s">
        <v>16</v>
      </c>
      <c r="D19" s="12" t="s">
        <v>168</v>
      </c>
      <c r="E19" s="15">
        <v>182000</v>
      </c>
      <c r="F19" s="13">
        <v>59000</v>
      </c>
      <c r="G19" s="13">
        <v>396000</v>
      </c>
      <c r="H19" s="17"/>
      <c r="I19" s="17"/>
      <c r="J19" s="13">
        <v>25000</v>
      </c>
      <c r="K19" s="13" t="s">
        <v>731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7000</v>
      </c>
      <c r="K20" s="8" t="s">
        <v>706</v>
      </c>
    </row>
    <row r="21" spans="1:11" ht="19" x14ac:dyDescent="0.2">
      <c r="A21" s="56"/>
      <c r="B21" s="10">
        <v>45907</v>
      </c>
      <c r="C21" s="16" t="s">
        <v>125</v>
      </c>
      <c r="D21" s="12"/>
      <c r="E21" s="15"/>
      <c r="F21" s="13"/>
      <c r="G21" s="13"/>
      <c r="H21" s="17"/>
      <c r="I21" s="17"/>
      <c r="J21" s="13">
        <v>19000</v>
      </c>
      <c r="K21" s="13" t="s">
        <v>732</v>
      </c>
    </row>
    <row r="22" spans="1:11" ht="19" x14ac:dyDescent="0.2">
      <c r="A22" s="55">
        <v>1773000</v>
      </c>
      <c r="B22" s="18">
        <v>45908</v>
      </c>
      <c r="C22" s="19" t="s">
        <v>16</v>
      </c>
      <c r="D22" s="20" t="s">
        <v>136</v>
      </c>
      <c r="E22" s="21">
        <v>881000</v>
      </c>
      <c r="F22" s="8">
        <v>190000</v>
      </c>
      <c r="G22" s="8">
        <v>702000</v>
      </c>
      <c r="H22" s="23"/>
      <c r="I22" s="23"/>
      <c r="J22" s="8">
        <v>28000</v>
      </c>
      <c r="K22" s="8" t="s">
        <v>733</v>
      </c>
    </row>
    <row r="23" spans="1:11" ht="19" x14ac:dyDescent="0.2">
      <c r="A23" s="56"/>
      <c r="B23" s="10"/>
      <c r="C23" s="15"/>
      <c r="D23" s="12"/>
      <c r="E23" s="15"/>
      <c r="F23" s="13"/>
      <c r="G23" s="13"/>
      <c r="H23" s="17"/>
      <c r="I23" s="17"/>
      <c r="J23" s="13">
        <v>72000</v>
      </c>
      <c r="K23" s="13" t="s">
        <v>734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27000</v>
      </c>
      <c r="K24" s="8" t="s">
        <v>735</v>
      </c>
    </row>
    <row r="25" spans="1:11" ht="19" x14ac:dyDescent="0.2">
      <c r="A25" s="56">
        <v>1415000</v>
      </c>
      <c r="B25" s="10">
        <v>45909</v>
      </c>
      <c r="C25" s="15" t="s">
        <v>16</v>
      </c>
      <c r="D25" s="12" t="s">
        <v>168</v>
      </c>
      <c r="E25" s="15">
        <v>817000</v>
      </c>
      <c r="F25" s="13">
        <v>63000</v>
      </c>
      <c r="G25" s="13">
        <v>535000</v>
      </c>
      <c r="H25" s="13">
        <v>6974000</v>
      </c>
      <c r="I25" s="13" t="s">
        <v>764</v>
      </c>
      <c r="J25" s="13">
        <v>54000</v>
      </c>
      <c r="K25" s="13" t="s">
        <v>139</v>
      </c>
    </row>
    <row r="26" spans="1:11" ht="19" x14ac:dyDescent="0.2">
      <c r="A26" s="55"/>
      <c r="B26" s="18"/>
      <c r="C26" s="19"/>
      <c r="D26" s="20"/>
      <c r="E26" s="21"/>
      <c r="F26" s="8"/>
      <c r="G26" s="8"/>
      <c r="H26" s="8"/>
      <c r="I26" s="8"/>
      <c r="J26" s="8">
        <v>187000</v>
      </c>
      <c r="K26" s="8" t="s">
        <v>736</v>
      </c>
    </row>
    <row r="27" spans="1:11" ht="19" x14ac:dyDescent="0.2">
      <c r="A27" s="56"/>
      <c r="B27" s="10"/>
      <c r="C27" s="16"/>
      <c r="D27" s="12"/>
      <c r="E27" s="15"/>
      <c r="F27" s="13"/>
      <c r="G27" s="13"/>
      <c r="H27" s="13"/>
      <c r="I27" s="13"/>
      <c r="J27" s="13">
        <v>42000</v>
      </c>
      <c r="K27" s="13" t="s">
        <v>735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/>
      <c r="I28" s="8"/>
      <c r="J28" s="8">
        <v>28000</v>
      </c>
      <c r="K28" s="8" t="s">
        <v>737</v>
      </c>
    </row>
    <row r="29" spans="1:11" ht="19" x14ac:dyDescent="0.2">
      <c r="A29" s="56"/>
      <c r="B29" s="10"/>
      <c r="C29" s="16"/>
      <c r="D29" s="12"/>
      <c r="E29" s="15"/>
      <c r="F29" s="13"/>
      <c r="G29" s="13"/>
      <c r="H29" s="13"/>
      <c r="I29" s="13"/>
      <c r="J29" s="13">
        <v>25000</v>
      </c>
      <c r="K29" s="13" t="s">
        <v>208</v>
      </c>
    </row>
    <row r="30" spans="1:11" ht="19" x14ac:dyDescent="0.2">
      <c r="A30" s="55">
        <v>810000</v>
      </c>
      <c r="B30" s="18">
        <v>45910</v>
      </c>
      <c r="C30" s="22" t="s">
        <v>16</v>
      </c>
      <c r="D30" s="20" t="s">
        <v>168</v>
      </c>
      <c r="E30" s="21">
        <v>396000</v>
      </c>
      <c r="F30" s="8">
        <v>121000</v>
      </c>
      <c r="G30" s="8">
        <v>293000</v>
      </c>
      <c r="H30" s="8"/>
      <c r="I30" s="8"/>
      <c r="J30" s="8">
        <v>11000</v>
      </c>
      <c r="K30" s="8" t="s">
        <v>658</v>
      </c>
    </row>
    <row r="31" spans="1:11" ht="19" x14ac:dyDescent="0.2">
      <c r="A31" s="56">
        <v>807000</v>
      </c>
      <c r="B31" s="10">
        <v>45911</v>
      </c>
      <c r="C31" s="14" t="s">
        <v>16</v>
      </c>
      <c r="D31" s="12" t="s">
        <v>168</v>
      </c>
      <c r="E31" s="15">
        <v>325000</v>
      </c>
      <c r="F31" s="13">
        <v>135000</v>
      </c>
      <c r="G31" s="13">
        <v>347000</v>
      </c>
      <c r="H31" s="13">
        <v>700000</v>
      </c>
      <c r="I31" s="13" t="s">
        <v>411</v>
      </c>
      <c r="J31" s="13">
        <v>130000</v>
      </c>
      <c r="K31" s="13" t="s">
        <v>738</v>
      </c>
    </row>
    <row r="32" spans="1:11" ht="19" x14ac:dyDescent="0.2">
      <c r="A32" s="55"/>
      <c r="B32" s="18"/>
      <c r="C32" s="22"/>
      <c r="D32" s="20"/>
      <c r="E32" s="21"/>
      <c r="F32" s="8"/>
      <c r="G32" s="8"/>
      <c r="H32" s="8"/>
      <c r="I32" s="8"/>
      <c r="J32" s="8">
        <v>150000</v>
      </c>
      <c r="K32" s="8" t="s">
        <v>739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>
        <v>44000</v>
      </c>
      <c r="K33" s="13" t="s">
        <v>740</v>
      </c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>
        <v>200000</v>
      </c>
      <c r="K34" s="8" t="s">
        <v>21</v>
      </c>
    </row>
    <row r="35" spans="1:11" ht="19" x14ac:dyDescent="0.2">
      <c r="A35" s="54"/>
      <c r="B35" s="10"/>
      <c r="C35" s="14"/>
      <c r="D35" s="12"/>
      <c r="E35" s="15"/>
      <c r="F35" s="13"/>
      <c r="G35" s="13"/>
      <c r="H35" s="13"/>
      <c r="I35" s="13"/>
      <c r="J35" s="13">
        <v>150000</v>
      </c>
      <c r="K35" s="13" t="s">
        <v>327</v>
      </c>
    </row>
    <row r="36" spans="1:11" ht="19" x14ac:dyDescent="0.2">
      <c r="A36" s="53">
        <v>1163000</v>
      </c>
      <c r="B36" s="18">
        <v>45912</v>
      </c>
      <c r="C36" s="22" t="s">
        <v>16</v>
      </c>
      <c r="D36" s="20" t="s">
        <v>136</v>
      </c>
      <c r="E36" s="21">
        <v>732000</v>
      </c>
      <c r="F36" s="8">
        <v>242000</v>
      </c>
      <c r="G36" s="8">
        <v>189000</v>
      </c>
      <c r="H36" s="8"/>
      <c r="I36" s="8"/>
      <c r="J36" s="8">
        <v>45000</v>
      </c>
      <c r="K36" s="8" t="s">
        <v>496</v>
      </c>
    </row>
    <row r="37" spans="1:11" ht="19" x14ac:dyDescent="0.2">
      <c r="A37" s="56"/>
      <c r="B37" s="13"/>
      <c r="C37" s="13"/>
      <c r="D37" s="13"/>
      <c r="E37" s="13"/>
      <c r="F37" s="13"/>
      <c r="G37" s="13"/>
      <c r="H37" s="13"/>
      <c r="I37" s="13"/>
      <c r="J37" s="13">
        <v>162000</v>
      </c>
      <c r="K37" s="79" t="s">
        <v>622</v>
      </c>
    </row>
    <row r="38" spans="1:11" ht="19" x14ac:dyDescent="0.2">
      <c r="A38" s="55">
        <v>608000</v>
      </c>
      <c r="B38" s="18">
        <v>45913</v>
      </c>
      <c r="C38" s="22" t="s">
        <v>16</v>
      </c>
      <c r="D38" s="20" t="s">
        <v>168</v>
      </c>
      <c r="E38" s="21">
        <v>262000</v>
      </c>
      <c r="F38" s="8">
        <v>101000</v>
      </c>
      <c r="G38" s="8">
        <v>245000</v>
      </c>
      <c r="H38" s="8"/>
      <c r="I38" s="8"/>
      <c r="J38" s="8"/>
      <c r="K38" s="8"/>
    </row>
    <row r="39" spans="1:11" ht="19" x14ac:dyDescent="0.2">
      <c r="A39" s="56"/>
      <c r="B39" s="10">
        <v>45914</v>
      </c>
      <c r="C39" s="14" t="s">
        <v>125</v>
      </c>
      <c r="D39" s="12"/>
      <c r="E39" s="15"/>
      <c r="F39" s="13"/>
      <c r="G39" s="13"/>
      <c r="H39" s="13"/>
      <c r="I39" s="13"/>
      <c r="J39" s="13"/>
      <c r="K39" s="13"/>
    </row>
    <row r="40" spans="1:11" ht="32" x14ac:dyDescent="0.2">
      <c r="A40" s="55">
        <v>1252000</v>
      </c>
      <c r="B40" s="18">
        <v>45915</v>
      </c>
      <c r="C40" s="22" t="s">
        <v>16</v>
      </c>
      <c r="D40" s="20" t="s">
        <v>168</v>
      </c>
      <c r="E40" s="21">
        <v>712000</v>
      </c>
      <c r="F40" s="8">
        <v>89000</v>
      </c>
      <c r="G40" s="8">
        <v>451000</v>
      </c>
      <c r="H40" s="8">
        <v>845000</v>
      </c>
      <c r="I40" s="107" t="s">
        <v>741</v>
      </c>
      <c r="J40" s="8">
        <v>75000</v>
      </c>
      <c r="K40" s="8" t="s">
        <v>742</v>
      </c>
    </row>
    <row r="41" spans="1:11" ht="19" x14ac:dyDescent="0.2">
      <c r="A41" s="56"/>
      <c r="B41" s="10"/>
      <c r="C41" s="14"/>
      <c r="D41" s="12"/>
      <c r="E41" s="15"/>
      <c r="F41" s="13"/>
      <c r="G41" s="13"/>
      <c r="H41" s="13">
        <v>100000</v>
      </c>
      <c r="I41" s="13" t="s">
        <v>743</v>
      </c>
      <c r="J41" s="13">
        <v>25000</v>
      </c>
      <c r="K41" s="13" t="s">
        <v>744</v>
      </c>
    </row>
    <row r="42" spans="1:11" ht="19" x14ac:dyDescent="0.2">
      <c r="A42" s="55">
        <v>1341000</v>
      </c>
      <c r="B42" s="18">
        <v>45916</v>
      </c>
      <c r="C42" s="22" t="s">
        <v>16</v>
      </c>
      <c r="D42" s="20" t="s">
        <v>168</v>
      </c>
      <c r="E42" s="21">
        <v>685000</v>
      </c>
      <c r="F42" s="8">
        <v>45000</v>
      </c>
      <c r="G42" s="8">
        <v>611000</v>
      </c>
      <c r="H42" s="8"/>
      <c r="I42" s="8"/>
      <c r="J42" s="8">
        <v>19000</v>
      </c>
      <c r="K42" s="8" t="s">
        <v>745</v>
      </c>
    </row>
    <row r="43" spans="1:11" ht="19" x14ac:dyDescent="0.2">
      <c r="A43" s="56">
        <v>1546000</v>
      </c>
      <c r="B43" s="10">
        <v>45917</v>
      </c>
      <c r="C43" s="14" t="s">
        <v>16</v>
      </c>
      <c r="D43" s="12" t="s">
        <v>168</v>
      </c>
      <c r="E43" s="15">
        <v>752000</v>
      </c>
      <c r="F43" s="13">
        <v>247000</v>
      </c>
      <c r="G43" s="13">
        <v>547000</v>
      </c>
      <c r="H43" s="13"/>
      <c r="I43" s="13"/>
      <c r="J43" s="13">
        <v>100000</v>
      </c>
      <c r="K43" s="13" t="s">
        <v>197</v>
      </c>
    </row>
    <row r="44" spans="1:11" ht="19" x14ac:dyDescent="0.2">
      <c r="A44" s="55"/>
      <c r="B44" s="18"/>
      <c r="C44" s="22"/>
      <c r="D44" s="20"/>
      <c r="E44" s="21"/>
      <c r="F44" s="8"/>
      <c r="G44" s="8"/>
      <c r="H44" s="8"/>
      <c r="I44" s="105"/>
      <c r="J44" s="8">
        <v>216000</v>
      </c>
      <c r="K44" s="8" t="s">
        <v>354</v>
      </c>
    </row>
    <row r="45" spans="1:11" ht="19" x14ac:dyDescent="0.2">
      <c r="A45" s="56">
        <v>1265000</v>
      </c>
      <c r="B45" s="10">
        <v>45918</v>
      </c>
      <c r="C45" s="14" t="s">
        <v>16</v>
      </c>
      <c r="D45" s="12" t="s">
        <v>168</v>
      </c>
      <c r="E45" s="15">
        <v>463000</v>
      </c>
      <c r="F45" s="13">
        <v>222000</v>
      </c>
      <c r="G45" s="13">
        <v>580000</v>
      </c>
      <c r="H45" s="13"/>
      <c r="I45" s="13"/>
      <c r="J45" s="45">
        <v>120000</v>
      </c>
      <c r="K45" s="45" t="s">
        <v>508</v>
      </c>
    </row>
    <row r="46" spans="1:11" ht="19" x14ac:dyDescent="0.2">
      <c r="A46" s="59"/>
      <c r="B46" s="47"/>
      <c r="C46" s="51"/>
      <c r="D46" s="48"/>
      <c r="E46" s="49"/>
      <c r="F46" s="50"/>
      <c r="G46" s="50"/>
      <c r="H46" s="50"/>
      <c r="I46" s="50"/>
      <c r="J46" s="50">
        <v>70000</v>
      </c>
      <c r="K46" s="50" t="s">
        <v>746</v>
      </c>
    </row>
    <row r="47" spans="1:11" ht="19" x14ac:dyDescent="0.2">
      <c r="A47" s="58"/>
      <c r="B47" s="43"/>
      <c r="C47" s="46"/>
      <c r="D47" s="44"/>
      <c r="E47" s="15"/>
      <c r="F47" s="13"/>
      <c r="G47" s="13"/>
      <c r="H47" s="45"/>
      <c r="I47" s="45"/>
      <c r="J47" s="45">
        <v>120000</v>
      </c>
      <c r="K47" s="45" t="s">
        <v>747</v>
      </c>
    </row>
    <row r="48" spans="1:11" ht="19" x14ac:dyDescent="0.2">
      <c r="A48" s="57">
        <v>1076000</v>
      </c>
      <c r="B48" s="47">
        <v>45919</v>
      </c>
      <c r="C48" s="51" t="s">
        <v>16</v>
      </c>
      <c r="D48" s="48" t="s">
        <v>530</v>
      </c>
      <c r="E48" s="49">
        <v>421000</v>
      </c>
      <c r="F48" s="50">
        <v>167000</v>
      </c>
      <c r="G48" s="50">
        <v>488000</v>
      </c>
      <c r="H48" s="50"/>
      <c r="I48" s="50"/>
      <c r="J48" s="50">
        <v>33000</v>
      </c>
      <c r="K48" s="50" t="s">
        <v>55</v>
      </c>
    </row>
    <row r="49" spans="1:11" ht="19" x14ac:dyDescent="0.2">
      <c r="A49" s="61"/>
      <c r="B49" s="43"/>
      <c r="C49" s="46"/>
      <c r="D49" s="44"/>
      <c r="E49" s="62"/>
      <c r="F49" s="45"/>
      <c r="G49" s="45"/>
      <c r="H49" s="45"/>
      <c r="I49" s="45"/>
      <c r="J49" s="45">
        <v>127000</v>
      </c>
      <c r="K49" s="45" t="s">
        <v>96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60000</v>
      </c>
      <c r="K50" s="50" t="s">
        <v>748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23000</v>
      </c>
      <c r="K51" s="45" t="s">
        <v>737</v>
      </c>
    </row>
    <row r="52" spans="1:11" ht="19" x14ac:dyDescent="0.2">
      <c r="A52" s="57">
        <v>884000</v>
      </c>
      <c r="B52" s="47">
        <v>45920</v>
      </c>
      <c r="C52" s="51" t="s">
        <v>16</v>
      </c>
      <c r="D52" s="48" t="s">
        <v>168</v>
      </c>
      <c r="E52" s="49">
        <v>416000</v>
      </c>
      <c r="F52" s="50">
        <v>175000</v>
      </c>
      <c r="G52" s="50">
        <v>293000</v>
      </c>
      <c r="H52" s="50"/>
      <c r="I52" s="50"/>
      <c r="J52" s="50">
        <v>49000</v>
      </c>
      <c r="K52" s="50" t="s">
        <v>40</v>
      </c>
    </row>
    <row r="53" spans="1:11" ht="19" x14ac:dyDescent="0.2">
      <c r="A53" s="61">
        <v>1105000</v>
      </c>
      <c r="B53" s="43">
        <v>45922</v>
      </c>
      <c r="C53" s="46" t="s">
        <v>16</v>
      </c>
      <c r="D53" s="44" t="s">
        <v>136</v>
      </c>
      <c r="E53" s="62">
        <v>593000</v>
      </c>
      <c r="F53" s="45">
        <v>113000</v>
      </c>
      <c r="G53" s="45">
        <v>399000</v>
      </c>
      <c r="H53" s="45"/>
      <c r="I53" s="45"/>
      <c r="J53" s="45">
        <v>91000</v>
      </c>
      <c r="K53" s="45" t="s">
        <v>749</v>
      </c>
    </row>
    <row r="54" spans="1:11" ht="19" x14ac:dyDescent="0.2">
      <c r="A54" s="57">
        <v>927000</v>
      </c>
      <c r="B54" s="47">
        <v>45923</v>
      </c>
      <c r="C54" s="51" t="s">
        <v>16</v>
      </c>
      <c r="D54" s="48" t="s">
        <v>136</v>
      </c>
      <c r="E54" s="49">
        <v>458000</v>
      </c>
      <c r="F54" s="50">
        <v>161000</v>
      </c>
      <c r="G54" s="50">
        <v>308000</v>
      </c>
      <c r="H54" s="50"/>
      <c r="I54" s="50"/>
      <c r="J54" s="50">
        <v>30000</v>
      </c>
      <c r="K54" s="50" t="s">
        <v>750</v>
      </c>
    </row>
    <row r="55" spans="1:11" ht="19" x14ac:dyDescent="0.2">
      <c r="A55" s="61">
        <v>1582000</v>
      </c>
      <c r="B55" s="43">
        <v>45924</v>
      </c>
      <c r="C55" s="46" t="s">
        <v>16</v>
      </c>
      <c r="D55" s="44" t="s">
        <v>751</v>
      </c>
      <c r="E55" s="62">
        <v>938000</v>
      </c>
      <c r="F55" s="45">
        <v>76000</v>
      </c>
      <c r="G55" s="45">
        <v>568000</v>
      </c>
      <c r="H55" s="45"/>
      <c r="I55" s="45"/>
      <c r="J55" s="45">
        <v>27000</v>
      </c>
      <c r="K55" s="45" t="s">
        <v>56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>
        <v>216000</v>
      </c>
      <c r="K56" s="63" t="s">
        <v>354</v>
      </c>
    </row>
    <row r="57" spans="1:11" ht="19" x14ac:dyDescent="0.2">
      <c r="A57" s="61"/>
      <c r="B57" s="43"/>
      <c r="C57" s="46"/>
      <c r="D57" s="44"/>
      <c r="E57" s="62"/>
      <c r="F57" s="45"/>
      <c r="G57" s="45"/>
      <c r="H57" s="45"/>
      <c r="I57" s="45"/>
      <c r="J57" s="45">
        <v>50000</v>
      </c>
      <c r="K57" s="45" t="s">
        <v>752</v>
      </c>
    </row>
    <row r="58" spans="1:11" ht="19" x14ac:dyDescent="0.2">
      <c r="A58" s="57">
        <v>1516000</v>
      </c>
      <c r="B58" s="47">
        <v>45925</v>
      </c>
      <c r="C58" s="51" t="s">
        <v>16</v>
      </c>
      <c r="D58" s="48" t="s">
        <v>168</v>
      </c>
      <c r="E58" s="49">
        <v>1061000</v>
      </c>
      <c r="F58" s="50">
        <v>36000</v>
      </c>
      <c r="G58" s="50">
        <v>419000</v>
      </c>
      <c r="H58" s="50"/>
      <c r="I58" s="50"/>
      <c r="J58" s="50">
        <v>130000</v>
      </c>
      <c r="K58" s="50" t="s">
        <v>738</v>
      </c>
    </row>
    <row r="59" spans="1:11" ht="19" x14ac:dyDescent="0.2">
      <c r="A59" s="61"/>
      <c r="B59" s="43"/>
      <c r="C59" s="46"/>
      <c r="D59" s="44"/>
      <c r="E59" s="62"/>
      <c r="F59" s="45"/>
      <c r="G59" s="45"/>
      <c r="H59" s="45"/>
      <c r="I59" s="45"/>
      <c r="J59" s="45">
        <v>50000</v>
      </c>
      <c r="K59" s="45" t="s">
        <v>752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>
        <v>150000</v>
      </c>
      <c r="K60" s="50" t="s">
        <v>753</v>
      </c>
    </row>
    <row r="61" spans="1:11" ht="19" x14ac:dyDescent="0.2">
      <c r="A61" s="61">
        <v>1324000</v>
      </c>
      <c r="B61" s="43">
        <v>45926</v>
      </c>
      <c r="C61" s="46" t="s">
        <v>16</v>
      </c>
      <c r="D61" s="44" t="s">
        <v>168</v>
      </c>
      <c r="E61" s="62">
        <v>568000</v>
      </c>
      <c r="F61" s="45">
        <v>250000</v>
      </c>
      <c r="G61" s="45">
        <v>506000</v>
      </c>
      <c r="H61" s="45"/>
      <c r="I61" s="45"/>
      <c r="J61" s="45">
        <v>50000</v>
      </c>
      <c r="K61" s="45" t="s">
        <v>752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27000</v>
      </c>
      <c r="K62" s="50" t="s">
        <v>56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43000</v>
      </c>
      <c r="K63" s="45" t="s">
        <v>76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63000</v>
      </c>
      <c r="K64" s="50" t="s">
        <v>754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23000</v>
      </c>
      <c r="K65" s="45" t="s">
        <v>367</v>
      </c>
    </row>
    <row r="66" spans="1:11" ht="19" x14ac:dyDescent="0.2">
      <c r="A66" s="57">
        <v>495000</v>
      </c>
      <c r="B66" s="47">
        <v>45927</v>
      </c>
      <c r="C66" s="51" t="s">
        <v>16</v>
      </c>
      <c r="D66" s="48" t="s">
        <v>168</v>
      </c>
      <c r="E66" s="49">
        <v>344000</v>
      </c>
      <c r="F66" s="50">
        <v>88000</v>
      </c>
      <c r="G66" s="50">
        <v>63000</v>
      </c>
      <c r="H66" s="50"/>
      <c r="I66" s="50"/>
      <c r="J66" s="50">
        <v>45000</v>
      </c>
      <c r="K66" s="50" t="s">
        <v>755</v>
      </c>
    </row>
    <row r="67" spans="1:11" ht="19" x14ac:dyDescent="0.2">
      <c r="A67" s="61"/>
      <c r="B67" s="43">
        <v>45928</v>
      </c>
      <c r="C67" s="46" t="s">
        <v>125</v>
      </c>
      <c r="D67" s="44"/>
      <c r="E67" s="62"/>
      <c r="F67" s="45"/>
      <c r="G67" s="45"/>
      <c r="H67" s="45"/>
      <c r="I67" s="45"/>
      <c r="J67" s="45">
        <v>120000</v>
      </c>
      <c r="K67" s="45" t="s">
        <v>756</v>
      </c>
    </row>
    <row r="68" spans="1:11" ht="19" x14ac:dyDescent="0.2">
      <c r="A68" s="57">
        <v>1541000</v>
      </c>
      <c r="B68" s="47">
        <v>45929</v>
      </c>
      <c r="C68" s="51" t="s">
        <v>16</v>
      </c>
      <c r="D68" s="48" t="s">
        <v>757</v>
      </c>
      <c r="E68" s="49">
        <v>780000</v>
      </c>
      <c r="F68" s="50">
        <v>154000</v>
      </c>
      <c r="G68" s="50">
        <v>607000</v>
      </c>
      <c r="H68" s="50"/>
      <c r="I68" s="50"/>
      <c r="J68" s="50">
        <v>128000</v>
      </c>
      <c r="K68" s="50" t="s">
        <v>758</v>
      </c>
    </row>
    <row r="69" spans="1:11" ht="19" x14ac:dyDescent="0.2">
      <c r="A69" s="61"/>
      <c r="B69" s="43"/>
      <c r="C69" s="46"/>
      <c r="D69" s="44"/>
      <c r="E69" s="62"/>
      <c r="F69" s="45"/>
      <c r="G69" s="45"/>
      <c r="H69" s="45"/>
      <c r="I69" s="45"/>
      <c r="J69" s="45">
        <v>70000</v>
      </c>
      <c r="K69" s="45" t="s">
        <v>759</v>
      </c>
    </row>
    <row r="70" spans="1:11" ht="19" x14ac:dyDescent="0.2">
      <c r="A70" s="57"/>
      <c r="B70" s="47"/>
      <c r="C70" s="51"/>
      <c r="D70" s="48"/>
      <c r="E70" s="49"/>
      <c r="F70" s="50"/>
      <c r="G70" s="50"/>
      <c r="H70" s="50"/>
      <c r="I70" s="50"/>
      <c r="J70" s="50"/>
      <c r="K70" s="50"/>
    </row>
    <row r="71" spans="1:11" ht="19" x14ac:dyDescent="0.2">
      <c r="A71" s="61"/>
      <c r="B71" s="43"/>
      <c r="C71" s="46"/>
      <c r="D71" s="44"/>
      <c r="E71" s="62"/>
      <c r="F71" s="45"/>
      <c r="G71" s="45"/>
      <c r="H71" s="45"/>
      <c r="I71" s="45"/>
      <c r="J71" s="45">
        <v>16000</v>
      </c>
      <c r="K71" s="45" t="s">
        <v>208</v>
      </c>
    </row>
    <row r="72" spans="1:11" ht="19" x14ac:dyDescent="0.2">
      <c r="A72" s="57">
        <v>932000</v>
      </c>
      <c r="B72" s="47">
        <v>45930</v>
      </c>
      <c r="C72" s="51" t="s">
        <v>16</v>
      </c>
      <c r="D72" s="48" t="s">
        <v>760</v>
      </c>
      <c r="E72" s="49">
        <v>457000</v>
      </c>
      <c r="F72" s="50">
        <v>216000</v>
      </c>
      <c r="G72" s="50">
        <v>259000</v>
      </c>
      <c r="H72" s="50">
        <v>1800000</v>
      </c>
      <c r="I72" s="50" t="s">
        <v>725</v>
      </c>
      <c r="J72" s="50">
        <v>54000</v>
      </c>
      <c r="K72" s="50" t="s">
        <v>761</v>
      </c>
    </row>
    <row r="73" spans="1:11" ht="19" x14ac:dyDescent="0.2">
      <c r="A73" s="61"/>
      <c r="B73" s="43"/>
      <c r="C73" s="46"/>
      <c r="D73" s="44"/>
      <c r="E73" s="62"/>
      <c r="F73" s="45"/>
      <c r="G73" s="45"/>
      <c r="H73" s="45">
        <v>100000</v>
      </c>
      <c r="I73" s="45" t="s">
        <v>762</v>
      </c>
      <c r="J73" s="45">
        <v>25000</v>
      </c>
      <c r="K73" s="45" t="s">
        <v>735</v>
      </c>
    </row>
    <row r="74" spans="1:11" ht="19" x14ac:dyDescent="0.2">
      <c r="A74" s="57"/>
      <c r="B74" s="47"/>
      <c r="C74" s="51"/>
      <c r="D74" s="48"/>
      <c r="E74" s="49"/>
      <c r="F74" s="50"/>
      <c r="G74" s="50"/>
      <c r="H74" s="50">
        <v>300000</v>
      </c>
      <c r="I74" s="50" t="s">
        <v>763</v>
      </c>
      <c r="J74" s="50">
        <v>200000</v>
      </c>
      <c r="K74" s="50" t="s">
        <v>21</v>
      </c>
    </row>
    <row r="75" spans="1:11" ht="19" x14ac:dyDescent="0.2">
      <c r="A75" s="61"/>
      <c r="B75" s="43"/>
      <c r="C75" s="46"/>
      <c r="D75" s="44"/>
      <c r="E75" s="62"/>
      <c r="F75" s="45"/>
      <c r="G75" s="45"/>
      <c r="H75" s="45"/>
      <c r="I75" s="45"/>
      <c r="J75" s="45">
        <v>150000</v>
      </c>
      <c r="K75" s="45" t="s">
        <v>327</v>
      </c>
    </row>
    <row r="76" spans="1:11" ht="19" x14ac:dyDescent="0.2">
      <c r="A76" s="57"/>
      <c r="B76" s="47"/>
      <c r="C76" s="51"/>
      <c r="D76" s="48"/>
      <c r="E76" s="49"/>
      <c r="F76" s="50"/>
      <c r="G76" s="50"/>
      <c r="H76" s="50"/>
      <c r="I76" s="50"/>
      <c r="J76" s="50">
        <v>100000</v>
      </c>
      <c r="K76" s="50" t="s">
        <v>197</v>
      </c>
    </row>
    <row r="77" spans="1:11" ht="19" x14ac:dyDescent="0.2">
      <c r="A77" s="61"/>
      <c r="B77" s="43"/>
      <c r="C77" s="46"/>
      <c r="D77" s="44"/>
      <c r="E77" s="62"/>
      <c r="F77" s="45"/>
      <c r="G77" s="45"/>
      <c r="H77" s="45"/>
      <c r="I77" s="45"/>
      <c r="J77" s="45"/>
      <c r="K77" s="45"/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/>
      <c r="K78" s="50"/>
    </row>
    <row r="79" spans="1:11" ht="19" x14ac:dyDescent="0.2">
      <c r="A79" s="61"/>
      <c r="B79" s="43"/>
      <c r="C79" s="46"/>
      <c r="D79" s="44"/>
      <c r="E79" s="62"/>
      <c r="F79" s="45"/>
      <c r="G79" s="45"/>
      <c r="H79" s="45"/>
      <c r="I79" s="45"/>
      <c r="J79" s="45"/>
      <c r="K79" s="45"/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/>
      <c r="K80" s="50"/>
    </row>
    <row r="81" spans="1:11" ht="19" x14ac:dyDescent="0.2">
      <c r="A81" s="61"/>
      <c r="B81" s="43"/>
      <c r="C81" s="46"/>
      <c r="D81" s="44"/>
      <c r="E81" s="62"/>
      <c r="F81" s="45"/>
      <c r="G81" s="45"/>
      <c r="H81" s="45"/>
      <c r="I81" s="45"/>
      <c r="J81" s="45"/>
      <c r="K81" s="45"/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/>
      <c r="K82" s="50"/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/>
      <c r="K83" s="4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D066-54BA-E745-A005-7AE5778FED8B}">
  <dimension ref="A3:K126"/>
  <sheetViews>
    <sheetView workbookViewId="0">
      <selection activeCell="B7" sqref="B7"/>
    </sheetView>
  </sheetViews>
  <sheetFormatPr baseColWidth="10" defaultRowHeight="15" x14ac:dyDescent="0.2"/>
  <cols>
    <col min="1" max="1" width="20.33203125" bestFit="1" customWidth="1"/>
    <col min="3" max="3" width="13.33203125" bestFit="1" customWidth="1"/>
    <col min="5" max="5" width="20.33203125" bestFit="1" customWidth="1"/>
    <col min="6" max="6" width="29" customWidth="1"/>
    <col min="7" max="7" width="20.33203125" bestFit="1" customWidth="1"/>
    <col min="8" max="8" width="23.1640625" customWidth="1"/>
    <col min="9" max="9" width="30.5" customWidth="1"/>
    <col min="10" max="10" width="23" customWidth="1"/>
    <col min="11" max="11" width="30.6640625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819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4001935</v>
      </c>
      <c r="K6" s="30" t="s">
        <v>820</v>
      </c>
    </row>
    <row r="7" spans="1:11" ht="26" x14ac:dyDescent="0.3">
      <c r="B7" s="32" t="s">
        <v>822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SUM(A11:A580)</f>
        <v>36260000</v>
      </c>
      <c r="B10" s="39"/>
      <c r="C10" s="40" t="s">
        <v>15</v>
      </c>
      <c r="D10" s="41"/>
      <c r="E10" s="42">
        <f>SUM(E11:E580)</f>
        <v>16821000</v>
      </c>
      <c r="F10" s="38">
        <f>SUM(F11:F580)</f>
        <v>5360000</v>
      </c>
      <c r="G10" s="38">
        <f>SUM(G11:G575)</f>
        <v>14079000</v>
      </c>
      <c r="H10" s="38">
        <f>SUM(H11:H580)</f>
        <v>15887000</v>
      </c>
      <c r="I10" s="38"/>
      <c r="J10" s="38">
        <f>SUM(J11:J580)</f>
        <v>6350000</v>
      </c>
      <c r="K10" s="38"/>
    </row>
    <row r="11" spans="1:11" ht="21" x14ac:dyDescent="0.2">
      <c r="A11" s="96"/>
      <c r="B11" s="97">
        <v>45931</v>
      </c>
      <c r="C11" s="98"/>
      <c r="D11" s="99" t="s">
        <v>125</v>
      </c>
      <c r="E11" s="13"/>
      <c r="F11" s="13"/>
      <c r="G11" s="13"/>
      <c r="H11" s="13"/>
      <c r="I11" s="13"/>
      <c r="J11" s="13"/>
      <c r="K11" s="13"/>
    </row>
    <row r="12" spans="1:11" ht="19" x14ac:dyDescent="0.2">
      <c r="A12" s="53">
        <v>1160000</v>
      </c>
      <c r="B12" s="4">
        <v>45932</v>
      </c>
      <c r="C12" s="5" t="s">
        <v>16</v>
      </c>
      <c r="D12" s="2" t="s">
        <v>168</v>
      </c>
      <c r="E12" s="1">
        <v>459000</v>
      </c>
      <c r="F12" s="1">
        <v>146000</v>
      </c>
      <c r="G12" s="1">
        <v>555000</v>
      </c>
      <c r="H12" s="1">
        <v>100000</v>
      </c>
      <c r="I12" s="1" t="s">
        <v>769</v>
      </c>
      <c r="J12" s="8">
        <v>198000</v>
      </c>
      <c r="K12" s="8" t="s">
        <v>347</v>
      </c>
    </row>
    <row r="13" spans="1:11" ht="19" x14ac:dyDescent="0.2">
      <c r="A13" s="54"/>
      <c r="B13" s="10"/>
      <c r="C13" s="14"/>
      <c r="D13" s="12"/>
      <c r="E13" s="15"/>
      <c r="F13" s="13"/>
      <c r="G13" s="13"/>
      <c r="H13" s="13">
        <v>50000</v>
      </c>
      <c r="I13" s="13" t="s">
        <v>770</v>
      </c>
      <c r="J13" s="13"/>
      <c r="K13" s="13"/>
    </row>
    <row r="14" spans="1:11" ht="19" x14ac:dyDescent="0.2">
      <c r="A14" s="53">
        <v>1088000</v>
      </c>
      <c r="B14" s="4">
        <v>45933</v>
      </c>
      <c r="C14" s="5" t="s">
        <v>16</v>
      </c>
      <c r="D14" s="2" t="s">
        <v>168</v>
      </c>
      <c r="E14" s="3">
        <v>677000</v>
      </c>
      <c r="F14" s="1">
        <v>184000</v>
      </c>
      <c r="G14" s="1">
        <v>227000</v>
      </c>
      <c r="H14" s="1"/>
      <c r="I14" s="1"/>
      <c r="J14" s="8"/>
      <c r="K14" s="1"/>
    </row>
    <row r="15" spans="1:11" ht="19" x14ac:dyDescent="0.2">
      <c r="A15" s="54"/>
      <c r="B15" s="10"/>
      <c r="C15" s="14"/>
      <c r="D15" s="12"/>
      <c r="E15" s="15"/>
      <c r="F15" s="13"/>
      <c r="G15" s="13"/>
      <c r="H15" s="13"/>
      <c r="I15" s="13"/>
      <c r="J15" s="13"/>
      <c r="K15" s="13"/>
    </row>
    <row r="16" spans="1:11" ht="19" x14ac:dyDescent="0.2">
      <c r="A16" s="55">
        <v>470000</v>
      </c>
      <c r="B16" s="18"/>
      <c r="C16" s="19" t="s">
        <v>18</v>
      </c>
      <c r="D16" s="20" t="s">
        <v>771</v>
      </c>
      <c r="E16" s="21">
        <v>359000</v>
      </c>
      <c r="F16" s="8">
        <v>40000</v>
      </c>
      <c r="G16" s="8">
        <v>71000</v>
      </c>
      <c r="H16" s="23"/>
      <c r="I16" s="23"/>
      <c r="J16" s="8"/>
      <c r="K16" s="8"/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/>
      <c r="K17" s="13"/>
    </row>
    <row r="18" spans="1:11" ht="19" x14ac:dyDescent="0.2">
      <c r="A18" s="55">
        <v>544000</v>
      </c>
      <c r="B18" s="18">
        <v>45934</v>
      </c>
      <c r="C18" s="19" t="s">
        <v>16</v>
      </c>
      <c r="D18" s="20" t="s">
        <v>168</v>
      </c>
      <c r="E18" s="21">
        <v>312000</v>
      </c>
      <c r="F18" s="8">
        <v>54000</v>
      </c>
      <c r="G18" s="8">
        <v>178000</v>
      </c>
      <c r="H18" s="23"/>
      <c r="I18" s="23"/>
      <c r="J18" s="8"/>
      <c r="K18" s="8"/>
    </row>
    <row r="19" spans="1:11" ht="19" x14ac:dyDescent="0.2">
      <c r="A19" s="56"/>
      <c r="B19" s="10">
        <v>45935</v>
      </c>
      <c r="C19" s="16"/>
      <c r="D19" s="12" t="s">
        <v>125</v>
      </c>
      <c r="E19" s="15"/>
      <c r="F19" s="13"/>
      <c r="G19" s="13"/>
      <c r="H19" s="17"/>
      <c r="I19" s="17"/>
      <c r="J19" s="13"/>
      <c r="K19" s="13"/>
    </row>
    <row r="20" spans="1:11" ht="19" x14ac:dyDescent="0.2">
      <c r="A20" s="55">
        <v>1470000</v>
      </c>
      <c r="B20" s="18">
        <v>45936</v>
      </c>
      <c r="C20" s="19" t="s">
        <v>16</v>
      </c>
      <c r="D20" s="20" t="s">
        <v>168</v>
      </c>
      <c r="E20" s="21">
        <v>815000</v>
      </c>
      <c r="F20" s="8">
        <v>187000</v>
      </c>
      <c r="G20" s="8">
        <v>468000</v>
      </c>
      <c r="H20" s="23"/>
      <c r="I20" s="23"/>
      <c r="J20" s="8">
        <v>120000</v>
      </c>
      <c r="K20" s="8" t="s">
        <v>772</v>
      </c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>
        <v>216000</v>
      </c>
      <c r="K21" s="13" t="s">
        <v>354</v>
      </c>
    </row>
    <row r="22" spans="1:11" ht="19" x14ac:dyDescent="0.2">
      <c r="A22" s="55">
        <v>46000</v>
      </c>
      <c r="B22" s="18"/>
      <c r="C22" s="19" t="s">
        <v>18</v>
      </c>
      <c r="D22" s="20" t="s">
        <v>771</v>
      </c>
      <c r="E22" s="21">
        <v>46000</v>
      </c>
      <c r="F22" s="8">
        <v>0</v>
      </c>
      <c r="G22" s="8">
        <v>0</v>
      </c>
      <c r="H22" s="23"/>
      <c r="I22" s="23"/>
      <c r="J22" s="8"/>
      <c r="K22" s="8"/>
    </row>
    <row r="23" spans="1:11" ht="19" x14ac:dyDescent="0.2">
      <c r="A23" s="56">
        <v>1171000</v>
      </c>
      <c r="B23" s="10">
        <v>45937</v>
      </c>
      <c r="C23" s="15" t="s">
        <v>16</v>
      </c>
      <c r="D23" s="12" t="s">
        <v>168</v>
      </c>
      <c r="E23" s="15">
        <v>527000</v>
      </c>
      <c r="F23" s="13">
        <v>193000</v>
      </c>
      <c r="G23" s="13">
        <v>451000</v>
      </c>
      <c r="H23" s="17"/>
      <c r="I23" s="17"/>
      <c r="J23" s="13">
        <v>79000</v>
      </c>
      <c r="K23" s="13" t="s">
        <v>203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30000</v>
      </c>
      <c r="K24" s="8" t="s">
        <v>249</v>
      </c>
    </row>
    <row r="25" spans="1:11" ht="19" x14ac:dyDescent="0.2">
      <c r="A25" s="56">
        <v>544000</v>
      </c>
      <c r="B25" s="10"/>
      <c r="C25" s="15" t="s">
        <v>18</v>
      </c>
      <c r="D25" s="12" t="s">
        <v>771</v>
      </c>
      <c r="E25" s="15">
        <v>391000</v>
      </c>
      <c r="F25" s="13">
        <v>123000</v>
      </c>
      <c r="G25" s="13">
        <v>30000</v>
      </c>
      <c r="H25" s="13"/>
      <c r="I25" s="13"/>
      <c r="J25" s="13"/>
      <c r="K25" s="13"/>
    </row>
    <row r="26" spans="1:11" ht="19" x14ac:dyDescent="0.2">
      <c r="A26" s="55"/>
      <c r="B26" s="18"/>
      <c r="C26" s="19"/>
      <c r="D26" s="20"/>
      <c r="E26" s="21"/>
      <c r="F26" s="8"/>
      <c r="G26" s="8"/>
      <c r="H26" s="8"/>
      <c r="I26" s="8"/>
      <c r="J26" s="8"/>
      <c r="K26" s="8"/>
    </row>
    <row r="27" spans="1:11" ht="19" x14ac:dyDescent="0.2">
      <c r="A27" s="56">
        <v>1399000</v>
      </c>
      <c r="B27" s="10">
        <v>45938</v>
      </c>
      <c r="C27" s="16" t="s">
        <v>16</v>
      </c>
      <c r="D27" s="12" t="s">
        <v>168</v>
      </c>
      <c r="E27" s="15">
        <v>713000</v>
      </c>
      <c r="F27" s="13">
        <v>90000</v>
      </c>
      <c r="G27" s="13">
        <v>596000</v>
      </c>
      <c r="H27" s="13"/>
      <c r="I27" s="13"/>
      <c r="J27" s="13">
        <v>54000</v>
      </c>
      <c r="K27" s="13" t="s">
        <v>139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/>
      <c r="I28" s="8"/>
      <c r="J28" s="8">
        <v>65000</v>
      </c>
      <c r="K28" s="8" t="s">
        <v>773</v>
      </c>
    </row>
    <row r="29" spans="1:11" ht="19" x14ac:dyDescent="0.2">
      <c r="A29" s="56"/>
      <c r="B29" s="10"/>
      <c r="C29" s="16"/>
      <c r="D29" s="12"/>
      <c r="E29" s="15"/>
      <c r="F29" s="13"/>
      <c r="G29" s="13"/>
      <c r="H29" s="13"/>
      <c r="I29" s="13"/>
      <c r="J29" s="13">
        <v>51000</v>
      </c>
      <c r="K29" s="13" t="s">
        <v>735</v>
      </c>
    </row>
    <row r="30" spans="1:11" ht="19" x14ac:dyDescent="0.2">
      <c r="A30" s="55">
        <v>129000</v>
      </c>
      <c r="B30" s="18"/>
      <c r="C30" s="22" t="s">
        <v>18</v>
      </c>
      <c r="D30" s="20" t="s">
        <v>771</v>
      </c>
      <c r="E30" s="21">
        <v>129000</v>
      </c>
      <c r="F30" s="8">
        <v>0</v>
      </c>
      <c r="G30" s="8">
        <v>0</v>
      </c>
      <c r="H30" s="8"/>
      <c r="I30" s="8"/>
      <c r="J30" s="8"/>
      <c r="K30" s="8"/>
    </row>
    <row r="31" spans="1:11" ht="19" x14ac:dyDescent="0.2">
      <c r="A31" s="56">
        <v>1060000</v>
      </c>
      <c r="B31" s="10">
        <v>45939</v>
      </c>
      <c r="C31" s="14" t="s">
        <v>16</v>
      </c>
      <c r="D31" s="12" t="s">
        <v>168</v>
      </c>
      <c r="E31" s="15">
        <v>237000</v>
      </c>
      <c r="F31" s="13">
        <v>307000</v>
      </c>
      <c r="G31" s="13">
        <v>516000</v>
      </c>
      <c r="H31" s="13"/>
      <c r="I31" s="13"/>
      <c r="J31" s="13">
        <v>120000</v>
      </c>
      <c r="K31" s="13" t="s">
        <v>508</v>
      </c>
    </row>
    <row r="32" spans="1:11" ht="19" x14ac:dyDescent="0.2">
      <c r="A32" s="55"/>
      <c r="B32" s="18"/>
      <c r="C32" s="22"/>
      <c r="D32" s="20"/>
      <c r="E32" s="21"/>
      <c r="F32" s="8"/>
      <c r="G32" s="8"/>
      <c r="H32" s="8"/>
      <c r="I32" s="8"/>
      <c r="J32" s="8"/>
      <c r="K32" s="8"/>
    </row>
    <row r="33" spans="1:11" ht="19" x14ac:dyDescent="0.2">
      <c r="A33" s="54">
        <v>281000</v>
      </c>
      <c r="B33" s="10"/>
      <c r="C33" s="14" t="s">
        <v>18</v>
      </c>
      <c r="D33" s="12" t="s">
        <v>771</v>
      </c>
      <c r="E33" s="15">
        <v>119000</v>
      </c>
      <c r="F33" s="13">
        <v>162000</v>
      </c>
      <c r="G33" s="13">
        <v>0</v>
      </c>
      <c r="H33" s="13"/>
      <c r="I33" s="13"/>
      <c r="J33" s="13"/>
      <c r="K33" s="13"/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/>
      <c r="K34" s="8"/>
    </row>
    <row r="35" spans="1:11" ht="19" x14ac:dyDescent="0.2">
      <c r="A35" s="54">
        <v>797000</v>
      </c>
      <c r="B35" s="10">
        <v>45940</v>
      </c>
      <c r="C35" s="14" t="s">
        <v>16</v>
      </c>
      <c r="D35" s="12" t="s">
        <v>774</v>
      </c>
      <c r="E35" s="15">
        <v>394000</v>
      </c>
      <c r="F35" s="13">
        <v>169000</v>
      </c>
      <c r="G35" s="13">
        <v>234000</v>
      </c>
      <c r="H35" s="13"/>
      <c r="I35" s="13"/>
      <c r="J35" s="13">
        <v>94000</v>
      </c>
      <c r="K35" s="13" t="s">
        <v>775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>
        <v>43000</v>
      </c>
      <c r="K36" s="8" t="s">
        <v>76</v>
      </c>
    </row>
    <row r="37" spans="1:11" ht="19" x14ac:dyDescent="0.2">
      <c r="A37" s="56">
        <v>536000</v>
      </c>
      <c r="B37" s="13"/>
      <c r="C37" s="13" t="s">
        <v>18</v>
      </c>
      <c r="D37" s="108" t="s">
        <v>771</v>
      </c>
      <c r="E37" s="13">
        <v>160000</v>
      </c>
      <c r="F37" s="13">
        <v>278000</v>
      </c>
      <c r="G37" s="13">
        <v>98000</v>
      </c>
      <c r="H37" s="13"/>
      <c r="I37" s="13"/>
      <c r="J37" s="13">
        <v>121000</v>
      </c>
      <c r="K37" s="79" t="s">
        <v>776</v>
      </c>
    </row>
    <row r="38" spans="1:11" ht="19" x14ac:dyDescent="0.2">
      <c r="A38" s="55"/>
      <c r="B38" s="18"/>
      <c r="C38" s="22"/>
      <c r="D38" s="20"/>
      <c r="E38" s="21"/>
      <c r="F38" s="8"/>
      <c r="G38" s="8"/>
      <c r="H38" s="8"/>
      <c r="I38" s="8"/>
      <c r="J38" s="8">
        <v>46000</v>
      </c>
      <c r="K38" s="8" t="s">
        <v>777</v>
      </c>
    </row>
    <row r="39" spans="1:11" ht="19" x14ac:dyDescent="0.2">
      <c r="A39" s="56">
        <v>838000</v>
      </c>
      <c r="B39" s="10">
        <v>45941</v>
      </c>
      <c r="C39" s="14" t="s">
        <v>16</v>
      </c>
      <c r="D39" s="12" t="s">
        <v>168</v>
      </c>
      <c r="E39" s="15">
        <v>440000</v>
      </c>
      <c r="F39" s="13">
        <v>145000</v>
      </c>
      <c r="G39" s="13">
        <v>253000</v>
      </c>
      <c r="H39" s="13">
        <v>6806000</v>
      </c>
      <c r="I39" s="13" t="s">
        <v>358</v>
      </c>
      <c r="J39" s="13">
        <v>5000</v>
      </c>
      <c r="K39" s="13" t="s">
        <v>778</v>
      </c>
    </row>
    <row r="40" spans="1:11" ht="19" x14ac:dyDescent="0.2">
      <c r="A40" s="55"/>
      <c r="B40" s="18"/>
      <c r="C40" s="22" t="s">
        <v>18</v>
      </c>
      <c r="D40" s="20" t="s">
        <v>125</v>
      </c>
      <c r="E40" s="21"/>
      <c r="F40" s="8"/>
      <c r="G40" s="8"/>
      <c r="H40" s="8"/>
      <c r="I40" s="8"/>
      <c r="J40" s="8"/>
      <c r="K40" s="8"/>
    </row>
    <row r="41" spans="1:11" ht="19" x14ac:dyDescent="0.2">
      <c r="A41" s="56"/>
      <c r="B41" s="10">
        <v>45942</v>
      </c>
      <c r="C41" s="14"/>
      <c r="D41" s="12" t="s">
        <v>125</v>
      </c>
      <c r="E41" s="15"/>
      <c r="F41" s="13"/>
      <c r="G41" s="13"/>
      <c r="H41" s="13"/>
      <c r="I41" s="13"/>
      <c r="J41" s="13"/>
      <c r="K41" s="13"/>
    </row>
    <row r="42" spans="1:11" ht="19" x14ac:dyDescent="0.2">
      <c r="A42" s="55"/>
      <c r="B42" s="18"/>
      <c r="C42" s="22"/>
      <c r="D42" s="20"/>
      <c r="E42" s="21"/>
      <c r="F42" s="8"/>
      <c r="G42" s="8"/>
      <c r="H42" s="8"/>
      <c r="I42" s="8"/>
      <c r="J42" s="8"/>
      <c r="K42" s="8"/>
    </row>
    <row r="43" spans="1:11" ht="19" x14ac:dyDescent="0.2">
      <c r="A43" s="56">
        <v>1628000</v>
      </c>
      <c r="B43" s="10">
        <v>45943</v>
      </c>
      <c r="C43" s="14" t="s">
        <v>16</v>
      </c>
      <c r="D43" s="12" t="s">
        <v>168</v>
      </c>
      <c r="E43" s="15">
        <v>654000</v>
      </c>
      <c r="F43" s="13">
        <v>190000</v>
      </c>
      <c r="G43" s="13">
        <v>784000</v>
      </c>
      <c r="H43" s="13"/>
      <c r="I43" s="13"/>
      <c r="J43" s="13">
        <v>100000</v>
      </c>
      <c r="K43" s="13" t="s">
        <v>197</v>
      </c>
    </row>
    <row r="44" spans="1:11" ht="19" x14ac:dyDescent="0.2">
      <c r="A44" s="55"/>
      <c r="B44" s="18"/>
      <c r="C44" s="22"/>
      <c r="D44" s="20"/>
      <c r="E44" s="21"/>
      <c r="F44" s="8"/>
      <c r="G44" s="8"/>
      <c r="H44" s="8"/>
      <c r="I44" s="105"/>
      <c r="J44" s="8">
        <v>37000</v>
      </c>
      <c r="K44" s="8" t="s">
        <v>249</v>
      </c>
    </row>
    <row r="45" spans="1:11" ht="19" x14ac:dyDescent="0.2">
      <c r="A45" s="56">
        <v>318000</v>
      </c>
      <c r="B45" s="10"/>
      <c r="C45" s="14" t="s">
        <v>18</v>
      </c>
      <c r="D45" s="12" t="s">
        <v>771</v>
      </c>
      <c r="E45" s="15">
        <v>167000</v>
      </c>
      <c r="F45" s="13">
        <v>32000</v>
      </c>
      <c r="G45" s="13">
        <v>119000</v>
      </c>
      <c r="H45" s="13"/>
      <c r="I45" s="13"/>
      <c r="J45" s="45"/>
      <c r="K45" s="45"/>
    </row>
    <row r="46" spans="1:11" ht="19" x14ac:dyDescent="0.2">
      <c r="A46" s="59"/>
      <c r="B46" s="47"/>
      <c r="C46" s="51"/>
      <c r="D46" s="48"/>
      <c r="E46" s="49"/>
      <c r="F46" s="50"/>
      <c r="G46" s="50"/>
      <c r="H46" s="50"/>
      <c r="I46" s="50"/>
      <c r="J46" s="50"/>
      <c r="K46" s="50"/>
    </row>
    <row r="47" spans="1:11" ht="19" x14ac:dyDescent="0.2">
      <c r="A47" s="58">
        <v>1500000</v>
      </c>
      <c r="B47" s="43">
        <v>45944</v>
      </c>
      <c r="C47" s="46" t="s">
        <v>16</v>
      </c>
      <c r="D47" s="44" t="s">
        <v>168</v>
      </c>
      <c r="E47" s="15">
        <v>876000</v>
      </c>
      <c r="F47" s="13">
        <v>266000</v>
      </c>
      <c r="G47" s="13">
        <v>358000</v>
      </c>
      <c r="H47" s="45">
        <v>1560000</v>
      </c>
      <c r="I47" s="45" t="s">
        <v>821</v>
      </c>
      <c r="J47" s="45">
        <v>61000</v>
      </c>
      <c r="K47" s="45" t="s">
        <v>779</v>
      </c>
    </row>
    <row r="48" spans="1:11" ht="19" x14ac:dyDescent="0.2">
      <c r="A48" s="57"/>
      <c r="B48" s="47"/>
      <c r="C48" s="51"/>
      <c r="D48" s="48"/>
      <c r="E48" s="49"/>
      <c r="F48" s="50"/>
      <c r="G48" s="50"/>
      <c r="H48" s="50"/>
      <c r="I48" s="50"/>
      <c r="J48" s="50">
        <v>19000</v>
      </c>
      <c r="K48" s="50" t="s">
        <v>780</v>
      </c>
    </row>
    <row r="49" spans="1:11" ht="19" x14ac:dyDescent="0.2">
      <c r="A49" s="61"/>
      <c r="B49" s="43"/>
      <c r="C49" s="46"/>
      <c r="D49" s="44"/>
      <c r="E49" s="62"/>
      <c r="F49" s="45"/>
      <c r="G49" s="45"/>
      <c r="H49" s="45"/>
      <c r="I49" s="45"/>
      <c r="J49" s="45">
        <v>28000</v>
      </c>
      <c r="K49" s="45" t="s">
        <v>781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192000</v>
      </c>
      <c r="K50" s="50" t="s">
        <v>29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160000</v>
      </c>
      <c r="K51" s="45" t="s">
        <v>27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70000</v>
      </c>
      <c r="K52" s="50" t="s">
        <v>746</v>
      </c>
    </row>
    <row r="53" spans="1:11" ht="19" x14ac:dyDescent="0.2">
      <c r="A53" s="61"/>
      <c r="B53" s="43"/>
      <c r="C53" s="46"/>
      <c r="D53" s="44"/>
      <c r="E53" s="62"/>
      <c r="F53" s="45"/>
      <c r="G53" s="45"/>
      <c r="H53" s="45"/>
      <c r="I53" s="45"/>
      <c r="J53" s="45">
        <v>216000</v>
      </c>
      <c r="K53" s="45" t="s">
        <v>354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/>
      <c r="I54" s="50"/>
      <c r="J54" s="50">
        <v>200000</v>
      </c>
      <c r="K54" s="50" t="s">
        <v>21</v>
      </c>
    </row>
    <row r="55" spans="1:11" ht="19" x14ac:dyDescent="0.2">
      <c r="A55" s="61">
        <v>187000</v>
      </c>
      <c r="B55" s="43"/>
      <c r="C55" s="46" t="s">
        <v>18</v>
      </c>
      <c r="D55" s="44" t="s">
        <v>631</v>
      </c>
      <c r="E55" s="62">
        <v>37000</v>
      </c>
      <c r="F55" s="45">
        <v>30000</v>
      </c>
      <c r="G55" s="45">
        <v>120000</v>
      </c>
      <c r="H55" s="45"/>
      <c r="I55" s="45"/>
      <c r="J55" s="45">
        <v>45000</v>
      </c>
      <c r="K55" s="45" t="s">
        <v>396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/>
      <c r="K56" s="63"/>
    </row>
    <row r="57" spans="1:11" ht="32" x14ac:dyDescent="0.2">
      <c r="A57" s="61">
        <v>2274000</v>
      </c>
      <c r="B57" s="43">
        <v>45945</v>
      </c>
      <c r="C57" s="46" t="s">
        <v>16</v>
      </c>
      <c r="D57" s="44" t="s">
        <v>168</v>
      </c>
      <c r="E57" s="62">
        <v>1039000</v>
      </c>
      <c r="F57" s="45">
        <v>69000</v>
      </c>
      <c r="G57" s="45">
        <v>1166000</v>
      </c>
      <c r="H57" s="45">
        <v>1197000</v>
      </c>
      <c r="I57" s="106" t="s">
        <v>782</v>
      </c>
      <c r="J57" s="45">
        <v>144000</v>
      </c>
      <c r="K57" s="45" t="s">
        <v>395</v>
      </c>
    </row>
    <row r="58" spans="1:11" ht="19" x14ac:dyDescent="0.2">
      <c r="A58" s="57"/>
      <c r="B58" s="47"/>
      <c r="C58" s="51"/>
      <c r="D58" s="48"/>
      <c r="E58" s="49"/>
      <c r="F58" s="50"/>
      <c r="G58" s="50"/>
      <c r="H58" s="50">
        <v>1172000</v>
      </c>
      <c r="I58" s="50" t="s">
        <v>783</v>
      </c>
      <c r="J58" s="50"/>
      <c r="K58" s="50"/>
    </row>
    <row r="59" spans="1:11" ht="19" x14ac:dyDescent="0.2">
      <c r="A59" s="61">
        <v>274000</v>
      </c>
      <c r="B59" s="43"/>
      <c r="C59" s="46" t="s">
        <v>18</v>
      </c>
      <c r="D59" s="44" t="s">
        <v>784</v>
      </c>
      <c r="E59" s="62">
        <v>91000</v>
      </c>
      <c r="F59" s="45">
        <v>93000</v>
      </c>
      <c r="G59" s="45">
        <v>90000</v>
      </c>
      <c r="H59" s="45">
        <v>170000</v>
      </c>
      <c r="I59" s="45" t="s">
        <v>785</v>
      </c>
      <c r="J59" s="45"/>
      <c r="K59" s="45"/>
    </row>
    <row r="60" spans="1:11" ht="19" x14ac:dyDescent="0.2">
      <c r="A60" s="57"/>
      <c r="B60" s="47"/>
      <c r="C60" s="51"/>
      <c r="D60" s="48"/>
      <c r="E60" s="49"/>
      <c r="F60" s="50"/>
      <c r="G60" s="50"/>
      <c r="H60" s="50">
        <v>150000</v>
      </c>
      <c r="I60" s="50" t="s">
        <v>786</v>
      </c>
      <c r="J60" s="50"/>
      <c r="K60" s="50"/>
    </row>
    <row r="61" spans="1:11" ht="19" x14ac:dyDescent="0.2">
      <c r="A61" s="61">
        <v>1398000</v>
      </c>
      <c r="B61" s="43">
        <v>45946</v>
      </c>
      <c r="C61" s="46" t="s">
        <v>16</v>
      </c>
      <c r="D61" s="44" t="s">
        <v>168</v>
      </c>
      <c r="E61" s="62">
        <v>562000</v>
      </c>
      <c r="F61" s="45">
        <v>116000</v>
      </c>
      <c r="G61" s="45">
        <v>720000</v>
      </c>
      <c r="H61" s="45"/>
      <c r="I61" s="45"/>
      <c r="J61" s="45">
        <v>100000</v>
      </c>
      <c r="K61" s="45" t="s">
        <v>489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100000</v>
      </c>
      <c r="K62" s="50" t="s">
        <v>787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170000</v>
      </c>
      <c r="K63" s="45" t="s">
        <v>788</v>
      </c>
    </row>
    <row r="64" spans="1:11" ht="19" x14ac:dyDescent="0.2">
      <c r="A64" s="57">
        <v>143000</v>
      </c>
      <c r="B64" s="47"/>
      <c r="C64" s="51" t="s">
        <v>18</v>
      </c>
      <c r="D64" s="48" t="s">
        <v>784</v>
      </c>
      <c r="E64" s="49">
        <v>48000</v>
      </c>
      <c r="F64" s="50">
        <v>0</v>
      </c>
      <c r="G64" s="50">
        <v>95000</v>
      </c>
      <c r="H64" s="50"/>
      <c r="I64" s="50"/>
      <c r="J64" s="50">
        <v>21000</v>
      </c>
      <c r="K64" s="50" t="s">
        <v>789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48000</v>
      </c>
      <c r="K65" s="45" t="s">
        <v>790</v>
      </c>
    </row>
    <row r="66" spans="1:11" ht="19" x14ac:dyDescent="0.2">
      <c r="A66" s="57"/>
      <c r="B66" s="47"/>
      <c r="C66" s="51"/>
      <c r="D66" s="48"/>
      <c r="E66" s="49"/>
      <c r="F66" s="50"/>
      <c r="G66" s="50"/>
      <c r="H66" s="50"/>
      <c r="I66" s="50"/>
      <c r="J66" s="50">
        <v>33000</v>
      </c>
      <c r="K66" s="50" t="s">
        <v>55</v>
      </c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/>
      <c r="K67" s="45"/>
    </row>
    <row r="68" spans="1:11" ht="19" x14ac:dyDescent="0.2">
      <c r="A68" s="57">
        <v>1330000</v>
      </c>
      <c r="B68" s="47">
        <v>45947</v>
      </c>
      <c r="C68" s="51" t="s">
        <v>16</v>
      </c>
      <c r="D68" s="48" t="s">
        <v>168</v>
      </c>
      <c r="E68" s="49">
        <v>394000</v>
      </c>
      <c r="F68" s="50">
        <v>224000</v>
      </c>
      <c r="G68" s="50">
        <v>712000</v>
      </c>
      <c r="H68" s="50"/>
      <c r="I68" s="50"/>
      <c r="J68" s="50">
        <v>150000</v>
      </c>
      <c r="K68" s="50" t="s">
        <v>791</v>
      </c>
    </row>
    <row r="69" spans="1:11" ht="19" x14ac:dyDescent="0.2">
      <c r="A69" s="61"/>
      <c r="B69" s="43"/>
      <c r="C69" s="46"/>
      <c r="D69" s="44"/>
      <c r="E69" s="62"/>
      <c r="F69" s="45"/>
      <c r="G69" s="45"/>
      <c r="H69" s="45"/>
      <c r="I69" s="45"/>
      <c r="J69" s="45">
        <v>130000</v>
      </c>
      <c r="K69" s="45" t="s">
        <v>792</v>
      </c>
    </row>
    <row r="70" spans="1:11" ht="19" x14ac:dyDescent="0.2">
      <c r="A70" s="57">
        <v>224000</v>
      </c>
      <c r="B70" s="47"/>
      <c r="C70" s="51" t="s">
        <v>18</v>
      </c>
      <c r="D70" s="48" t="s">
        <v>784</v>
      </c>
      <c r="E70" s="49">
        <v>30000</v>
      </c>
      <c r="F70" s="50">
        <v>0</v>
      </c>
      <c r="G70" s="50">
        <v>194000</v>
      </c>
      <c r="H70" s="50"/>
      <c r="I70" s="50"/>
      <c r="J70" s="50"/>
      <c r="K70" s="50"/>
    </row>
    <row r="71" spans="1:11" ht="19" x14ac:dyDescent="0.2">
      <c r="A71" s="61">
        <v>520000</v>
      </c>
      <c r="B71" s="43">
        <v>45948</v>
      </c>
      <c r="C71" s="46" t="s">
        <v>16</v>
      </c>
      <c r="D71" s="44" t="s">
        <v>774</v>
      </c>
      <c r="E71" s="62">
        <v>176000</v>
      </c>
      <c r="F71" s="45">
        <v>129000</v>
      </c>
      <c r="G71" s="45">
        <v>215000</v>
      </c>
      <c r="H71" s="45"/>
      <c r="I71" s="45"/>
      <c r="J71" s="45">
        <v>29000</v>
      </c>
      <c r="K71" s="45" t="s">
        <v>793</v>
      </c>
    </row>
    <row r="72" spans="1:11" ht="19" x14ac:dyDescent="0.2">
      <c r="A72" s="57"/>
      <c r="B72" s="47"/>
      <c r="C72" s="51"/>
      <c r="D72" s="48"/>
      <c r="E72" s="49"/>
      <c r="F72" s="50"/>
      <c r="G72" s="50"/>
      <c r="H72" s="50"/>
      <c r="I72" s="50"/>
      <c r="J72" s="50">
        <v>12000</v>
      </c>
      <c r="K72" s="50" t="s">
        <v>794</v>
      </c>
    </row>
    <row r="73" spans="1:11" ht="19" x14ac:dyDescent="0.2">
      <c r="A73" s="61"/>
      <c r="B73" s="43"/>
      <c r="C73" s="46"/>
      <c r="D73" s="44"/>
      <c r="E73" s="62"/>
      <c r="F73" s="45"/>
      <c r="G73" s="45"/>
      <c r="H73" s="45"/>
      <c r="I73" s="45"/>
      <c r="J73" s="45">
        <v>11000</v>
      </c>
      <c r="K73" s="45" t="s">
        <v>658</v>
      </c>
    </row>
    <row r="74" spans="1:11" ht="19" x14ac:dyDescent="0.2">
      <c r="A74" s="57"/>
      <c r="B74" s="47"/>
      <c r="C74" s="51"/>
      <c r="D74" s="48"/>
      <c r="E74" s="49"/>
      <c r="F74" s="50"/>
      <c r="G74" s="50"/>
      <c r="H74" s="50"/>
      <c r="I74" s="50"/>
      <c r="J74" s="50">
        <v>20000</v>
      </c>
      <c r="K74" s="50" t="s">
        <v>368</v>
      </c>
    </row>
    <row r="75" spans="1:11" ht="19" x14ac:dyDescent="0.2">
      <c r="A75" s="61"/>
      <c r="B75" s="43"/>
      <c r="C75" s="46"/>
      <c r="D75" s="44"/>
      <c r="E75" s="62"/>
      <c r="F75" s="45"/>
      <c r="G75" s="45"/>
      <c r="H75" s="45"/>
      <c r="I75" s="45"/>
      <c r="J75" s="45">
        <v>18000</v>
      </c>
      <c r="K75" s="45" t="s">
        <v>795</v>
      </c>
    </row>
    <row r="76" spans="1:11" ht="19" x14ac:dyDescent="0.2">
      <c r="A76" s="57"/>
      <c r="B76" s="47">
        <v>45949</v>
      </c>
      <c r="C76" s="51"/>
      <c r="D76" s="51" t="s">
        <v>125</v>
      </c>
      <c r="E76" s="49"/>
      <c r="F76" s="50"/>
      <c r="G76" s="50"/>
      <c r="H76" s="50"/>
      <c r="I76" s="50"/>
      <c r="J76" s="50">
        <v>63000</v>
      </c>
      <c r="K76" s="50" t="s">
        <v>796</v>
      </c>
    </row>
    <row r="77" spans="1:11" ht="19" x14ac:dyDescent="0.2">
      <c r="A77" s="61">
        <v>1164000</v>
      </c>
      <c r="B77" s="43">
        <v>45950</v>
      </c>
      <c r="C77" s="46" t="s">
        <v>16</v>
      </c>
      <c r="D77" s="44" t="s">
        <v>168</v>
      </c>
      <c r="E77" s="62">
        <v>399000</v>
      </c>
      <c r="F77" s="45">
        <v>54000</v>
      </c>
      <c r="G77" s="45">
        <v>711000</v>
      </c>
      <c r="H77" s="45"/>
      <c r="I77" s="45"/>
      <c r="J77" s="45">
        <v>216000</v>
      </c>
      <c r="K77" s="45" t="s">
        <v>354</v>
      </c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/>
      <c r="K78" s="50"/>
    </row>
    <row r="79" spans="1:11" ht="19" x14ac:dyDescent="0.2">
      <c r="A79" s="61">
        <v>313000</v>
      </c>
      <c r="B79" s="43"/>
      <c r="C79" s="46" t="s">
        <v>18</v>
      </c>
      <c r="D79" s="44" t="s">
        <v>784</v>
      </c>
      <c r="E79" s="62">
        <v>133000</v>
      </c>
      <c r="F79" s="45">
        <v>0</v>
      </c>
      <c r="G79" s="45">
        <v>180000</v>
      </c>
      <c r="H79" s="45"/>
      <c r="I79" s="45"/>
      <c r="J79" s="45"/>
      <c r="K79" s="45"/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/>
      <c r="K80" s="50"/>
    </row>
    <row r="81" spans="1:11" ht="19" x14ac:dyDescent="0.2">
      <c r="A81" s="61">
        <v>1140000</v>
      </c>
      <c r="B81" s="43">
        <v>45951</v>
      </c>
      <c r="C81" s="46" t="s">
        <v>16</v>
      </c>
      <c r="D81" s="44" t="s">
        <v>168</v>
      </c>
      <c r="E81" s="62">
        <v>466000</v>
      </c>
      <c r="F81" s="45">
        <v>174000</v>
      </c>
      <c r="G81" s="45">
        <v>500000</v>
      </c>
      <c r="H81" s="45"/>
      <c r="I81" s="45"/>
      <c r="J81" s="45">
        <v>102000</v>
      </c>
      <c r="K81" s="45" t="s">
        <v>176</v>
      </c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>
        <v>51000</v>
      </c>
      <c r="K82" s="50" t="s">
        <v>500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7000</v>
      </c>
      <c r="K83" s="45" t="s">
        <v>316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>
        <v>9000</v>
      </c>
      <c r="K84" s="50" t="s">
        <v>436</v>
      </c>
    </row>
    <row r="85" spans="1:11" ht="19" x14ac:dyDescent="0.2">
      <c r="A85" s="61">
        <v>179000</v>
      </c>
      <c r="B85" s="43"/>
      <c r="C85" s="46" t="s">
        <v>18</v>
      </c>
      <c r="D85" s="44" t="s">
        <v>784</v>
      </c>
      <c r="E85" s="62">
        <v>156000</v>
      </c>
      <c r="F85" s="45">
        <v>0</v>
      </c>
      <c r="G85" s="45">
        <v>23000</v>
      </c>
      <c r="H85" s="45"/>
      <c r="I85" s="45"/>
      <c r="J85" s="45">
        <v>180000</v>
      </c>
      <c r="K85" s="45" t="s">
        <v>646</v>
      </c>
    </row>
    <row r="86" spans="1:11" ht="19" x14ac:dyDescent="0.2">
      <c r="A86" s="57"/>
      <c r="B86" s="47"/>
      <c r="C86" s="51"/>
      <c r="D86" s="48"/>
      <c r="E86" s="49"/>
      <c r="F86" s="50"/>
      <c r="G86" s="50"/>
      <c r="H86" s="50"/>
      <c r="I86" s="50"/>
      <c r="J86" s="50"/>
      <c r="K86" s="50"/>
    </row>
    <row r="87" spans="1:11" ht="19" x14ac:dyDescent="0.2">
      <c r="A87" s="61">
        <v>1702000</v>
      </c>
      <c r="B87" s="43">
        <v>45952</v>
      </c>
      <c r="C87" s="46" t="s">
        <v>16</v>
      </c>
      <c r="D87" s="44" t="s">
        <v>168</v>
      </c>
      <c r="E87" s="62">
        <v>966000</v>
      </c>
      <c r="F87" s="45">
        <v>195000</v>
      </c>
      <c r="G87" s="45">
        <v>541000</v>
      </c>
      <c r="H87" s="45"/>
      <c r="I87" s="45"/>
      <c r="J87" s="45">
        <v>49000</v>
      </c>
      <c r="K87" s="45" t="s">
        <v>797</v>
      </c>
    </row>
    <row r="88" spans="1:11" ht="19" x14ac:dyDescent="0.2">
      <c r="A88" s="57"/>
      <c r="B88" s="47"/>
      <c r="C88" s="51"/>
      <c r="D88" s="48"/>
      <c r="E88" s="49"/>
      <c r="F88" s="50"/>
      <c r="G88" s="50"/>
      <c r="H88" s="50"/>
      <c r="I88" s="50"/>
      <c r="J88" s="50">
        <v>24000</v>
      </c>
      <c r="K88" s="50" t="s">
        <v>368</v>
      </c>
    </row>
    <row r="89" spans="1:11" ht="19" x14ac:dyDescent="0.2">
      <c r="A89" s="61">
        <v>162000</v>
      </c>
      <c r="B89" s="43"/>
      <c r="C89" s="46" t="s">
        <v>18</v>
      </c>
      <c r="D89" s="44" t="s">
        <v>771</v>
      </c>
      <c r="E89" s="62">
        <v>66000</v>
      </c>
      <c r="F89" s="45">
        <v>0</v>
      </c>
      <c r="G89" s="45">
        <v>96000</v>
      </c>
      <c r="H89" s="45"/>
      <c r="I89" s="45"/>
      <c r="J89" s="45">
        <v>60000</v>
      </c>
      <c r="K89" s="45" t="s">
        <v>602</v>
      </c>
    </row>
    <row r="90" spans="1:11" ht="19" x14ac:dyDescent="0.2">
      <c r="A90" s="57"/>
      <c r="B90" s="47"/>
      <c r="C90" s="51"/>
      <c r="D90" s="48"/>
      <c r="E90" s="49"/>
      <c r="F90" s="50"/>
      <c r="G90" s="50"/>
      <c r="H90" s="50"/>
      <c r="I90" s="50"/>
      <c r="J90" s="50"/>
      <c r="K90" s="50"/>
    </row>
    <row r="91" spans="1:11" ht="19" x14ac:dyDescent="0.2">
      <c r="A91" s="61">
        <v>1384000</v>
      </c>
      <c r="B91" s="43">
        <v>45953</v>
      </c>
      <c r="C91" s="46" t="s">
        <v>16</v>
      </c>
      <c r="D91" s="44" t="s">
        <v>168</v>
      </c>
      <c r="E91" s="62">
        <v>693000</v>
      </c>
      <c r="F91" s="45">
        <v>341000</v>
      </c>
      <c r="G91" s="45">
        <v>350000</v>
      </c>
      <c r="H91" s="45"/>
      <c r="I91" s="45"/>
      <c r="J91" s="45">
        <v>50000</v>
      </c>
      <c r="K91" s="45" t="s">
        <v>798</v>
      </c>
    </row>
    <row r="92" spans="1:11" ht="19" x14ac:dyDescent="0.2">
      <c r="A92" s="57"/>
      <c r="B92" s="47"/>
      <c r="C92" s="51"/>
      <c r="D92" s="48"/>
      <c r="E92" s="49"/>
      <c r="F92" s="50"/>
      <c r="G92" s="50"/>
      <c r="H92" s="50"/>
      <c r="I92" s="50"/>
      <c r="J92" s="50">
        <v>96000</v>
      </c>
      <c r="K92" s="50" t="s">
        <v>799</v>
      </c>
    </row>
    <row r="93" spans="1:11" ht="19" x14ac:dyDescent="0.2">
      <c r="A93" s="61"/>
      <c r="B93" s="43"/>
      <c r="C93" s="46"/>
      <c r="D93" s="44"/>
      <c r="E93" s="62"/>
      <c r="F93" s="45"/>
      <c r="G93" s="45"/>
      <c r="H93" s="45"/>
      <c r="I93" s="45"/>
      <c r="J93" s="45">
        <v>13000</v>
      </c>
      <c r="K93" s="45" t="s">
        <v>800</v>
      </c>
    </row>
    <row r="94" spans="1:11" ht="19" x14ac:dyDescent="0.2">
      <c r="A94" s="57">
        <v>194000</v>
      </c>
      <c r="B94" s="47"/>
      <c r="C94" s="51" t="s">
        <v>18</v>
      </c>
      <c r="D94" s="48" t="s">
        <v>771</v>
      </c>
      <c r="E94" s="49">
        <v>98000</v>
      </c>
      <c r="F94" s="50">
        <v>76000</v>
      </c>
      <c r="G94" s="50">
        <v>20000</v>
      </c>
      <c r="H94" s="50"/>
      <c r="I94" s="50"/>
      <c r="J94" s="50">
        <v>100000</v>
      </c>
      <c r="K94" s="50" t="s">
        <v>197</v>
      </c>
    </row>
    <row r="95" spans="1:11" ht="19" x14ac:dyDescent="0.2">
      <c r="A95" s="61">
        <v>1136000</v>
      </c>
      <c r="B95" s="43">
        <v>45954</v>
      </c>
      <c r="C95" s="46" t="s">
        <v>16</v>
      </c>
      <c r="D95" s="44" t="s">
        <v>774</v>
      </c>
      <c r="E95" s="62">
        <v>374000</v>
      </c>
      <c r="F95" s="45">
        <v>321000</v>
      </c>
      <c r="G95" s="45">
        <v>441000</v>
      </c>
      <c r="H95" s="45"/>
      <c r="I95" s="45"/>
      <c r="J95" s="45">
        <v>55000</v>
      </c>
      <c r="K95" s="45" t="s">
        <v>139</v>
      </c>
    </row>
    <row r="96" spans="1:11" ht="19" x14ac:dyDescent="0.2">
      <c r="A96" s="57"/>
      <c r="B96" s="47"/>
      <c r="C96" s="51"/>
      <c r="D96" s="48"/>
      <c r="E96" s="49"/>
      <c r="F96" s="50"/>
      <c r="G96" s="50"/>
      <c r="H96" s="50"/>
      <c r="I96" s="50"/>
      <c r="J96" s="50">
        <v>200000</v>
      </c>
      <c r="K96" s="50" t="s">
        <v>21</v>
      </c>
    </row>
    <row r="97" spans="1:11" ht="19" x14ac:dyDescent="0.2">
      <c r="A97" s="61"/>
      <c r="B97" s="43"/>
      <c r="C97" s="46"/>
      <c r="D97" s="44"/>
      <c r="E97" s="62"/>
      <c r="F97" s="45"/>
      <c r="G97" s="45"/>
      <c r="H97" s="45"/>
      <c r="I97" s="45"/>
      <c r="J97" s="45">
        <v>150000</v>
      </c>
      <c r="K97" s="45" t="s">
        <v>327</v>
      </c>
    </row>
    <row r="98" spans="1:11" ht="19" x14ac:dyDescent="0.2">
      <c r="A98" s="57">
        <v>248000</v>
      </c>
      <c r="B98" s="47"/>
      <c r="C98" s="51" t="s">
        <v>18</v>
      </c>
      <c r="D98" s="48" t="s">
        <v>771</v>
      </c>
      <c r="E98" s="49">
        <v>93000</v>
      </c>
      <c r="F98" s="50">
        <v>64000</v>
      </c>
      <c r="G98" s="50">
        <v>91000</v>
      </c>
      <c r="H98" s="50"/>
      <c r="I98" s="50"/>
      <c r="J98" s="50">
        <v>45000</v>
      </c>
      <c r="K98" s="50" t="s">
        <v>396</v>
      </c>
    </row>
    <row r="99" spans="1:11" ht="19" x14ac:dyDescent="0.2">
      <c r="A99" s="61"/>
      <c r="B99" s="43"/>
      <c r="C99" s="46"/>
      <c r="D99" s="44"/>
      <c r="E99" s="62"/>
      <c r="F99" s="45"/>
      <c r="G99" s="45"/>
      <c r="H99" s="45"/>
      <c r="I99" s="45"/>
      <c r="J99" s="45">
        <v>18000</v>
      </c>
      <c r="K99" s="45" t="s">
        <v>264</v>
      </c>
    </row>
    <row r="100" spans="1:11" ht="19" x14ac:dyDescent="0.2">
      <c r="A100" s="57">
        <v>924000</v>
      </c>
      <c r="B100" s="47">
        <v>45955</v>
      </c>
      <c r="C100" s="51" t="s">
        <v>16</v>
      </c>
      <c r="D100" s="48" t="s">
        <v>774</v>
      </c>
      <c r="E100" s="49">
        <v>386000</v>
      </c>
      <c r="F100" s="50">
        <v>211000</v>
      </c>
      <c r="G100" s="50">
        <v>327000</v>
      </c>
      <c r="H100" s="50"/>
      <c r="I100" s="50"/>
      <c r="J100" s="50">
        <v>36000</v>
      </c>
      <c r="K100" s="50" t="s">
        <v>801</v>
      </c>
    </row>
    <row r="101" spans="1:11" ht="19" x14ac:dyDescent="0.2">
      <c r="A101" s="61"/>
      <c r="B101" s="43"/>
      <c r="C101" s="46" t="s">
        <v>18</v>
      </c>
      <c r="D101" s="44" t="s">
        <v>125</v>
      </c>
      <c r="E101" s="62"/>
      <c r="F101" s="45"/>
      <c r="G101" s="45"/>
      <c r="H101" s="45"/>
      <c r="I101" s="45"/>
      <c r="J101" s="45">
        <v>32000</v>
      </c>
      <c r="K101" s="45" t="s">
        <v>802</v>
      </c>
    </row>
    <row r="102" spans="1:11" ht="19" x14ac:dyDescent="0.2">
      <c r="A102" s="57"/>
      <c r="B102" s="47">
        <v>45956</v>
      </c>
      <c r="C102" s="51"/>
      <c r="D102" s="48" t="s">
        <v>125</v>
      </c>
      <c r="E102" s="49"/>
      <c r="F102" s="50"/>
      <c r="G102" s="50"/>
      <c r="H102" s="50"/>
      <c r="I102" s="50"/>
      <c r="J102" s="50">
        <v>30000</v>
      </c>
      <c r="K102" s="50" t="s">
        <v>803</v>
      </c>
    </row>
    <row r="103" spans="1:11" ht="19" x14ac:dyDescent="0.2">
      <c r="A103" s="61">
        <v>1615000</v>
      </c>
      <c r="B103" s="43">
        <v>45957</v>
      </c>
      <c r="C103" s="46" t="s">
        <v>16</v>
      </c>
      <c r="D103" s="44" t="s">
        <v>774</v>
      </c>
      <c r="E103" s="62">
        <v>942000</v>
      </c>
      <c r="F103" s="45">
        <v>119000</v>
      </c>
      <c r="G103" s="45">
        <v>554000</v>
      </c>
      <c r="H103" s="45"/>
      <c r="I103" s="45"/>
      <c r="J103" s="45">
        <v>30000</v>
      </c>
      <c r="K103" s="45" t="s">
        <v>804</v>
      </c>
    </row>
    <row r="104" spans="1:11" ht="19" x14ac:dyDescent="0.2">
      <c r="A104" s="57"/>
      <c r="B104" s="47"/>
      <c r="C104" s="51"/>
      <c r="D104" s="48"/>
      <c r="E104" s="49"/>
      <c r="F104" s="50"/>
      <c r="G104" s="50"/>
      <c r="H104" s="50"/>
      <c r="I104" s="50"/>
      <c r="J104" s="50">
        <v>24000</v>
      </c>
      <c r="K104" s="50" t="s">
        <v>805</v>
      </c>
    </row>
    <row r="105" spans="1:11" ht="19" x14ac:dyDescent="0.2">
      <c r="A105" s="61"/>
      <c r="B105" s="43"/>
      <c r="C105" s="46"/>
      <c r="D105" s="44"/>
      <c r="E105" s="62"/>
      <c r="F105" s="45"/>
      <c r="G105" s="45"/>
      <c r="H105" s="45"/>
      <c r="I105" s="45"/>
      <c r="J105" s="45">
        <v>38000</v>
      </c>
      <c r="K105" s="45" t="s">
        <v>249</v>
      </c>
    </row>
    <row r="106" spans="1:11" ht="19" x14ac:dyDescent="0.2">
      <c r="A106" s="57">
        <v>1151000</v>
      </c>
      <c r="B106" s="47">
        <v>45958</v>
      </c>
      <c r="C106" s="51" t="s">
        <v>16</v>
      </c>
      <c r="D106" s="48" t="s">
        <v>168</v>
      </c>
      <c r="E106" s="49">
        <v>382000</v>
      </c>
      <c r="F106" s="50">
        <v>214000</v>
      </c>
      <c r="G106" s="50">
        <v>555000</v>
      </c>
      <c r="H106" s="50"/>
      <c r="I106" s="50"/>
      <c r="J106" s="50">
        <v>187000</v>
      </c>
      <c r="K106" s="50" t="s">
        <v>37</v>
      </c>
    </row>
    <row r="107" spans="1:11" ht="19" x14ac:dyDescent="0.2">
      <c r="A107" s="61"/>
      <c r="B107" s="43"/>
      <c r="C107" s="46"/>
      <c r="D107" s="44"/>
      <c r="E107" s="62"/>
      <c r="F107" s="45"/>
      <c r="G107" s="45"/>
      <c r="H107" s="45"/>
      <c r="I107" s="45"/>
      <c r="J107" s="45">
        <v>38000</v>
      </c>
      <c r="K107" s="45" t="s">
        <v>806</v>
      </c>
    </row>
    <row r="108" spans="1:11" ht="19" x14ac:dyDescent="0.2">
      <c r="A108" s="57"/>
      <c r="B108" s="47"/>
      <c r="C108" s="51"/>
      <c r="D108" s="48"/>
      <c r="E108" s="49"/>
      <c r="F108" s="50"/>
      <c r="G108" s="50"/>
      <c r="H108" s="50"/>
      <c r="I108" s="50"/>
      <c r="J108" s="50">
        <v>216000</v>
      </c>
      <c r="K108" s="50" t="s">
        <v>354</v>
      </c>
    </row>
    <row r="109" spans="1:11" ht="19" x14ac:dyDescent="0.2">
      <c r="A109" s="61">
        <v>1366000</v>
      </c>
      <c r="B109" s="43">
        <v>45959</v>
      </c>
      <c r="C109" s="46" t="s">
        <v>16</v>
      </c>
      <c r="D109" s="44" t="s">
        <v>168</v>
      </c>
      <c r="E109" s="62">
        <v>744000</v>
      </c>
      <c r="F109" s="45">
        <v>225000</v>
      </c>
      <c r="G109" s="45">
        <v>397000</v>
      </c>
      <c r="H109" s="45"/>
      <c r="I109" s="45"/>
      <c r="J109" s="45">
        <v>36000</v>
      </c>
      <c r="K109" s="45" t="s">
        <v>807</v>
      </c>
    </row>
    <row r="110" spans="1:11" ht="19" x14ac:dyDescent="0.2">
      <c r="A110" s="57"/>
      <c r="B110" s="47"/>
      <c r="C110" s="51"/>
      <c r="D110" s="48"/>
      <c r="E110" s="49"/>
      <c r="F110" s="50"/>
      <c r="G110" s="50"/>
      <c r="H110" s="50"/>
      <c r="I110" s="50"/>
      <c r="J110" s="50">
        <v>27000</v>
      </c>
      <c r="K110" s="50" t="s">
        <v>808</v>
      </c>
    </row>
    <row r="111" spans="1:11" ht="19" x14ac:dyDescent="0.2">
      <c r="A111" s="61"/>
      <c r="B111" s="43"/>
      <c r="C111" s="46"/>
      <c r="D111" s="44"/>
      <c r="E111" s="62"/>
      <c r="F111" s="45"/>
      <c r="G111" s="45"/>
      <c r="H111" s="45"/>
      <c r="I111" s="45"/>
      <c r="J111" s="45">
        <v>24000</v>
      </c>
      <c r="K111" s="45" t="s">
        <v>805</v>
      </c>
    </row>
    <row r="112" spans="1:11" ht="19" x14ac:dyDescent="0.2">
      <c r="A112" s="57"/>
      <c r="B112" s="47"/>
      <c r="C112" s="51"/>
      <c r="D112" s="48"/>
      <c r="E112" s="49"/>
      <c r="F112" s="50"/>
      <c r="G112" s="50"/>
      <c r="H112" s="50"/>
      <c r="I112" s="50"/>
      <c r="J112" s="50">
        <v>30000</v>
      </c>
      <c r="K112" s="50" t="s">
        <v>803</v>
      </c>
    </row>
    <row r="113" spans="1:11" ht="19" x14ac:dyDescent="0.2">
      <c r="A113" s="61"/>
      <c r="B113" s="43"/>
      <c r="C113" s="46"/>
      <c r="D113" s="44"/>
      <c r="E113" s="62"/>
      <c r="F113" s="45"/>
      <c r="G113" s="45"/>
      <c r="H113" s="45"/>
      <c r="I113" s="45"/>
      <c r="J113" s="45">
        <v>54000</v>
      </c>
      <c r="K113" s="45" t="s">
        <v>139</v>
      </c>
    </row>
    <row r="114" spans="1:11" ht="19" x14ac:dyDescent="0.2">
      <c r="A114" s="57">
        <v>1150000</v>
      </c>
      <c r="B114" s="47">
        <v>45960</v>
      </c>
      <c r="C114" s="51" t="s">
        <v>16</v>
      </c>
      <c r="D114" s="48" t="s">
        <v>168</v>
      </c>
      <c r="E114" s="49">
        <v>531000</v>
      </c>
      <c r="F114" s="50">
        <v>60000</v>
      </c>
      <c r="G114" s="50">
        <v>559000</v>
      </c>
      <c r="H114" s="50"/>
      <c r="I114" s="50"/>
      <c r="J114" s="50">
        <v>100000</v>
      </c>
      <c r="K114" s="50" t="s">
        <v>197</v>
      </c>
    </row>
    <row r="115" spans="1:11" ht="19" x14ac:dyDescent="0.2">
      <c r="A115" s="61"/>
      <c r="B115" s="43"/>
      <c r="C115" s="46"/>
      <c r="D115" s="44"/>
      <c r="E115" s="62"/>
      <c r="F115" s="45"/>
      <c r="G115" s="45"/>
      <c r="H115" s="45"/>
      <c r="I115" s="45"/>
      <c r="J115" s="45"/>
      <c r="K115" s="45"/>
    </row>
    <row r="116" spans="1:11" ht="19" x14ac:dyDescent="0.2">
      <c r="A116" s="57">
        <v>1103000</v>
      </c>
      <c r="B116" s="47">
        <v>45961</v>
      </c>
      <c r="C116" s="51" t="s">
        <v>16</v>
      </c>
      <c r="D116" s="48" t="s">
        <v>168</v>
      </c>
      <c r="E116" s="49">
        <v>540000</v>
      </c>
      <c r="F116" s="50">
        <v>79000</v>
      </c>
      <c r="G116" s="50">
        <v>484000</v>
      </c>
      <c r="H116" s="50">
        <v>1000000</v>
      </c>
      <c r="I116" s="50" t="s">
        <v>809</v>
      </c>
      <c r="J116" s="50">
        <v>49000</v>
      </c>
      <c r="K116" s="50" t="s">
        <v>40</v>
      </c>
    </row>
    <row r="117" spans="1:11" ht="19" x14ac:dyDescent="0.2">
      <c r="A117" s="61"/>
      <c r="B117" s="43"/>
      <c r="C117" s="46"/>
      <c r="D117" s="44"/>
      <c r="E117" s="62"/>
      <c r="F117" s="45"/>
      <c r="G117" s="45"/>
      <c r="H117" s="45">
        <v>2200000</v>
      </c>
      <c r="I117" s="45" t="s">
        <v>285</v>
      </c>
      <c r="J117" s="45">
        <v>33000</v>
      </c>
      <c r="K117" s="45" t="s">
        <v>810</v>
      </c>
    </row>
    <row r="118" spans="1:11" ht="19" x14ac:dyDescent="0.2">
      <c r="A118" s="57"/>
      <c r="B118" s="47"/>
      <c r="C118" s="51"/>
      <c r="D118" s="48"/>
      <c r="E118" s="49"/>
      <c r="F118" s="50"/>
      <c r="G118" s="50"/>
      <c r="H118" s="50">
        <v>600000</v>
      </c>
      <c r="I118" s="50" t="s">
        <v>811</v>
      </c>
      <c r="J118" s="50">
        <v>28000</v>
      </c>
      <c r="K118" s="50" t="s">
        <v>812</v>
      </c>
    </row>
    <row r="119" spans="1:11" ht="19" x14ac:dyDescent="0.2">
      <c r="A119" s="61"/>
      <c r="B119" s="43"/>
      <c r="C119" s="46"/>
      <c r="D119" s="44"/>
      <c r="E119" s="62"/>
      <c r="F119" s="45"/>
      <c r="G119" s="45"/>
      <c r="H119" s="45">
        <v>882000</v>
      </c>
      <c r="I119" s="45" t="s">
        <v>813</v>
      </c>
      <c r="J119" s="45">
        <v>28000</v>
      </c>
      <c r="K119" s="45" t="s">
        <v>814</v>
      </c>
    </row>
    <row r="120" spans="1:11" ht="19" x14ac:dyDescent="0.2">
      <c r="A120" s="57"/>
      <c r="B120" s="47"/>
      <c r="C120" s="51"/>
      <c r="D120" s="48"/>
      <c r="E120" s="49"/>
      <c r="F120" s="50"/>
      <c r="G120" s="50"/>
      <c r="H120" s="50"/>
      <c r="I120" s="50"/>
      <c r="J120" s="50">
        <v>52000</v>
      </c>
      <c r="K120" s="50" t="s">
        <v>815</v>
      </c>
    </row>
    <row r="121" spans="1:11" ht="19" x14ac:dyDescent="0.2">
      <c r="A121" s="61"/>
      <c r="B121" s="43"/>
      <c r="C121" s="46"/>
      <c r="D121" s="44"/>
      <c r="E121" s="62"/>
      <c r="F121" s="45"/>
      <c r="G121" s="45"/>
      <c r="H121" s="45"/>
      <c r="I121" s="45"/>
      <c r="J121" s="45">
        <v>24000</v>
      </c>
      <c r="K121" s="45" t="s">
        <v>816</v>
      </c>
    </row>
    <row r="122" spans="1:11" ht="19" x14ac:dyDescent="0.2">
      <c r="A122" s="57"/>
      <c r="B122" s="47"/>
      <c r="C122" s="51"/>
      <c r="D122" s="48"/>
      <c r="E122" s="49"/>
      <c r="F122" s="50"/>
      <c r="G122" s="50"/>
      <c r="H122" s="50"/>
      <c r="I122" s="50"/>
      <c r="J122" s="50">
        <v>18000</v>
      </c>
      <c r="K122" s="50" t="s">
        <v>817</v>
      </c>
    </row>
    <row r="123" spans="1:11" ht="19" x14ac:dyDescent="0.2">
      <c r="A123" s="61"/>
      <c r="B123" s="43"/>
      <c r="C123" s="46"/>
      <c r="D123" s="44"/>
      <c r="E123" s="62"/>
      <c r="F123" s="45"/>
      <c r="G123" s="45"/>
      <c r="H123" s="45"/>
      <c r="I123" s="45"/>
      <c r="J123" s="45">
        <v>30000</v>
      </c>
      <c r="K123" s="45" t="s">
        <v>803</v>
      </c>
    </row>
    <row r="124" spans="1:11" ht="19" x14ac:dyDescent="0.2">
      <c r="A124" s="57"/>
      <c r="B124" s="47"/>
      <c r="C124" s="51"/>
      <c r="D124" s="48"/>
      <c r="E124" s="49"/>
      <c r="F124" s="50"/>
      <c r="G124" s="50"/>
      <c r="H124" s="50"/>
      <c r="I124" s="50"/>
      <c r="J124" s="50">
        <v>30000</v>
      </c>
      <c r="K124" s="50" t="s">
        <v>249</v>
      </c>
    </row>
    <row r="125" spans="1:11" ht="19" x14ac:dyDescent="0.2">
      <c r="A125" s="61"/>
      <c r="B125" s="43"/>
      <c r="C125" s="46"/>
      <c r="D125" s="44"/>
      <c r="E125" s="62"/>
      <c r="F125" s="45"/>
      <c r="G125" s="45"/>
      <c r="H125" s="45"/>
      <c r="I125" s="45"/>
      <c r="J125" s="45">
        <v>192000</v>
      </c>
      <c r="K125" s="45" t="s">
        <v>90</v>
      </c>
    </row>
    <row r="126" spans="1:11" ht="19" x14ac:dyDescent="0.2">
      <c r="A126" s="57"/>
      <c r="B126" s="47"/>
      <c r="C126" s="51"/>
      <c r="D126" s="48"/>
      <c r="E126" s="49"/>
      <c r="F126" s="50"/>
      <c r="G126" s="50"/>
      <c r="H126" s="50"/>
      <c r="I126" s="50"/>
      <c r="J126" s="50">
        <v>120000</v>
      </c>
      <c r="K126" s="50" t="s">
        <v>818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D35B-B10F-5D43-A03F-152A8989BAD5}">
  <dimension ref="A3:K109"/>
  <sheetViews>
    <sheetView topLeftCell="A14" workbookViewId="0">
      <selection activeCell="B7" sqref="B7"/>
    </sheetView>
  </sheetViews>
  <sheetFormatPr baseColWidth="10" defaultRowHeight="15" x14ac:dyDescent="0.2"/>
  <cols>
    <col min="1" max="1" width="20.33203125" bestFit="1" customWidth="1"/>
    <col min="3" max="3" width="13.33203125" bestFit="1" customWidth="1"/>
    <col min="4" max="4" width="11.33203125" customWidth="1"/>
    <col min="5" max="5" width="20.33203125" bestFit="1" customWidth="1"/>
    <col min="6" max="6" width="25.83203125" customWidth="1"/>
    <col min="7" max="7" width="20.33203125" bestFit="1" customWidth="1"/>
    <col min="8" max="8" width="21.5" customWidth="1"/>
    <col min="9" max="9" width="36.6640625" customWidth="1"/>
    <col min="10" max="10" width="19" bestFit="1" customWidth="1"/>
    <col min="11" max="11" width="28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866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3339561</v>
      </c>
      <c r="K6" s="30" t="s">
        <v>869</v>
      </c>
    </row>
    <row r="7" spans="1:11" ht="26" x14ac:dyDescent="0.3">
      <c r="B7" s="32" t="s">
        <v>868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SUM(A11:A580)</f>
        <v>28696000</v>
      </c>
      <c r="B10" s="39"/>
      <c r="C10" s="40" t="s">
        <v>15</v>
      </c>
      <c r="D10" s="41"/>
      <c r="E10" s="42">
        <f>SUM(E11:E580)</f>
        <v>13387000</v>
      </c>
      <c r="F10" s="38">
        <f>SUM(F11:F580)</f>
        <v>3384000</v>
      </c>
      <c r="G10" s="38">
        <f>SUM(G11:G575)</f>
        <v>11925000</v>
      </c>
      <c r="H10" s="38">
        <f>SUM(H11:H580)</f>
        <v>12109000</v>
      </c>
      <c r="I10" s="38"/>
      <c r="J10" s="38">
        <f>SUM(J11:J580)</f>
        <v>7719000</v>
      </c>
      <c r="K10" s="38"/>
    </row>
    <row r="11" spans="1:11" ht="21" x14ac:dyDescent="0.2">
      <c r="A11" s="96">
        <v>932000</v>
      </c>
      <c r="B11" s="97">
        <v>45962</v>
      </c>
      <c r="C11" s="109" t="s">
        <v>823</v>
      </c>
      <c r="D11" s="99" t="s">
        <v>168</v>
      </c>
      <c r="E11" s="13">
        <v>391000</v>
      </c>
      <c r="F11" s="13">
        <v>118000</v>
      </c>
      <c r="G11" s="13">
        <v>423000</v>
      </c>
      <c r="H11" s="13"/>
      <c r="I11" s="13"/>
      <c r="J11" s="13"/>
      <c r="K11" s="13"/>
    </row>
    <row r="12" spans="1:11" ht="19" x14ac:dyDescent="0.2">
      <c r="A12" s="53"/>
      <c r="B12" s="4"/>
      <c r="C12" s="5"/>
      <c r="D12" s="2"/>
      <c r="E12" s="1"/>
      <c r="F12" s="1"/>
      <c r="G12" s="1"/>
      <c r="H12" s="1"/>
      <c r="I12" s="1"/>
      <c r="J12" s="8"/>
      <c r="K12" s="8"/>
    </row>
    <row r="13" spans="1:11" ht="19" x14ac:dyDescent="0.2">
      <c r="A13" s="54"/>
      <c r="B13" s="10">
        <v>45963</v>
      </c>
      <c r="C13" s="14" t="s">
        <v>42</v>
      </c>
      <c r="D13" s="12"/>
      <c r="E13" s="15"/>
      <c r="F13" s="13"/>
      <c r="G13" s="13"/>
      <c r="H13" s="13"/>
      <c r="I13" s="13"/>
      <c r="J13" s="13"/>
      <c r="K13" s="13"/>
    </row>
    <row r="14" spans="1:11" ht="19" x14ac:dyDescent="0.2">
      <c r="A14" s="53"/>
      <c r="B14" s="4"/>
      <c r="C14" s="5"/>
      <c r="D14" s="2"/>
      <c r="E14" s="3"/>
      <c r="F14" s="1"/>
      <c r="G14" s="1"/>
      <c r="H14" s="1"/>
      <c r="I14" s="1"/>
      <c r="J14" s="8">
        <v>101000</v>
      </c>
      <c r="K14" s="1" t="s">
        <v>824</v>
      </c>
    </row>
    <row r="15" spans="1:11" ht="19" x14ac:dyDescent="0.2">
      <c r="A15" s="56">
        <v>1250000</v>
      </c>
      <c r="B15" s="10">
        <v>45964</v>
      </c>
      <c r="C15" s="14" t="s">
        <v>823</v>
      </c>
      <c r="D15" s="12" t="s">
        <v>168</v>
      </c>
      <c r="E15" s="15">
        <v>635000</v>
      </c>
      <c r="F15" s="13">
        <v>36000</v>
      </c>
      <c r="G15" s="13">
        <v>579000</v>
      </c>
      <c r="H15" s="13">
        <v>300000</v>
      </c>
      <c r="I15" s="13" t="s">
        <v>312</v>
      </c>
      <c r="J15" s="13">
        <v>17000</v>
      </c>
      <c r="K15" s="13" t="s">
        <v>825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>
        <v>21500</v>
      </c>
      <c r="K16" s="8" t="s">
        <v>826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143000</v>
      </c>
      <c r="K17" s="13" t="s">
        <v>827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>
        <v>66000</v>
      </c>
      <c r="K18" s="8" t="s">
        <v>828</v>
      </c>
    </row>
    <row r="19" spans="1:11" ht="19" x14ac:dyDescent="0.2">
      <c r="A19" s="56"/>
      <c r="B19" s="10"/>
      <c r="C19" s="16"/>
      <c r="D19" s="12"/>
      <c r="E19" s="15"/>
      <c r="F19" s="13"/>
      <c r="G19" s="13"/>
      <c r="H19" s="17"/>
      <c r="I19" s="17"/>
      <c r="J19" s="13">
        <v>11000</v>
      </c>
      <c r="K19" s="13" t="s">
        <v>829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39500</v>
      </c>
      <c r="K20" s="8" t="s">
        <v>830</v>
      </c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>
        <v>13000</v>
      </c>
      <c r="K21" s="13" t="s">
        <v>831</v>
      </c>
    </row>
    <row r="22" spans="1:11" ht="19" x14ac:dyDescent="0.2">
      <c r="A22" s="55">
        <v>1500000</v>
      </c>
      <c r="B22" s="18">
        <v>45965</v>
      </c>
      <c r="C22" s="19" t="s">
        <v>16</v>
      </c>
      <c r="D22" s="20" t="s">
        <v>168</v>
      </c>
      <c r="E22" s="21">
        <v>529000</v>
      </c>
      <c r="F22" s="8">
        <v>83000</v>
      </c>
      <c r="G22" s="8">
        <v>888000</v>
      </c>
      <c r="H22" s="23"/>
      <c r="I22" s="23"/>
      <c r="J22" s="8">
        <v>200000</v>
      </c>
      <c r="K22" s="8" t="s">
        <v>21</v>
      </c>
    </row>
    <row r="23" spans="1:11" ht="19" x14ac:dyDescent="0.2">
      <c r="A23" s="56"/>
      <c r="B23" s="10"/>
      <c r="C23" s="15"/>
      <c r="D23" s="12"/>
      <c r="E23" s="15"/>
      <c r="F23" s="13"/>
      <c r="G23" s="13"/>
      <c r="H23" s="17"/>
      <c r="I23" s="17"/>
      <c r="J23" s="13">
        <v>150000</v>
      </c>
      <c r="K23" s="13" t="s">
        <v>327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234000</v>
      </c>
      <c r="K24" s="8" t="s">
        <v>423</v>
      </c>
    </row>
    <row r="25" spans="1:11" ht="19" x14ac:dyDescent="0.2">
      <c r="A25" s="56">
        <v>1802000</v>
      </c>
      <c r="B25" s="10">
        <v>45966</v>
      </c>
      <c r="C25" s="15" t="s">
        <v>16</v>
      </c>
      <c r="D25" s="12" t="s">
        <v>168</v>
      </c>
      <c r="E25" s="15">
        <v>854000</v>
      </c>
      <c r="F25" s="13">
        <v>309000</v>
      </c>
      <c r="G25" s="13">
        <v>639000</v>
      </c>
      <c r="H25" s="13"/>
      <c r="I25" s="13"/>
      <c r="J25" s="13">
        <v>100000</v>
      </c>
      <c r="K25" s="13" t="s">
        <v>197</v>
      </c>
    </row>
    <row r="26" spans="1:11" ht="19" x14ac:dyDescent="0.2">
      <c r="A26" s="55"/>
      <c r="B26" s="18"/>
      <c r="C26" s="19"/>
      <c r="D26" s="20"/>
      <c r="E26" s="21"/>
      <c r="F26" s="8"/>
      <c r="G26" s="8"/>
      <c r="H26" s="8"/>
      <c r="I26" s="8"/>
      <c r="J26" s="8">
        <v>51000</v>
      </c>
      <c r="K26" s="8" t="s">
        <v>500</v>
      </c>
    </row>
    <row r="27" spans="1:11" ht="19" x14ac:dyDescent="0.2">
      <c r="A27" s="56">
        <v>1506000</v>
      </c>
      <c r="B27" s="10">
        <v>45967</v>
      </c>
      <c r="C27" s="16" t="s">
        <v>16</v>
      </c>
      <c r="D27" s="12" t="s">
        <v>168</v>
      </c>
      <c r="E27" s="15">
        <v>606000</v>
      </c>
      <c r="F27" s="13">
        <v>246000</v>
      </c>
      <c r="G27" s="13">
        <v>654000</v>
      </c>
      <c r="H27" s="13"/>
      <c r="I27" s="13"/>
      <c r="J27" s="13">
        <v>27000</v>
      </c>
      <c r="K27" s="13" t="s">
        <v>832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/>
      <c r="I28" s="8"/>
      <c r="J28" s="8">
        <v>27000</v>
      </c>
      <c r="K28" s="8" t="s">
        <v>803</v>
      </c>
    </row>
    <row r="29" spans="1:11" ht="19" x14ac:dyDescent="0.2">
      <c r="A29" s="56">
        <v>1042000</v>
      </c>
      <c r="B29" s="10">
        <v>45968</v>
      </c>
      <c r="C29" s="16" t="s">
        <v>16</v>
      </c>
      <c r="D29" s="12" t="s">
        <v>168</v>
      </c>
      <c r="E29" s="15">
        <v>270000</v>
      </c>
      <c r="F29" s="13">
        <v>268000</v>
      </c>
      <c r="G29" s="13">
        <v>504000</v>
      </c>
      <c r="H29" s="13"/>
      <c r="I29" s="13"/>
      <c r="J29" s="13">
        <v>27000</v>
      </c>
      <c r="K29" s="13" t="s">
        <v>833</v>
      </c>
    </row>
    <row r="30" spans="1:11" ht="19" x14ac:dyDescent="0.2">
      <c r="A30" s="55"/>
      <c r="B30" s="18"/>
      <c r="C30" s="22"/>
      <c r="D30" s="20"/>
      <c r="E30" s="21"/>
      <c r="F30" s="8"/>
      <c r="G30" s="8"/>
      <c r="H30" s="8"/>
      <c r="I30" s="8"/>
      <c r="J30" s="8">
        <v>25000</v>
      </c>
      <c r="K30" s="8" t="s">
        <v>814</v>
      </c>
    </row>
    <row r="31" spans="1:11" ht="19" x14ac:dyDescent="0.2">
      <c r="A31" s="56"/>
      <c r="B31" s="10">
        <v>45969</v>
      </c>
      <c r="C31" s="14" t="s">
        <v>125</v>
      </c>
      <c r="D31" s="12"/>
      <c r="E31" s="15"/>
      <c r="F31" s="13"/>
      <c r="G31" s="13"/>
      <c r="H31" s="13"/>
      <c r="I31" s="13"/>
      <c r="J31" s="13">
        <v>38000</v>
      </c>
      <c r="K31" s="13" t="s">
        <v>834</v>
      </c>
    </row>
    <row r="32" spans="1:11" ht="19" x14ac:dyDescent="0.2">
      <c r="A32" s="55"/>
      <c r="B32" s="18">
        <v>45970</v>
      </c>
      <c r="C32" s="22" t="s">
        <v>125</v>
      </c>
      <c r="D32" s="20"/>
      <c r="E32" s="21"/>
      <c r="F32" s="8"/>
      <c r="G32" s="8"/>
      <c r="H32" s="8"/>
      <c r="I32" s="8"/>
      <c r="J32" s="8">
        <v>33000</v>
      </c>
      <c r="K32" s="8" t="s">
        <v>807</v>
      </c>
    </row>
    <row r="33" spans="1:11" ht="19" x14ac:dyDescent="0.2">
      <c r="A33" s="54">
        <v>1082000</v>
      </c>
      <c r="B33" s="10">
        <v>45971</v>
      </c>
      <c r="C33" s="14" t="s">
        <v>16</v>
      </c>
      <c r="D33" s="12" t="s">
        <v>168</v>
      </c>
      <c r="E33" s="15">
        <v>392000</v>
      </c>
      <c r="F33" s="13">
        <v>168000</v>
      </c>
      <c r="G33" s="13">
        <v>522000</v>
      </c>
      <c r="H33" s="13"/>
      <c r="I33" s="13"/>
      <c r="J33" s="13">
        <v>216000</v>
      </c>
      <c r="K33" s="13" t="s">
        <v>354</v>
      </c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>
        <v>32000</v>
      </c>
      <c r="K34" s="8" t="s">
        <v>835</v>
      </c>
    </row>
    <row r="35" spans="1:11" ht="19" x14ac:dyDescent="0.2">
      <c r="A35" s="54">
        <v>1522000</v>
      </c>
      <c r="B35" s="10">
        <v>45972</v>
      </c>
      <c r="C35" s="14" t="s">
        <v>16</v>
      </c>
      <c r="D35" s="12" t="s">
        <v>168</v>
      </c>
      <c r="E35" s="15">
        <v>631000</v>
      </c>
      <c r="F35" s="13">
        <v>81000</v>
      </c>
      <c r="G35" s="13">
        <v>810000</v>
      </c>
      <c r="H35" s="13">
        <v>6740000</v>
      </c>
      <c r="I35" s="13" t="s">
        <v>867</v>
      </c>
      <c r="J35" s="13"/>
      <c r="K35" s="13"/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/>
      <c r="K36" s="8"/>
    </row>
    <row r="37" spans="1:11" ht="19" x14ac:dyDescent="0.2">
      <c r="A37" s="56">
        <v>1070000</v>
      </c>
      <c r="B37" s="11">
        <v>45973</v>
      </c>
      <c r="C37" s="13" t="s">
        <v>16</v>
      </c>
      <c r="D37" s="110" t="s">
        <v>168</v>
      </c>
      <c r="E37" s="13">
        <v>493000</v>
      </c>
      <c r="F37" s="13">
        <v>56000</v>
      </c>
      <c r="G37" s="13">
        <v>521000</v>
      </c>
      <c r="H37" s="13"/>
      <c r="I37" s="13"/>
      <c r="J37" s="13">
        <v>35000</v>
      </c>
      <c r="K37" s="79" t="s">
        <v>249</v>
      </c>
    </row>
    <row r="38" spans="1:11" ht="19" x14ac:dyDescent="0.2">
      <c r="A38" s="55"/>
      <c r="B38" s="18"/>
      <c r="C38" s="22"/>
      <c r="D38" s="20"/>
      <c r="E38" s="21"/>
      <c r="F38" s="8"/>
      <c r="G38" s="8"/>
      <c r="H38" s="8"/>
      <c r="I38" s="8"/>
      <c r="J38" s="8"/>
      <c r="K38" s="8"/>
    </row>
    <row r="39" spans="1:11" ht="19" x14ac:dyDescent="0.2">
      <c r="A39" s="56">
        <v>1199000</v>
      </c>
      <c r="B39" s="10">
        <v>45974</v>
      </c>
      <c r="C39" s="14" t="s">
        <v>16</v>
      </c>
      <c r="D39" s="12" t="s">
        <v>168</v>
      </c>
      <c r="E39" s="15">
        <v>508000</v>
      </c>
      <c r="F39" s="13">
        <v>92000</v>
      </c>
      <c r="G39" s="13">
        <v>599000</v>
      </c>
      <c r="H39" s="13"/>
      <c r="I39" s="13"/>
      <c r="J39" s="13"/>
      <c r="K39" s="13"/>
    </row>
    <row r="40" spans="1:11" ht="19" x14ac:dyDescent="0.2">
      <c r="A40" s="55"/>
      <c r="B40" s="18"/>
      <c r="C40" s="22"/>
      <c r="D40" s="20"/>
      <c r="E40" s="21"/>
      <c r="F40" s="8"/>
      <c r="G40" s="8"/>
      <c r="H40" s="8"/>
      <c r="I40" s="8"/>
      <c r="J40" s="8"/>
      <c r="K40" s="8"/>
    </row>
    <row r="41" spans="1:11" ht="19" x14ac:dyDescent="0.2">
      <c r="A41" s="56">
        <v>1127000</v>
      </c>
      <c r="B41" s="10">
        <v>45975</v>
      </c>
      <c r="C41" s="14" t="s">
        <v>16</v>
      </c>
      <c r="D41" s="12" t="s">
        <v>168</v>
      </c>
      <c r="E41" s="15">
        <v>476000</v>
      </c>
      <c r="F41" s="13">
        <v>195000</v>
      </c>
      <c r="G41" s="13">
        <v>456000</v>
      </c>
      <c r="H41" s="13">
        <v>1024000</v>
      </c>
      <c r="I41" s="13" t="s">
        <v>411</v>
      </c>
      <c r="J41" s="13"/>
      <c r="K41" s="13"/>
    </row>
    <row r="42" spans="1:11" ht="32" x14ac:dyDescent="0.2">
      <c r="A42" s="55"/>
      <c r="B42" s="18"/>
      <c r="C42" s="22"/>
      <c r="D42" s="20"/>
      <c r="E42" s="21"/>
      <c r="F42" s="8"/>
      <c r="G42" s="8"/>
      <c r="H42" s="8">
        <v>1580000</v>
      </c>
      <c r="I42" s="107" t="s">
        <v>836</v>
      </c>
      <c r="J42" s="8"/>
      <c r="K42" s="8"/>
    </row>
    <row r="43" spans="1:11" ht="19" x14ac:dyDescent="0.2">
      <c r="A43" s="56">
        <v>388000</v>
      </c>
      <c r="B43" s="10">
        <v>45976</v>
      </c>
      <c r="C43" s="14" t="s">
        <v>16</v>
      </c>
      <c r="D43" s="12" t="s">
        <v>168</v>
      </c>
      <c r="E43" s="15">
        <v>164000</v>
      </c>
      <c r="F43" s="13">
        <v>41000</v>
      </c>
      <c r="G43" s="13">
        <v>183000</v>
      </c>
      <c r="H43" s="13"/>
      <c r="I43" s="13"/>
      <c r="J43" s="13"/>
      <c r="K43" s="13"/>
    </row>
    <row r="44" spans="1:11" ht="19" x14ac:dyDescent="0.2">
      <c r="A44" s="55"/>
      <c r="B44" s="18">
        <v>45977</v>
      </c>
      <c r="C44" s="22" t="s">
        <v>125</v>
      </c>
      <c r="D44" s="20"/>
      <c r="E44" s="21"/>
      <c r="F44" s="8"/>
      <c r="G44" s="8"/>
      <c r="H44" s="8"/>
      <c r="I44" s="105"/>
      <c r="J44" s="8"/>
      <c r="K44" s="8"/>
    </row>
    <row r="45" spans="1:11" ht="19" x14ac:dyDescent="0.2">
      <c r="A45" s="56">
        <v>1709000</v>
      </c>
      <c r="B45" s="10">
        <v>45978</v>
      </c>
      <c r="C45" s="14" t="s">
        <v>16</v>
      </c>
      <c r="D45" s="12" t="s">
        <v>168</v>
      </c>
      <c r="E45" s="15">
        <v>961000</v>
      </c>
      <c r="F45" s="13">
        <v>248000</v>
      </c>
      <c r="G45" s="13">
        <v>500000</v>
      </c>
      <c r="H45" s="13"/>
      <c r="I45" s="13"/>
      <c r="J45" s="45">
        <v>50000</v>
      </c>
      <c r="K45" s="45" t="s">
        <v>333</v>
      </c>
    </row>
    <row r="46" spans="1:11" ht="19" x14ac:dyDescent="0.2">
      <c r="A46" s="59"/>
      <c r="B46" s="47"/>
      <c r="C46" s="51"/>
      <c r="D46" s="48"/>
      <c r="E46" s="49"/>
      <c r="F46" s="50"/>
      <c r="G46" s="50"/>
      <c r="H46" s="50"/>
      <c r="I46" s="50"/>
      <c r="J46" s="50">
        <v>52000</v>
      </c>
      <c r="K46" s="50" t="s">
        <v>500</v>
      </c>
    </row>
    <row r="47" spans="1:11" ht="19" x14ac:dyDescent="0.2">
      <c r="A47" s="58"/>
      <c r="B47" s="43"/>
      <c r="C47" s="46"/>
      <c r="D47" s="44"/>
      <c r="E47" s="15"/>
      <c r="F47" s="13"/>
      <c r="G47" s="13"/>
      <c r="H47" s="45"/>
      <c r="I47" s="45"/>
      <c r="J47" s="45">
        <v>36000</v>
      </c>
      <c r="K47" s="45" t="s">
        <v>602</v>
      </c>
    </row>
    <row r="48" spans="1:11" ht="19" x14ac:dyDescent="0.2">
      <c r="A48" s="57"/>
      <c r="B48" s="47"/>
      <c r="C48" s="51"/>
      <c r="D48" s="48"/>
      <c r="E48" s="49"/>
      <c r="F48" s="50"/>
      <c r="G48" s="50"/>
      <c r="H48" s="50"/>
      <c r="I48" s="50"/>
      <c r="J48" s="50">
        <v>270000</v>
      </c>
      <c r="K48" s="50" t="s">
        <v>350</v>
      </c>
    </row>
    <row r="49" spans="1:11" ht="19" x14ac:dyDescent="0.2">
      <c r="A49" s="61">
        <v>1508000</v>
      </c>
      <c r="B49" s="43">
        <v>45979</v>
      </c>
      <c r="C49" s="46" t="s">
        <v>16</v>
      </c>
      <c r="D49" s="44" t="s">
        <v>168</v>
      </c>
      <c r="E49" s="62">
        <v>553000</v>
      </c>
      <c r="F49" s="45">
        <v>213000</v>
      </c>
      <c r="G49" s="45">
        <v>742000</v>
      </c>
      <c r="H49" s="45"/>
      <c r="I49" s="45"/>
      <c r="J49" s="45">
        <v>13000</v>
      </c>
      <c r="K49" s="45" t="s">
        <v>837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35000</v>
      </c>
      <c r="K50" s="50" t="s">
        <v>838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11000</v>
      </c>
      <c r="K51" s="45" t="s">
        <v>52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120000</v>
      </c>
      <c r="K52" s="50" t="s">
        <v>508</v>
      </c>
    </row>
    <row r="53" spans="1:11" ht="19" x14ac:dyDescent="0.2">
      <c r="A53" s="61"/>
      <c r="B53" s="43"/>
      <c r="C53" s="46"/>
      <c r="D53" s="44"/>
      <c r="E53" s="62"/>
      <c r="F53" s="45"/>
      <c r="G53" s="45"/>
      <c r="H53" s="45"/>
      <c r="I53" s="45"/>
      <c r="J53" s="45">
        <v>105000</v>
      </c>
      <c r="K53" s="45" t="s">
        <v>28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/>
      <c r="I54" s="50"/>
      <c r="J54" s="50">
        <v>180000</v>
      </c>
      <c r="K54" s="50" t="s">
        <v>646</v>
      </c>
    </row>
    <row r="55" spans="1:11" ht="19" x14ac:dyDescent="0.2">
      <c r="A55" s="61"/>
      <c r="B55" s="43"/>
      <c r="C55" s="46"/>
      <c r="D55" s="44"/>
      <c r="E55" s="62"/>
      <c r="F55" s="45"/>
      <c r="G55" s="45"/>
      <c r="H55" s="45"/>
      <c r="I55" s="45"/>
      <c r="J55" s="45">
        <v>29000</v>
      </c>
      <c r="K55" s="45" t="s">
        <v>249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>
        <v>100000</v>
      </c>
      <c r="K56" s="63" t="s">
        <v>197</v>
      </c>
    </row>
    <row r="57" spans="1:11" ht="19" x14ac:dyDescent="0.2">
      <c r="A57" s="61">
        <v>1356000</v>
      </c>
      <c r="B57" s="43">
        <v>45980</v>
      </c>
      <c r="C57" s="46" t="s">
        <v>16</v>
      </c>
      <c r="D57" s="44" t="s">
        <v>168</v>
      </c>
      <c r="E57" s="62">
        <v>805000</v>
      </c>
      <c r="F57" s="45">
        <v>110000</v>
      </c>
      <c r="G57" s="45">
        <v>441000</v>
      </c>
      <c r="H57" s="45"/>
      <c r="I57" s="45"/>
      <c r="J57" s="45">
        <v>20000</v>
      </c>
      <c r="K57" s="45" t="s">
        <v>839</v>
      </c>
    </row>
    <row r="58" spans="1:11" ht="19" x14ac:dyDescent="0.2">
      <c r="A58" s="57"/>
      <c r="B58" s="47"/>
      <c r="C58" s="51"/>
      <c r="D58" s="48"/>
      <c r="E58" s="49"/>
      <c r="F58" s="50"/>
      <c r="G58" s="50"/>
      <c r="H58" s="50"/>
      <c r="I58" s="50"/>
      <c r="J58" s="50">
        <v>27000</v>
      </c>
      <c r="K58" s="50" t="s">
        <v>139</v>
      </c>
    </row>
    <row r="59" spans="1:11" ht="19" x14ac:dyDescent="0.2">
      <c r="A59" s="61"/>
      <c r="B59" s="43"/>
      <c r="C59" s="46"/>
      <c r="D59" s="44"/>
      <c r="E59" s="62"/>
      <c r="F59" s="45"/>
      <c r="G59" s="45"/>
      <c r="H59" s="45"/>
      <c r="I59" s="45"/>
      <c r="J59" s="45">
        <v>30000</v>
      </c>
      <c r="K59" s="45" t="s">
        <v>840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>
        <v>20000</v>
      </c>
      <c r="K60" s="50" t="s">
        <v>841</v>
      </c>
    </row>
    <row r="61" spans="1:11" ht="19" x14ac:dyDescent="0.2">
      <c r="A61" s="61">
        <v>1128000</v>
      </c>
      <c r="B61" s="43">
        <v>45981</v>
      </c>
      <c r="C61" s="46" t="s">
        <v>16</v>
      </c>
      <c r="D61" s="44" t="s">
        <v>168</v>
      </c>
      <c r="E61" s="62">
        <v>624000</v>
      </c>
      <c r="F61" s="45">
        <v>30000</v>
      </c>
      <c r="G61" s="45">
        <v>474000</v>
      </c>
      <c r="H61" s="45"/>
      <c r="I61" s="45"/>
      <c r="J61" s="45">
        <v>33000</v>
      </c>
      <c r="K61" s="45" t="s">
        <v>807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32000</v>
      </c>
      <c r="K62" s="50" t="s">
        <v>835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27000</v>
      </c>
      <c r="K63" s="45" t="s">
        <v>803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27000</v>
      </c>
      <c r="K64" s="50" t="s">
        <v>842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25000</v>
      </c>
      <c r="K65" s="45" t="s">
        <v>843</v>
      </c>
    </row>
    <row r="66" spans="1:11" ht="19" x14ac:dyDescent="0.2">
      <c r="A66" s="57">
        <v>1334000</v>
      </c>
      <c r="B66" s="47">
        <v>45982</v>
      </c>
      <c r="C66" s="51" t="s">
        <v>16</v>
      </c>
      <c r="D66" s="48" t="s">
        <v>168</v>
      </c>
      <c r="E66" s="49">
        <v>570000</v>
      </c>
      <c r="F66" s="50">
        <v>89000</v>
      </c>
      <c r="G66" s="50">
        <v>675000</v>
      </c>
      <c r="H66" s="50"/>
      <c r="I66" s="50"/>
      <c r="J66" s="50">
        <v>26000</v>
      </c>
      <c r="K66" s="50" t="s">
        <v>122</v>
      </c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>
        <v>12000</v>
      </c>
      <c r="K67" s="45" t="s">
        <v>317</v>
      </c>
    </row>
    <row r="68" spans="1:11" ht="19" x14ac:dyDescent="0.2">
      <c r="A68" s="57"/>
      <c r="B68" s="47"/>
      <c r="C68" s="51"/>
      <c r="D68" s="48"/>
      <c r="E68" s="49"/>
      <c r="F68" s="50"/>
      <c r="G68" s="50"/>
      <c r="H68" s="50"/>
      <c r="I68" s="50"/>
      <c r="J68" s="50"/>
      <c r="K68" s="50"/>
    </row>
    <row r="69" spans="1:11" ht="19" x14ac:dyDescent="0.2">
      <c r="A69" s="61">
        <v>1263000</v>
      </c>
      <c r="B69" s="43">
        <v>45983</v>
      </c>
      <c r="C69" s="46" t="s">
        <v>16</v>
      </c>
      <c r="D69" s="44" t="s">
        <v>530</v>
      </c>
      <c r="E69" s="62">
        <v>588000</v>
      </c>
      <c r="F69" s="45">
        <v>88000</v>
      </c>
      <c r="G69" s="45">
        <v>587000</v>
      </c>
      <c r="H69" s="45"/>
      <c r="I69" s="45"/>
      <c r="J69" s="45">
        <v>200000</v>
      </c>
      <c r="K69" s="45" t="s">
        <v>21</v>
      </c>
    </row>
    <row r="70" spans="1:11" ht="19" x14ac:dyDescent="0.2">
      <c r="A70" s="57"/>
      <c r="B70" s="47"/>
      <c r="C70" s="51"/>
      <c r="D70" s="48"/>
      <c r="E70" s="49"/>
      <c r="F70" s="50"/>
      <c r="G70" s="50"/>
      <c r="H70" s="50"/>
      <c r="I70" s="50"/>
      <c r="J70" s="50">
        <v>45000</v>
      </c>
      <c r="K70" s="50" t="s">
        <v>396</v>
      </c>
    </row>
    <row r="71" spans="1:11" ht="19" x14ac:dyDescent="0.2">
      <c r="A71" s="61"/>
      <c r="B71" s="43">
        <v>45984</v>
      </c>
      <c r="C71" s="46" t="s">
        <v>125</v>
      </c>
      <c r="D71" s="44"/>
      <c r="E71" s="62"/>
      <c r="F71" s="45"/>
      <c r="G71" s="45"/>
      <c r="H71" s="45"/>
      <c r="I71" s="45"/>
      <c r="J71" s="45">
        <v>150000</v>
      </c>
      <c r="K71" s="45" t="s">
        <v>327</v>
      </c>
    </row>
    <row r="72" spans="1:11" ht="19" x14ac:dyDescent="0.2">
      <c r="A72" s="57"/>
      <c r="B72" s="47"/>
      <c r="C72" s="51"/>
      <c r="D72" s="48"/>
      <c r="E72" s="49"/>
      <c r="F72" s="50"/>
      <c r="G72" s="50"/>
      <c r="H72" s="50"/>
      <c r="I72" s="50"/>
      <c r="J72" s="50"/>
      <c r="K72" s="50"/>
    </row>
    <row r="73" spans="1:11" ht="19" x14ac:dyDescent="0.2">
      <c r="A73" s="61">
        <v>1021000</v>
      </c>
      <c r="B73" s="43">
        <v>45985</v>
      </c>
      <c r="C73" s="46" t="s">
        <v>16</v>
      </c>
      <c r="D73" s="44" t="s">
        <v>168</v>
      </c>
      <c r="E73" s="62">
        <v>643000</v>
      </c>
      <c r="F73" s="45">
        <v>100000</v>
      </c>
      <c r="G73" s="45">
        <v>278000</v>
      </c>
      <c r="H73" s="45"/>
      <c r="I73" s="45"/>
      <c r="J73" s="45">
        <v>25000</v>
      </c>
      <c r="K73" s="45" t="s">
        <v>844</v>
      </c>
    </row>
    <row r="74" spans="1:11" ht="19" x14ac:dyDescent="0.2">
      <c r="A74" s="57"/>
      <c r="B74" s="47"/>
      <c r="C74" s="51"/>
      <c r="D74" s="48"/>
      <c r="E74" s="49"/>
      <c r="F74" s="50"/>
      <c r="G74" s="50"/>
      <c r="H74" s="50"/>
      <c r="I74" s="50"/>
      <c r="J74" s="50">
        <v>198000</v>
      </c>
      <c r="K74" s="50" t="s">
        <v>347</v>
      </c>
    </row>
    <row r="75" spans="1:11" ht="19" x14ac:dyDescent="0.2">
      <c r="A75" s="61"/>
      <c r="B75" s="43"/>
      <c r="C75" s="46"/>
      <c r="D75" s="44"/>
      <c r="E75" s="62"/>
      <c r="F75" s="45"/>
      <c r="G75" s="45"/>
      <c r="H75" s="45"/>
      <c r="I75" s="45"/>
      <c r="J75" s="45">
        <v>67000</v>
      </c>
      <c r="K75" s="45" t="s">
        <v>176</v>
      </c>
    </row>
    <row r="76" spans="1:11" ht="19" x14ac:dyDescent="0.2">
      <c r="A76" s="57"/>
      <c r="B76" s="47"/>
      <c r="C76" s="51"/>
      <c r="D76" s="51"/>
      <c r="E76" s="49"/>
      <c r="F76" s="50"/>
      <c r="G76" s="50"/>
      <c r="H76" s="50"/>
      <c r="I76" s="50"/>
      <c r="J76" s="50">
        <v>36000</v>
      </c>
      <c r="K76" s="50" t="s">
        <v>602</v>
      </c>
    </row>
    <row r="77" spans="1:11" ht="19" x14ac:dyDescent="0.2">
      <c r="A77" s="61"/>
      <c r="B77" s="43"/>
      <c r="C77" s="46"/>
      <c r="D77" s="44"/>
      <c r="E77" s="62"/>
      <c r="F77" s="45"/>
      <c r="G77" s="45"/>
      <c r="H77" s="45"/>
      <c r="I77" s="45"/>
      <c r="J77" s="45">
        <v>100000</v>
      </c>
      <c r="K77" s="45" t="s">
        <v>845</v>
      </c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>
        <v>170000</v>
      </c>
      <c r="K78" s="50" t="s">
        <v>846</v>
      </c>
    </row>
    <row r="79" spans="1:11" ht="19" x14ac:dyDescent="0.2">
      <c r="A79" s="61"/>
      <c r="B79" s="43"/>
      <c r="C79" s="46"/>
      <c r="D79" s="44"/>
      <c r="E79" s="62"/>
      <c r="F79" s="45"/>
      <c r="G79" s="45"/>
      <c r="H79" s="45"/>
      <c r="I79" s="45"/>
      <c r="J79" s="45">
        <v>170000</v>
      </c>
      <c r="K79" s="45" t="s">
        <v>847</v>
      </c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/>
      <c r="K80" s="50"/>
    </row>
    <row r="81" spans="1:11" ht="19" x14ac:dyDescent="0.2">
      <c r="A81" s="61">
        <v>1272000</v>
      </c>
      <c r="B81" s="43">
        <v>45986</v>
      </c>
      <c r="C81" s="46" t="s">
        <v>16</v>
      </c>
      <c r="D81" s="44" t="s">
        <v>168</v>
      </c>
      <c r="E81" s="62">
        <v>840000</v>
      </c>
      <c r="F81" s="45">
        <v>102000</v>
      </c>
      <c r="G81" s="45">
        <v>330000</v>
      </c>
      <c r="H81" s="45"/>
      <c r="I81" s="45"/>
      <c r="J81" s="45">
        <v>81000</v>
      </c>
      <c r="K81" s="45" t="s">
        <v>848</v>
      </c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>
        <v>49000</v>
      </c>
      <c r="K82" s="50" t="s">
        <v>40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20000</v>
      </c>
      <c r="K83" s="45" t="s">
        <v>849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>
        <v>40000</v>
      </c>
      <c r="K84" s="50" t="s">
        <v>850</v>
      </c>
    </row>
    <row r="85" spans="1:11" ht="19" x14ac:dyDescent="0.2">
      <c r="A85" s="61"/>
      <c r="B85" s="43"/>
      <c r="C85" s="46"/>
      <c r="D85" s="44"/>
      <c r="E85" s="62"/>
      <c r="F85" s="45"/>
      <c r="G85" s="45"/>
      <c r="H85" s="45"/>
      <c r="I85" s="45"/>
      <c r="J85" s="45"/>
      <c r="K85" s="45"/>
    </row>
    <row r="86" spans="1:11" ht="19" x14ac:dyDescent="0.2">
      <c r="A86" s="57">
        <v>1076000</v>
      </c>
      <c r="B86" s="47">
        <v>45987</v>
      </c>
      <c r="C86" s="51" t="s">
        <v>16</v>
      </c>
      <c r="D86" s="48" t="s">
        <v>168</v>
      </c>
      <c r="E86" s="49">
        <v>517000</v>
      </c>
      <c r="F86" s="50">
        <v>137000</v>
      </c>
      <c r="G86" s="50">
        <v>422000</v>
      </c>
      <c r="H86" s="50"/>
      <c r="I86" s="50"/>
      <c r="J86" s="50">
        <v>13000</v>
      </c>
      <c r="K86" s="50" t="s">
        <v>851</v>
      </c>
    </row>
    <row r="87" spans="1:11" ht="19" x14ac:dyDescent="0.2">
      <c r="A87" s="61"/>
      <c r="B87" s="43"/>
      <c r="C87" s="46"/>
      <c r="D87" s="44"/>
      <c r="E87" s="62"/>
      <c r="F87" s="45"/>
      <c r="G87" s="45"/>
      <c r="H87" s="45"/>
      <c r="I87" s="45"/>
      <c r="J87" s="45">
        <v>47000</v>
      </c>
      <c r="K87" s="45" t="s">
        <v>852</v>
      </c>
    </row>
    <row r="88" spans="1:11" ht="19" x14ac:dyDescent="0.2">
      <c r="A88" s="57"/>
      <c r="B88" s="47"/>
      <c r="C88" s="51"/>
      <c r="D88" s="48"/>
      <c r="E88" s="49"/>
      <c r="F88" s="50"/>
      <c r="G88" s="50"/>
      <c r="H88" s="50"/>
      <c r="I88" s="50"/>
      <c r="J88" s="50">
        <v>10000</v>
      </c>
      <c r="K88" s="50" t="s">
        <v>853</v>
      </c>
    </row>
    <row r="89" spans="1:11" ht="19" x14ac:dyDescent="0.2">
      <c r="A89" s="61"/>
      <c r="B89" s="43"/>
      <c r="C89" s="46"/>
      <c r="D89" s="44"/>
      <c r="E89" s="62"/>
      <c r="F89" s="45"/>
      <c r="G89" s="45"/>
      <c r="H89" s="45"/>
      <c r="I89" s="45"/>
      <c r="J89" s="45">
        <v>36000</v>
      </c>
      <c r="K89" s="45" t="s">
        <v>854</v>
      </c>
    </row>
    <row r="90" spans="1:11" ht="19" x14ac:dyDescent="0.2">
      <c r="A90" s="57"/>
      <c r="B90" s="47"/>
      <c r="C90" s="51"/>
      <c r="D90" s="48"/>
      <c r="E90" s="49"/>
      <c r="F90" s="50"/>
      <c r="G90" s="50"/>
      <c r="H90" s="50"/>
      <c r="I90" s="50"/>
      <c r="J90" s="50">
        <v>43000</v>
      </c>
      <c r="K90" s="50" t="s">
        <v>855</v>
      </c>
    </row>
    <row r="91" spans="1:11" ht="19" x14ac:dyDescent="0.2">
      <c r="A91" s="61"/>
      <c r="B91" s="43"/>
      <c r="C91" s="46"/>
      <c r="D91" s="44"/>
      <c r="E91" s="62"/>
      <c r="F91" s="45"/>
      <c r="G91" s="45"/>
      <c r="H91" s="45"/>
      <c r="I91" s="45"/>
      <c r="J91" s="45">
        <v>29000</v>
      </c>
      <c r="K91" s="45" t="s">
        <v>856</v>
      </c>
    </row>
    <row r="92" spans="1:11" ht="19" x14ac:dyDescent="0.2">
      <c r="A92" s="57"/>
      <c r="B92" s="47"/>
      <c r="C92" s="51"/>
      <c r="D92" s="48"/>
      <c r="E92" s="49"/>
      <c r="F92" s="50"/>
      <c r="G92" s="50"/>
      <c r="H92" s="50"/>
      <c r="I92" s="50"/>
      <c r="J92" s="50">
        <v>32000</v>
      </c>
      <c r="K92" s="50" t="s">
        <v>857</v>
      </c>
    </row>
    <row r="93" spans="1:11" ht="19" x14ac:dyDescent="0.2">
      <c r="A93" s="61"/>
      <c r="B93" s="43"/>
      <c r="C93" s="46"/>
      <c r="D93" s="44"/>
      <c r="E93" s="62"/>
      <c r="F93" s="45"/>
      <c r="G93" s="45"/>
      <c r="H93" s="45"/>
      <c r="I93" s="45"/>
      <c r="J93" s="45"/>
      <c r="K93" s="45"/>
    </row>
    <row r="94" spans="1:11" ht="19" x14ac:dyDescent="0.2">
      <c r="A94" s="57">
        <v>788000</v>
      </c>
      <c r="B94" s="47">
        <v>45988</v>
      </c>
      <c r="C94" s="51" t="s">
        <v>16</v>
      </c>
      <c r="D94" s="48" t="s">
        <v>168</v>
      </c>
      <c r="E94" s="49">
        <v>365000</v>
      </c>
      <c r="F94" s="50">
        <v>264000</v>
      </c>
      <c r="G94" s="50">
        <v>159000</v>
      </c>
      <c r="H94" s="50"/>
      <c r="I94" s="50"/>
      <c r="J94" s="50">
        <v>11000</v>
      </c>
      <c r="K94" s="50" t="s">
        <v>858</v>
      </c>
    </row>
    <row r="95" spans="1:11" ht="19" x14ac:dyDescent="0.2">
      <c r="A95" s="61"/>
      <c r="B95" s="43"/>
      <c r="C95" s="46"/>
      <c r="D95" s="44"/>
      <c r="E95" s="62"/>
      <c r="F95" s="45"/>
      <c r="G95" s="45"/>
      <c r="H95" s="45"/>
      <c r="I95" s="45"/>
      <c r="J95" s="45">
        <v>75000</v>
      </c>
      <c r="K95" s="45" t="s">
        <v>660</v>
      </c>
    </row>
    <row r="96" spans="1:11" ht="19" x14ac:dyDescent="0.2">
      <c r="A96" s="57"/>
      <c r="B96" s="47"/>
      <c r="C96" s="51"/>
      <c r="D96" s="48"/>
      <c r="E96" s="49"/>
      <c r="F96" s="50"/>
      <c r="G96" s="50"/>
      <c r="H96" s="50"/>
      <c r="I96" s="50"/>
      <c r="J96" s="50">
        <v>25000</v>
      </c>
      <c r="K96" s="50" t="s">
        <v>744</v>
      </c>
    </row>
    <row r="97" spans="1:11" ht="19" x14ac:dyDescent="0.2">
      <c r="A97" s="61"/>
      <c r="B97" s="43"/>
      <c r="C97" s="46"/>
      <c r="D97" s="44"/>
      <c r="E97" s="62"/>
      <c r="F97" s="45"/>
      <c r="G97" s="45"/>
      <c r="H97" s="45"/>
      <c r="I97" s="45"/>
      <c r="J97" s="45">
        <v>32000</v>
      </c>
      <c r="K97" s="45" t="s">
        <v>807</v>
      </c>
    </row>
    <row r="98" spans="1:11" ht="19" x14ac:dyDescent="0.2">
      <c r="A98" s="57"/>
      <c r="B98" s="47"/>
      <c r="C98" s="51"/>
      <c r="D98" s="48"/>
      <c r="E98" s="49"/>
      <c r="F98" s="50"/>
      <c r="G98" s="50"/>
      <c r="H98" s="50"/>
      <c r="I98" s="50"/>
      <c r="J98" s="50">
        <v>33000</v>
      </c>
      <c r="K98" s="50" t="s">
        <v>857</v>
      </c>
    </row>
    <row r="99" spans="1:11" ht="19" x14ac:dyDescent="0.2">
      <c r="A99" s="61"/>
      <c r="B99" s="43"/>
      <c r="C99" s="46"/>
      <c r="D99" s="44"/>
      <c r="E99" s="62"/>
      <c r="F99" s="45"/>
      <c r="G99" s="45"/>
      <c r="H99" s="45"/>
      <c r="I99" s="45"/>
      <c r="J99" s="45">
        <v>38000</v>
      </c>
      <c r="K99" s="45" t="s">
        <v>834</v>
      </c>
    </row>
    <row r="100" spans="1:11" ht="19" x14ac:dyDescent="0.2">
      <c r="A100" s="57"/>
      <c r="B100" s="47"/>
      <c r="C100" s="51"/>
      <c r="D100" s="48"/>
      <c r="E100" s="49"/>
      <c r="F100" s="50"/>
      <c r="G100" s="50"/>
      <c r="H100" s="50"/>
      <c r="I100" s="50"/>
      <c r="J100" s="50">
        <v>27000</v>
      </c>
      <c r="K100" s="50" t="s">
        <v>842</v>
      </c>
    </row>
    <row r="101" spans="1:11" ht="19" x14ac:dyDescent="0.2">
      <c r="A101" s="61"/>
      <c r="B101" s="43"/>
      <c r="C101" s="46"/>
      <c r="D101" s="44"/>
      <c r="E101" s="62"/>
      <c r="F101" s="45"/>
      <c r="G101" s="45"/>
      <c r="H101" s="45"/>
      <c r="I101" s="45"/>
      <c r="J101" s="45">
        <v>18000</v>
      </c>
      <c r="K101" s="45" t="s">
        <v>859</v>
      </c>
    </row>
    <row r="102" spans="1:11" ht="19" x14ac:dyDescent="0.2">
      <c r="A102" s="57"/>
      <c r="B102" s="47"/>
      <c r="C102" s="51"/>
      <c r="D102" s="48"/>
      <c r="E102" s="49"/>
      <c r="F102" s="50"/>
      <c r="G102" s="50"/>
      <c r="H102" s="50"/>
      <c r="I102" s="50"/>
      <c r="J102" s="50">
        <v>10000</v>
      </c>
      <c r="K102" s="50" t="s">
        <v>860</v>
      </c>
    </row>
    <row r="103" spans="1:11" ht="19" x14ac:dyDescent="0.2">
      <c r="A103" s="61"/>
      <c r="B103" s="43"/>
      <c r="C103" s="46"/>
      <c r="D103" s="44"/>
      <c r="E103" s="62"/>
      <c r="F103" s="45"/>
      <c r="G103" s="45"/>
      <c r="H103" s="45"/>
      <c r="I103" s="45"/>
      <c r="J103" s="91">
        <v>1427000</v>
      </c>
      <c r="K103" s="91" t="s">
        <v>863</v>
      </c>
    </row>
    <row r="104" spans="1:11" ht="19" x14ac:dyDescent="0.2">
      <c r="A104" s="57">
        <v>1234000</v>
      </c>
      <c r="B104" s="47">
        <v>45989</v>
      </c>
      <c r="C104" s="51" t="s">
        <v>16</v>
      </c>
      <c r="D104" s="48" t="s">
        <v>168</v>
      </c>
      <c r="E104" s="49">
        <v>572000</v>
      </c>
      <c r="F104" s="50">
        <v>284000</v>
      </c>
      <c r="G104" s="50">
        <v>378000</v>
      </c>
      <c r="H104" s="50"/>
      <c r="I104" s="50"/>
      <c r="J104" s="50">
        <v>1100000</v>
      </c>
      <c r="K104" s="50" t="s">
        <v>864</v>
      </c>
    </row>
    <row r="105" spans="1:11" ht="19" x14ac:dyDescent="0.2">
      <c r="A105" s="61"/>
      <c r="B105" s="43"/>
      <c r="C105" s="46"/>
      <c r="D105" s="44"/>
      <c r="E105" s="62"/>
      <c r="F105" s="45"/>
      <c r="G105" s="45"/>
      <c r="H105" s="45"/>
      <c r="I105" s="45"/>
      <c r="J105" s="45">
        <v>475000</v>
      </c>
      <c r="K105" s="45" t="s">
        <v>865</v>
      </c>
    </row>
    <row r="106" spans="1:11" ht="19" x14ac:dyDescent="0.2">
      <c r="A106" s="57">
        <v>587000</v>
      </c>
      <c r="B106" s="47">
        <v>45990</v>
      </c>
      <c r="C106" s="51" t="s">
        <v>861</v>
      </c>
      <c r="D106" s="48" t="s">
        <v>168</v>
      </c>
      <c r="E106" s="49">
        <v>400000</v>
      </c>
      <c r="F106" s="50">
        <v>26000</v>
      </c>
      <c r="G106" s="50">
        <v>161000</v>
      </c>
      <c r="H106" s="50"/>
      <c r="I106" s="50"/>
      <c r="J106" s="50"/>
      <c r="K106" s="50"/>
    </row>
    <row r="107" spans="1:11" ht="19" x14ac:dyDescent="0.2">
      <c r="A107" s="61"/>
      <c r="B107" s="43"/>
      <c r="C107" s="46"/>
      <c r="D107" s="44"/>
      <c r="E107" s="62"/>
      <c r="F107" s="45"/>
      <c r="G107" s="45"/>
      <c r="H107" s="45">
        <v>2274000</v>
      </c>
      <c r="I107" s="45" t="s">
        <v>238</v>
      </c>
      <c r="J107" s="45"/>
      <c r="K107" s="45"/>
    </row>
    <row r="108" spans="1:11" ht="19" x14ac:dyDescent="0.2">
      <c r="A108" s="57"/>
      <c r="B108" s="47">
        <v>45991</v>
      </c>
      <c r="C108" s="51" t="s">
        <v>125</v>
      </c>
      <c r="D108" s="48"/>
      <c r="E108" s="49"/>
      <c r="F108" s="50"/>
      <c r="G108" s="50"/>
      <c r="H108" s="50">
        <v>191000</v>
      </c>
      <c r="I108" s="50" t="s">
        <v>862</v>
      </c>
      <c r="J108" s="50"/>
      <c r="K108" s="50"/>
    </row>
    <row r="109" spans="1:11" ht="19" x14ac:dyDescent="0.2">
      <c r="A109" s="61"/>
      <c r="B109" s="43"/>
      <c r="C109" s="46"/>
      <c r="D109" s="44"/>
      <c r="E109" s="62"/>
      <c r="F109" s="45"/>
      <c r="G109" s="45"/>
      <c r="H109" s="45"/>
      <c r="I109" s="45"/>
      <c r="J109" s="45"/>
      <c r="K109" s="4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D86B-BE4C-DE4E-ADBB-A74C3805C0AE}">
  <dimension ref="A3:K100"/>
  <sheetViews>
    <sheetView workbookViewId="0">
      <selection activeCell="B7" sqref="B7"/>
    </sheetView>
  </sheetViews>
  <sheetFormatPr baseColWidth="10" defaultRowHeight="15" x14ac:dyDescent="0.2"/>
  <cols>
    <col min="1" max="1" width="20.33203125" bestFit="1" customWidth="1"/>
    <col min="3" max="3" width="13.33203125" bestFit="1" customWidth="1"/>
    <col min="4" max="4" width="8.33203125" bestFit="1" customWidth="1"/>
    <col min="5" max="5" width="20.33203125" bestFit="1" customWidth="1"/>
    <col min="6" max="6" width="28.5" customWidth="1"/>
    <col min="7" max="8" width="24.83203125" customWidth="1"/>
    <col min="9" max="9" width="37.33203125" customWidth="1"/>
    <col min="10" max="10" width="19" bestFit="1" customWidth="1"/>
    <col min="11" max="11" width="27.6640625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899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2798301</v>
      </c>
      <c r="K6" s="30" t="s">
        <v>902</v>
      </c>
    </row>
    <row r="7" spans="1:11" ht="26" x14ac:dyDescent="0.3">
      <c r="B7" s="32" t="s">
        <v>901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SUM(A11:A580)</f>
        <v>30688000</v>
      </c>
      <c r="B10" s="39"/>
      <c r="C10" s="40" t="s">
        <v>15</v>
      </c>
      <c r="D10" s="41"/>
      <c r="E10" s="42">
        <f>SUM(E11:E580)</f>
        <v>15598000</v>
      </c>
      <c r="F10" s="38">
        <f>SUM(F11:F580)</f>
        <v>4222000</v>
      </c>
      <c r="G10" s="38">
        <f>SUM(G11:G575)</f>
        <v>10868000</v>
      </c>
      <c r="H10" s="38">
        <f>SUM(H11:H580)</f>
        <v>13936000</v>
      </c>
      <c r="I10" s="38"/>
      <c r="J10" s="38">
        <f>SUM(J11:J580)</f>
        <v>6186000</v>
      </c>
      <c r="K10" s="38"/>
    </row>
    <row r="11" spans="1:11" ht="21" x14ac:dyDescent="0.2">
      <c r="A11" s="96">
        <v>1369000</v>
      </c>
      <c r="B11" s="97">
        <v>45992</v>
      </c>
      <c r="C11" s="109" t="s">
        <v>16</v>
      </c>
      <c r="D11" s="99" t="s">
        <v>168</v>
      </c>
      <c r="E11" s="13">
        <v>752000</v>
      </c>
      <c r="F11" s="13">
        <v>320000</v>
      </c>
      <c r="G11" s="13">
        <v>297000</v>
      </c>
      <c r="H11" s="13"/>
      <c r="I11" s="13"/>
      <c r="J11" s="13">
        <v>100000</v>
      </c>
      <c r="K11" s="13" t="s">
        <v>197</v>
      </c>
    </row>
    <row r="12" spans="1:11" ht="19" x14ac:dyDescent="0.2">
      <c r="A12" s="53"/>
      <c r="B12" s="4"/>
      <c r="C12" s="5"/>
      <c r="D12" s="2"/>
      <c r="E12" s="1"/>
      <c r="F12" s="1"/>
      <c r="G12" s="1"/>
      <c r="H12" s="1"/>
      <c r="I12" s="1"/>
      <c r="J12" s="8"/>
      <c r="K12" s="8"/>
    </row>
    <row r="13" spans="1:11" ht="19" x14ac:dyDescent="0.2">
      <c r="A13" s="54">
        <v>1415000</v>
      </c>
      <c r="B13" s="10">
        <v>45993</v>
      </c>
      <c r="C13" s="14" t="s">
        <v>16</v>
      </c>
      <c r="D13" s="12" t="s">
        <v>168</v>
      </c>
      <c r="E13" s="15">
        <v>946000</v>
      </c>
      <c r="F13" s="13">
        <v>60000</v>
      </c>
      <c r="G13" s="13">
        <v>409000</v>
      </c>
      <c r="H13" s="13"/>
      <c r="I13" s="13"/>
      <c r="J13" s="13">
        <v>43000</v>
      </c>
      <c r="K13" s="13" t="s">
        <v>855</v>
      </c>
    </row>
    <row r="14" spans="1:11" ht="19" x14ac:dyDescent="0.2">
      <c r="A14" s="53"/>
      <c r="B14" s="4"/>
      <c r="C14" s="5"/>
      <c r="D14" s="2"/>
      <c r="E14" s="3"/>
      <c r="F14" s="1"/>
      <c r="G14" s="1"/>
      <c r="H14" s="1"/>
      <c r="I14" s="1"/>
      <c r="J14" s="8">
        <v>33000</v>
      </c>
      <c r="K14" s="1" t="s">
        <v>857</v>
      </c>
    </row>
    <row r="15" spans="1:11" ht="19" x14ac:dyDescent="0.2">
      <c r="A15" s="56"/>
      <c r="B15" s="10"/>
      <c r="C15" s="14"/>
      <c r="D15" s="12"/>
      <c r="E15" s="15"/>
      <c r="F15" s="13"/>
      <c r="G15" s="13"/>
      <c r="H15" s="13"/>
      <c r="I15" s="13"/>
      <c r="J15" s="13">
        <v>22000</v>
      </c>
      <c r="K15" s="13" t="s">
        <v>870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>
        <v>25000</v>
      </c>
      <c r="K16" s="8" t="s">
        <v>812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36000</v>
      </c>
      <c r="K17" s="13" t="s">
        <v>854</v>
      </c>
    </row>
    <row r="18" spans="1:11" ht="19" x14ac:dyDescent="0.2">
      <c r="A18" s="55">
        <v>1115000</v>
      </c>
      <c r="B18" s="18">
        <v>45994</v>
      </c>
      <c r="C18" s="19" t="s">
        <v>16</v>
      </c>
      <c r="D18" s="20" t="s">
        <v>168</v>
      </c>
      <c r="E18" s="21">
        <v>521000</v>
      </c>
      <c r="F18" s="8">
        <v>171000</v>
      </c>
      <c r="G18" s="8">
        <v>423000</v>
      </c>
      <c r="H18" s="23"/>
      <c r="I18" s="23"/>
      <c r="J18" s="8">
        <v>144000</v>
      </c>
      <c r="K18" s="8" t="s">
        <v>395</v>
      </c>
    </row>
    <row r="19" spans="1:11" ht="19" x14ac:dyDescent="0.2">
      <c r="A19" s="56"/>
      <c r="B19" s="10"/>
      <c r="C19" s="16"/>
      <c r="D19" s="12"/>
      <c r="E19" s="15"/>
      <c r="F19" s="13"/>
      <c r="G19" s="13"/>
      <c r="H19" s="17"/>
      <c r="I19" s="17"/>
      <c r="J19" s="13">
        <v>2427000</v>
      </c>
      <c r="K19" s="13" t="s">
        <v>900</v>
      </c>
    </row>
    <row r="20" spans="1:11" ht="19" x14ac:dyDescent="0.2">
      <c r="A20" s="55">
        <v>1104000</v>
      </c>
      <c r="B20" s="18">
        <v>45995</v>
      </c>
      <c r="C20" s="19" t="s">
        <v>16</v>
      </c>
      <c r="D20" s="20" t="s">
        <v>168</v>
      </c>
      <c r="E20" s="21">
        <v>578000</v>
      </c>
      <c r="F20" s="8">
        <v>153000</v>
      </c>
      <c r="G20" s="8">
        <v>373000</v>
      </c>
      <c r="H20" s="23"/>
      <c r="I20" s="23"/>
      <c r="J20" s="8"/>
      <c r="K20" s="8"/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/>
      <c r="K21" s="13"/>
    </row>
    <row r="22" spans="1:11" ht="19" x14ac:dyDescent="0.2">
      <c r="A22" s="55">
        <v>1548000</v>
      </c>
      <c r="B22" s="18">
        <v>45996</v>
      </c>
      <c r="C22" s="19" t="s">
        <v>16</v>
      </c>
      <c r="D22" s="20" t="s">
        <v>168</v>
      </c>
      <c r="E22" s="21">
        <v>1015000</v>
      </c>
      <c r="F22" s="8">
        <v>146000</v>
      </c>
      <c r="G22" s="8">
        <v>387000</v>
      </c>
      <c r="H22" s="23"/>
      <c r="I22" s="23"/>
      <c r="J22" s="8">
        <v>25000</v>
      </c>
      <c r="K22" s="8" t="s">
        <v>249</v>
      </c>
    </row>
    <row r="23" spans="1:11" ht="19" x14ac:dyDescent="0.2">
      <c r="A23" s="56"/>
      <c r="B23" s="10"/>
      <c r="C23" s="15"/>
      <c r="D23" s="12"/>
      <c r="E23" s="15"/>
      <c r="F23" s="13"/>
      <c r="G23" s="13"/>
      <c r="H23" s="13">
        <v>936000</v>
      </c>
      <c r="I23" s="13" t="s">
        <v>537</v>
      </c>
      <c r="J23" s="13"/>
      <c r="K23" s="13"/>
    </row>
    <row r="24" spans="1:11" ht="19" x14ac:dyDescent="0.2">
      <c r="A24" s="55">
        <v>926000</v>
      </c>
      <c r="B24" s="18">
        <v>45997</v>
      </c>
      <c r="C24" s="19" t="s">
        <v>16</v>
      </c>
      <c r="D24" s="20" t="s">
        <v>168</v>
      </c>
      <c r="E24" s="21">
        <v>521000</v>
      </c>
      <c r="F24" s="8">
        <v>191000</v>
      </c>
      <c r="G24" s="8">
        <v>214000</v>
      </c>
      <c r="H24" s="8"/>
      <c r="I24" s="8"/>
      <c r="J24" s="8"/>
      <c r="K24" s="8"/>
    </row>
    <row r="25" spans="1:11" ht="19" x14ac:dyDescent="0.2">
      <c r="A25" s="56"/>
      <c r="B25" s="10">
        <v>45998</v>
      </c>
      <c r="C25" s="15" t="s">
        <v>125</v>
      </c>
      <c r="D25" s="12"/>
      <c r="E25" s="15"/>
      <c r="F25" s="13"/>
      <c r="G25" s="13"/>
      <c r="H25" s="13"/>
      <c r="I25" s="13"/>
      <c r="J25" s="13">
        <v>475000</v>
      </c>
      <c r="K25" s="13" t="s">
        <v>898</v>
      </c>
    </row>
    <row r="26" spans="1:11" ht="19" x14ac:dyDescent="0.2">
      <c r="A26" s="55">
        <v>508000</v>
      </c>
      <c r="B26" s="18">
        <v>45999</v>
      </c>
      <c r="C26" s="19" t="s">
        <v>16</v>
      </c>
      <c r="D26" s="20" t="s">
        <v>168</v>
      </c>
      <c r="E26" s="21">
        <v>265000</v>
      </c>
      <c r="F26" s="8">
        <v>0</v>
      </c>
      <c r="G26" s="8">
        <v>243000</v>
      </c>
      <c r="H26" s="8"/>
      <c r="I26" s="8"/>
      <c r="J26" s="8">
        <v>39000</v>
      </c>
      <c r="K26" s="8" t="s">
        <v>871</v>
      </c>
    </row>
    <row r="27" spans="1:11" ht="19" x14ac:dyDescent="0.2">
      <c r="A27" s="56"/>
      <c r="B27" s="10"/>
      <c r="C27" s="16"/>
      <c r="D27" s="12"/>
      <c r="E27" s="15"/>
      <c r="F27" s="13"/>
      <c r="G27" s="13"/>
      <c r="H27" s="13"/>
      <c r="I27" s="13"/>
      <c r="J27" s="13">
        <v>14000</v>
      </c>
      <c r="K27" s="13" t="s">
        <v>872</v>
      </c>
    </row>
    <row r="28" spans="1:11" ht="19" x14ac:dyDescent="0.2">
      <c r="A28" s="55">
        <v>1515000</v>
      </c>
      <c r="B28" s="18">
        <v>46000</v>
      </c>
      <c r="C28" s="19" t="s">
        <v>16</v>
      </c>
      <c r="D28" s="20" t="s">
        <v>168</v>
      </c>
      <c r="E28" s="21">
        <v>699000</v>
      </c>
      <c r="F28" s="8">
        <v>243000</v>
      </c>
      <c r="G28" s="8">
        <v>573000</v>
      </c>
      <c r="H28" s="8">
        <v>6776000</v>
      </c>
      <c r="I28" s="8" t="s">
        <v>441</v>
      </c>
      <c r="J28" s="8">
        <v>216000</v>
      </c>
      <c r="K28" s="8" t="s">
        <v>354</v>
      </c>
    </row>
    <row r="29" spans="1:11" ht="19" x14ac:dyDescent="0.2">
      <c r="A29" s="56"/>
      <c r="B29" s="10"/>
      <c r="C29" s="16"/>
      <c r="D29" s="12"/>
      <c r="E29" s="15"/>
      <c r="F29" s="13"/>
      <c r="G29" s="13"/>
      <c r="H29" s="13">
        <v>1700000</v>
      </c>
      <c r="I29" s="13" t="s">
        <v>897</v>
      </c>
      <c r="J29" s="13"/>
      <c r="K29" s="13"/>
    </row>
    <row r="30" spans="1:11" ht="19" x14ac:dyDescent="0.2">
      <c r="A30" s="55">
        <v>1711000</v>
      </c>
      <c r="B30" s="18">
        <v>46001</v>
      </c>
      <c r="C30" s="22" t="s">
        <v>16</v>
      </c>
      <c r="D30" s="20" t="s">
        <v>168</v>
      </c>
      <c r="E30" s="21">
        <v>856000</v>
      </c>
      <c r="F30" s="8">
        <v>348000</v>
      </c>
      <c r="G30" s="8">
        <v>507000</v>
      </c>
      <c r="H30" s="8"/>
      <c r="I30" s="8"/>
      <c r="J30" s="8">
        <v>25000</v>
      </c>
      <c r="K30" s="8" t="s">
        <v>812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>
        <v>22000</v>
      </c>
      <c r="K31" s="13" t="s">
        <v>873</v>
      </c>
    </row>
    <row r="32" spans="1:11" ht="19" x14ac:dyDescent="0.2">
      <c r="A32" s="55"/>
      <c r="B32" s="18"/>
      <c r="C32" s="22"/>
      <c r="D32" s="20"/>
      <c r="E32" s="21"/>
      <c r="F32" s="8"/>
      <c r="G32" s="8"/>
      <c r="H32" s="8"/>
      <c r="I32" s="8"/>
      <c r="J32" s="8">
        <v>22000</v>
      </c>
      <c r="K32" s="8" t="s">
        <v>874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>
        <v>21000</v>
      </c>
      <c r="K33" s="13" t="s">
        <v>875</v>
      </c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>
        <v>32000</v>
      </c>
      <c r="K34" s="8" t="s">
        <v>807</v>
      </c>
    </row>
    <row r="35" spans="1:11" ht="19" x14ac:dyDescent="0.2">
      <c r="A35" s="54"/>
      <c r="B35" s="10"/>
      <c r="C35" s="14"/>
      <c r="D35" s="12"/>
      <c r="E35" s="15"/>
      <c r="F35" s="13"/>
      <c r="G35" s="13"/>
      <c r="H35" s="13"/>
      <c r="I35" s="13"/>
      <c r="J35" s="13">
        <v>27000</v>
      </c>
      <c r="K35" s="13" t="s">
        <v>803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>
        <v>18000</v>
      </c>
      <c r="K36" s="8" t="s">
        <v>876</v>
      </c>
    </row>
    <row r="37" spans="1:11" ht="19" x14ac:dyDescent="0.2">
      <c r="A37" s="56"/>
      <c r="B37" s="11"/>
      <c r="C37" s="13"/>
      <c r="D37" s="110"/>
      <c r="E37" s="13"/>
      <c r="F37" s="13"/>
      <c r="G37" s="13"/>
      <c r="H37" s="13"/>
      <c r="I37" s="13"/>
      <c r="J37" s="13">
        <v>18000</v>
      </c>
      <c r="K37" s="79" t="s">
        <v>877</v>
      </c>
    </row>
    <row r="38" spans="1:11" ht="19" x14ac:dyDescent="0.2">
      <c r="A38" s="55"/>
      <c r="B38" s="18"/>
      <c r="C38" s="22"/>
      <c r="D38" s="20"/>
      <c r="E38" s="21"/>
      <c r="F38" s="8"/>
      <c r="G38" s="8"/>
      <c r="H38" s="8"/>
      <c r="I38" s="8"/>
      <c r="J38" s="8">
        <v>26000</v>
      </c>
      <c r="K38" s="8" t="s">
        <v>249</v>
      </c>
    </row>
    <row r="39" spans="1:11" ht="19" x14ac:dyDescent="0.2">
      <c r="A39" s="56"/>
      <c r="B39" s="10"/>
      <c r="C39" s="14"/>
      <c r="D39" s="12"/>
      <c r="E39" s="15"/>
      <c r="F39" s="13"/>
      <c r="G39" s="13"/>
      <c r="H39" s="13"/>
      <c r="I39" s="13"/>
      <c r="J39" s="13"/>
      <c r="K39" s="13"/>
    </row>
    <row r="40" spans="1:11" ht="19" x14ac:dyDescent="0.2">
      <c r="A40" s="55">
        <v>1524000</v>
      </c>
      <c r="B40" s="18">
        <v>46002</v>
      </c>
      <c r="C40" s="22" t="s">
        <v>16</v>
      </c>
      <c r="D40" s="20" t="s">
        <v>168</v>
      </c>
      <c r="E40" s="21">
        <v>525000</v>
      </c>
      <c r="F40" s="8">
        <v>279000</v>
      </c>
      <c r="G40" s="8">
        <v>720000</v>
      </c>
      <c r="H40" s="8"/>
      <c r="I40" s="8"/>
      <c r="J40" s="8">
        <v>52000</v>
      </c>
      <c r="K40" s="8" t="s">
        <v>500</v>
      </c>
    </row>
    <row r="41" spans="1:11" ht="19" x14ac:dyDescent="0.2">
      <c r="A41" s="56"/>
      <c r="B41" s="10"/>
      <c r="C41" s="14"/>
      <c r="D41" s="12"/>
      <c r="E41" s="15"/>
      <c r="F41" s="13"/>
      <c r="G41" s="13"/>
      <c r="H41" s="13"/>
      <c r="I41" s="13"/>
      <c r="J41" s="13">
        <v>33000</v>
      </c>
      <c r="K41" s="13" t="s">
        <v>878</v>
      </c>
    </row>
    <row r="42" spans="1:11" ht="19" x14ac:dyDescent="0.2">
      <c r="A42" s="55"/>
      <c r="B42" s="18"/>
      <c r="C42" s="22"/>
      <c r="D42" s="20"/>
      <c r="E42" s="21"/>
      <c r="F42" s="8"/>
      <c r="G42" s="8"/>
      <c r="H42" s="8"/>
      <c r="I42" s="8"/>
      <c r="J42" s="8">
        <v>74000</v>
      </c>
      <c r="K42" s="8" t="s">
        <v>879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/>
      <c r="K43" s="13"/>
    </row>
    <row r="44" spans="1:11" ht="19" x14ac:dyDescent="0.2">
      <c r="A44" s="55">
        <v>1331000</v>
      </c>
      <c r="B44" s="18">
        <v>46003</v>
      </c>
      <c r="C44" s="22" t="s">
        <v>16</v>
      </c>
      <c r="D44" s="20" t="s">
        <v>168</v>
      </c>
      <c r="E44" s="21">
        <v>819000</v>
      </c>
      <c r="F44" s="8">
        <v>133000</v>
      </c>
      <c r="G44" s="8">
        <v>379000</v>
      </c>
      <c r="H44" s="8"/>
      <c r="I44" s="105"/>
      <c r="J44" s="8"/>
      <c r="K44" s="8"/>
    </row>
    <row r="45" spans="1:11" ht="19" x14ac:dyDescent="0.2">
      <c r="A45" s="56"/>
      <c r="B45" s="10"/>
      <c r="C45" s="14"/>
      <c r="D45" s="12"/>
      <c r="E45" s="15"/>
      <c r="F45" s="13"/>
      <c r="G45" s="13"/>
      <c r="H45" s="13"/>
      <c r="I45" s="13"/>
      <c r="J45" s="45"/>
      <c r="K45" s="45"/>
    </row>
    <row r="46" spans="1:11" ht="19" x14ac:dyDescent="0.2">
      <c r="A46" s="59">
        <v>775000</v>
      </c>
      <c r="B46" s="47">
        <v>46004</v>
      </c>
      <c r="C46" s="51" t="s">
        <v>16</v>
      </c>
      <c r="D46" s="48" t="s">
        <v>168</v>
      </c>
      <c r="E46" s="49">
        <v>459000</v>
      </c>
      <c r="F46" s="50">
        <v>74000</v>
      </c>
      <c r="G46" s="50">
        <v>242000</v>
      </c>
      <c r="H46" s="50"/>
      <c r="I46" s="50"/>
      <c r="J46" s="50">
        <v>140000</v>
      </c>
      <c r="K46" s="50" t="s">
        <v>880</v>
      </c>
    </row>
    <row r="47" spans="1:11" ht="32" x14ac:dyDescent="0.2">
      <c r="A47" s="58"/>
      <c r="B47" s="43">
        <v>46005</v>
      </c>
      <c r="C47" s="46" t="s">
        <v>125</v>
      </c>
      <c r="D47" s="44"/>
      <c r="E47" s="15"/>
      <c r="F47" s="13"/>
      <c r="G47" s="13"/>
      <c r="H47" s="45">
        <v>1680000</v>
      </c>
      <c r="I47" s="106" t="s">
        <v>881</v>
      </c>
      <c r="J47" s="45"/>
      <c r="K47" s="45"/>
    </row>
    <row r="48" spans="1:11" ht="19" x14ac:dyDescent="0.2">
      <c r="A48" s="57">
        <v>1127000</v>
      </c>
      <c r="B48" s="47">
        <v>46006</v>
      </c>
      <c r="C48" s="51" t="s">
        <v>16</v>
      </c>
      <c r="D48" s="48" t="s">
        <v>168</v>
      </c>
      <c r="E48" s="49">
        <v>552000</v>
      </c>
      <c r="F48" s="50">
        <v>259000</v>
      </c>
      <c r="G48" s="50">
        <v>316000</v>
      </c>
      <c r="H48" s="50"/>
      <c r="I48" s="50"/>
      <c r="J48" s="50"/>
      <c r="K48" s="50"/>
    </row>
    <row r="49" spans="1:11" ht="19" x14ac:dyDescent="0.2">
      <c r="A49" s="61"/>
      <c r="B49" s="43"/>
      <c r="C49" s="46"/>
      <c r="D49" s="44"/>
      <c r="E49" s="62"/>
      <c r="F49" s="45"/>
      <c r="G49" s="45"/>
      <c r="H49" s="45"/>
      <c r="I49" s="45"/>
      <c r="J49" s="45"/>
      <c r="K49" s="45"/>
    </row>
    <row r="50" spans="1:11" ht="19" x14ac:dyDescent="0.2">
      <c r="A50" s="57">
        <v>1563000</v>
      </c>
      <c r="B50" s="47">
        <v>46007</v>
      </c>
      <c r="C50" s="51" t="s">
        <v>16</v>
      </c>
      <c r="D50" s="48" t="s">
        <v>168</v>
      </c>
      <c r="E50" s="49">
        <v>582000</v>
      </c>
      <c r="F50" s="50">
        <v>230000</v>
      </c>
      <c r="G50" s="50">
        <v>751000</v>
      </c>
      <c r="H50" s="50"/>
      <c r="I50" s="50"/>
      <c r="J50" s="50">
        <v>7000</v>
      </c>
      <c r="K50" s="50" t="s">
        <v>706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216000</v>
      </c>
      <c r="K51" s="45" t="s">
        <v>354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40000</v>
      </c>
      <c r="K52" s="50" t="s">
        <v>249</v>
      </c>
    </row>
    <row r="53" spans="1:11" ht="19" x14ac:dyDescent="0.2">
      <c r="A53" s="61">
        <v>1183000</v>
      </c>
      <c r="B53" s="43">
        <v>46008</v>
      </c>
      <c r="C53" s="46" t="s">
        <v>16</v>
      </c>
      <c r="D53" s="44" t="s">
        <v>168</v>
      </c>
      <c r="E53" s="62">
        <v>750000</v>
      </c>
      <c r="F53" s="45">
        <v>66000</v>
      </c>
      <c r="G53" s="45">
        <v>367000</v>
      </c>
      <c r="H53" s="45"/>
      <c r="I53" s="45"/>
      <c r="J53" s="45">
        <v>38000</v>
      </c>
      <c r="K53" s="45" t="s">
        <v>882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/>
      <c r="I54" s="50"/>
      <c r="J54" s="50">
        <v>22000</v>
      </c>
      <c r="K54" s="50" t="s">
        <v>883</v>
      </c>
    </row>
    <row r="55" spans="1:11" ht="19" x14ac:dyDescent="0.2">
      <c r="A55" s="61"/>
      <c r="B55" s="43"/>
      <c r="C55" s="46"/>
      <c r="D55" s="44"/>
      <c r="E55" s="62"/>
      <c r="F55" s="45"/>
      <c r="G55" s="45"/>
      <c r="H55" s="45"/>
      <c r="I55" s="45"/>
      <c r="J55" s="45">
        <v>21000</v>
      </c>
      <c r="K55" s="45" t="s">
        <v>870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>
        <v>32000</v>
      </c>
      <c r="K56" s="63" t="s">
        <v>807</v>
      </c>
    </row>
    <row r="57" spans="1:11" ht="19" x14ac:dyDescent="0.2">
      <c r="A57" s="61"/>
      <c r="B57" s="43"/>
      <c r="C57" s="46"/>
      <c r="D57" s="44"/>
      <c r="E57" s="62"/>
      <c r="F57" s="45"/>
      <c r="G57" s="45"/>
      <c r="H57" s="45"/>
      <c r="I57" s="45"/>
      <c r="J57" s="45">
        <v>16000</v>
      </c>
      <c r="K57" s="45" t="s">
        <v>884</v>
      </c>
    </row>
    <row r="58" spans="1:11" ht="19" x14ac:dyDescent="0.2">
      <c r="A58" s="57"/>
      <c r="B58" s="47"/>
      <c r="C58" s="51"/>
      <c r="D58" s="48"/>
      <c r="E58" s="49"/>
      <c r="F58" s="50"/>
      <c r="G58" s="50"/>
      <c r="H58" s="50"/>
      <c r="I58" s="50"/>
      <c r="J58" s="50">
        <v>18000</v>
      </c>
      <c r="K58" s="50" t="s">
        <v>885</v>
      </c>
    </row>
    <row r="59" spans="1:11" ht="19" x14ac:dyDescent="0.2">
      <c r="A59" s="61"/>
      <c r="B59" s="43"/>
      <c r="C59" s="46"/>
      <c r="D59" s="44"/>
      <c r="E59" s="62"/>
      <c r="F59" s="45"/>
      <c r="G59" s="45"/>
      <c r="H59" s="45"/>
      <c r="I59" s="45"/>
      <c r="J59" s="45">
        <v>27000</v>
      </c>
      <c r="K59" s="45" t="s">
        <v>803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>
        <v>14000</v>
      </c>
      <c r="K60" s="50" t="s">
        <v>886</v>
      </c>
    </row>
    <row r="61" spans="1:11" ht="19" x14ac:dyDescent="0.2">
      <c r="A61" s="61"/>
      <c r="B61" s="43"/>
      <c r="C61" s="46"/>
      <c r="D61" s="44"/>
      <c r="E61" s="62"/>
      <c r="F61" s="45"/>
      <c r="G61" s="45"/>
      <c r="H61" s="45"/>
      <c r="I61" s="45"/>
      <c r="J61" s="45">
        <v>50000</v>
      </c>
      <c r="K61" s="45" t="s">
        <v>437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/>
      <c r="K62" s="50"/>
    </row>
    <row r="63" spans="1:11" ht="19" x14ac:dyDescent="0.2">
      <c r="A63" s="61">
        <v>1855000</v>
      </c>
      <c r="B63" s="43">
        <v>46009</v>
      </c>
      <c r="C63" s="46" t="s">
        <v>16</v>
      </c>
      <c r="D63" s="44" t="s">
        <v>168</v>
      </c>
      <c r="E63" s="62">
        <v>681000</v>
      </c>
      <c r="F63" s="45">
        <v>144000</v>
      </c>
      <c r="G63" s="45">
        <v>1030000</v>
      </c>
      <c r="H63" s="45"/>
      <c r="I63" s="45"/>
      <c r="J63" s="45"/>
      <c r="K63" s="45"/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/>
      <c r="K64" s="50"/>
    </row>
    <row r="65" spans="1:11" ht="19" x14ac:dyDescent="0.2">
      <c r="A65" s="61">
        <v>1276000</v>
      </c>
      <c r="B65" s="43">
        <v>46010</v>
      </c>
      <c r="C65" s="46" t="s">
        <v>16</v>
      </c>
      <c r="D65" s="44" t="s">
        <v>168</v>
      </c>
      <c r="E65" s="62">
        <v>601000</v>
      </c>
      <c r="F65" s="45">
        <v>273000</v>
      </c>
      <c r="G65" s="45">
        <v>402000</v>
      </c>
      <c r="H65" s="45"/>
      <c r="I65" s="45"/>
      <c r="J65" s="45">
        <v>150000</v>
      </c>
      <c r="K65" s="45" t="s">
        <v>887</v>
      </c>
    </row>
    <row r="66" spans="1:11" ht="19" x14ac:dyDescent="0.2">
      <c r="A66" s="57"/>
      <c r="B66" s="47"/>
      <c r="C66" s="51"/>
      <c r="D66" s="48"/>
      <c r="E66" s="49"/>
      <c r="F66" s="50"/>
      <c r="G66" s="50"/>
      <c r="H66" s="50"/>
      <c r="I66" s="50"/>
      <c r="J66" s="50"/>
      <c r="K66" s="50"/>
    </row>
    <row r="67" spans="1:11" ht="19" x14ac:dyDescent="0.2">
      <c r="A67" s="61">
        <v>934000</v>
      </c>
      <c r="B67" s="43">
        <v>46011</v>
      </c>
      <c r="C67" s="46" t="s">
        <v>16</v>
      </c>
      <c r="D67" s="44" t="s">
        <v>168</v>
      </c>
      <c r="E67" s="62">
        <v>706000</v>
      </c>
      <c r="F67" s="45">
        <v>0</v>
      </c>
      <c r="G67" s="45">
        <v>228000</v>
      </c>
      <c r="H67" s="45"/>
      <c r="I67" s="45"/>
      <c r="J67" s="45">
        <v>52000</v>
      </c>
      <c r="K67" s="45" t="s">
        <v>500</v>
      </c>
    </row>
    <row r="68" spans="1:11" ht="19" x14ac:dyDescent="0.2">
      <c r="A68" s="57"/>
      <c r="B68" s="47"/>
      <c r="C68" s="51"/>
      <c r="D68" s="48"/>
      <c r="E68" s="49"/>
      <c r="F68" s="50"/>
      <c r="G68" s="50"/>
      <c r="H68" s="50"/>
      <c r="I68" s="50"/>
      <c r="J68" s="50">
        <v>85000</v>
      </c>
      <c r="K68" s="50" t="s">
        <v>888</v>
      </c>
    </row>
    <row r="69" spans="1:11" ht="19" x14ac:dyDescent="0.2">
      <c r="A69" s="61"/>
      <c r="B69" s="43"/>
      <c r="C69" s="46"/>
      <c r="D69" s="44"/>
      <c r="E69" s="62"/>
      <c r="F69" s="45"/>
      <c r="G69" s="45"/>
      <c r="H69" s="45"/>
      <c r="I69" s="45"/>
      <c r="J69" s="45">
        <v>200000</v>
      </c>
      <c r="K69" s="45" t="s">
        <v>21</v>
      </c>
    </row>
    <row r="70" spans="1:11" ht="19" x14ac:dyDescent="0.2">
      <c r="A70" s="57"/>
      <c r="B70" s="47"/>
      <c r="C70" s="51"/>
      <c r="D70" s="48"/>
      <c r="E70" s="49"/>
      <c r="F70" s="50"/>
      <c r="G70" s="50"/>
      <c r="H70" s="50"/>
      <c r="I70" s="50"/>
      <c r="J70" s="50">
        <v>45000</v>
      </c>
      <c r="K70" s="50" t="s">
        <v>396</v>
      </c>
    </row>
    <row r="71" spans="1:11" ht="19" x14ac:dyDescent="0.2">
      <c r="A71" s="61"/>
      <c r="B71" s="43"/>
      <c r="C71" s="46"/>
      <c r="D71" s="44"/>
      <c r="E71" s="62"/>
      <c r="F71" s="45"/>
      <c r="G71" s="45"/>
      <c r="H71" s="45"/>
      <c r="I71" s="45"/>
      <c r="J71" s="45">
        <v>150000</v>
      </c>
      <c r="K71" s="45" t="s">
        <v>327</v>
      </c>
    </row>
    <row r="72" spans="1:11" ht="19" x14ac:dyDescent="0.2">
      <c r="A72" s="57"/>
      <c r="B72" s="47">
        <v>46012</v>
      </c>
      <c r="C72" s="51" t="s">
        <v>889</v>
      </c>
      <c r="D72" s="48"/>
      <c r="E72" s="49"/>
      <c r="F72" s="50"/>
      <c r="G72" s="50"/>
      <c r="H72" s="50"/>
      <c r="I72" s="50"/>
      <c r="J72" s="50"/>
      <c r="K72" s="50"/>
    </row>
    <row r="73" spans="1:11" ht="19" x14ac:dyDescent="0.2">
      <c r="A73" s="61">
        <v>972000</v>
      </c>
      <c r="B73" s="43">
        <v>46013</v>
      </c>
      <c r="C73" s="46" t="s">
        <v>823</v>
      </c>
      <c r="D73" s="44" t="s">
        <v>168</v>
      </c>
      <c r="E73" s="62">
        <v>493000</v>
      </c>
      <c r="F73" s="45">
        <v>18000</v>
      </c>
      <c r="G73" s="45">
        <v>461000</v>
      </c>
      <c r="H73" s="45"/>
      <c r="I73" s="45"/>
      <c r="J73" s="45"/>
      <c r="K73" s="45"/>
    </row>
    <row r="74" spans="1:11" ht="19" x14ac:dyDescent="0.2">
      <c r="A74" s="57"/>
      <c r="B74" s="47"/>
      <c r="C74" s="51"/>
      <c r="D74" s="48"/>
      <c r="E74" s="49"/>
      <c r="F74" s="50"/>
      <c r="G74" s="50"/>
      <c r="H74" s="50"/>
      <c r="I74" s="50"/>
      <c r="J74" s="50"/>
      <c r="K74" s="50"/>
    </row>
    <row r="75" spans="1:11" ht="19" x14ac:dyDescent="0.2">
      <c r="A75" s="61">
        <v>1514000</v>
      </c>
      <c r="B75" s="43">
        <v>46014</v>
      </c>
      <c r="C75" s="46" t="s">
        <v>16</v>
      </c>
      <c r="D75" s="44" t="s">
        <v>168</v>
      </c>
      <c r="E75" s="62">
        <v>764000</v>
      </c>
      <c r="F75" s="45">
        <v>344000</v>
      </c>
      <c r="G75" s="45">
        <v>406000</v>
      </c>
      <c r="H75" s="45"/>
      <c r="I75" s="45"/>
      <c r="J75" s="45">
        <v>216000</v>
      </c>
      <c r="K75" s="45" t="s">
        <v>354</v>
      </c>
    </row>
    <row r="76" spans="1:11" ht="19" x14ac:dyDescent="0.2">
      <c r="A76" s="57"/>
      <c r="B76" s="47"/>
      <c r="C76" s="51"/>
      <c r="D76" s="51"/>
      <c r="E76" s="49"/>
      <c r="F76" s="50"/>
      <c r="G76" s="50"/>
      <c r="H76" s="50"/>
      <c r="I76" s="50"/>
      <c r="J76" s="50"/>
      <c r="K76" s="50"/>
    </row>
    <row r="77" spans="1:11" ht="19" x14ac:dyDescent="0.2">
      <c r="A77" s="61"/>
      <c r="B77" s="43"/>
      <c r="C77" s="46"/>
      <c r="D77" s="44"/>
      <c r="E77" s="62"/>
      <c r="F77" s="45"/>
      <c r="G77" s="45"/>
      <c r="H77" s="45"/>
      <c r="I77" s="45"/>
      <c r="J77" s="45"/>
      <c r="K77" s="45"/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/>
      <c r="K78" s="50"/>
    </row>
    <row r="79" spans="1:11" ht="19" x14ac:dyDescent="0.2">
      <c r="A79" s="61">
        <v>1054000</v>
      </c>
      <c r="B79" s="43">
        <v>46015</v>
      </c>
      <c r="C79" s="46" t="s">
        <v>16</v>
      </c>
      <c r="D79" s="44" t="s">
        <v>168</v>
      </c>
      <c r="E79" s="62">
        <v>427000</v>
      </c>
      <c r="F79" s="45">
        <v>334000</v>
      </c>
      <c r="G79" s="45">
        <v>293000</v>
      </c>
      <c r="H79" s="45"/>
      <c r="I79" s="45"/>
      <c r="J79" s="45">
        <v>100000</v>
      </c>
      <c r="K79" s="45" t="s">
        <v>197</v>
      </c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/>
      <c r="K80" s="50"/>
    </row>
    <row r="81" spans="1:11" ht="19" x14ac:dyDescent="0.2">
      <c r="A81" s="61">
        <v>944000</v>
      </c>
      <c r="B81" s="43">
        <v>46016</v>
      </c>
      <c r="C81" s="46" t="s">
        <v>16</v>
      </c>
      <c r="D81" s="44" t="s">
        <v>168</v>
      </c>
      <c r="E81" s="62">
        <v>562000</v>
      </c>
      <c r="F81" s="45">
        <v>118000</v>
      </c>
      <c r="G81" s="45">
        <v>264000</v>
      </c>
      <c r="H81" s="45"/>
      <c r="I81" s="45"/>
      <c r="J81" s="45">
        <v>25000</v>
      </c>
      <c r="K81" s="45" t="s">
        <v>812</v>
      </c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>
        <v>25000</v>
      </c>
      <c r="K82" s="50" t="s">
        <v>814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22000</v>
      </c>
      <c r="K83" s="45" t="s">
        <v>870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>
        <v>43000</v>
      </c>
      <c r="K84" s="50" t="s">
        <v>855</v>
      </c>
    </row>
    <row r="85" spans="1:11" ht="19" x14ac:dyDescent="0.2">
      <c r="A85" s="61"/>
      <c r="B85" s="43"/>
      <c r="C85" s="46"/>
      <c r="D85" s="44"/>
      <c r="E85" s="62"/>
      <c r="F85" s="45"/>
      <c r="G85" s="45"/>
      <c r="H85" s="45"/>
      <c r="I85" s="45"/>
      <c r="J85" s="45">
        <v>20000</v>
      </c>
      <c r="K85" s="45" t="s">
        <v>890</v>
      </c>
    </row>
    <row r="86" spans="1:11" ht="19" x14ac:dyDescent="0.2">
      <c r="A86" s="57"/>
      <c r="B86" s="47"/>
      <c r="C86" s="51"/>
      <c r="D86" s="48"/>
      <c r="E86" s="49"/>
      <c r="F86" s="50"/>
      <c r="G86" s="50"/>
      <c r="H86" s="50"/>
      <c r="I86" s="50"/>
      <c r="J86" s="50">
        <v>36000</v>
      </c>
      <c r="K86" s="50" t="s">
        <v>854</v>
      </c>
    </row>
    <row r="87" spans="1:11" ht="19" x14ac:dyDescent="0.2">
      <c r="A87" s="61"/>
      <c r="B87" s="43"/>
      <c r="C87" s="46"/>
      <c r="D87" s="44"/>
      <c r="E87" s="62"/>
      <c r="F87" s="45"/>
      <c r="G87" s="45"/>
      <c r="H87" s="45"/>
      <c r="I87" s="45"/>
      <c r="J87" s="45">
        <v>18000</v>
      </c>
      <c r="K87" s="45" t="s">
        <v>876</v>
      </c>
    </row>
    <row r="88" spans="1:11" ht="19" x14ac:dyDescent="0.2">
      <c r="A88" s="57"/>
      <c r="B88" s="47"/>
      <c r="C88" s="51"/>
      <c r="D88" s="48"/>
      <c r="E88" s="49"/>
      <c r="F88" s="50"/>
      <c r="G88" s="50"/>
      <c r="H88" s="50"/>
      <c r="I88" s="50"/>
      <c r="J88" s="50">
        <v>150000</v>
      </c>
      <c r="K88" s="50" t="s">
        <v>891</v>
      </c>
    </row>
    <row r="89" spans="1:11" ht="19" x14ac:dyDescent="0.2">
      <c r="A89" s="61"/>
      <c r="B89" s="43"/>
      <c r="C89" s="46"/>
      <c r="D89" s="44"/>
      <c r="E89" s="62"/>
      <c r="F89" s="45"/>
      <c r="G89" s="45"/>
      <c r="H89" s="45"/>
      <c r="I89" s="45"/>
      <c r="J89" s="45"/>
      <c r="K89" s="45"/>
    </row>
    <row r="90" spans="1:11" ht="19" x14ac:dyDescent="0.2">
      <c r="A90" s="57">
        <v>951000</v>
      </c>
      <c r="B90" s="47">
        <v>46017</v>
      </c>
      <c r="C90" s="51" t="s">
        <v>16</v>
      </c>
      <c r="D90" s="48" t="s">
        <v>168</v>
      </c>
      <c r="E90" s="49">
        <v>335000</v>
      </c>
      <c r="F90" s="50">
        <v>114000</v>
      </c>
      <c r="G90" s="50">
        <v>502000</v>
      </c>
      <c r="H90" s="50"/>
      <c r="I90" s="50"/>
      <c r="J90" s="50"/>
      <c r="K90" s="50"/>
    </row>
    <row r="91" spans="1:11" ht="19" x14ac:dyDescent="0.2">
      <c r="A91" s="61"/>
      <c r="B91" s="43"/>
      <c r="C91" s="46"/>
      <c r="D91" s="44"/>
      <c r="E91" s="62"/>
      <c r="F91" s="45"/>
      <c r="G91" s="45"/>
      <c r="H91" s="45"/>
      <c r="I91" s="45"/>
      <c r="J91" s="45"/>
      <c r="K91" s="45"/>
    </row>
    <row r="92" spans="1:11" ht="19" x14ac:dyDescent="0.2">
      <c r="A92" s="57">
        <v>679000</v>
      </c>
      <c r="B92" s="47">
        <v>46018</v>
      </c>
      <c r="C92" s="51" t="s">
        <v>16</v>
      </c>
      <c r="D92" s="48" t="s">
        <v>168</v>
      </c>
      <c r="E92" s="49">
        <v>380000</v>
      </c>
      <c r="F92" s="50">
        <v>58000</v>
      </c>
      <c r="G92" s="50">
        <v>241000</v>
      </c>
      <c r="H92" s="50"/>
      <c r="I92" s="50"/>
      <c r="J92" s="50">
        <v>46000</v>
      </c>
      <c r="K92" s="50" t="s">
        <v>892</v>
      </c>
    </row>
    <row r="93" spans="1:11" ht="19" x14ac:dyDescent="0.2">
      <c r="A93" s="61"/>
      <c r="B93" s="43">
        <v>46019</v>
      </c>
      <c r="C93" s="46" t="s">
        <v>125</v>
      </c>
      <c r="D93" s="44"/>
      <c r="E93" s="62"/>
      <c r="F93" s="45"/>
      <c r="G93" s="45"/>
      <c r="H93" s="45"/>
      <c r="I93" s="45"/>
      <c r="J93" s="45">
        <v>33000</v>
      </c>
      <c r="K93" s="45" t="s">
        <v>893</v>
      </c>
    </row>
    <row r="94" spans="1:11" ht="19" x14ac:dyDescent="0.2">
      <c r="A94" s="57">
        <v>1170000</v>
      </c>
      <c r="B94" s="47">
        <v>46020</v>
      </c>
      <c r="C94" s="51" t="s">
        <v>16</v>
      </c>
      <c r="D94" s="48" t="s">
        <v>224</v>
      </c>
      <c r="E94" s="49">
        <v>714000</v>
      </c>
      <c r="F94" s="50">
        <v>56000</v>
      </c>
      <c r="G94" s="50">
        <v>400000</v>
      </c>
      <c r="H94" s="50"/>
      <c r="I94" s="50"/>
      <c r="J94" s="50">
        <v>11000</v>
      </c>
      <c r="K94" s="50" t="s">
        <v>52</v>
      </c>
    </row>
    <row r="95" spans="1:11" ht="19" x14ac:dyDescent="0.2">
      <c r="A95" s="61"/>
      <c r="B95" s="43"/>
      <c r="C95" s="46"/>
      <c r="D95" s="44"/>
      <c r="E95" s="62"/>
      <c r="F95" s="45"/>
      <c r="G95" s="45"/>
      <c r="H95" s="45"/>
      <c r="I95" s="45"/>
      <c r="J95" s="45">
        <v>93000</v>
      </c>
      <c r="K95" s="45" t="s">
        <v>894</v>
      </c>
    </row>
    <row r="96" spans="1:11" ht="19" x14ac:dyDescent="0.2">
      <c r="A96" s="57"/>
      <c r="B96" s="47"/>
      <c r="C96" s="51"/>
      <c r="D96" s="48"/>
      <c r="E96" s="49"/>
      <c r="F96" s="50"/>
      <c r="G96" s="50"/>
      <c r="H96" s="50"/>
      <c r="I96" s="50"/>
      <c r="J96" s="50">
        <v>56000</v>
      </c>
      <c r="K96" s="50" t="s">
        <v>895</v>
      </c>
    </row>
    <row r="97" spans="1:11" ht="19" x14ac:dyDescent="0.2">
      <c r="A97" s="61">
        <v>625000</v>
      </c>
      <c r="B97" s="43">
        <v>46021</v>
      </c>
      <c r="C97" s="46" t="s">
        <v>16</v>
      </c>
      <c r="D97" s="44" t="s">
        <v>168</v>
      </c>
      <c r="E97" s="62">
        <v>95000</v>
      </c>
      <c r="F97" s="45">
        <v>90000</v>
      </c>
      <c r="G97" s="45">
        <v>440000</v>
      </c>
      <c r="H97" s="45">
        <v>2844000</v>
      </c>
      <c r="I97" s="45" t="s">
        <v>896</v>
      </c>
      <c r="J97" s="45"/>
      <c r="K97" s="45"/>
    </row>
    <row r="98" spans="1:11" ht="19" x14ac:dyDescent="0.2">
      <c r="A98" s="57"/>
      <c r="B98" s="47">
        <v>46022</v>
      </c>
      <c r="C98" s="51" t="s">
        <v>125</v>
      </c>
      <c r="D98" s="48"/>
      <c r="E98" s="49"/>
      <c r="F98" s="50"/>
      <c r="G98" s="50"/>
      <c r="H98" s="50"/>
      <c r="I98" s="50"/>
      <c r="J98" s="50"/>
      <c r="K98" s="50"/>
    </row>
    <row r="99" spans="1:11" ht="19" x14ac:dyDescent="0.2">
      <c r="A99" s="61"/>
      <c r="B99" s="43"/>
      <c r="C99" s="46"/>
      <c r="D99" s="44"/>
      <c r="E99" s="62"/>
      <c r="F99" s="45"/>
      <c r="G99" s="45"/>
      <c r="H99" s="45"/>
      <c r="I99" s="45"/>
      <c r="J99" s="45"/>
      <c r="K99" s="45"/>
    </row>
    <row r="100" spans="1:11" ht="19" x14ac:dyDescent="0.2">
      <c r="A100" s="57"/>
      <c r="B100" s="47"/>
      <c r="C100" s="51"/>
      <c r="D100" s="48"/>
      <c r="E100" s="49"/>
      <c r="F100" s="50"/>
      <c r="G100" s="50"/>
      <c r="H100" s="50"/>
      <c r="I100" s="50"/>
      <c r="J100" s="50"/>
      <c r="K100" s="5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FD29-D7DB-764A-AA35-72139F28B83B}">
  <dimension ref="A3:K121"/>
  <sheetViews>
    <sheetView workbookViewId="0">
      <selection activeCell="B7" sqref="B7"/>
    </sheetView>
  </sheetViews>
  <sheetFormatPr baseColWidth="10" defaultRowHeight="15" x14ac:dyDescent="0.2"/>
  <cols>
    <col min="1" max="1" width="20.33203125" bestFit="1" customWidth="1"/>
    <col min="2" max="2" width="17.33203125" customWidth="1"/>
    <col min="3" max="3" width="13.33203125" bestFit="1" customWidth="1"/>
    <col min="4" max="4" width="13.1640625" customWidth="1"/>
    <col min="5" max="5" width="20.33203125" bestFit="1" customWidth="1"/>
    <col min="6" max="6" width="23.83203125" customWidth="1"/>
    <col min="7" max="7" width="21" customWidth="1"/>
    <col min="8" max="8" width="22.33203125" customWidth="1"/>
    <col min="9" max="9" width="33.1640625" customWidth="1"/>
    <col min="10" max="10" width="19" bestFit="1" customWidth="1"/>
    <col min="11" max="11" width="25.6640625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938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915077</v>
      </c>
      <c r="K6" s="30" t="s">
        <v>937</v>
      </c>
    </row>
    <row r="7" spans="1:11" ht="26" x14ac:dyDescent="0.3">
      <c r="B7" s="32" t="s">
        <v>939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SUM(A11:A602)</f>
        <v>28647000</v>
      </c>
      <c r="B10" s="39"/>
      <c r="C10" s="40" t="s">
        <v>15</v>
      </c>
      <c r="D10" s="41"/>
      <c r="E10" s="42">
        <f>SUM(E11:E602)</f>
        <v>14565000</v>
      </c>
      <c r="F10" s="38">
        <f>SUM(F11:F602)</f>
        <v>4316000</v>
      </c>
      <c r="G10" s="38">
        <f>SUM(G11:G597)</f>
        <v>9766000</v>
      </c>
      <c r="H10" s="38">
        <f>SUM(H11:H602)</f>
        <v>14668000</v>
      </c>
      <c r="I10" s="38"/>
      <c r="J10" s="38">
        <f>SUM(J11:J602)</f>
        <v>5044000</v>
      </c>
      <c r="K10" s="38"/>
    </row>
    <row r="11" spans="1:11" ht="21" x14ac:dyDescent="0.2">
      <c r="A11" s="96"/>
      <c r="B11" s="97">
        <v>46023</v>
      </c>
      <c r="C11" s="109" t="s">
        <v>125</v>
      </c>
      <c r="D11" s="99"/>
      <c r="E11" s="13"/>
      <c r="F11" s="13"/>
      <c r="G11" s="13"/>
      <c r="H11" s="13"/>
      <c r="I11" s="13"/>
      <c r="J11" s="13"/>
      <c r="K11" s="13"/>
    </row>
    <row r="12" spans="1:11" ht="19" x14ac:dyDescent="0.2">
      <c r="A12" s="53">
        <v>517000</v>
      </c>
      <c r="B12" s="4">
        <v>46024</v>
      </c>
      <c r="C12" s="5" t="s">
        <v>16</v>
      </c>
      <c r="D12" s="2" t="s">
        <v>168</v>
      </c>
      <c r="E12" s="1">
        <v>417000</v>
      </c>
      <c r="F12" s="1">
        <v>35000</v>
      </c>
      <c r="G12" s="1">
        <v>65000</v>
      </c>
      <c r="H12" s="1"/>
      <c r="I12" s="1"/>
      <c r="J12" s="8">
        <v>100000</v>
      </c>
      <c r="K12" s="50" t="s">
        <v>933</v>
      </c>
    </row>
    <row r="13" spans="1:11" ht="19" x14ac:dyDescent="0.2">
      <c r="A13" s="54"/>
      <c r="B13" s="10"/>
      <c r="C13" s="14"/>
      <c r="D13" s="12"/>
      <c r="E13" s="15"/>
      <c r="F13" s="13"/>
      <c r="G13" s="13"/>
      <c r="H13" s="13"/>
      <c r="I13" s="13"/>
      <c r="J13" s="13">
        <v>90000</v>
      </c>
      <c r="K13" s="45" t="s">
        <v>934</v>
      </c>
    </row>
    <row r="14" spans="1:11" ht="19" x14ac:dyDescent="0.2">
      <c r="A14" s="53">
        <v>321000</v>
      </c>
      <c r="B14" s="4">
        <v>46025</v>
      </c>
      <c r="C14" s="5" t="s">
        <v>16</v>
      </c>
      <c r="D14" s="2" t="s">
        <v>168</v>
      </c>
      <c r="E14" s="3">
        <v>132000</v>
      </c>
      <c r="F14" s="1">
        <v>28000</v>
      </c>
      <c r="G14" s="1">
        <v>161000</v>
      </c>
      <c r="H14" s="1"/>
      <c r="I14" s="1"/>
      <c r="J14" s="8">
        <v>40000</v>
      </c>
      <c r="K14" s="50" t="s">
        <v>935</v>
      </c>
    </row>
    <row r="15" spans="1:11" ht="19" x14ac:dyDescent="0.2">
      <c r="A15" s="56"/>
      <c r="B15" s="10">
        <v>46026</v>
      </c>
      <c r="C15" s="14" t="s">
        <v>125</v>
      </c>
      <c r="D15" s="12"/>
      <c r="E15" s="15"/>
      <c r="F15" s="13"/>
      <c r="G15" s="13"/>
      <c r="H15" s="13"/>
      <c r="I15" s="13"/>
      <c r="J15" s="13"/>
      <c r="K15" s="13"/>
    </row>
    <row r="16" spans="1:11" ht="19" x14ac:dyDescent="0.2">
      <c r="A16" s="55">
        <v>775000</v>
      </c>
      <c r="B16" s="18">
        <v>46027</v>
      </c>
      <c r="C16" s="19" t="s">
        <v>16</v>
      </c>
      <c r="D16" s="20" t="s">
        <v>168</v>
      </c>
      <c r="E16" s="21">
        <v>379000</v>
      </c>
      <c r="F16" s="8">
        <v>93000</v>
      </c>
      <c r="G16" s="8">
        <v>303000</v>
      </c>
      <c r="H16" s="23"/>
      <c r="I16" s="23"/>
      <c r="J16" s="8">
        <v>150000</v>
      </c>
      <c r="K16" s="8" t="s">
        <v>931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150000</v>
      </c>
      <c r="K17" s="13" t="s">
        <v>932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/>
      <c r="K18" s="8"/>
    </row>
    <row r="19" spans="1:11" ht="19" x14ac:dyDescent="0.2">
      <c r="A19" s="56">
        <v>1308000</v>
      </c>
      <c r="B19" s="10">
        <v>46028</v>
      </c>
      <c r="C19" s="16" t="s">
        <v>16</v>
      </c>
      <c r="D19" s="12" t="s">
        <v>168</v>
      </c>
      <c r="E19" s="15">
        <v>570000</v>
      </c>
      <c r="F19" s="13">
        <v>185000</v>
      </c>
      <c r="G19" s="13">
        <v>553000</v>
      </c>
      <c r="H19" s="17"/>
      <c r="I19" s="17"/>
      <c r="J19" s="13">
        <v>28000</v>
      </c>
      <c r="K19" s="13" t="s">
        <v>812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21000</v>
      </c>
      <c r="K20" s="8" t="s">
        <v>870</v>
      </c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>
        <v>42000</v>
      </c>
      <c r="K21" s="13" t="s">
        <v>855</v>
      </c>
    </row>
    <row r="22" spans="1:11" ht="19" x14ac:dyDescent="0.2">
      <c r="A22" s="55"/>
      <c r="B22" s="18"/>
      <c r="C22" s="19"/>
      <c r="D22" s="20"/>
      <c r="E22" s="21"/>
      <c r="F22" s="8"/>
      <c r="G22" s="8"/>
      <c r="H22" s="23"/>
      <c r="I22" s="23"/>
      <c r="J22" s="8">
        <v>14000</v>
      </c>
      <c r="K22" s="8" t="s">
        <v>903</v>
      </c>
    </row>
    <row r="23" spans="1:11" ht="19" x14ac:dyDescent="0.2">
      <c r="A23" s="56"/>
      <c r="B23" s="10"/>
      <c r="C23" s="15"/>
      <c r="D23" s="12"/>
      <c r="E23" s="15"/>
      <c r="F23" s="13"/>
      <c r="G23" s="13"/>
      <c r="H23" s="13"/>
      <c r="I23" s="13"/>
      <c r="J23" s="13">
        <v>17000</v>
      </c>
      <c r="K23" s="13" t="s">
        <v>904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36000</v>
      </c>
      <c r="K24" s="8" t="s">
        <v>854</v>
      </c>
    </row>
    <row r="25" spans="1:11" ht="19" x14ac:dyDescent="0.2">
      <c r="A25" s="56"/>
      <c r="B25" s="10"/>
      <c r="C25" s="15"/>
      <c r="D25" s="12"/>
      <c r="E25" s="15"/>
      <c r="F25" s="13"/>
      <c r="G25" s="13"/>
      <c r="H25" s="13"/>
      <c r="I25" s="13"/>
      <c r="J25" s="13">
        <v>40000</v>
      </c>
      <c r="K25" s="13" t="s">
        <v>249</v>
      </c>
    </row>
    <row r="26" spans="1:11" ht="19" x14ac:dyDescent="0.2">
      <c r="A26" s="55"/>
      <c r="B26" s="18"/>
      <c r="C26" s="19"/>
      <c r="D26" s="20"/>
      <c r="E26" s="21"/>
      <c r="F26" s="8"/>
      <c r="G26" s="8"/>
      <c r="H26" s="8"/>
      <c r="I26" s="8"/>
      <c r="J26" s="8"/>
      <c r="K26" s="8"/>
    </row>
    <row r="27" spans="1:11" ht="19" x14ac:dyDescent="0.2">
      <c r="A27" s="56">
        <v>777000</v>
      </c>
      <c r="B27" s="10">
        <v>46029</v>
      </c>
      <c r="C27" s="16" t="s">
        <v>16</v>
      </c>
      <c r="D27" s="12" t="s">
        <v>168</v>
      </c>
      <c r="E27" s="15">
        <v>402000</v>
      </c>
      <c r="F27" s="13">
        <v>87000</v>
      </c>
      <c r="G27" s="13">
        <v>288000</v>
      </c>
      <c r="H27" s="13">
        <v>1422000</v>
      </c>
      <c r="I27" s="13" t="s">
        <v>411</v>
      </c>
      <c r="J27" s="13">
        <v>25000</v>
      </c>
      <c r="K27" s="13" t="s">
        <v>905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>
        <v>2000000</v>
      </c>
      <c r="I28" s="8" t="s">
        <v>936</v>
      </c>
      <c r="J28" s="8">
        <v>240000</v>
      </c>
      <c r="K28" s="8" t="s">
        <v>480</v>
      </c>
    </row>
    <row r="29" spans="1:11" ht="19" x14ac:dyDescent="0.2">
      <c r="A29" s="56"/>
      <c r="B29" s="10"/>
      <c r="C29" s="16"/>
      <c r="D29" s="12"/>
      <c r="E29" s="15"/>
      <c r="F29" s="13"/>
      <c r="G29" s="13"/>
      <c r="H29" s="13">
        <v>6746000</v>
      </c>
      <c r="I29" s="13" t="s">
        <v>482</v>
      </c>
      <c r="J29" s="13">
        <v>105000</v>
      </c>
      <c r="K29" s="13" t="s">
        <v>28</v>
      </c>
    </row>
    <row r="30" spans="1:11" ht="19" x14ac:dyDescent="0.2">
      <c r="A30" s="55"/>
      <c r="B30" s="18"/>
      <c r="C30" s="22"/>
      <c r="D30" s="20"/>
      <c r="E30" s="21"/>
      <c r="F30" s="8"/>
      <c r="G30" s="8"/>
      <c r="H30" s="8"/>
      <c r="I30" s="8"/>
      <c r="J30" s="8">
        <v>160000</v>
      </c>
      <c r="K30" s="8" t="s">
        <v>27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/>
      <c r="K31" s="13"/>
    </row>
    <row r="32" spans="1:11" ht="19" x14ac:dyDescent="0.2">
      <c r="A32" s="55">
        <v>1553000</v>
      </c>
      <c r="B32" s="18">
        <v>46030</v>
      </c>
      <c r="C32" s="22" t="s">
        <v>16</v>
      </c>
      <c r="D32" s="20" t="s">
        <v>168</v>
      </c>
      <c r="E32" s="21">
        <v>303000</v>
      </c>
      <c r="F32" s="8">
        <v>678000</v>
      </c>
      <c r="G32" s="8">
        <v>572000</v>
      </c>
      <c r="H32" s="8"/>
      <c r="I32" s="8"/>
      <c r="J32" s="8">
        <v>42000</v>
      </c>
      <c r="K32" s="8" t="s">
        <v>855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>
        <v>36000</v>
      </c>
      <c r="K33" s="13" t="s">
        <v>854</v>
      </c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>
        <v>38000</v>
      </c>
      <c r="K34" s="8" t="s">
        <v>906</v>
      </c>
    </row>
    <row r="35" spans="1:11" ht="19" x14ac:dyDescent="0.2">
      <c r="A35" s="54"/>
      <c r="B35" s="10"/>
      <c r="C35" s="14"/>
      <c r="D35" s="12"/>
      <c r="E35" s="15"/>
      <c r="F35" s="13"/>
      <c r="G35" s="13"/>
      <c r="H35" s="13"/>
      <c r="I35" s="13"/>
      <c r="J35" s="13">
        <v>26000</v>
      </c>
      <c r="K35" s="13" t="s">
        <v>907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>
        <v>50000</v>
      </c>
      <c r="K36" s="8" t="s">
        <v>124</v>
      </c>
    </row>
    <row r="37" spans="1:11" ht="19" x14ac:dyDescent="0.2">
      <c r="A37" s="56"/>
      <c r="B37" s="11"/>
      <c r="C37" s="13"/>
      <c r="D37" s="110"/>
      <c r="E37" s="13"/>
      <c r="F37" s="13"/>
      <c r="G37" s="13"/>
      <c r="H37" s="13"/>
      <c r="I37" s="13"/>
      <c r="J37" s="13">
        <v>43000</v>
      </c>
      <c r="K37" s="79" t="s">
        <v>76</v>
      </c>
    </row>
    <row r="38" spans="1:11" ht="19" x14ac:dyDescent="0.2">
      <c r="A38" s="55">
        <v>1116000</v>
      </c>
      <c r="B38" s="18">
        <v>46031</v>
      </c>
      <c r="C38" s="22" t="s">
        <v>16</v>
      </c>
      <c r="D38" s="20" t="s">
        <v>168</v>
      </c>
      <c r="E38" s="21">
        <v>307000</v>
      </c>
      <c r="F38" s="8">
        <v>159000</v>
      </c>
      <c r="G38" s="8">
        <v>650000</v>
      </c>
      <c r="H38" s="8"/>
      <c r="I38" s="8"/>
      <c r="J38" s="8"/>
      <c r="K38" s="8"/>
    </row>
    <row r="39" spans="1:11" ht="19" x14ac:dyDescent="0.2">
      <c r="A39" s="56"/>
      <c r="B39" s="10"/>
      <c r="C39" s="14"/>
      <c r="D39" s="12"/>
      <c r="E39" s="15"/>
      <c r="F39" s="13"/>
      <c r="G39" s="13"/>
      <c r="H39" s="13"/>
      <c r="I39" s="13"/>
      <c r="J39" s="13"/>
      <c r="K39" s="13"/>
    </row>
    <row r="40" spans="1:11" ht="19" x14ac:dyDescent="0.2">
      <c r="A40" s="55">
        <v>471000</v>
      </c>
      <c r="B40" s="18">
        <v>46032</v>
      </c>
      <c r="C40" s="22" t="s">
        <v>16</v>
      </c>
      <c r="D40" s="20" t="s">
        <v>168</v>
      </c>
      <c r="E40" s="21">
        <v>177000</v>
      </c>
      <c r="F40" s="8">
        <v>128000</v>
      </c>
      <c r="G40" s="8">
        <v>166000</v>
      </c>
      <c r="H40" s="8"/>
      <c r="I40" s="8"/>
      <c r="J40" s="8"/>
      <c r="K40" s="8"/>
    </row>
    <row r="41" spans="1:11" ht="19" x14ac:dyDescent="0.2">
      <c r="A41" s="56"/>
      <c r="B41" s="10">
        <v>46033</v>
      </c>
      <c r="C41" s="14" t="s">
        <v>125</v>
      </c>
      <c r="D41" s="12"/>
      <c r="E41" s="15"/>
      <c r="F41" s="13"/>
      <c r="G41" s="13"/>
      <c r="H41" s="13"/>
      <c r="I41" s="13"/>
      <c r="J41" s="13"/>
      <c r="K41" s="13"/>
    </row>
    <row r="42" spans="1:11" ht="19" x14ac:dyDescent="0.2">
      <c r="A42" s="55">
        <v>1245000</v>
      </c>
      <c r="B42" s="18">
        <v>46034</v>
      </c>
      <c r="C42" s="22" t="s">
        <v>16</v>
      </c>
      <c r="D42" s="20" t="s">
        <v>168</v>
      </c>
      <c r="E42" s="21">
        <v>439000</v>
      </c>
      <c r="F42" s="8">
        <v>270000</v>
      </c>
      <c r="G42" s="8">
        <v>536000</v>
      </c>
      <c r="H42" s="8"/>
      <c r="I42" s="8"/>
      <c r="J42" s="8">
        <v>25000</v>
      </c>
      <c r="K42" s="8" t="s">
        <v>249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/>
      <c r="K43" s="13"/>
    </row>
    <row r="44" spans="1:11" ht="19" x14ac:dyDescent="0.2">
      <c r="A44" s="55">
        <v>1315000</v>
      </c>
      <c r="B44" s="18">
        <v>46035</v>
      </c>
      <c r="C44" s="22" t="s">
        <v>16</v>
      </c>
      <c r="D44" s="20" t="s">
        <v>168</v>
      </c>
      <c r="E44" s="21">
        <v>733000</v>
      </c>
      <c r="F44" s="8">
        <v>292000</v>
      </c>
      <c r="G44" s="8">
        <v>290000</v>
      </c>
      <c r="H44" s="8"/>
      <c r="I44" s="105"/>
      <c r="J44" s="8">
        <v>23000</v>
      </c>
      <c r="K44" s="8" t="s">
        <v>873</v>
      </c>
    </row>
    <row r="45" spans="1:11" ht="19" x14ac:dyDescent="0.2">
      <c r="A45" s="56"/>
      <c r="B45" s="10"/>
      <c r="C45" s="14"/>
      <c r="D45" s="12"/>
      <c r="E45" s="15"/>
      <c r="F45" s="13"/>
      <c r="G45" s="13"/>
      <c r="H45" s="13"/>
      <c r="I45" s="13"/>
      <c r="J45" s="45">
        <v>22000</v>
      </c>
      <c r="K45" s="45" t="s">
        <v>908</v>
      </c>
    </row>
    <row r="46" spans="1:11" ht="19" x14ac:dyDescent="0.2">
      <c r="A46" s="59"/>
      <c r="B46" s="47"/>
      <c r="C46" s="51"/>
      <c r="D46" s="48"/>
      <c r="E46" s="49"/>
      <c r="F46" s="50"/>
      <c r="G46" s="50"/>
      <c r="H46" s="50"/>
      <c r="I46" s="50"/>
      <c r="J46" s="50">
        <v>26000</v>
      </c>
      <c r="K46" s="50" t="s">
        <v>812</v>
      </c>
    </row>
    <row r="47" spans="1:11" ht="19" x14ac:dyDescent="0.2">
      <c r="A47" s="58"/>
      <c r="B47" s="43"/>
      <c r="C47" s="46"/>
      <c r="D47" s="44"/>
      <c r="E47" s="15"/>
      <c r="F47" s="13"/>
      <c r="G47" s="13"/>
      <c r="H47" s="45"/>
      <c r="I47" s="45"/>
      <c r="J47" s="45">
        <v>33000</v>
      </c>
      <c r="K47" s="45" t="s">
        <v>807</v>
      </c>
    </row>
    <row r="48" spans="1:11" ht="19" x14ac:dyDescent="0.2">
      <c r="A48" s="57"/>
      <c r="B48" s="47"/>
      <c r="C48" s="51"/>
      <c r="D48" s="48"/>
      <c r="E48" s="49"/>
      <c r="F48" s="50"/>
      <c r="G48" s="50"/>
      <c r="H48" s="50"/>
      <c r="I48" s="50"/>
      <c r="J48" s="50">
        <v>30000</v>
      </c>
      <c r="K48" s="50" t="s">
        <v>909</v>
      </c>
    </row>
    <row r="49" spans="1:11" ht="19" x14ac:dyDescent="0.2">
      <c r="A49" s="61"/>
      <c r="B49" s="43"/>
      <c r="C49" s="46"/>
      <c r="D49" s="44"/>
      <c r="E49" s="62"/>
      <c r="F49" s="45"/>
      <c r="G49" s="45"/>
      <c r="H49" s="45"/>
      <c r="I49" s="45"/>
      <c r="J49" s="45">
        <v>27000</v>
      </c>
      <c r="K49" s="45" t="s">
        <v>803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18000</v>
      </c>
      <c r="K50" s="50" t="s">
        <v>817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100000</v>
      </c>
      <c r="K51" s="45" t="s">
        <v>197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81000</v>
      </c>
      <c r="K52" s="50" t="s">
        <v>393</v>
      </c>
    </row>
    <row r="53" spans="1:11" ht="19" x14ac:dyDescent="0.2">
      <c r="A53" s="61">
        <v>1511000</v>
      </c>
      <c r="B53" s="43">
        <v>46036</v>
      </c>
      <c r="C53" s="46" t="s">
        <v>16</v>
      </c>
      <c r="D53" s="44" t="s">
        <v>168</v>
      </c>
      <c r="E53" s="62">
        <v>789000</v>
      </c>
      <c r="F53" s="45">
        <v>319000</v>
      </c>
      <c r="G53" s="45">
        <v>403000</v>
      </c>
      <c r="H53" s="45"/>
      <c r="I53" s="45"/>
      <c r="J53" s="45">
        <v>48000</v>
      </c>
      <c r="K53" s="45" t="s">
        <v>910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/>
      <c r="I54" s="50"/>
      <c r="J54" s="50">
        <v>200000</v>
      </c>
      <c r="K54" s="50" t="s">
        <v>326</v>
      </c>
    </row>
    <row r="55" spans="1:11" ht="19" x14ac:dyDescent="0.2">
      <c r="A55" s="61"/>
      <c r="B55" s="43"/>
      <c r="C55" s="46"/>
      <c r="D55" s="44"/>
      <c r="E55" s="62"/>
      <c r="F55" s="45"/>
      <c r="G55" s="45"/>
      <c r="H55" s="45"/>
      <c r="I55" s="45"/>
      <c r="J55" s="45">
        <v>14000</v>
      </c>
      <c r="K55" s="45" t="s">
        <v>911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/>
      <c r="K56" s="63"/>
    </row>
    <row r="57" spans="1:11" ht="32" x14ac:dyDescent="0.2">
      <c r="A57" s="61">
        <v>869000</v>
      </c>
      <c r="B57" s="43">
        <v>46037</v>
      </c>
      <c r="C57" s="46" t="s">
        <v>16</v>
      </c>
      <c r="D57" s="44" t="s">
        <v>168</v>
      </c>
      <c r="E57" s="62">
        <v>421000</v>
      </c>
      <c r="F57" s="45">
        <v>72000</v>
      </c>
      <c r="G57" s="45">
        <v>376000</v>
      </c>
      <c r="H57" s="45">
        <v>1300000</v>
      </c>
      <c r="I57" s="106" t="s">
        <v>912</v>
      </c>
      <c r="J57" s="45"/>
      <c r="K57" s="45"/>
    </row>
    <row r="58" spans="1:11" ht="19" x14ac:dyDescent="0.2">
      <c r="A58" s="57"/>
      <c r="B58" s="47"/>
      <c r="C58" s="51"/>
      <c r="D58" s="48"/>
      <c r="E58" s="49"/>
      <c r="F58" s="50"/>
      <c r="G58" s="50"/>
      <c r="H58" s="50"/>
      <c r="I58" s="50"/>
      <c r="J58" s="50"/>
      <c r="K58" s="50"/>
    </row>
    <row r="59" spans="1:11" ht="19" x14ac:dyDescent="0.2">
      <c r="A59" s="61">
        <v>1397000</v>
      </c>
      <c r="B59" s="43">
        <v>46038</v>
      </c>
      <c r="C59" s="46" t="s">
        <v>16</v>
      </c>
      <c r="D59" s="44" t="s">
        <v>168</v>
      </c>
      <c r="E59" s="62">
        <v>657000</v>
      </c>
      <c r="F59" s="45">
        <v>262000</v>
      </c>
      <c r="G59" s="45">
        <v>478000</v>
      </c>
      <c r="H59" s="45"/>
      <c r="I59" s="45"/>
      <c r="J59" s="45">
        <v>25000</v>
      </c>
      <c r="K59" s="45" t="s">
        <v>812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>
        <v>33000</v>
      </c>
      <c r="K60" s="50" t="s">
        <v>807</v>
      </c>
    </row>
    <row r="61" spans="1:11" ht="19" x14ac:dyDescent="0.2">
      <c r="A61" s="61"/>
      <c r="B61" s="43"/>
      <c r="C61" s="46"/>
      <c r="D61" s="44"/>
      <c r="E61" s="62"/>
      <c r="F61" s="45"/>
      <c r="G61" s="45"/>
      <c r="H61" s="45"/>
      <c r="I61" s="45"/>
      <c r="J61" s="45">
        <v>19000</v>
      </c>
      <c r="K61" s="45" t="s">
        <v>890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27000</v>
      </c>
      <c r="K62" s="50" t="s">
        <v>803</v>
      </c>
    </row>
    <row r="63" spans="1:11" ht="19" x14ac:dyDescent="0.2">
      <c r="A63" s="61"/>
      <c r="B63" s="43"/>
      <c r="C63" s="46"/>
      <c r="D63" s="44"/>
      <c r="E63" s="62"/>
      <c r="F63" s="45"/>
      <c r="G63" s="45"/>
      <c r="H63" s="45"/>
      <c r="I63" s="45"/>
      <c r="J63" s="45">
        <v>24000</v>
      </c>
      <c r="K63" s="45" t="s">
        <v>913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250000</v>
      </c>
      <c r="K64" s="50" t="s">
        <v>21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50000</v>
      </c>
      <c r="K65" s="45" t="s">
        <v>396</v>
      </c>
    </row>
    <row r="66" spans="1:11" ht="19" x14ac:dyDescent="0.2">
      <c r="A66" s="57"/>
      <c r="B66" s="47"/>
      <c r="C66" s="51"/>
      <c r="D66" s="48"/>
      <c r="E66" s="49"/>
      <c r="F66" s="50"/>
      <c r="G66" s="50"/>
      <c r="H66" s="50"/>
      <c r="I66" s="50"/>
      <c r="J66" s="50">
        <v>160000</v>
      </c>
      <c r="K66" s="50" t="s">
        <v>327</v>
      </c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>
        <v>100000</v>
      </c>
      <c r="K67" s="45" t="s">
        <v>523</v>
      </c>
    </row>
    <row r="68" spans="1:11" ht="19" x14ac:dyDescent="0.2">
      <c r="A68" s="57">
        <v>1098000</v>
      </c>
      <c r="B68" s="47">
        <v>46039</v>
      </c>
      <c r="C68" s="51" t="s">
        <v>16</v>
      </c>
      <c r="D68" s="48" t="s">
        <v>168</v>
      </c>
      <c r="E68" s="49">
        <v>591000</v>
      </c>
      <c r="F68" s="50">
        <v>197000</v>
      </c>
      <c r="G68" s="50">
        <v>310000</v>
      </c>
      <c r="H68" s="50"/>
      <c r="I68" s="50"/>
      <c r="J68" s="50"/>
      <c r="K68" s="50"/>
    </row>
    <row r="69" spans="1:11" ht="19" x14ac:dyDescent="0.2">
      <c r="A69" s="61"/>
      <c r="B69" s="43">
        <v>46040</v>
      </c>
      <c r="C69" s="46" t="s">
        <v>125</v>
      </c>
      <c r="D69" s="44"/>
      <c r="E69" s="62"/>
      <c r="F69" s="45"/>
      <c r="G69" s="45"/>
      <c r="H69" s="45"/>
      <c r="I69" s="45"/>
      <c r="J69" s="45"/>
      <c r="K69" s="45"/>
    </row>
    <row r="70" spans="1:11" ht="19" x14ac:dyDescent="0.2">
      <c r="A70" s="57">
        <v>1707000</v>
      </c>
      <c r="B70" s="47">
        <v>46041</v>
      </c>
      <c r="C70" s="51" t="s">
        <v>16</v>
      </c>
      <c r="D70" s="48" t="s">
        <v>168</v>
      </c>
      <c r="E70" s="49">
        <v>908000</v>
      </c>
      <c r="F70" s="50">
        <v>178000</v>
      </c>
      <c r="G70" s="50">
        <v>621000</v>
      </c>
      <c r="H70" s="50"/>
      <c r="I70" s="50"/>
      <c r="J70" s="50">
        <v>24000</v>
      </c>
      <c r="K70" s="50" t="s">
        <v>914</v>
      </c>
    </row>
    <row r="71" spans="1:11" ht="19" x14ac:dyDescent="0.2">
      <c r="A71" s="61"/>
      <c r="B71" s="43"/>
      <c r="C71" s="46"/>
      <c r="D71" s="44"/>
      <c r="E71" s="62"/>
      <c r="F71" s="45"/>
      <c r="G71" s="45"/>
      <c r="H71" s="45"/>
      <c r="I71" s="45"/>
      <c r="J71" s="45">
        <v>18000</v>
      </c>
      <c r="K71" s="45" t="s">
        <v>915</v>
      </c>
    </row>
    <row r="72" spans="1:11" ht="19" x14ac:dyDescent="0.2">
      <c r="A72" s="57"/>
      <c r="B72" s="47"/>
      <c r="C72" s="51"/>
      <c r="D72" s="48"/>
      <c r="E72" s="49"/>
      <c r="F72" s="50"/>
      <c r="G72" s="50"/>
      <c r="H72" s="50"/>
      <c r="I72" s="50"/>
      <c r="J72" s="50">
        <v>8000</v>
      </c>
      <c r="K72" s="50" t="s">
        <v>24</v>
      </c>
    </row>
    <row r="73" spans="1:11" ht="19" x14ac:dyDescent="0.2">
      <c r="A73" s="61"/>
      <c r="B73" s="43"/>
      <c r="C73" s="46"/>
      <c r="D73" s="44"/>
      <c r="E73" s="62"/>
      <c r="F73" s="45"/>
      <c r="G73" s="45"/>
      <c r="H73" s="45"/>
      <c r="I73" s="45"/>
      <c r="J73" s="45">
        <v>83000</v>
      </c>
      <c r="K73" s="45" t="s">
        <v>916</v>
      </c>
    </row>
    <row r="74" spans="1:11" ht="19" x14ac:dyDescent="0.2">
      <c r="A74" s="57"/>
      <c r="B74" s="47"/>
      <c r="C74" s="51"/>
      <c r="D74" s="48"/>
      <c r="E74" s="49"/>
      <c r="F74" s="50"/>
      <c r="G74" s="50"/>
      <c r="H74" s="50"/>
      <c r="I74" s="50"/>
      <c r="J74" s="50">
        <v>55000</v>
      </c>
      <c r="K74" s="50" t="s">
        <v>917</v>
      </c>
    </row>
    <row r="75" spans="1:11" ht="19" x14ac:dyDescent="0.2">
      <c r="A75" s="61">
        <v>1621000</v>
      </c>
      <c r="B75" s="43">
        <v>46042</v>
      </c>
      <c r="C75" s="46" t="s">
        <v>16</v>
      </c>
      <c r="D75" s="44" t="s">
        <v>168</v>
      </c>
      <c r="E75" s="62">
        <v>905000</v>
      </c>
      <c r="F75" s="45">
        <v>108000</v>
      </c>
      <c r="G75" s="45">
        <v>608000</v>
      </c>
      <c r="H75" s="45"/>
      <c r="I75" s="45"/>
      <c r="J75" s="45">
        <v>93000</v>
      </c>
      <c r="K75" s="45" t="s">
        <v>775</v>
      </c>
    </row>
    <row r="76" spans="1:11" ht="19" x14ac:dyDescent="0.2">
      <c r="A76" s="57"/>
      <c r="B76" s="47"/>
      <c r="C76" s="51"/>
      <c r="D76" s="51"/>
      <c r="E76" s="49"/>
      <c r="F76" s="50"/>
      <c r="G76" s="50"/>
      <c r="H76" s="50"/>
      <c r="I76" s="50"/>
      <c r="J76" s="50">
        <v>180000</v>
      </c>
      <c r="K76" s="50" t="s">
        <v>918</v>
      </c>
    </row>
    <row r="77" spans="1:11" ht="19" x14ac:dyDescent="0.2">
      <c r="A77" s="61"/>
      <c r="B77" s="43"/>
      <c r="C77" s="46"/>
      <c r="D77" s="44"/>
      <c r="E77" s="62"/>
      <c r="F77" s="45"/>
      <c r="G77" s="45"/>
      <c r="H77" s="45"/>
      <c r="I77" s="45"/>
      <c r="J77" s="45">
        <v>22000</v>
      </c>
      <c r="K77" s="45" t="s">
        <v>873</v>
      </c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>
        <v>25000</v>
      </c>
      <c r="K78" s="50" t="s">
        <v>812</v>
      </c>
    </row>
    <row r="79" spans="1:11" ht="19" x14ac:dyDescent="0.2">
      <c r="A79" s="61"/>
      <c r="B79" s="43"/>
      <c r="C79" s="46"/>
      <c r="D79" s="44"/>
      <c r="E79" s="62"/>
      <c r="F79" s="45"/>
      <c r="G79" s="45"/>
      <c r="H79" s="45"/>
      <c r="I79" s="45"/>
      <c r="J79" s="45">
        <v>43000</v>
      </c>
      <c r="K79" s="45" t="s">
        <v>855</v>
      </c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>
        <v>22000</v>
      </c>
      <c r="K80" s="50" t="s">
        <v>875</v>
      </c>
    </row>
    <row r="81" spans="1:11" ht="19" x14ac:dyDescent="0.2">
      <c r="A81" s="61"/>
      <c r="B81" s="43"/>
      <c r="C81" s="46"/>
      <c r="D81" s="44"/>
      <c r="E81" s="62"/>
      <c r="F81" s="45"/>
      <c r="G81" s="45"/>
      <c r="H81" s="45"/>
      <c r="I81" s="45"/>
      <c r="J81" s="45">
        <v>35000</v>
      </c>
      <c r="K81" s="45" t="s">
        <v>919</v>
      </c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>
        <v>27000</v>
      </c>
      <c r="K82" s="50" t="s">
        <v>803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18000</v>
      </c>
      <c r="K83" s="45" t="s">
        <v>877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>
        <v>20000</v>
      </c>
      <c r="K84" s="50" t="s">
        <v>890</v>
      </c>
    </row>
    <row r="85" spans="1:11" ht="19" x14ac:dyDescent="0.2">
      <c r="A85" s="61">
        <v>1188000</v>
      </c>
      <c r="B85" s="43">
        <v>46043</v>
      </c>
      <c r="C85" s="46" t="s">
        <v>16</v>
      </c>
      <c r="D85" s="44" t="s">
        <v>168</v>
      </c>
      <c r="E85" s="62">
        <v>642000</v>
      </c>
      <c r="F85" s="45">
        <v>108000</v>
      </c>
      <c r="G85" s="45">
        <v>438000</v>
      </c>
      <c r="H85" s="45"/>
      <c r="I85" s="45"/>
      <c r="J85" s="45"/>
      <c r="K85" s="45"/>
    </row>
    <row r="86" spans="1:11" ht="19" x14ac:dyDescent="0.2">
      <c r="A86" s="57"/>
      <c r="B86" s="47"/>
      <c r="C86" s="51"/>
      <c r="D86" s="48"/>
      <c r="E86" s="49"/>
      <c r="F86" s="50"/>
      <c r="G86" s="50"/>
      <c r="H86" s="50"/>
      <c r="I86" s="50"/>
      <c r="J86" s="50"/>
      <c r="K86" s="50"/>
    </row>
    <row r="87" spans="1:11" ht="19" x14ac:dyDescent="0.2">
      <c r="A87" s="61">
        <v>983000</v>
      </c>
      <c r="B87" s="43">
        <v>46044</v>
      </c>
      <c r="C87" s="46" t="s">
        <v>16</v>
      </c>
      <c r="D87" s="44" t="s">
        <v>168</v>
      </c>
      <c r="E87" s="62">
        <v>385000</v>
      </c>
      <c r="F87" s="45">
        <v>235000</v>
      </c>
      <c r="G87" s="45">
        <v>363000</v>
      </c>
      <c r="H87" s="45"/>
      <c r="I87" s="45"/>
      <c r="J87" s="45">
        <v>49000</v>
      </c>
      <c r="K87" s="45" t="s">
        <v>40</v>
      </c>
    </row>
    <row r="88" spans="1:11" ht="19" x14ac:dyDescent="0.2">
      <c r="A88" s="57"/>
      <c r="B88" s="47"/>
      <c r="C88" s="51"/>
      <c r="D88" s="48"/>
      <c r="E88" s="49"/>
      <c r="F88" s="50"/>
      <c r="G88" s="50"/>
      <c r="H88" s="50"/>
      <c r="I88" s="50"/>
      <c r="J88" s="50">
        <v>20000</v>
      </c>
      <c r="K88" s="50" t="s">
        <v>920</v>
      </c>
    </row>
    <row r="89" spans="1:11" ht="19" x14ac:dyDescent="0.2">
      <c r="A89" s="61">
        <v>762000</v>
      </c>
      <c r="B89" s="43">
        <v>46045</v>
      </c>
      <c r="C89" s="46" t="s">
        <v>16</v>
      </c>
      <c r="D89" s="44" t="s">
        <v>168</v>
      </c>
      <c r="E89" s="62">
        <v>384000</v>
      </c>
      <c r="F89" s="45">
        <v>124000</v>
      </c>
      <c r="G89" s="45">
        <v>254000</v>
      </c>
      <c r="H89" s="45"/>
      <c r="I89" s="45"/>
      <c r="J89" s="45">
        <v>8000</v>
      </c>
      <c r="K89" s="45" t="s">
        <v>921</v>
      </c>
    </row>
    <row r="90" spans="1:11" ht="19" x14ac:dyDescent="0.2">
      <c r="A90" s="57"/>
      <c r="B90" s="47"/>
      <c r="C90" s="51"/>
      <c r="D90" s="48"/>
      <c r="E90" s="49"/>
      <c r="F90" s="50"/>
      <c r="G90" s="50"/>
      <c r="H90" s="50"/>
      <c r="I90" s="50"/>
      <c r="J90" s="50"/>
      <c r="K90" s="50"/>
    </row>
    <row r="91" spans="1:11" ht="19" x14ac:dyDescent="0.2">
      <c r="A91" s="61">
        <v>826000</v>
      </c>
      <c r="B91" s="43">
        <v>46046</v>
      </c>
      <c r="C91" s="46" t="s">
        <v>16</v>
      </c>
      <c r="D91" s="44" t="s">
        <v>168</v>
      </c>
      <c r="E91" s="62">
        <v>455000</v>
      </c>
      <c r="F91" s="45">
        <v>48000</v>
      </c>
      <c r="G91" s="45">
        <v>323000</v>
      </c>
      <c r="H91" s="45"/>
      <c r="I91" s="45"/>
      <c r="J91" s="45"/>
      <c r="K91" s="45"/>
    </row>
    <row r="92" spans="1:11" ht="19" x14ac:dyDescent="0.2">
      <c r="A92" s="57"/>
      <c r="B92" s="47">
        <v>46047</v>
      </c>
      <c r="C92" s="51" t="s">
        <v>125</v>
      </c>
      <c r="D92" s="48"/>
      <c r="E92" s="49"/>
      <c r="F92" s="50"/>
      <c r="G92" s="50"/>
      <c r="H92" s="50"/>
      <c r="I92" s="50"/>
      <c r="J92" s="50"/>
      <c r="K92" s="50"/>
    </row>
    <row r="93" spans="1:11" ht="19" x14ac:dyDescent="0.2">
      <c r="A93" s="61">
        <v>1068000</v>
      </c>
      <c r="B93" s="43">
        <v>46048</v>
      </c>
      <c r="C93" s="46" t="s">
        <v>16</v>
      </c>
      <c r="D93" s="44" t="s">
        <v>168</v>
      </c>
      <c r="E93" s="62">
        <v>761000</v>
      </c>
      <c r="F93" s="45">
        <v>129000</v>
      </c>
      <c r="G93" s="45">
        <v>178000</v>
      </c>
      <c r="H93" s="45"/>
      <c r="I93" s="45"/>
      <c r="J93" s="45">
        <v>24000</v>
      </c>
      <c r="K93" s="45" t="s">
        <v>368</v>
      </c>
    </row>
    <row r="94" spans="1:11" ht="19" x14ac:dyDescent="0.2">
      <c r="A94" s="57"/>
      <c r="B94" s="47"/>
      <c r="C94" s="51"/>
      <c r="D94" s="48"/>
      <c r="E94" s="49"/>
      <c r="F94" s="50"/>
      <c r="G94" s="50"/>
      <c r="H94" s="50"/>
      <c r="I94" s="50"/>
      <c r="J94" s="50">
        <v>23000</v>
      </c>
      <c r="K94" s="50" t="s">
        <v>922</v>
      </c>
    </row>
    <row r="95" spans="1:11" ht="19" x14ac:dyDescent="0.2">
      <c r="A95" s="61"/>
      <c r="B95" s="43"/>
      <c r="C95" s="46"/>
      <c r="D95" s="44"/>
      <c r="E95" s="62"/>
      <c r="F95" s="45"/>
      <c r="G95" s="45"/>
      <c r="H95" s="45"/>
      <c r="I95" s="45"/>
      <c r="J95" s="45">
        <v>240000</v>
      </c>
      <c r="K95" s="45" t="s">
        <v>354</v>
      </c>
    </row>
    <row r="96" spans="1:11" ht="19" x14ac:dyDescent="0.2">
      <c r="A96" s="57">
        <v>1630000</v>
      </c>
      <c r="B96" s="47">
        <v>46049</v>
      </c>
      <c r="C96" s="51" t="s">
        <v>16</v>
      </c>
      <c r="D96" s="48" t="s">
        <v>168</v>
      </c>
      <c r="E96" s="49">
        <v>778000</v>
      </c>
      <c r="F96" s="50">
        <v>237000</v>
      </c>
      <c r="G96" s="50">
        <v>615000</v>
      </c>
      <c r="H96" s="50"/>
      <c r="I96" s="50"/>
      <c r="J96" s="50">
        <v>149000</v>
      </c>
      <c r="K96" s="50" t="s">
        <v>342</v>
      </c>
    </row>
    <row r="97" spans="1:11" ht="19" x14ac:dyDescent="0.2">
      <c r="A97" s="61"/>
      <c r="B97" s="43"/>
      <c r="C97" s="46"/>
      <c r="D97" s="44"/>
      <c r="E97" s="62"/>
      <c r="F97" s="45"/>
      <c r="G97" s="45"/>
      <c r="H97" s="45"/>
      <c r="I97" s="45"/>
      <c r="J97" s="45">
        <v>27000</v>
      </c>
      <c r="K97" s="45" t="s">
        <v>56</v>
      </c>
    </row>
    <row r="98" spans="1:11" ht="19" x14ac:dyDescent="0.2">
      <c r="A98" s="57"/>
      <c r="B98" s="47"/>
      <c r="C98" s="51"/>
      <c r="D98" s="48"/>
      <c r="E98" s="49"/>
      <c r="F98" s="50"/>
      <c r="G98" s="50"/>
      <c r="H98" s="50"/>
      <c r="I98" s="50"/>
      <c r="J98" s="50">
        <v>38000</v>
      </c>
      <c r="K98" s="50" t="s">
        <v>923</v>
      </c>
    </row>
    <row r="99" spans="1:11" ht="19" x14ac:dyDescent="0.2">
      <c r="A99" s="61"/>
      <c r="B99" s="43"/>
      <c r="C99" s="46"/>
      <c r="D99" s="44"/>
      <c r="E99" s="62"/>
      <c r="F99" s="45"/>
      <c r="G99" s="45"/>
      <c r="H99" s="45"/>
      <c r="I99" s="45"/>
      <c r="J99" s="45">
        <v>12000</v>
      </c>
      <c r="K99" s="45" t="s">
        <v>924</v>
      </c>
    </row>
    <row r="100" spans="1:11" ht="19" x14ac:dyDescent="0.2">
      <c r="A100" s="57">
        <v>1283000</v>
      </c>
      <c r="B100" s="47">
        <v>46050</v>
      </c>
      <c r="C100" s="51" t="s">
        <v>16</v>
      </c>
      <c r="D100" s="48" t="s">
        <v>168</v>
      </c>
      <c r="E100" s="49">
        <v>963000</v>
      </c>
      <c r="F100" s="50">
        <v>55000</v>
      </c>
      <c r="G100" s="50">
        <v>265000</v>
      </c>
      <c r="H100" s="50"/>
      <c r="I100" s="50"/>
      <c r="J100" s="50">
        <v>20000</v>
      </c>
      <c r="K100" s="50" t="s">
        <v>249</v>
      </c>
    </row>
    <row r="101" spans="1:11" ht="19" x14ac:dyDescent="0.2">
      <c r="A101" s="61"/>
      <c r="B101" s="43"/>
      <c r="C101" s="46"/>
      <c r="D101" s="44"/>
      <c r="E101" s="62"/>
      <c r="F101" s="45"/>
      <c r="G101" s="45"/>
      <c r="H101" s="45"/>
      <c r="I101" s="45"/>
      <c r="J101" s="45"/>
      <c r="K101" s="45"/>
    </row>
    <row r="102" spans="1:11" ht="19" x14ac:dyDescent="0.2">
      <c r="A102" s="57">
        <v>1504000</v>
      </c>
      <c r="B102" s="47">
        <v>46051</v>
      </c>
      <c r="C102" s="51" t="s">
        <v>16</v>
      </c>
      <c r="D102" s="48" t="s">
        <v>168</v>
      </c>
      <c r="E102" s="49">
        <v>806000</v>
      </c>
      <c r="F102" s="50">
        <v>225000</v>
      </c>
      <c r="G102" s="50">
        <v>473000</v>
      </c>
      <c r="H102" s="50"/>
      <c r="I102" s="50"/>
      <c r="J102" s="50">
        <v>250000</v>
      </c>
      <c r="K102" s="50" t="s">
        <v>21</v>
      </c>
    </row>
    <row r="103" spans="1:11" ht="19" x14ac:dyDescent="0.2">
      <c r="A103" s="61"/>
      <c r="B103" s="43"/>
      <c r="C103" s="46"/>
      <c r="D103" s="44"/>
      <c r="E103" s="62"/>
      <c r="F103" s="45"/>
      <c r="G103" s="45"/>
      <c r="H103" s="45"/>
      <c r="I103" s="45"/>
      <c r="J103" s="45">
        <v>50000</v>
      </c>
      <c r="K103" s="45" t="s">
        <v>396</v>
      </c>
    </row>
    <row r="104" spans="1:11" ht="19" x14ac:dyDescent="0.2">
      <c r="A104" s="57"/>
      <c r="B104" s="47"/>
      <c r="C104" s="51"/>
      <c r="D104" s="48"/>
      <c r="E104" s="49"/>
      <c r="F104" s="50"/>
      <c r="G104" s="50"/>
      <c r="H104" s="50"/>
      <c r="I104" s="50"/>
      <c r="J104" s="50">
        <v>160000</v>
      </c>
      <c r="K104" s="50" t="s">
        <v>327</v>
      </c>
    </row>
    <row r="105" spans="1:11" ht="19" x14ac:dyDescent="0.2">
      <c r="A105" s="61">
        <v>1296000</v>
      </c>
      <c r="B105" s="43">
        <v>46052</v>
      </c>
      <c r="C105" s="46" t="s">
        <v>16</v>
      </c>
      <c r="D105" s="44" t="s">
        <v>168</v>
      </c>
      <c r="E105" s="62">
        <v>886000</v>
      </c>
      <c r="F105" s="45">
        <v>64000</v>
      </c>
      <c r="G105" s="45">
        <v>346000</v>
      </c>
      <c r="H105" s="45"/>
      <c r="I105" s="45"/>
      <c r="J105" s="45">
        <v>15000</v>
      </c>
      <c r="K105" s="45" t="s">
        <v>31</v>
      </c>
    </row>
    <row r="106" spans="1:11" ht="19" x14ac:dyDescent="0.2">
      <c r="A106" s="57"/>
      <c r="B106" s="47"/>
      <c r="C106" s="51"/>
      <c r="D106" s="48"/>
      <c r="E106" s="49"/>
      <c r="F106" s="50"/>
      <c r="G106" s="50"/>
      <c r="H106" s="50"/>
      <c r="I106" s="50"/>
      <c r="J106" s="50">
        <v>18000</v>
      </c>
      <c r="K106" s="50" t="s">
        <v>925</v>
      </c>
    </row>
    <row r="107" spans="1:11" ht="19" x14ac:dyDescent="0.2">
      <c r="A107" s="61"/>
      <c r="B107" s="43"/>
      <c r="C107" s="46"/>
      <c r="D107" s="44"/>
      <c r="E107" s="62"/>
      <c r="F107" s="45"/>
      <c r="G107" s="45"/>
      <c r="H107" s="45"/>
      <c r="I107" s="45"/>
      <c r="J107" s="45">
        <v>42000</v>
      </c>
      <c r="K107" s="45" t="s">
        <v>124</v>
      </c>
    </row>
    <row r="108" spans="1:11" ht="19" x14ac:dyDescent="0.2">
      <c r="A108" s="57">
        <v>506000</v>
      </c>
      <c r="B108" s="47">
        <v>46053</v>
      </c>
      <c r="C108" s="51" t="s">
        <v>16</v>
      </c>
      <c r="D108" s="48" t="s">
        <v>168</v>
      </c>
      <c r="E108" s="49">
        <v>375000</v>
      </c>
      <c r="F108" s="50">
        <v>0</v>
      </c>
      <c r="G108" s="50">
        <v>131000</v>
      </c>
      <c r="H108" s="50"/>
      <c r="I108" s="50"/>
      <c r="J108" s="50">
        <v>38000</v>
      </c>
      <c r="K108" s="50" t="s">
        <v>834</v>
      </c>
    </row>
    <row r="109" spans="1:11" ht="19" x14ac:dyDescent="0.2">
      <c r="A109" s="61"/>
      <c r="B109" s="43"/>
      <c r="C109" s="46"/>
      <c r="D109" s="44"/>
      <c r="E109" s="62"/>
      <c r="F109" s="45"/>
      <c r="G109" s="45"/>
      <c r="H109" s="45"/>
      <c r="I109" s="45"/>
      <c r="J109" s="45">
        <v>32000</v>
      </c>
      <c r="K109" s="45" t="s">
        <v>926</v>
      </c>
    </row>
    <row r="110" spans="1:11" ht="19" x14ac:dyDescent="0.2">
      <c r="A110" s="57"/>
      <c r="B110" s="47"/>
      <c r="C110" s="51"/>
      <c r="D110" s="48"/>
      <c r="E110" s="49"/>
      <c r="F110" s="50"/>
      <c r="G110" s="50"/>
      <c r="H110" s="50"/>
      <c r="I110" s="50"/>
      <c r="J110" s="50">
        <v>43000</v>
      </c>
      <c r="K110" s="50" t="s">
        <v>855</v>
      </c>
    </row>
    <row r="111" spans="1:11" ht="19" x14ac:dyDescent="0.2">
      <c r="A111" s="61"/>
      <c r="B111" s="43"/>
      <c r="C111" s="46"/>
      <c r="D111" s="44"/>
      <c r="E111" s="62"/>
      <c r="F111" s="45"/>
      <c r="G111" s="45"/>
      <c r="H111" s="45"/>
      <c r="I111" s="45"/>
      <c r="J111" s="45">
        <v>19000</v>
      </c>
      <c r="K111" s="45" t="s">
        <v>927</v>
      </c>
    </row>
    <row r="112" spans="1:11" ht="19" x14ac:dyDescent="0.2">
      <c r="A112" s="57"/>
      <c r="B112" s="47"/>
      <c r="C112" s="51"/>
      <c r="D112" s="48"/>
      <c r="E112" s="49"/>
      <c r="F112" s="50"/>
      <c r="G112" s="50"/>
      <c r="H112" s="50">
        <v>3200000</v>
      </c>
      <c r="I112" s="50" t="s">
        <v>928</v>
      </c>
      <c r="J112" s="50">
        <v>30000</v>
      </c>
      <c r="K112" s="50" t="s">
        <v>909</v>
      </c>
    </row>
    <row r="113" spans="1:11" ht="19" x14ac:dyDescent="0.2">
      <c r="A113" s="61"/>
      <c r="B113" s="43"/>
      <c r="C113" s="46"/>
      <c r="D113" s="44"/>
      <c r="E113" s="62"/>
      <c r="F113" s="45"/>
      <c r="G113" s="45"/>
      <c r="H113" s="45"/>
      <c r="I113" s="45"/>
      <c r="J113" s="45">
        <v>23000</v>
      </c>
      <c r="K113" s="45" t="s">
        <v>913</v>
      </c>
    </row>
    <row r="114" spans="1:11" ht="19" x14ac:dyDescent="0.2">
      <c r="A114" s="57"/>
      <c r="B114" s="47"/>
      <c r="C114" s="51"/>
      <c r="D114" s="48"/>
      <c r="E114" s="49"/>
      <c r="F114" s="50"/>
      <c r="G114" s="50"/>
      <c r="H114" s="50"/>
      <c r="I114" s="50"/>
      <c r="J114" s="50">
        <v>36000</v>
      </c>
      <c r="K114" s="50" t="s">
        <v>854</v>
      </c>
    </row>
    <row r="115" spans="1:11" ht="19" x14ac:dyDescent="0.2">
      <c r="A115" s="61"/>
      <c r="B115" s="43"/>
      <c r="C115" s="46"/>
      <c r="D115" s="44"/>
      <c r="E115" s="62"/>
      <c r="F115" s="45"/>
      <c r="G115" s="45"/>
      <c r="H115" s="45"/>
      <c r="I115" s="45"/>
      <c r="J115" s="45">
        <v>38000</v>
      </c>
      <c r="K115" s="45" t="s">
        <v>834</v>
      </c>
    </row>
    <row r="116" spans="1:11" ht="19" x14ac:dyDescent="0.2">
      <c r="A116" s="57"/>
      <c r="B116" s="47"/>
      <c r="C116" s="51"/>
      <c r="D116" s="48"/>
      <c r="E116" s="49"/>
      <c r="F116" s="50"/>
      <c r="G116" s="50"/>
      <c r="H116" s="50"/>
      <c r="I116" s="50"/>
      <c r="J116" s="50">
        <v>43000</v>
      </c>
      <c r="K116" s="50" t="s">
        <v>855</v>
      </c>
    </row>
    <row r="117" spans="1:11" ht="19" x14ac:dyDescent="0.2">
      <c r="A117" s="61"/>
      <c r="B117" s="43"/>
      <c r="C117" s="46"/>
      <c r="D117" s="44"/>
      <c r="E117" s="62"/>
      <c r="F117" s="45"/>
      <c r="G117" s="45"/>
      <c r="H117" s="45"/>
      <c r="I117" s="45"/>
      <c r="J117" s="45">
        <v>16000</v>
      </c>
      <c r="K117" s="45" t="s">
        <v>929</v>
      </c>
    </row>
    <row r="118" spans="1:11" ht="19" x14ac:dyDescent="0.2">
      <c r="A118" s="57"/>
      <c r="B118" s="47"/>
      <c r="C118" s="51"/>
      <c r="D118" s="48"/>
      <c r="E118" s="49"/>
      <c r="F118" s="50"/>
      <c r="G118" s="50"/>
      <c r="H118" s="50"/>
      <c r="I118" s="50"/>
      <c r="J118" s="50">
        <v>30000</v>
      </c>
      <c r="K118" s="50" t="s">
        <v>930</v>
      </c>
    </row>
    <row r="119" spans="1:11" ht="19" x14ac:dyDescent="0.2">
      <c r="A119" s="61"/>
      <c r="B119" s="43"/>
      <c r="C119" s="46"/>
      <c r="D119" s="44"/>
      <c r="E119" s="62"/>
      <c r="F119" s="45"/>
      <c r="G119" s="45"/>
      <c r="H119" s="45"/>
      <c r="I119" s="45"/>
      <c r="J119" s="45">
        <v>23000</v>
      </c>
      <c r="K119" s="45" t="s">
        <v>913</v>
      </c>
    </row>
    <row r="120" spans="1:11" ht="19" x14ac:dyDescent="0.2">
      <c r="A120" s="57"/>
      <c r="B120" s="47"/>
      <c r="C120" s="51"/>
      <c r="D120" s="48"/>
      <c r="E120" s="49"/>
      <c r="F120" s="50"/>
      <c r="G120" s="50"/>
      <c r="H120" s="50"/>
      <c r="I120" s="50"/>
      <c r="J120" s="50">
        <v>27000</v>
      </c>
      <c r="K120" s="50" t="s">
        <v>803</v>
      </c>
    </row>
    <row r="121" spans="1:11" ht="19" x14ac:dyDescent="0.2">
      <c r="A121" s="61"/>
      <c r="B121" s="43"/>
      <c r="C121" s="46"/>
      <c r="D121" s="44"/>
      <c r="E121" s="62"/>
      <c r="F121" s="45"/>
      <c r="G121" s="45"/>
      <c r="H121" s="45"/>
      <c r="I121" s="45"/>
      <c r="J121" s="45"/>
      <c r="K121" s="4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3324-3EEB-BB4E-9450-497524231B15}">
  <dimension ref="A3:K113"/>
  <sheetViews>
    <sheetView topLeftCell="A37" workbookViewId="0">
      <selection activeCell="B7" sqref="B7"/>
    </sheetView>
  </sheetViews>
  <sheetFormatPr baseColWidth="10" defaultRowHeight="15" x14ac:dyDescent="0.2"/>
  <cols>
    <col min="1" max="1" width="20.33203125" bestFit="1" customWidth="1"/>
    <col min="3" max="3" width="13.33203125" bestFit="1" customWidth="1"/>
    <col min="4" max="4" width="12.1640625" customWidth="1"/>
    <col min="5" max="5" width="20.33203125" bestFit="1" customWidth="1"/>
    <col min="6" max="6" width="25.83203125" customWidth="1"/>
    <col min="7" max="7" width="24.5" customWidth="1"/>
    <col min="8" max="8" width="23" customWidth="1"/>
    <col min="9" max="9" width="31.1640625" customWidth="1"/>
    <col min="10" max="10" width="19" bestFit="1" customWidth="1"/>
    <col min="11" max="11" width="25.6640625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981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2259755</v>
      </c>
      <c r="K6" s="30" t="s">
        <v>983</v>
      </c>
    </row>
    <row r="7" spans="1:11" ht="26" x14ac:dyDescent="0.3">
      <c r="B7" s="32" t="s">
        <v>982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SUM(A11:A602)</f>
        <v>24738000</v>
      </c>
      <c r="B10" s="39"/>
      <c r="C10" s="40" t="s">
        <v>15</v>
      </c>
      <c r="D10" s="41"/>
      <c r="E10" s="42">
        <f>SUM(E11:E602)</f>
        <v>10889000</v>
      </c>
      <c r="F10" s="38">
        <f>SUM(F11:F602)</f>
        <v>3590000</v>
      </c>
      <c r="G10" s="38">
        <f>SUM(G11:G597)</f>
        <v>10259000</v>
      </c>
      <c r="H10" s="38">
        <f>SUM(H11:H602)</f>
        <v>11666000</v>
      </c>
      <c r="I10" s="38"/>
      <c r="J10" s="38">
        <f>SUM(J11:J602)</f>
        <v>4044000</v>
      </c>
      <c r="K10" s="38"/>
    </row>
    <row r="11" spans="1:11" ht="21" x14ac:dyDescent="0.2">
      <c r="A11" s="96"/>
      <c r="B11" s="97">
        <v>46054</v>
      </c>
      <c r="C11" s="109" t="s">
        <v>125</v>
      </c>
      <c r="D11" s="99"/>
      <c r="E11" s="13"/>
      <c r="F11" s="13"/>
      <c r="G11" s="13"/>
      <c r="H11" s="13"/>
      <c r="I11" s="13"/>
      <c r="J11" s="13"/>
      <c r="K11" s="13"/>
    </row>
    <row r="12" spans="1:11" ht="19" x14ac:dyDescent="0.2">
      <c r="A12" s="53">
        <v>955000</v>
      </c>
      <c r="B12" s="4">
        <v>46055</v>
      </c>
      <c r="C12" s="5" t="s">
        <v>16</v>
      </c>
      <c r="D12" s="2" t="s">
        <v>168</v>
      </c>
      <c r="E12" s="1">
        <v>499000</v>
      </c>
      <c r="F12" s="1">
        <v>130000</v>
      </c>
      <c r="G12" s="1">
        <v>326000</v>
      </c>
      <c r="H12" s="1"/>
      <c r="I12" s="1"/>
      <c r="J12" s="8">
        <v>58000</v>
      </c>
      <c r="K12" s="50" t="s">
        <v>940</v>
      </c>
    </row>
    <row r="13" spans="1:11" ht="19" x14ac:dyDescent="0.2">
      <c r="A13" s="54"/>
      <c r="B13" s="10"/>
      <c r="C13" s="14"/>
      <c r="D13" s="12"/>
      <c r="E13" s="15"/>
      <c r="F13" s="13"/>
      <c r="G13" s="13"/>
      <c r="H13" s="13"/>
      <c r="I13" s="13"/>
      <c r="J13" s="13">
        <v>50000</v>
      </c>
      <c r="K13" s="45" t="s">
        <v>941</v>
      </c>
    </row>
    <row r="14" spans="1:11" ht="19" x14ac:dyDescent="0.2">
      <c r="A14" s="53"/>
      <c r="B14" s="4"/>
      <c r="C14" s="5"/>
      <c r="D14" s="2"/>
      <c r="E14" s="3"/>
      <c r="F14" s="1"/>
      <c r="G14" s="1"/>
      <c r="H14" s="1"/>
      <c r="I14" s="1"/>
      <c r="J14" s="8">
        <v>10000</v>
      </c>
      <c r="K14" s="50" t="s">
        <v>737</v>
      </c>
    </row>
    <row r="15" spans="1:11" ht="19" x14ac:dyDescent="0.2">
      <c r="A15" s="56">
        <v>1502000</v>
      </c>
      <c r="B15" s="10">
        <v>46056</v>
      </c>
      <c r="C15" s="14" t="s">
        <v>16</v>
      </c>
      <c r="D15" s="12" t="s">
        <v>168</v>
      </c>
      <c r="E15" s="15">
        <v>432000</v>
      </c>
      <c r="F15" s="13">
        <v>338000</v>
      </c>
      <c r="G15" s="13">
        <v>732000</v>
      </c>
      <c r="H15" s="13"/>
      <c r="I15" s="13"/>
      <c r="J15" s="13">
        <v>160000</v>
      </c>
      <c r="K15" s="13" t="s">
        <v>395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/>
      <c r="K16" s="23"/>
    </row>
    <row r="17" spans="1:11" ht="19" x14ac:dyDescent="0.2">
      <c r="A17" s="56">
        <v>1294000</v>
      </c>
      <c r="B17" s="10">
        <v>46057</v>
      </c>
      <c r="C17" s="16" t="s">
        <v>16</v>
      </c>
      <c r="D17" s="12" t="s">
        <v>168</v>
      </c>
      <c r="E17" s="15">
        <v>665000</v>
      </c>
      <c r="F17" s="13">
        <v>56000</v>
      </c>
      <c r="G17" s="13">
        <v>573000</v>
      </c>
      <c r="H17" s="17"/>
      <c r="I17" s="17"/>
      <c r="J17" s="13">
        <v>100000</v>
      </c>
      <c r="K17" s="13" t="s">
        <v>197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>
        <v>120000</v>
      </c>
      <c r="K18" s="8" t="s">
        <v>942</v>
      </c>
    </row>
    <row r="19" spans="1:11" ht="19" x14ac:dyDescent="0.2">
      <c r="A19" s="56"/>
      <c r="B19" s="10"/>
      <c r="C19" s="16"/>
      <c r="D19" s="12"/>
      <c r="E19" s="15"/>
      <c r="F19" s="13"/>
      <c r="G19" s="13"/>
      <c r="H19" s="17"/>
      <c r="I19" s="17"/>
      <c r="J19" s="13">
        <v>38000</v>
      </c>
      <c r="K19" s="13" t="s">
        <v>943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38000</v>
      </c>
      <c r="K20" s="8" t="s">
        <v>944</v>
      </c>
    </row>
    <row r="21" spans="1:11" ht="19" x14ac:dyDescent="0.2">
      <c r="A21" s="56">
        <v>1037000</v>
      </c>
      <c r="B21" s="10">
        <v>46058</v>
      </c>
      <c r="C21" s="16" t="s">
        <v>16</v>
      </c>
      <c r="D21" s="12" t="s">
        <v>168</v>
      </c>
      <c r="E21" s="15">
        <v>523000</v>
      </c>
      <c r="F21" s="13">
        <v>88000</v>
      </c>
      <c r="G21" s="13">
        <v>426000</v>
      </c>
      <c r="H21" s="17"/>
      <c r="I21" s="17"/>
      <c r="J21" s="13">
        <v>25000</v>
      </c>
      <c r="K21" s="13" t="s">
        <v>812</v>
      </c>
    </row>
    <row r="22" spans="1:11" ht="19" x14ac:dyDescent="0.2">
      <c r="A22" s="55"/>
      <c r="B22" s="18"/>
      <c r="C22" s="19"/>
      <c r="D22" s="20"/>
      <c r="E22" s="21"/>
      <c r="F22" s="8"/>
      <c r="G22" s="8"/>
      <c r="H22" s="23"/>
      <c r="I22" s="23"/>
      <c r="J22" s="8">
        <v>43000</v>
      </c>
      <c r="K22" s="8" t="s">
        <v>945</v>
      </c>
    </row>
    <row r="23" spans="1:11" ht="19" x14ac:dyDescent="0.2">
      <c r="A23" s="56"/>
      <c r="B23" s="10"/>
      <c r="C23" s="15"/>
      <c r="D23" s="12"/>
      <c r="E23" s="15"/>
      <c r="F23" s="13"/>
      <c r="G23" s="13"/>
      <c r="H23" s="13"/>
      <c r="I23" s="13"/>
      <c r="J23" s="13">
        <v>22000</v>
      </c>
      <c r="K23" s="13" t="s">
        <v>875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36000</v>
      </c>
      <c r="K24" s="8" t="s">
        <v>854</v>
      </c>
    </row>
    <row r="25" spans="1:11" ht="19" x14ac:dyDescent="0.2">
      <c r="A25" s="56"/>
      <c r="B25" s="10"/>
      <c r="C25" s="15"/>
      <c r="D25" s="12"/>
      <c r="E25" s="15"/>
      <c r="F25" s="13"/>
      <c r="G25" s="13"/>
      <c r="H25" s="13"/>
      <c r="I25" s="13"/>
      <c r="J25" s="13">
        <v>24000</v>
      </c>
      <c r="K25" s="13" t="s">
        <v>913</v>
      </c>
    </row>
    <row r="26" spans="1:11" ht="19" x14ac:dyDescent="0.2">
      <c r="A26" s="55"/>
      <c r="B26" s="18"/>
      <c r="C26" s="19"/>
      <c r="D26" s="20"/>
      <c r="E26" s="21"/>
      <c r="F26" s="8"/>
      <c r="G26" s="8"/>
      <c r="H26" s="8"/>
      <c r="I26" s="8"/>
      <c r="J26" s="8">
        <v>24000</v>
      </c>
      <c r="K26" s="8" t="s">
        <v>946</v>
      </c>
    </row>
    <row r="27" spans="1:11" ht="19" x14ac:dyDescent="0.2">
      <c r="A27" s="56">
        <v>1215000</v>
      </c>
      <c r="B27" s="10">
        <v>46059</v>
      </c>
      <c r="C27" s="16" t="s">
        <v>16</v>
      </c>
      <c r="D27" s="12" t="s">
        <v>168</v>
      </c>
      <c r="E27" s="15">
        <v>610000</v>
      </c>
      <c r="F27" s="13">
        <v>114000</v>
      </c>
      <c r="G27" s="13">
        <v>491000</v>
      </c>
      <c r="H27" s="13"/>
      <c r="I27" s="13"/>
      <c r="J27" s="13">
        <v>11000</v>
      </c>
      <c r="K27" s="13" t="s">
        <v>947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/>
      <c r="I28" s="8"/>
      <c r="J28" s="8">
        <v>10000</v>
      </c>
      <c r="K28" s="8" t="s">
        <v>948</v>
      </c>
    </row>
    <row r="29" spans="1:11" ht="19" x14ac:dyDescent="0.2">
      <c r="A29" s="56"/>
      <c r="B29" s="10"/>
      <c r="C29" s="16"/>
      <c r="D29" s="12"/>
      <c r="E29" s="15"/>
      <c r="F29" s="13"/>
      <c r="G29" s="13"/>
      <c r="H29" s="13"/>
      <c r="I29" s="13"/>
      <c r="J29" s="13">
        <v>7000</v>
      </c>
      <c r="K29" s="13" t="s">
        <v>706</v>
      </c>
    </row>
    <row r="30" spans="1:11" ht="19" x14ac:dyDescent="0.2">
      <c r="A30" s="55"/>
      <c r="B30" s="18"/>
      <c r="C30" s="22"/>
      <c r="D30" s="20"/>
      <c r="E30" s="21"/>
      <c r="F30" s="8"/>
      <c r="G30" s="8"/>
      <c r="H30" s="8"/>
      <c r="I30" s="8"/>
      <c r="J30" s="8">
        <v>78000</v>
      </c>
      <c r="K30" s="8" t="s">
        <v>949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/>
      <c r="K31" s="13"/>
    </row>
    <row r="32" spans="1:11" ht="19" x14ac:dyDescent="0.2">
      <c r="A32" s="55">
        <v>907000</v>
      </c>
      <c r="B32" s="18">
        <v>46060</v>
      </c>
      <c r="C32" s="22" t="s">
        <v>16</v>
      </c>
      <c r="D32" s="20" t="s">
        <v>168</v>
      </c>
      <c r="E32" s="21">
        <v>548000</v>
      </c>
      <c r="F32" s="8">
        <v>26000</v>
      </c>
      <c r="G32" s="8">
        <v>333000</v>
      </c>
      <c r="H32" s="8"/>
      <c r="I32" s="8"/>
      <c r="J32" s="8">
        <v>17000</v>
      </c>
      <c r="K32" s="8" t="s">
        <v>249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>
        <v>54000</v>
      </c>
      <c r="K33" s="13" t="s">
        <v>950</v>
      </c>
    </row>
    <row r="34" spans="1:11" ht="19" x14ac:dyDescent="0.2">
      <c r="A34" s="53"/>
      <c r="B34" s="18">
        <v>46061</v>
      </c>
      <c r="C34" s="22" t="s">
        <v>125</v>
      </c>
      <c r="D34" s="20"/>
      <c r="E34" s="21"/>
      <c r="F34" s="8"/>
      <c r="G34" s="8"/>
      <c r="H34" s="8"/>
      <c r="I34" s="8"/>
      <c r="J34" s="8"/>
      <c r="K34" s="8"/>
    </row>
    <row r="35" spans="1:11" ht="19" x14ac:dyDescent="0.2">
      <c r="A35" s="54">
        <v>1320000</v>
      </c>
      <c r="B35" s="10">
        <v>46062</v>
      </c>
      <c r="C35" s="14" t="s">
        <v>16</v>
      </c>
      <c r="D35" s="12" t="s">
        <v>168</v>
      </c>
      <c r="E35" s="15">
        <v>737000</v>
      </c>
      <c r="F35" s="13">
        <v>167000</v>
      </c>
      <c r="G35" s="13">
        <v>416000</v>
      </c>
      <c r="H35" s="13"/>
      <c r="I35" s="13"/>
      <c r="J35" s="13">
        <v>140000</v>
      </c>
      <c r="K35" s="13" t="s">
        <v>951</v>
      </c>
    </row>
    <row r="36" spans="1:11" ht="19" x14ac:dyDescent="0.2">
      <c r="A36" s="53"/>
      <c r="B36" s="18"/>
      <c r="C36" s="22"/>
      <c r="D36" s="20"/>
      <c r="E36" s="21"/>
      <c r="F36" s="8"/>
      <c r="G36" s="8"/>
      <c r="H36" s="8"/>
      <c r="I36" s="8"/>
      <c r="J36" s="8"/>
      <c r="K36" s="8"/>
    </row>
    <row r="37" spans="1:11" ht="19" x14ac:dyDescent="0.2">
      <c r="A37" s="56">
        <v>970000</v>
      </c>
      <c r="B37" s="11">
        <v>46063</v>
      </c>
      <c r="C37" s="13" t="s">
        <v>16</v>
      </c>
      <c r="D37" s="110" t="s">
        <v>168</v>
      </c>
      <c r="E37" s="13">
        <v>491000</v>
      </c>
      <c r="F37" s="13">
        <v>235000</v>
      </c>
      <c r="G37" s="13">
        <v>244000</v>
      </c>
      <c r="H37" s="13"/>
      <c r="I37" s="13"/>
      <c r="J37" s="13">
        <v>30000</v>
      </c>
      <c r="K37" s="79" t="s">
        <v>952</v>
      </c>
    </row>
    <row r="38" spans="1:11" ht="19" x14ac:dyDescent="0.2">
      <c r="A38" s="55"/>
      <c r="B38" s="18"/>
      <c r="C38" s="22"/>
      <c r="D38" s="20"/>
      <c r="E38" s="21"/>
      <c r="F38" s="8"/>
      <c r="G38" s="8"/>
      <c r="H38" s="8"/>
      <c r="I38" s="8"/>
      <c r="J38" s="8">
        <v>11000</v>
      </c>
      <c r="K38" s="8" t="s">
        <v>953</v>
      </c>
    </row>
    <row r="39" spans="1:11" ht="19" x14ac:dyDescent="0.2">
      <c r="A39" s="56">
        <v>1188000</v>
      </c>
      <c r="B39" s="10">
        <v>46064</v>
      </c>
      <c r="C39" s="14" t="s">
        <v>16</v>
      </c>
      <c r="D39" s="12" t="s">
        <v>168</v>
      </c>
      <c r="E39" s="15">
        <v>612000</v>
      </c>
      <c r="F39" s="13">
        <v>125000</v>
      </c>
      <c r="G39" s="13">
        <v>451000</v>
      </c>
      <c r="H39" s="13"/>
      <c r="I39" s="13"/>
      <c r="J39" s="13">
        <v>32000</v>
      </c>
      <c r="K39" s="13" t="s">
        <v>249</v>
      </c>
    </row>
    <row r="40" spans="1:11" ht="19" x14ac:dyDescent="0.2">
      <c r="A40" s="55"/>
      <c r="B40" s="18"/>
      <c r="C40" s="22"/>
      <c r="D40" s="20"/>
      <c r="E40" s="21"/>
      <c r="F40" s="8"/>
      <c r="G40" s="8"/>
      <c r="H40" s="8"/>
      <c r="I40" s="8"/>
      <c r="J40" s="8">
        <v>27000</v>
      </c>
      <c r="K40" s="8" t="s">
        <v>812</v>
      </c>
    </row>
    <row r="41" spans="1:11" ht="19" x14ac:dyDescent="0.2">
      <c r="A41" s="56"/>
      <c r="B41" s="10"/>
      <c r="C41" s="14"/>
      <c r="D41" s="12"/>
      <c r="E41" s="15"/>
      <c r="F41" s="13"/>
      <c r="G41" s="13"/>
      <c r="H41" s="13"/>
      <c r="I41" s="13"/>
      <c r="J41" s="13">
        <v>22000</v>
      </c>
      <c r="K41" s="13" t="s">
        <v>954</v>
      </c>
    </row>
    <row r="42" spans="1:11" ht="19" x14ac:dyDescent="0.2">
      <c r="A42" s="55"/>
      <c r="B42" s="18"/>
      <c r="C42" s="22"/>
      <c r="D42" s="20"/>
      <c r="E42" s="21"/>
      <c r="F42" s="8"/>
      <c r="G42" s="8"/>
      <c r="H42" s="8"/>
      <c r="I42" s="8"/>
      <c r="J42" s="8">
        <v>22000</v>
      </c>
      <c r="K42" s="8" t="s">
        <v>955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>
        <v>47000</v>
      </c>
      <c r="K43" s="13" t="s">
        <v>956</v>
      </c>
    </row>
    <row r="44" spans="1:11" ht="19" x14ac:dyDescent="0.2">
      <c r="A44" s="55"/>
      <c r="B44" s="18"/>
      <c r="C44" s="22"/>
      <c r="D44" s="20"/>
      <c r="E44" s="21"/>
      <c r="F44" s="8"/>
      <c r="G44" s="8"/>
      <c r="H44" s="8"/>
      <c r="I44" s="105"/>
      <c r="J44" s="8">
        <v>23000</v>
      </c>
      <c r="K44" s="8" t="s">
        <v>957</v>
      </c>
    </row>
    <row r="45" spans="1:11" ht="19" x14ac:dyDescent="0.2">
      <c r="A45" s="56"/>
      <c r="B45" s="10"/>
      <c r="C45" s="14"/>
      <c r="D45" s="12"/>
      <c r="E45" s="15"/>
      <c r="F45" s="13"/>
      <c r="G45" s="13"/>
      <c r="H45" s="13"/>
      <c r="I45" s="13"/>
      <c r="J45" s="45">
        <v>21000</v>
      </c>
      <c r="K45" s="45" t="s">
        <v>927</v>
      </c>
    </row>
    <row r="46" spans="1:11" ht="19" x14ac:dyDescent="0.2">
      <c r="A46" s="59"/>
      <c r="B46" s="47"/>
      <c r="C46" s="51"/>
      <c r="D46" s="48"/>
      <c r="E46" s="49"/>
      <c r="F46" s="50"/>
      <c r="G46" s="50"/>
      <c r="H46" s="50"/>
      <c r="I46" s="50"/>
      <c r="J46" s="50">
        <v>50000</v>
      </c>
      <c r="K46" s="50" t="s">
        <v>958</v>
      </c>
    </row>
    <row r="47" spans="1:11" ht="19" x14ac:dyDescent="0.2">
      <c r="A47" s="58"/>
      <c r="B47" s="43"/>
      <c r="C47" s="46"/>
      <c r="D47" s="44"/>
      <c r="E47" s="15"/>
      <c r="F47" s="13"/>
      <c r="G47" s="13"/>
      <c r="H47" s="45"/>
      <c r="I47" s="45"/>
      <c r="J47" s="45">
        <v>20000</v>
      </c>
      <c r="K47" s="45" t="s">
        <v>877</v>
      </c>
    </row>
    <row r="48" spans="1:11" ht="19" x14ac:dyDescent="0.2">
      <c r="A48" s="57"/>
      <c r="B48" s="47"/>
      <c r="C48" s="51"/>
      <c r="D48" s="48"/>
      <c r="E48" s="49"/>
      <c r="F48" s="50"/>
      <c r="G48" s="50"/>
      <c r="H48" s="50"/>
      <c r="I48" s="50"/>
      <c r="J48" s="50"/>
      <c r="K48" s="50"/>
    </row>
    <row r="49" spans="1:11" ht="19" x14ac:dyDescent="0.2">
      <c r="A49" s="61">
        <v>1051000</v>
      </c>
      <c r="B49" s="43">
        <v>46065</v>
      </c>
      <c r="C49" s="46" t="s">
        <v>16</v>
      </c>
      <c r="D49" s="44" t="s">
        <v>168</v>
      </c>
      <c r="E49" s="62">
        <v>339000</v>
      </c>
      <c r="F49" s="45">
        <v>232000</v>
      </c>
      <c r="G49" s="45">
        <v>480000</v>
      </c>
      <c r="H49" s="45"/>
      <c r="I49" s="45"/>
      <c r="J49" s="45"/>
      <c r="K49" s="45"/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/>
      <c r="K50" s="50"/>
    </row>
    <row r="51" spans="1:11" ht="19" x14ac:dyDescent="0.2">
      <c r="A51" s="61">
        <v>1196000</v>
      </c>
      <c r="B51" s="43">
        <v>46066</v>
      </c>
      <c r="C51" s="46" t="s">
        <v>16</v>
      </c>
      <c r="D51" s="44" t="s">
        <v>168</v>
      </c>
      <c r="E51" s="62">
        <v>577000</v>
      </c>
      <c r="F51" s="45">
        <v>65000</v>
      </c>
      <c r="G51" s="45">
        <v>554000</v>
      </c>
      <c r="H51" s="45">
        <v>6836000</v>
      </c>
      <c r="I51" s="45" t="s">
        <v>512</v>
      </c>
      <c r="J51" s="45">
        <v>27000</v>
      </c>
      <c r="K51" s="45" t="s">
        <v>812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>
        <v>1200000</v>
      </c>
      <c r="I52" s="50" t="s">
        <v>980</v>
      </c>
      <c r="J52" s="50">
        <v>47000</v>
      </c>
      <c r="K52" s="50" t="s">
        <v>945</v>
      </c>
    </row>
    <row r="53" spans="1:11" ht="19" x14ac:dyDescent="0.2">
      <c r="A53" s="61"/>
      <c r="B53" s="43"/>
      <c r="C53" s="46"/>
      <c r="D53" s="44"/>
      <c r="E53" s="62"/>
      <c r="F53" s="45"/>
      <c r="G53" s="45"/>
      <c r="H53" s="45"/>
      <c r="I53" s="45"/>
      <c r="J53" s="45">
        <v>20000</v>
      </c>
      <c r="K53" s="45" t="s">
        <v>959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/>
      <c r="I54" s="50"/>
      <c r="J54" s="50">
        <v>36000</v>
      </c>
      <c r="K54" s="50" t="s">
        <v>857</v>
      </c>
    </row>
    <row r="55" spans="1:11" ht="19" x14ac:dyDescent="0.2">
      <c r="A55" s="61"/>
      <c r="B55" s="43"/>
      <c r="C55" s="46"/>
      <c r="D55" s="44"/>
      <c r="E55" s="62"/>
      <c r="F55" s="45"/>
      <c r="G55" s="45"/>
      <c r="H55" s="45"/>
      <c r="I55" s="45"/>
      <c r="J55" s="45">
        <v>36000</v>
      </c>
      <c r="K55" s="45" t="s">
        <v>919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>
        <v>26000</v>
      </c>
      <c r="K56" s="63" t="s">
        <v>960</v>
      </c>
    </row>
    <row r="57" spans="1:11" ht="19" x14ac:dyDescent="0.2">
      <c r="A57" s="61"/>
      <c r="B57" s="43"/>
      <c r="C57" s="46"/>
      <c r="D57" s="44"/>
      <c r="E57" s="62"/>
      <c r="F57" s="45"/>
      <c r="G57" s="45"/>
      <c r="H57" s="45"/>
      <c r="I57" s="45"/>
      <c r="J57" s="45">
        <v>22000</v>
      </c>
      <c r="K57" s="45" t="s">
        <v>961</v>
      </c>
    </row>
    <row r="58" spans="1:11" ht="19" x14ac:dyDescent="0.2">
      <c r="A58" s="57"/>
      <c r="B58" s="47"/>
      <c r="C58" s="51"/>
      <c r="D58" s="48"/>
      <c r="E58" s="49"/>
      <c r="F58" s="50"/>
      <c r="G58" s="50"/>
      <c r="H58" s="50"/>
      <c r="I58" s="50"/>
      <c r="J58" s="50"/>
      <c r="K58" s="50"/>
    </row>
    <row r="59" spans="1:11" ht="19" x14ac:dyDescent="0.2">
      <c r="A59" s="61">
        <v>730000</v>
      </c>
      <c r="B59" s="43">
        <v>46067</v>
      </c>
      <c r="C59" s="46" t="s">
        <v>16</v>
      </c>
      <c r="D59" s="44" t="s">
        <v>168</v>
      </c>
      <c r="E59" s="62">
        <v>362000</v>
      </c>
      <c r="F59" s="45">
        <v>190000</v>
      </c>
      <c r="G59" s="45">
        <v>178000</v>
      </c>
      <c r="H59" s="45"/>
      <c r="I59" s="45"/>
      <c r="J59" s="45">
        <v>7000</v>
      </c>
      <c r="K59" s="45" t="s">
        <v>706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>
        <v>103000</v>
      </c>
      <c r="K60" s="50" t="s">
        <v>962</v>
      </c>
    </row>
    <row r="61" spans="1:11" ht="19" x14ac:dyDescent="0.2">
      <c r="A61" s="61"/>
      <c r="B61" s="43"/>
      <c r="C61" s="46"/>
      <c r="D61" s="44"/>
      <c r="E61" s="62"/>
      <c r="F61" s="45"/>
      <c r="G61" s="45"/>
      <c r="H61" s="45"/>
      <c r="I61" s="45"/>
      <c r="J61" s="45">
        <v>15000</v>
      </c>
      <c r="K61" s="45" t="s">
        <v>737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20000</v>
      </c>
      <c r="K62" s="50" t="s">
        <v>920</v>
      </c>
    </row>
    <row r="63" spans="1:11" ht="32" x14ac:dyDescent="0.2">
      <c r="A63" s="61"/>
      <c r="B63" s="43">
        <v>46068</v>
      </c>
      <c r="C63" s="46" t="s">
        <v>125</v>
      </c>
      <c r="D63" s="44"/>
      <c r="E63" s="62"/>
      <c r="F63" s="45"/>
      <c r="G63" s="45"/>
      <c r="H63" s="45">
        <v>1230000</v>
      </c>
      <c r="I63" s="106" t="s">
        <v>912</v>
      </c>
      <c r="J63" s="45">
        <v>24000</v>
      </c>
      <c r="K63" s="45" t="s">
        <v>368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100000</v>
      </c>
      <c r="K64" s="50" t="s">
        <v>523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/>
      <c r="K65" s="45"/>
    </row>
    <row r="66" spans="1:11" ht="19" x14ac:dyDescent="0.2">
      <c r="A66" s="57">
        <v>1191000</v>
      </c>
      <c r="B66" s="47">
        <v>46069</v>
      </c>
      <c r="C66" s="51" t="s">
        <v>16</v>
      </c>
      <c r="D66" s="48" t="s">
        <v>168</v>
      </c>
      <c r="E66" s="49">
        <v>430000</v>
      </c>
      <c r="F66" s="50">
        <v>224000</v>
      </c>
      <c r="G66" s="50">
        <v>537000</v>
      </c>
      <c r="H66" s="50"/>
      <c r="I66" s="50"/>
      <c r="J66" s="50">
        <v>25000</v>
      </c>
      <c r="K66" s="50" t="s">
        <v>963</v>
      </c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/>
      <c r="K67" s="45"/>
    </row>
    <row r="68" spans="1:11" ht="19" x14ac:dyDescent="0.2">
      <c r="A68" s="57">
        <v>985000</v>
      </c>
      <c r="B68" s="47">
        <v>46070</v>
      </c>
      <c r="C68" s="51" t="s">
        <v>16</v>
      </c>
      <c r="D68" s="48" t="s">
        <v>168</v>
      </c>
      <c r="E68" s="49">
        <v>438000</v>
      </c>
      <c r="F68" s="50">
        <v>134000</v>
      </c>
      <c r="G68" s="50">
        <v>413000</v>
      </c>
      <c r="H68" s="50"/>
      <c r="I68" s="50"/>
      <c r="J68" s="50">
        <v>240000</v>
      </c>
      <c r="K68" s="50" t="s">
        <v>354</v>
      </c>
    </row>
    <row r="69" spans="1:11" ht="19" x14ac:dyDescent="0.2">
      <c r="A69" s="61"/>
      <c r="B69" s="43"/>
      <c r="C69" s="46"/>
      <c r="D69" s="44"/>
      <c r="E69" s="62"/>
      <c r="F69" s="45"/>
      <c r="G69" s="45"/>
      <c r="H69" s="45"/>
      <c r="I69" s="45"/>
      <c r="J69" s="45"/>
      <c r="K69" s="45"/>
    </row>
    <row r="70" spans="1:11" ht="19" x14ac:dyDescent="0.2">
      <c r="A70" s="57">
        <v>1169000</v>
      </c>
      <c r="B70" s="47">
        <v>46071</v>
      </c>
      <c r="C70" s="51" t="s">
        <v>16</v>
      </c>
      <c r="D70" s="48" t="s">
        <v>168</v>
      </c>
      <c r="E70" s="49">
        <v>554000</v>
      </c>
      <c r="F70" s="50">
        <v>138000</v>
      </c>
      <c r="G70" s="50">
        <v>477000</v>
      </c>
      <c r="H70" s="50"/>
      <c r="I70" s="50"/>
      <c r="J70" s="50">
        <v>100000</v>
      </c>
      <c r="K70" s="50" t="s">
        <v>197</v>
      </c>
    </row>
    <row r="71" spans="1:11" ht="19" x14ac:dyDescent="0.2">
      <c r="A71" s="61"/>
      <c r="B71" s="43"/>
      <c r="C71" s="46"/>
      <c r="D71" s="44"/>
      <c r="E71" s="62"/>
      <c r="F71" s="45"/>
      <c r="G71" s="45"/>
      <c r="H71" s="45"/>
      <c r="I71" s="45"/>
      <c r="J71" s="45"/>
      <c r="K71" s="45"/>
    </row>
    <row r="72" spans="1:11" ht="19" x14ac:dyDescent="0.2">
      <c r="A72" s="57">
        <v>685000</v>
      </c>
      <c r="B72" s="47">
        <v>46072</v>
      </c>
      <c r="C72" s="51" t="s">
        <v>16</v>
      </c>
      <c r="D72" s="48" t="s">
        <v>168</v>
      </c>
      <c r="E72" s="49">
        <v>271000</v>
      </c>
      <c r="F72" s="50">
        <v>36000</v>
      </c>
      <c r="G72" s="50">
        <v>378000</v>
      </c>
      <c r="H72" s="50"/>
      <c r="I72" s="50"/>
      <c r="J72" s="50">
        <v>49000</v>
      </c>
      <c r="K72" s="50" t="s">
        <v>40</v>
      </c>
    </row>
    <row r="73" spans="1:11" ht="19" x14ac:dyDescent="0.2">
      <c r="A73" s="61"/>
      <c r="B73" s="43"/>
      <c r="C73" s="46"/>
      <c r="D73" s="44"/>
      <c r="E73" s="62"/>
      <c r="F73" s="45"/>
      <c r="G73" s="45"/>
      <c r="H73" s="45"/>
      <c r="I73" s="45"/>
      <c r="J73" s="45">
        <v>33000</v>
      </c>
      <c r="K73" s="45" t="s">
        <v>964</v>
      </c>
    </row>
    <row r="74" spans="1:11" ht="19" x14ac:dyDescent="0.2">
      <c r="A74" s="57"/>
      <c r="B74" s="47"/>
      <c r="C74" s="51"/>
      <c r="D74" s="48"/>
      <c r="E74" s="49"/>
      <c r="F74" s="50"/>
      <c r="G74" s="50"/>
      <c r="H74" s="50"/>
      <c r="I74" s="50"/>
      <c r="J74" s="50">
        <v>20000</v>
      </c>
      <c r="K74" s="50" t="s">
        <v>965</v>
      </c>
    </row>
    <row r="75" spans="1:11" ht="19" x14ac:dyDescent="0.2">
      <c r="A75" s="61"/>
      <c r="B75" s="43"/>
      <c r="C75" s="46"/>
      <c r="D75" s="44"/>
      <c r="E75" s="62"/>
      <c r="F75" s="45"/>
      <c r="G75" s="45"/>
      <c r="H75" s="45"/>
      <c r="I75" s="45"/>
      <c r="J75" s="45">
        <v>30000</v>
      </c>
      <c r="K75" s="45" t="s">
        <v>343</v>
      </c>
    </row>
    <row r="76" spans="1:11" ht="19" x14ac:dyDescent="0.2">
      <c r="A76" s="57"/>
      <c r="B76" s="47"/>
      <c r="C76" s="51"/>
      <c r="D76" s="51"/>
      <c r="E76" s="49"/>
      <c r="F76" s="50"/>
      <c r="G76" s="50"/>
      <c r="H76" s="50"/>
      <c r="I76" s="50"/>
      <c r="J76" s="50"/>
      <c r="K76" s="50"/>
    </row>
    <row r="77" spans="1:11" ht="19" x14ac:dyDescent="0.2">
      <c r="A77" s="61">
        <v>872000</v>
      </c>
      <c r="B77" s="43">
        <v>46073</v>
      </c>
      <c r="C77" s="46" t="s">
        <v>16</v>
      </c>
      <c r="D77" s="44" t="s">
        <v>168</v>
      </c>
      <c r="E77" s="62">
        <v>293000</v>
      </c>
      <c r="F77" s="45">
        <v>181000</v>
      </c>
      <c r="G77" s="45">
        <v>398000</v>
      </c>
      <c r="H77" s="45"/>
      <c r="I77" s="45"/>
      <c r="J77" s="45">
        <v>54000</v>
      </c>
      <c r="K77" s="45" t="s">
        <v>139</v>
      </c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>
        <v>33000</v>
      </c>
      <c r="K78" s="50" t="s">
        <v>966</v>
      </c>
    </row>
    <row r="79" spans="1:11" ht="19" x14ac:dyDescent="0.2">
      <c r="A79" s="61"/>
      <c r="B79" s="43"/>
      <c r="C79" s="46"/>
      <c r="D79" s="44"/>
      <c r="E79" s="62"/>
      <c r="F79" s="45"/>
      <c r="G79" s="45"/>
      <c r="H79" s="45"/>
      <c r="I79" s="45"/>
      <c r="J79" s="45">
        <v>63000</v>
      </c>
      <c r="K79" s="45" t="s">
        <v>967</v>
      </c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>
        <v>26000</v>
      </c>
      <c r="K80" s="50" t="s">
        <v>968</v>
      </c>
    </row>
    <row r="81" spans="1:11" ht="19" x14ac:dyDescent="0.2">
      <c r="A81" s="61"/>
      <c r="B81" s="43"/>
      <c r="C81" s="46"/>
      <c r="D81" s="44"/>
      <c r="E81" s="62"/>
      <c r="F81" s="45"/>
      <c r="G81" s="45"/>
      <c r="H81" s="45"/>
      <c r="I81" s="45"/>
      <c r="J81" s="45">
        <v>11000</v>
      </c>
      <c r="K81" s="45" t="s">
        <v>969</v>
      </c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>
        <v>36000</v>
      </c>
      <c r="K82" s="50" t="s">
        <v>602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250000</v>
      </c>
      <c r="K83" s="45" t="s">
        <v>21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>
        <v>160000</v>
      </c>
      <c r="K84" s="50" t="s">
        <v>327</v>
      </c>
    </row>
    <row r="85" spans="1:11" ht="19" x14ac:dyDescent="0.2">
      <c r="A85" s="61"/>
      <c r="B85" s="43"/>
      <c r="C85" s="46"/>
      <c r="D85" s="44"/>
      <c r="E85" s="62"/>
      <c r="F85" s="45"/>
      <c r="G85" s="45"/>
      <c r="H85" s="45"/>
      <c r="I85" s="45"/>
      <c r="J85" s="45">
        <v>215000</v>
      </c>
      <c r="K85" s="45" t="s">
        <v>970</v>
      </c>
    </row>
    <row r="86" spans="1:11" ht="19" x14ac:dyDescent="0.2">
      <c r="A86" s="57"/>
      <c r="B86" s="47"/>
      <c r="C86" s="51"/>
      <c r="D86" s="48"/>
      <c r="E86" s="49"/>
      <c r="F86" s="50"/>
      <c r="G86" s="50"/>
      <c r="H86" s="50"/>
      <c r="I86" s="50"/>
      <c r="J86" s="50">
        <v>105000</v>
      </c>
      <c r="K86" s="50" t="s">
        <v>673</v>
      </c>
    </row>
    <row r="87" spans="1:11" ht="19" x14ac:dyDescent="0.2">
      <c r="A87" s="61">
        <v>588000</v>
      </c>
      <c r="B87" s="43">
        <v>46074</v>
      </c>
      <c r="C87" s="46" t="s">
        <v>16</v>
      </c>
      <c r="D87" s="44" t="s">
        <v>168</v>
      </c>
      <c r="E87" s="62">
        <v>258000</v>
      </c>
      <c r="F87" s="45">
        <v>28000</v>
      </c>
      <c r="G87" s="45">
        <v>302000</v>
      </c>
      <c r="H87" s="45"/>
      <c r="I87" s="45"/>
      <c r="J87" s="45">
        <v>120000</v>
      </c>
      <c r="K87" s="45" t="s">
        <v>971</v>
      </c>
    </row>
    <row r="88" spans="1:11" ht="19" x14ac:dyDescent="0.2">
      <c r="A88" s="57"/>
      <c r="B88" s="47"/>
      <c r="C88" s="51"/>
      <c r="D88" s="48"/>
      <c r="E88" s="49"/>
      <c r="F88" s="50"/>
      <c r="G88" s="50"/>
      <c r="H88" s="50"/>
      <c r="I88" s="50"/>
      <c r="J88" s="50"/>
      <c r="K88" s="50"/>
    </row>
    <row r="89" spans="1:11" ht="19" x14ac:dyDescent="0.2">
      <c r="A89" s="61"/>
      <c r="B89" s="43">
        <v>46075</v>
      </c>
      <c r="C89" s="46" t="s">
        <v>125</v>
      </c>
      <c r="D89" s="44"/>
      <c r="E89" s="62"/>
      <c r="F89" s="45"/>
      <c r="G89" s="45"/>
      <c r="H89" s="45"/>
      <c r="I89" s="45"/>
      <c r="J89" s="45">
        <v>100000</v>
      </c>
      <c r="K89" s="45" t="s">
        <v>197</v>
      </c>
    </row>
    <row r="90" spans="1:11" ht="19" x14ac:dyDescent="0.2">
      <c r="A90" s="57"/>
      <c r="B90" s="47"/>
      <c r="C90" s="51"/>
      <c r="D90" s="48"/>
      <c r="E90" s="49"/>
      <c r="F90" s="50"/>
      <c r="G90" s="50"/>
      <c r="H90" s="50"/>
      <c r="I90" s="50"/>
      <c r="J90" s="50"/>
      <c r="K90" s="50"/>
    </row>
    <row r="91" spans="1:11" ht="19" x14ac:dyDescent="0.2">
      <c r="A91" s="61">
        <v>1090000</v>
      </c>
      <c r="B91" s="43">
        <v>46076</v>
      </c>
      <c r="C91" s="46" t="s">
        <v>16</v>
      </c>
      <c r="D91" s="44" t="s">
        <v>168</v>
      </c>
      <c r="E91" s="62">
        <v>353000</v>
      </c>
      <c r="F91" s="45">
        <v>321000</v>
      </c>
      <c r="G91" s="45">
        <v>416000</v>
      </c>
      <c r="H91" s="45"/>
      <c r="I91" s="45"/>
      <c r="J91" s="45">
        <v>25000</v>
      </c>
      <c r="K91" s="45" t="s">
        <v>816</v>
      </c>
    </row>
    <row r="92" spans="1:11" ht="19" x14ac:dyDescent="0.2">
      <c r="A92" s="57"/>
      <c r="B92" s="47"/>
      <c r="C92" s="51"/>
      <c r="D92" s="48"/>
      <c r="E92" s="49"/>
      <c r="F92" s="50"/>
      <c r="G92" s="50"/>
      <c r="H92" s="50"/>
      <c r="I92" s="50"/>
      <c r="J92" s="50">
        <v>30000</v>
      </c>
      <c r="K92" s="50" t="s">
        <v>812</v>
      </c>
    </row>
    <row r="93" spans="1:11" ht="19" x14ac:dyDescent="0.2">
      <c r="A93" s="61"/>
      <c r="B93" s="43"/>
      <c r="C93" s="46"/>
      <c r="D93" s="44"/>
      <c r="E93" s="62"/>
      <c r="F93" s="45"/>
      <c r="G93" s="45"/>
      <c r="H93" s="45"/>
      <c r="I93" s="45"/>
      <c r="J93" s="45">
        <v>20000</v>
      </c>
      <c r="K93" s="45" t="s">
        <v>873</v>
      </c>
    </row>
    <row r="94" spans="1:11" ht="19" x14ac:dyDescent="0.2">
      <c r="A94" s="57"/>
      <c r="B94" s="47"/>
      <c r="C94" s="51"/>
      <c r="D94" s="48"/>
      <c r="E94" s="49"/>
      <c r="F94" s="50"/>
      <c r="G94" s="50"/>
      <c r="H94" s="50"/>
      <c r="I94" s="50"/>
      <c r="J94" s="50">
        <v>20000</v>
      </c>
      <c r="K94" s="50" t="s">
        <v>890</v>
      </c>
    </row>
    <row r="95" spans="1:11" ht="19" x14ac:dyDescent="0.2">
      <c r="A95" s="61"/>
      <c r="B95" s="43"/>
      <c r="C95" s="46"/>
      <c r="D95" s="44"/>
      <c r="E95" s="62"/>
      <c r="F95" s="45"/>
      <c r="G95" s="45"/>
      <c r="H95" s="45"/>
      <c r="I95" s="45"/>
      <c r="J95" s="45">
        <v>22000</v>
      </c>
      <c r="K95" s="45" t="s">
        <v>913</v>
      </c>
    </row>
    <row r="96" spans="1:11" ht="19" x14ac:dyDescent="0.2">
      <c r="A96" s="57"/>
      <c r="B96" s="47"/>
      <c r="C96" s="51"/>
      <c r="D96" s="48"/>
      <c r="E96" s="49"/>
      <c r="F96" s="50"/>
      <c r="G96" s="50"/>
      <c r="H96" s="50"/>
      <c r="I96" s="50"/>
      <c r="J96" s="50"/>
      <c r="K96" s="50"/>
    </row>
    <row r="97" spans="1:11" ht="19" x14ac:dyDescent="0.2">
      <c r="A97" s="61">
        <v>969000</v>
      </c>
      <c r="B97" s="43">
        <v>46077</v>
      </c>
      <c r="C97" s="46" t="s">
        <v>16</v>
      </c>
      <c r="D97" s="44" t="s">
        <v>168</v>
      </c>
      <c r="E97" s="62">
        <v>210000</v>
      </c>
      <c r="F97" s="45">
        <v>220000</v>
      </c>
      <c r="G97" s="45">
        <v>539000</v>
      </c>
      <c r="H97" s="45"/>
      <c r="I97" s="45"/>
      <c r="J97" s="45">
        <v>38000</v>
      </c>
      <c r="K97" s="45" t="s">
        <v>972</v>
      </c>
    </row>
    <row r="98" spans="1:11" ht="19" x14ac:dyDescent="0.2">
      <c r="A98" s="57"/>
      <c r="B98" s="47"/>
      <c r="C98" s="51"/>
      <c r="D98" s="48"/>
      <c r="E98" s="49"/>
      <c r="F98" s="50"/>
      <c r="G98" s="50"/>
      <c r="H98" s="50"/>
      <c r="I98" s="50"/>
      <c r="J98" s="50">
        <v>54000</v>
      </c>
      <c r="K98" s="50" t="s">
        <v>139</v>
      </c>
    </row>
    <row r="99" spans="1:11" ht="19" x14ac:dyDescent="0.2">
      <c r="A99" s="61"/>
      <c r="B99" s="43"/>
      <c r="C99" s="46"/>
      <c r="D99" s="44"/>
      <c r="E99" s="62"/>
      <c r="F99" s="45"/>
      <c r="G99" s="45"/>
      <c r="H99" s="45"/>
      <c r="I99" s="45"/>
      <c r="J99" s="45">
        <v>45000</v>
      </c>
      <c r="K99" s="45" t="s">
        <v>973</v>
      </c>
    </row>
    <row r="100" spans="1:11" ht="19" x14ac:dyDescent="0.2">
      <c r="A100" s="57"/>
      <c r="B100" s="47"/>
      <c r="C100" s="51"/>
      <c r="D100" s="48"/>
      <c r="E100" s="49"/>
      <c r="F100" s="50"/>
      <c r="G100" s="50"/>
      <c r="H100" s="50"/>
      <c r="I100" s="50"/>
      <c r="J100" s="50">
        <v>20000</v>
      </c>
      <c r="K100" s="50" t="s">
        <v>249</v>
      </c>
    </row>
    <row r="101" spans="1:11" ht="19" x14ac:dyDescent="0.2">
      <c r="A101" s="61"/>
      <c r="B101" s="43"/>
      <c r="C101" s="46"/>
      <c r="D101" s="44"/>
      <c r="E101" s="62"/>
      <c r="F101" s="45"/>
      <c r="G101" s="45"/>
      <c r="H101" s="45"/>
      <c r="I101" s="45"/>
      <c r="J101" s="45"/>
      <c r="K101" s="45"/>
    </row>
    <row r="102" spans="1:11" ht="19" x14ac:dyDescent="0.2">
      <c r="A102" s="57">
        <v>1223000</v>
      </c>
      <c r="B102" s="47">
        <v>46078</v>
      </c>
      <c r="C102" s="51" t="s">
        <v>16</v>
      </c>
      <c r="D102" s="48" t="s">
        <v>168</v>
      </c>
      <c r="E102" s="49">
        <v>445000</v>
      </c>
      <c r="F102" s="50">
        <v>219000</v>
      </c>
      <c r="G102" s="50">
        <v>559000</v>
      </c>
      <c r="H102" s="50"/>
      <c r="I102" s="50"/>
      <c r="J102" s="50"/>
      <c r="K102" s="50"/>
    </row>
    <row r="103" spans="1:11" ht="19" x14ac:dyDescent="0.2">
      <c r="A103" s="61"/>
      <c r="B103" s="43"/>
      <c r="C103" s="46"/>
      <c r="D103" s="44"/>
      <c r="E103" s="62"/>
      <c r="F103" s="45"/>
      <c r="G103" s="45"/>
      <c r="H103" s="45"/>
      <c r="I103" s="45"/>
      <c r="J103" s="45"/>
      <c r="K103" s="45"/>
    </row>
    <row r="104" spans="1:11" ht="19" x14ac:dyDescent="0.2">
      <c r="A104" s="57">
        <v>847000</v>
      </c>
      <c r="B104" s="47">
        <v>46079</v>
      </c>
      <c r="C104" s="51" t="s">
        <v>16</v>
      </c>
      <c r="D104" s="48" t="s">
        <v>168</v>
      </c>
      <c r="E104" s="49">
        <v>329000</v>
      </c>
      <c r="F104" s="50">
        <v>73000</v>
      </c>
      <c r="G104" s="50">
        <v>445000</v>
      </c>
      <c r="H104" s="50"/>
      <c r="I104" s="50"/>
      <c r="J104" s="50"/>
      <c r="K104" s="50"/>
    </row>
    <row r="105" spans="1:11" ht="19" x14ac:dyDescent="0.2">
      <c r="A105" s="61"/>
      <c r="B105" s="43"/>
      <c r="C105" s="46"/>
      <c r="D105" s="44"/>
      <c r="E105" s="62"/>
      <c r="F105" s="45"/>
      <c r="G105" s="45"/>
      <c r="H105" s="45"/>
      <c r="I105" s="45"/>
      <c r="J105" s="45"/>
      <c r="K105" s="45"/>
    </row>
    <row r="106" spans="1:11" ht="19" x14ac:dyDescent="0.2">
      <c r="A106" s="57">
        <v>941000</v>
      </c>
      <c r="B106" s="47">
        <v>46080</v>
      </c>
      <c r="C106" s="51" t="s">
        <v>16</v>
      </c>
      <c r="D106" s="48" t="s">
        <v>168</v>
      </c>
      <c r="E106" s="49">
        <v>523000</v>
      </c>
      <c r="F106" s="50">
        <v>155000</v>
      </c>
      <c r="G106" s="50">
        <v>263000</v>
      </c>
      <c r="H106" s="50"/>
      <c r="I106" s="50"/>
      <c r="J106" s="50">
        <v>78000</v>
      </c>
      <c r="K106" s="50" t="s">
        <v>974</v>
      </c>
    </row>
    <row r="107" spans="1:11" ht="19" x14ac:dyDescent="0.2">
      <c r="A107" s="61"/>
      <c r="B107" s="43"/>
      <c r="C107" s="46"/>
      <c r="D107" s="44"/>
      <c r="E107" s="62"/>
      <c r="F107" s="45"/>
      <c r="G107" s="45"/>
      <c r="H107" s="45"/>
      <c r="I107" s="45"/>
      <c r="J107" s="45">
        <v>52000</v>
      </c>
      <c r="K107" s="45" t="s">
        <v>975</v>
      </c>
    </row>
    <row r="108" spans="1:11" ht="19" x14ac:dyDescent="0.2">
      <c r="A108" s="57"/>
      <c r="B108" s="47"/>
      <c r="C108" s="51"/>
      <c r="D108" s="48"/>
      <c r="E108" s="49"/>
      <c r="F108" s="50"/>
      <c r="G108" s="50"/>
      <c r="H108" s="50"/>
      <c r="I108" s="50"/>
      <c r="J108" s="50">
        <v>42000</v>
      </c>
      <c r="K108" s="50" t="s">
        <v>976</v>
      </c>
    </row>
    <row r="109" spans="1:11" ht="19" x14ac:dyDescent="0.2">
      <c r="A109" s="61"/>
      <c r="B109" s="43"/>
      <c r="C109" s="46"/>
      <c r="D109" s="44"/>
      <c r="E109" s="62"/>
      <c r="F109" s="45"/>
      <c r="G109" s="45"/>
      <c r="H109" s="45"/>
      <c r="I109" s="45"/>
      <c r="J109" s="45">
        <v>8000</v>
      </c>
      <c r="K109" s="45" t="s">
        <v>977</v>
      </c>
    </row>
    <row r="110" spans="1:11" ht="19" x14ac:dyDescent="0.2">
      <c r="A110" s="57"/>
      <c r="B110" s="47"/>
      <c r="C110" s="51"/>
      <c r="D110" s="48"/>
      <c r="E110" s="49"/>
      <c r="F110" s="50"/>
      <c r="G110" s="50"/>
      <c r="H110" s="50"/>
      <c r="I110" s="50"/>
      <c r="J110" s="50">
        <v>57000</v>
      </c>
      <c r="K110" s="50" t="s">
        <v>978</v>
      </c>
    </row>
    <row r="111" spans="1:11" ht="19" x14ac:dyDescent="0.2">
      <c r="A111" s="61">
        <v>813000</v>
      </c>
      <c r="B111" s="43">
        <v>46081</v>
      </c>
      <c r="C111" s="46" t="s">
        <v>16</v>
      </c>
      <c r="D111" s="44" t="s">
        <v>168</v>
      </c>
      <c r="E111" s="62">
        <v>390000</v>
      </c>
      <c r="F111" s="45">
        <v>95000</v>
      </c>
      <c r="G111" s="45">
        <v>328000</v>
      </c>
      <c r="H111" s="45">
        <v>2400000</v>
      </c>
      <c r="I111" s="45" t="s">
        <v>334</v>
      </c>
      <c r="J111" s="45">
        <v>10000</v>
      </c>
      <c r="K111" s="45" t="s">
        <v>979</v>
      </c>
    </row>
    <row r="112" spans="1:11" ht="19" x14ac:dyDescent="0.2">
      <c r="A112" s="57"/>
      <c r="B112" s="47"/>
      <c r="C112" s="51"/>
      <c r="D112" s="48"/>
      <c r="E112" s="49"/>
      <c r="F112" s="50"/>
      <c r="G112" s="50"/>
      <c r="H112" s="50"/>
      <c r="I112" s="50"/>
      <c r="J112" s="50"/>
      <c r="K112" s="50"/>
    </row>
    <row r="113" spans="1:11" ht="19" x14ac:dyDescent="0.2">
      <c r="A113" s="61"/>
      <c r="B113" s="43"/>
      <c r="C113" s="46"/>
      <c r="D113" s="44"/>
      <c r="E113" s="62"/>
      <c r="F113" s="45"/>
      <c r="G113" s="45"/>
      <c r="H113" s="45"/>
      <c r="I113" s="45"/>
      <c r="J113" s="45"/>
      <c r="K113" s="4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9DEE-9536-BC46-97EA-EF458D95AB4B}">
  <dimension ref="A3:K115"/>
  <sheetViews>
    <sheetView workbookViewId="0">
      <selection activeCell="G3" sqref="G3"/>
    </sheetView>
  </sheetViews>
  <sheetFormatPr baseColWidth="10" defaultRowHeight="15" x14ac:dyDescent="0.2"/>
  <cols>
    <col min="1" max="1" width="20.33203125" bestFit="1" customWidth="1"/>
    <col min="2" max="2" width="16.33203125" customWidth="1"/>
    <col min="3" max="3" width="13.33203125" bestFit="1" customWidth="1"/>
    <col min="5" max="5" width="20.33203125" bestFit="1" customWidth="1"/>
    <col min="6" max="6" width="29.1640625" customWidth="1"/>
    <col min="7" max="7" width="23.33203125" customWidth="1"/>
    <col min="8" max="8" width="26" customWidth="1"/>
    <col min="9" max="9" width="32" customWidth="1"/>
    <col min="10" max="10" width="19" bestFit="1" customWidth="1"/>
    <col min="11" max="11" width="25.6640625" bestFit="1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1017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2565997</v>
      </c>
      <c r="K6" s="30" t="s">
        <v>1016</v>
      </c>
    </row>
    <row r="7" spans="1:11" ht="26" x14ac:dyDescent="0.3">
      <c r="B7" s="32" t="s">
        <v>1074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SUM(A11:A604)</f>
        <v>25404000</v>
      </c>
      <c r="B10" s="39"/>
      <c r="C10" s="40" t="s">
        <v>15</v>
      </c>
      <c r="D10" s="41"/>
      <c r="E10" s="42">
        <f>SUM(E11:E604)</f>
        <v>11608000</v>
      </c>
      <c r="F10" s="38">
        <f>SUM(F11:F604)</f>
        <v>3911000</v>
      </c>
      <c r="G10" s="38">
        <f>SUM(G11:G599)</f>
        <v>9885000</v>
      </c>
      <c r="H10" s="38">
        <f>SUM(H11:H604)</f>
        <v>11709000</v>
      </c>
      <c r="I10" s="38"/>
      <c r="J10" s="38">
        <f>SUM(J11:J604)</f>
        <v>6526000</v>
      </c>
      <c r="K10" s="38"/>
    </row>
    <row r="11" spans="1:11" ht="21" x14ac:dyDescent="0.2">
      <c r="A11" s="96"/>
      <c r="B11" s="97">
        <v>46082</v>
      </c>
      <c r="C11" s="109" t="s">
        <v>125</v>
      </c>
      <c r="D11" s="99"/>
      <c r="E11" s="13"/>
      <c r="F11" s="13"/>
      <c r="G11" s="13"/>
      <c r="H11" s="13"/>
      <c r="I11" s="13"/>
      <c r="J11" s="13"/>
      <c r="K11" s="13"/>
    </row>
    <row r="12" spans="1:11" ht="19" x14ac:dyDescent="0.2">
      <c r="A12" s="53">
        <v>1146000</v>
      </c>
      <c r="B12" s="4">
        <v>46083</v>
      </c>
      <c r="C12" s="5" t="s">
        <v>16</v>
      </c>
      <c r="D12" s="2" t="s">
        <v>168</v>
      </c>
      <c r="E12" s="1">
        <v>543000</v>
      </c>
      <c r="F12" s="1">
        <v>99000</v>
      </c>
      <c r="G12" s="1">
        <v>504000</v>
      </c>
      <c r="H12" s="1"/>
      <c r="I12" s="1"/>
      <c r="J12" s="8">
        <v>20000</v>
      </c>
      <c r="K12" s="50" t="s">
        <v>249</v>
      </c>
    </row>
    <row r="13" spans="1:11" ht="19" x14ac:dyDescent="0.2">
      <c r="A13" s="54"/>
      <c r="B13" s="10"/>
      <c r="C13" s="14"/>
      <c r="D13" s="12"/>
      <c r="E13" s="15"/>
      <c r="F13" s="13"/>
      <c r="G13" s="13"/>
      <c r="H13" s="13"/>
      <c r="I13" s="13"/>
      <c r="J13" s="13">
        <v>30000</v>
      </c>
      <c r="K13" s="45" t="s">
        <v>812</v>
      </c>
    </row>
    <row r="14" spans="1:11" ht="19" x14ac:dyDescent="0.2">
      <c r="A14" s="53"/>
      <c r="B14" s="4"/>
      <c r="C14" s="5"/>
      <c r="D14" s="2"/>
      <c r="E14" s="3"/>
      <c r="F14" s="1"/>
      <c r="G14" s="1"/>
      <c r="H14" s="1"/>
      <c r="I14" s="1"/>
      <c r="J14" s="8">
        <v>30000</v>
      </c>
      <c r="K14" s="50" t="s">
        <v>814</v>
      </c>
    </row>
    <row r="15" spans="1:11" ht="19" x14ac:dyDescent="0.2">
      <c r="A15" s="56"/>
      <c r="B15" s="10"/>
      <c r="C15" s="14"/>
      <c r="D15" s="12"/>
      <c r="E15" s="15"/>
      <c r="F15" s="13"/>
      <c r="G15" s="13"/>
      <c r="H15" s="13"/>
      <c r="I15" s="13"/>
      <c r="J15" s="13">
        <v>20000</v>
      </c>
      <c r="K15" s="13" t="s">
        <v>859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>
        <v>20000</v>
      </c>
      <c r="K16" s="81" t="s">
        <v>913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23000</v>
      </c>
      <c r="K17" s="13" t="s">
        <v>877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>
        <v>36000</v>
      </c>
      <c r="K18" s="8" t="s">
        <v>984</v>
      </c>
    </row>
    <row r="19" spans="1:11" ht="19" x14ac:dyDescent="0.2">
      <c r="A19" s="56"/>
      <c r="B19" s="10"/>
      <c r="C19" s="16"/>
      <c r="D19" s="12"/>
      <c r="E19" s="15"/>
      <c r="F19" s="13"/>
      <c r="G19" s="13"/>
      <c r="H19" s="17"/>
      <c r="I19" s="17"/>
      <c r="J19" s="13">
        <v>20000</v>
      </c>
      <c r="K19" s="13" t="s">
        <v>875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20000</v>
      </c>
      <c r="K20" s="8" t="s">
        <v>927</v>
      </c>
    </row>
    <row r="21" spans="1:11" ht="19" x14ac:dyDescent="0.2">
      <c r="A21" s="56">
        <v>1270000</v>
      </c>
      <c r="B21" s="10">
        <v>46084</v>
      </c>
      <c r="C21" s="16" t="s">
        <v>16</v>
      </c>
      <c r="D21" s="12" t="s">
        <v>168</v>
      </c>
      <c r="E21" s="15">
        <v>639000</v>
      </c>
      <c r="F21" s="13">
        <v>130000</v>
      </c>
      <c r="G21" s="13">
        <v>501000</v>
      </c>
      <c r="H21" s="17"/>
      <c r="I21" s="17"/>
      <c r="J21" s="13">
        <v>1560000</v>
      </c>
      <c r="K21" s="13" t="s">
        <v>1018</v>
      </c>
    </row>
    <row r="22" spans="1:11" ht="19" x14ac:dyDescent="0.2">
      <c r="A22" s="55"/>
      <c r="B22" s="18"/>
      <c r="C22" s="19"/>
      <c r="D22" s="20"/>
      <c r="E22" s="21"/>
      <c r="F22" s="8"/>
      <c r="G22" s="8"/>
      <c r="H22" s="23"/>
      <c r="I22" s="23"/>
      <c r="J22" s="8"/>
      <c r="K22" s="8"/>
    </row>
    <row r="23" spans="1:11" ht="19" x14ac:dyDescent="0.2">
      <c r="A23" s="56">
        <v>926000</v>
      </c>
      <c r="B23" s="10">
        <v>46085</v>
      </c>
      <c r="C23" s="15" t="s">
        <v>16</v>
      </c>
      <c r="D23" s="12" t="s">
        <v>168</v>
      </c>
      <c r="E23" s="15">
        <v>498000</v>
      </c>
      <c r="F23" s="13">
        <v>149000</v>
      </c>
      <c r="G23" s="13">
        <v>279000</v>
      </c>
      <c r="H23" s="13"/>
      <c r="I23" s="13"/>
      <c r="J23" s="13">
        <v>39000</v>
      </c>
      <c r="K23" s="13" t="s">
        <v>985</v>
      </c>
    </row>
    <row r="24" spans="1:11" ht="19" x14ac:dyDescent="0.2">
      <c r="A24" s="55"/>
      <c r="B24" s="18"/>
      <c r="C24" s="19"/>
      <c r="D24" s="20"/>
      <c r="E24" s="21"/>
      <c r="F24" s="8"/>
      <c r="G24" s="8"/>
      <c r="H24" s="8"/>
      <c r="I24" s="8"/>
      <c r="J24" s="8">
        <v>250000</v>
      </c>
      <c r="K24" s="8" t="s">
        <v>21</v>
      </c>
    </row>
    <row r="25" spans="1:11" ht="19" x14ac:dyDescent="0.2">
      <c r="A25" s="56"/>
      <c r="B25" s="10"/>
      <c r="C25" s="15"/>
      <c r="D25" s="12"/>
      <c r="E25" s="15"/>
      <c r="F25" s="13"/>
      <c r="G25" s="13"/>
      <c r="H25" s="13"/>
      <c r="I25" s="13"/>
      <c r="J25" s="13">
        <v>160000</v>
      </c>
      <c r="K25" s="13" t="s">
        <v>327</v>
      </c>
    </row>
    <row r="26" spans="1:11" ht="19" x14ac:dyDescent="0.2">
      <c r="A26" s="55"/>
      <c r="B26" s="18"/>
      <c r="C26" s="19"/>
      <c r="D26" s="20"/>
      <c r="E26" s="21"/>
      <c r="F26" s="8"/>
      <c r="G26" s="8"/>
      <c r="H26" s="8"/>
      <c r="I26" s="8"/>
      <c r="J26" s="8"/>
      <c r="K26" s="8"/>
    </row>
    <row r="27" spans="1:11" ht="19" x14ac:dyDescent="0.2">
      <c r="A27" s="56">
        <v>819000</v>
      </c>
      <c r="B27" s="10">
        <v>46086</v>
      </c>
      <c r="C27" s="16" t="s">
        <v>16</v>
      </c>
      <c r="D27" s="12" t="s">
        <v>168</v>
      </c>
      <c r="E27" s="15">
        <v>153000</v>
      </c>
      <c r="F27" s="13">
        <v>255000</v>
      </c>
      <c r="G27" s="13">
        <v>411000</v>
      </c>
      <c r="H27" s="13"/>
      <c r="I27" s="13"/>
      <c r="J27" s="13">
        <v>30000</v>
      </c>
      <c r="K27" s="13" t="s">
        <v>249</v>
      </c>
    </row>
    <row r="28" spans="1:11" ht="19" x14ac:dyDescent="0.2">
      <c r="A28" s="55"/>
      <c r="B28" s="18"/>
      <c r="C28" s="19"/>
      <c r="D28" s="20"/>
      <c r="E28" s="21"/>
      <c r="F28" s="8"/>
      <c r="G28" s="8"/>
      <c r="H28" s="8"/>
      <c r="I28" s="8"/>
      <c r="J28" s="8"/>
      <c r="K28" s="8"/>
    </row>
    <row r="29" spans="1:11" ht="19" x14ac:dyDescent="0.2">
      <c r="A29" s="56">
        <v>904000</v>
      </c>
      <c r="B29" s="10">
        <v>46087</v>
      </c>
      <c r="C29" s="16" t="s">
        <v>16</v>
      </c>
      <c r="D29" s="12" t="s">
        <v>168</v>
      </c>
      <c r="E29" s="15">
        <v>381000</v>
      </c>
      <c r="F29" s="13">
        <v>208000</v>
      </c>
      <c r="G29" s="13">
        <v>315000</v>
      </c>
      <c r="H29" s="13"/>
      <c r="I29" s="13"/>
      <c r="J29" s="13">
        <v>90000</v>
      </c>
      <c r="K29" s="13" t="s">
        <v>986</v>
      </c>
    </row>
    <row r="30" spans="1:11" ht="19" x14ac:dyDescent="0.2">
      <c r="A30" s="55"/>
      <c r="B30" s="18"/>
      <c r="C30" s="22"/>
      <c r="D30" s="20"/>
      <c r="E30" s="21"/>
      <c r="F30" s="8"/>
      <c r="G30" s="8"/>
      <c r="H30" s="8"/>
      <c r="I30" s="8"/>
      <c r="J30" s="8">
        <v>54000</v>
      </c>
      <c r="K30" s="8" t="s">
        <v>40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>
        <v>29000</v>
      </c>
      <c r="K31" s="13" t="s">
        <v>122</v>
      </c>
    </row>
    <row r="32" spans="1:11" ht="19" x14ac:dyDescent="0.2">
      <c r="A32" s="55"/>
      <c r="B32" s="18"/>
      <c r="C32" s="22"/>
      <c r="D32" s="20"/>
      <c r="E32" s="21"/>
      <c r="F32" s="8"/>
      <c r="G32" s="8"/>
      <c r="H32" s="8"/>
      <c r="I32" s="8"/>
      <c r="J32" s="8">
        <v>45000</v>
      </c>
      <c r="K32" s="8" t="s">
        <v>987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>
        <v>24000</v>
      </c>
      <c r="K33" s="13" t="s">
        <v>988</v>
      </c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>
        <v>240000</v>
      </c>
      <c r="K34" s="8" t="s">
        <v>480</v>
      </c>
    </row>
    <row r="35" spans="1:11" ht="19" x14ac:dyDescent="0.2">
      <c r="A35" s="54">
        <v>1016000</v>
      </c>
      <c r="B35" s="10">
        <v>46088</v>
      </c>
      <c r="C35" s="14" t="s">
        <v>16</v>
      </c>
      <c r="D35" s="12" t="s">
        <v>168</v>
      </c>
      <c r="E35" s="15">
        <v>454000</v>
      </c>
      <c r="F35" s="13">
        <v>92000</v>
      </c>
      <c r="G35" s="13">
        <v>470000</v>
      </c>
      <c r="H35" s="13">
        <v>6753000</v>
      </c>
      <c r="I35" s="13" t="s">
        <v>1014</v>
      </c>
      <c r="J35" s="13"/>
      <c r="K35" s="13"/>
    </row>
    <row r="36" spans="1:11" ht="19" x14ac:dyDescent="0.2">
      <c r="A36" s="53"/>
      <c r="B36" s="18">
        <v>46089</v>
      </c>
      <c r="C36" s="22" t="s">
        <v>125</v>
      </c>
      <c r="D36" s="20"/>
      <c r="E36" s="21"/>
      <c r="F36" s="8"/>
      <c r="G36" s="8"/>
      <c r="H36" s="8">
        <v>1000000</v>
      </c>
      <c r="I36" s="8" t="s">
        <v>1015</v>
      </c>
      <c r="J36" s="8"/>
      <c r="K36" s="8"/>
    </row>
    <row r="37" spans="1:11" ht="19" x14ac:dyDescent="0.2">
      <c r="A37" s="56">
        <v>513000</v>
      </c>
      <c r="B37" s="11">
        <v>46090</v>
      </c>
      <c r="C37" s="13" t="s">
        <v>16</v>
      </c>
      <c r="D37" s="110" t="s">
        <v>168</v>
      </c>
      <c r="E37" s="13">
        <v>192000</v>
      </c>
      <c r="F37" s="13">
        <v>0</v>
      </c>
      <c r="G37" s="13">
        <v>321000</v>
      </c>
      <c r="H37" s="13"/>
      <c r="I37" s="13"/>
      <c r="J37" s="13"/>
      <c r="K37" s="79"/>
    </row>
    <row r="38" spans="1:11" ht="19" x14ac:dyDescent="0.2">
      <c r="A38" s="55"/>
      <c r="B38" s="18"/>
      <c r="C38" s="22"/>
      <c r="D38" s="20"/>
      <c r="E38" s="21"/>
      <c r="F38" s="8"/>
      <c r="G38" s="8"/>
      <c r="H38" s="8"/>
      <c r="I38" s="8"/>
      <c r="J38" s="8"/>
      <c r="K38" s="8"/>
    </row>
    <row r="39" spans="1:11" ht="19" x14ac:dyDescent="0.2">
      <c r="A39" s="56">
        <v>908000</v>
      </c>
      <c r="B39" s="10">
        <v>46091</v>
      </c>
      <c r="C39" s="14" t="s">
        <v>16</v>
      </c>
      <c r="D39" s="12" t="s">
        <v>168</v>
      </c>
      <c r="E39" s="15">
        <v>360000</v>
      </c>
      <c r="F39" s="13">
        <v>127000</v>
      </c>
      <c r="G39" s="13">
        <v>421000</v>
      </c>
      <c r="H39" s="13"/>
      <c r="I39" s="13"/>
      <c r="J39" s="13">
        <v>18000</v>
      </c>
      <c r="K39" s="13" t="s">
        <v>249</v>
      </c>
    </row>
    <row r="40" spans="1:11" ht="19" x14ac:dyDescent="0.2">
      <c r="A40" s="55"/>
      <c r="B40" s="18"/>
      <c r="C40" s="22"/>
      <c r="D40" s="20"/>
      <c r="E40" s="21"/>
      <c r="F40" s="8"/>
      <c r="G40" s="8"/>
      <c r="H40" s="8"/>
      <c r="I40" s="8"/>
      <c r="J40" s="8">
        <v>26000</v>
      </c>
      <c r="K40" s="8" t="s">
        <v>812</v>
      </c>
    </row>
    <row r="41" spans="1:11" ht="19" x14ac:dyDescent="0.2">
      <c r="A41" s="56"/>
      <c r="B41" s="10"/>
      <c r="C41" s="14"/>
      <c r="D41" s="12"/>
      <c r="E41" s="15"/>
      <c r="F41" s="13"/>
      <c r="G41" s="13"/>
      <c r="H41" s="13"/>
      <c r="I41" s="13"/>
      <c r="J41" s="13">
        <v>33000</v>
      </c>
      <c r="K41" s="13" t="s">
        <v>807</v>
      </c>
    </row>
    <row r="42" spans="1:11" ht="19" x14ac:dyDescent="0.2">
      <c r="A42" s="55"/>
      <c r="B42" s="18"/>
      <c r="C42" s="22"/>
      <c r="D42" s="20"/>
      <c r="E42" s="21"/>
      <c r="F42" s="8"/>
      <c r="G42" s="8"/>
      <c r="H42" s="8"/>
      <c r="I42" s="8"/>
      <c r="J42" s="8">
        <v>22000</v>
      </c>
      <c r="K42" s="8" t="s">
        <v>927</v>
      </c>
    </row>
    <row r="43" spans="1:11" ht="19" x14ac:dyDescent="0.2">
      <c r="A43" s="56"/>
      <c r="B43" s="10"/>
      <c r="C43" s="14"/>
      <c r="D43" s="12"/>
      <c r="E43" s="15"/>
      <c r="F43" s="13"/>
      <c r="G43" s="13"/>
      <c r="H43" s="13"/>
      <c r="I43" s="13"/>
      <c r="J43" s="13">
        <v>23000</v>
      </c>
      <c r="K43" s="13" t="s">
        <v>877</v>
      </c>
    </row>
    <row r="44" spans="1:11" ht="19" x14ac:dyDescent="0.2">
      <c r="A44" s="55"/>
      <c r="B44" s="18"/>
      <c r="C44" s="22"/>
      <c r="D44" s="20"/>
      <c r="E44" s="21"/>
      <c r="F44" s="8"/>
      <c r="G44" s="8"/>
      <c r="H44" s="8"/>
      <c r="I44" s="105"/>
      <c r="J44" s="8">
        <v>25000</v>
      </c>
      <c r="K44" s="8" t="s">
        <v>913</v>
      </c>
    </row>
    <row r="45" spans="1:11" ht="19" x14ac:dyDescent="0.2">
      <c r="A45" s="56"/>
      <c r="B45" s="10"/>
      <c r="C45" s="14"/>
      <c r="D45" s="12"/>
      <c r="E45" s="15"/>
      <c r="F45" s="13"/>
      <c r="G45" s="13"/>
      <c r="H45" s="13"/>
      <c r="I45" s="13"/>
      <c r="J45" s="45">
        <v>20000</v>
      </c>
      <c r="K45" s="45" t="s">
        <v>859</v>
      </c>
    </row>
    <row r="46" spans="1:11" ht="19" x14ac:dyDescent="0.2">
      <c r="A46" s="59">
        <v>1353000</v>
      </c>
      <c r="B46" s="47">
        <v>46092</v>
      </c>
      <c r="C46" s="51" t="s">
        <v>16</v>
      </c>
      <c r="D46" s="48" t="s">
        <v>168</v>
      </c>
      <c r="E46" s="49">
        <v>728000</v>
      </c>
      <c r="F46" s="50">
        <v>224000</v>
      </c>
      <c r="G46" s="50">
        <v>401000</v>
      </c>
      <c r="H46" s="50"/>
      <c r="I46" s="50"/>
      <c r="J46" s="50"/>
      <c r="K46" s="50"/>
    </row>
    <row r="47" spans="1:11" ht="19" x14ac:dyDescent="0.2">
      <c r="A47" s="58"/>
      <c r="B47" s="43"/>
      <c r="C47" s="46"/>
      <c r="D47" s="44"/>
      <c r="E47" s="15"/>
      <c r="F47" s="13"/>
      <c r="G47" s="13"/>
      <c r="H47" s="45"/>
      <c r="I47" s="45"/>
      <c r="J47" s="45"/>
      <c r="K47" s="45"/>
    </row>
    <row r="48" spans="1:11" ht="19" x14ac:dyDescent="0.2">
      <c r="A48" s="57">
        <v>1166000</v>
      </c>
      <c r="B48" s="47">
        <v>46093</v>
      </c>
      <c r="C48" s="51" t="s">
        <v>16</v>
      </c>
      <c r="D48" s="48" t="s">
        <v>168</v>
      </c>
      <c r="E48" s="49">
        <v>784000</v>
      </c>
      <c r="F48" s="50">
        <v>42000</v>
      </c>
      <c r="G48" s="50">
        <v>340000</v>
      </c>
      <c r="H48" s="50"/>
      <c r="I48" s="50"/>
      <c r="J48" s="50">
        <v>15000</v>
      </c>
      <c r="K48" s="50" t="s">
        <v>989</v>
      </c>
    </row>
    <row r="49" spans="1:11" ht="19" x14ac:dyDescent="0.2">
      <c r="A49" s="61"/>
      <c r="B49" s="43"/>
      <c r="C49" s="46"/>
      <c r="D49" s="44"/>
      <c r="E49" s="62"/>
      <c r="F49" s="45"/>
      <c r="G49" s="45"/>
      <c r="H49" s="45"/>
      <c r="I49" s="45"/>
      <c r="J49" s="45">
        <v>30000</v>
      </c>
      <c r="K49" s="45" t="s">
        <v>990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24000</v>
      </c>
      <c r="K50" s="50" t="s">
        <v>249</v>
      </c>
    </row>
    <row r="51" spans="1:11" ht="19" x14ac:dyDescent="0.2">
      <c r="A51" s="61">
        <v>1200000</v>
      </c>
      <c r="B51" s="43">
        <v>46094</v>
      </c>
      <c r="C51" s="46" t="s">
        <v>16</v>
      </c>
      <c r="D51" s="44" t="s">
        <v>168</v>
      </c>
      <c r="E51" s="62">
        <v>380000</v>
      </c>
      <c r="F51" s="45">
        <v>271000</v>
      </c>
      <c r="G51" s="45">
        <v>549000</v>
      </c>
      <c r="H51" s="45"/>
      <c r="I51" s="45"/>
      <c r="J51" s="45"/>
      <c r="K51" s="45"/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100000</v>
      </c>
      <c r="K52" s="50" t="s">
        <v>523</v>
      </c>
    </row>
    <row r="53" spans="1:11" ht="32" x14ac:dyDescent="0.2">
      <c r="A53" s="61">
        <v>529000</v>
      </c>
      <c r="B53" s="43">
        <v>46095</v>
      </c>
      <c r="C53" s="46" t="s">
        <v>16</v>
      </c>
      <c r="D53" s="44" t="s">
        <v>168</v>
      </c>
      <c r="E53" s="62">
        <v>332000</v>
      </c>
      <c r="F53" s="45">
        <v>56000</v>
      </c>
      <c r="G53" s="45">
        <v>141000</v>
      </c>
      <c r="H53" s="45">
        <v>1052000</v>
      </c>
      <c r="I53" s="106" t="s">
        <v>912</v>
      </c>
      <c r="J53" s="45">
        <v>30000</v>
      </c>
      <c r="K53" s="45" t="s">
        <v>343</v>
      </c>
    </row>
    <row r="54" spans="1:11" ht="19" x14ac:dyDescent="0.2">
      <c r="A54" s="57"/>
      <c r="B54" s="47">
        <v>46096</v>
      </c>
      <c r="C54" s="51" t="s">
        <v>125</v>
      </c>
      <c r="D54" s="48"/>
      <c r="E54" s="49"/>
      <c r="F54" s="50"/>
      <c r="G54" s="50"/>
      <c r="H54" s="50"/>
      <c r="I54" s="50"/>
      <c r="J54" s="50">
        <v>27000</v>
      </c>
      <c r="K54" s="50" t="s">
        <v>991</v>
      </c>
    </row>
    <row r="55" spans="1:11" ht="19" x14ac:dyDescent="0.2">
      <c r="A55" s="61">
        <v>1104000</v>
      </c>
      <c r="B55" s="43">
        <v>46097</v>
      </c>
      <c r="C55" s="46" t="s">
        <v>16</v>
      </c>
      <c r="D55" s="44" t="s">
        <v>168</v>
      </c>
      <c r="E55" s="62">
        <v>524000</v>
      </c>
      <c r="F55" s="45">
        <v>63000</v>
      </c>
      <c r="G55" s="45">
        <v>517000</v>
      </c>
      <c r="H55" s="45"/>
      <c r="I55" s="45"/>
      <c r="J55" s="45">
        <v>18000</v>
      </c>
      <c r="K55" s="45" t="s">
        <v>992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>
        <v>100000</v>
      </c>
      <c r="K56" s="63" t="s">
        <v>197</v>
      </c>
    </row>
    <row r="57" spans="1:11" ht="19" x14ac:dyDescent="0.2">
      <c r="A57" s="61"/>
      <c r="B57" s="43"/>
      <c r="C57" s="46"/>
      <c r="D57" s="44"/>
      <c r="E57" s="62"/>
      <c r="F57" s="45"/>
      <c r="G57" s="45"/>
      <c r="H57" s="45"/>
      <c r="I57" s="45"/>
      <c r="J57" s="45">
        <v>250000</v>
      </c>
      <c r="K57" s="45" t="s">
        <v>993</v>
      </c>
    </row>
    <row r="58" spans="1:11" ht="19" x14ac:dyDescent="0.2">
      <c r="A58" s="57"/>
      <c r="B58" s="47"/>
      <c r="C58" s="51"/>
      <c r="D58" s="48"/>
      <c r="E58" s="49"/>
      <c r="F58" s="50"/>
      <c r="G58" s="50"/>
      <c r="H58" s="50"/>
      <c r="I58" s="50"/>
      <c r="J58" s="50">
        <v>160000</v>
      </c>
      <c r="K58" s="50" t="s">
        <v>327</v>
      </c>
    </row>
    <row r="59" spans="1:11" ht="19" x14ac:dyDescent="0.2">
      <c r="A59" s="61">
        <v>867000</v>
      </c>
      <c r="B59" s="43">
        <v>46098</v>
      </c>
      <c r="C59" s="46" t="s">
        <v>16</v>
      </c>
      <c r="D59" s="44" t="s">
        <v>168</v>
      </c>
      <c r="E59" s="62">
        <v>260000</v>
      </c>
      <c r="F59" s="45">
        <v>160000</v>
      </c>
      <c r="G59" s="45">
        <v>447000</v>
      </c>
      <c r="H59" s="45"/>
      <c r="I59" s="45"/>
      <c r="J59" s="45">
        <v>50000</v>
      </c>
      <c r="K59" s="45" t="s">
        <v>396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/>
      <c r="K60" s="50"/>
    </row>
    <row r="61" spans="1:11" ht="19" x14ac:dyDescent="0.2">
      <c r="A61" s="61">
        <v>1132000</v>
      </c>
      <c r="B61" s="43">
        <v>46099</v>
      </c>
      <c r="C61" s="46" t="s">
        <v>16</v>
      </c>
      <c r="D61" s="44" t="s">
        <v>168</v>
      </c>
      <c r="E61" s="62">
        <v>645000</v>
      </c>
      <c r="F61" s="45">
        <v>126000</v>
      </c>
      <c r="G61" s="45">
        <v>361000</v>
      </c>
      <c r="H61" s="45"/>
      <c r="I61" s="45"/>
      <c r="J61" s="45"/>
      <c r="K61" s="45"/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/>
      <c r="K62" s="50"/>
    </row>
    <row r="63" spans="1:11" ht="19" x14ac:dyDescent="0.2">
      <c r="A63" s="61">
        <v>929000</v>
      </c>
      <c r="B63" s="43">
        <v>46100</v>
      </c>
      <c r="C63" s="46" t="s">
        <v>16</v>
      </c>
      <c r="D63" s="44" t="s">
        <v>168</v>
      </c>
      <c r="E63" s="62">
        <v>440000</v>
      </c>
      <c r="F63" s="45">
        <v>84000</v>
      </c>
      <c r="G63" s="45">
        <v>405000</v>
      </c>
      <c r="H63" s="45"/>
      <c r="I63" s="45"/>
      <c r="J63" s="45">
        <v>164000</v>
      </c>
      <c r="K63" s="45" t="s">
        <v>994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12000</v>
      </c>
      <c r="K64" s="50" t="s">
        <v>317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54000</v>
      </c>
      <c r="K65" s="45" t="s">
        <v>199</v>
      </c>
    </row>
    <row r="66" spans="1:11" ht="19" x14ac:dyDescent="0.2">
      <c r="A66" s="57">
        <v>586000</v>
      </c>
      <c r="B66" s="47">
        <v>46101</v>
      </c>
      <c r="C66" s="51" t="s">
        <v>16</v>
      </c>
      <c r="D66" s="48" t="s">
        <v>168</v>
      </c>
      <c r="E66" s="49">
        <v>96000</v>
      </c>
      <c r="F66" s="50">
        <v>179000</v>
      </c>
      <c r="G66" s="50">
        <v>311000</v>
      </c>
      <c r="H66" s="50"/>
      <c r="I66" s="50"/>
      <c r="J66" s="50"/>
      <c r="K66" s="50"/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/>
      <c r="K67" s="45"/>
    </row>
    <row r="68" spans="1:11" ht="19" x14ac:dyDescent="0.2">
      <c r="A68" s="57">
        <v>413000</v>
      </c>
      <c r="B68" s="47">
        <v>46102</v>
      </c>
      <c r="C68" s="51" t="s">
        <v>16</v>
      </c>
      <c r="D68" s="48" t="s">
        <v>168</v>
      </c>
      <c r="E68" s="49">
        <v>134000</v>
      </c>
      <c r="F68" s="50">
        <v>104000</v>
      </c>
      <c r="G68" s="50">
        <v>175000</v>
      </c>
      <c r="H68" s="50"/>
      <c r="I68" s="50"/>
      <c r="J68" s="50"/>
      <c r="K68" s="50"/>
    </row>
    <row r="69" spans="1:11" ht="19" x14ac:dyDescent="0.2">
      <c r="A69" s="61"/>
      <c r="B69" s="43">
        <v>46103</v>
      </c>
      <c r="C69" s="46" t="s">
        <v>125</v>
      </c>
      <c r="D69" s="44"/>
      <c r="E69" s="62"/>
      <c r="F69" s="45"/>
      <c r="G69" s="45"/>
      <c r="H69" s="45"/>
      <c r="I69" s="45"/>
      <c r="J69" s="45"/>
      <c r="K69" s="45"/>
    </row>
    <row r="70" spans="1:11" ht="19" x14ac:dyDescent="0.2">
      <c r="A70" s="57">
        <v>801000</v>
      </c>
      <c r="B70" s="47">
        <v>46104</v>
      </c>
      <c r="C70" s="51" t="s">
        <v>16</v>
      </c>
      <c r="D70" s="48" t="s">
        <v>168</v>
      </c>
      <c r="E70" s="49">
        <v>373000</v>
      </c>
      <c r="F70" s="50">
        <v>159000</v>
      </c>
      <c r="G70" s="50">
        <v>269000</v>
      </c>
      <c r="H70" s="50"/>
      <c r="I70" s="50"/>
      <c r="J70" s="50">
        <v>16000</v>
      </c>
      <c r="K70" s="50" t="s">
        <v>249</v>
      </c>
    </row>
    <row r="71" spans="1:11" ht="19" x14ac:dyDescent="0.2">
      <c r="A71" s="61"/>
      <c r="B71" s="43"/>
      <c r="C71" s="46"/>
      <c r="D71" s="44"/>
      <c r="E71" s="62"/>
      <c r="F71" s="45"/>
      <c r="G71" s="45"/>
      <c r="H71" s="45"/>
      <c r="I71" s="45"/>
      <c r="J71" s="45"/>
      <c r="K71" s="45"/>
    </row>
    <row r="72" spans="1:11" ht="19" x14ac:dyDescent="0.2">
      <c r="A72" s="57">
        <v>652000</v>
      </c>
      <c r="B72" s="47">
        <v>46105</v>
      </c>
      <c r="C72" s="51" t="s">
        <v>16</v>
      </c>
      <c r="D72" s="48" t="s">
        <v>168</v>
      </c>
      <c r="E72" s="49">
        <v>369000</v>
      </c>
      <c r="F72" s="50">
        <v>0</v>
      </c>
      <c r="G72" s="50">
        <v>283000</v>
      </c>
      <c r="H72" s="50"/>
      <c r="I72" s="50"/>
      <c r="J72" s="50">
        <v>100000</v>
      </c>
      <c r="K72" s="50" t="s">
        <v>197</v>
      </c>
    </row>
    <row r="73" spans="1:11" ht="19" x14ac:dyDescent="0.2">
      <c r="A73" s="61"/>
      <c r="B73" s="43"/>
      <c r="C73" s="46"/>
      <c r="D73" s="44"/>
      <c r="E73" s="62"/>
      <c r="F73" s="45"/>
      <c r="G73" s="45"/>
      <c r="H73" s="45"/>
      <c r="I73" s="45"/>
      <c r="J73" s="45">
        <v>120000</v>
      </c>
      <c r="K73" s="45" t="s">
        <v>995</v>
      </c>
    </row>
    <row r="74" spans="1:11" ht="19" x14ac:dyDescent="0.2">
      <c r="A74" s="57">
        <v>1509000</v>
      </c>
      <c r="B74" s="47">
        <v>46106</v>
      </c>
      <c r="C74" s="51" t="s">
        <v>16</v>
      </c>
      <c r="D74" s="48" t="s">
        <v>168</v>
      </c>
      <c r="E74" s="49">
        <v>718000</v>
      </c>
      <c r="F74" s="50">
        <v>152000</v>
      </c>
      <c r="G74" s="50">
        <v>639000</v>
      </c>
      <c r="H74" s="50"/>
      <c r="I74" s="50"/>
      <c r="J74" s="50">
        <v>45000</v>
      </c>
      <c r="K74" s="50" t="s">
        <v>124</v>
      </c>
    </row>
    <row r="75" spans="1:11" ht="19" x14ac:dyDescent="0.2">
      <c r="A75" s="61"/>
      <c r="B75" s="43"/>
      <c r="C75" s="46"/>
      <c r="D75" s="44"/>
      <c r="E75" s="62"/>
      <c r="F75" s="45"/>
      <c r="G75" s="45"/>
      <c r="H75" s="45"/>
      <c r="I75" s="45"/>
      <c r="J75" s="45">
        <v>48000</v>
      </c>
      <c r="K75" s="45" t="s">
        <v>76</v>
      </c>
    </row>
    <row r="76" spans="1:11" ht="19" x14ac:dyDescent="0.2">
      <c r="A76" s="57"/>
      <c r="B76" s="47"/>
      <c r="C76" s="51"/>
      <c r="D76" s="51"/>
      <c r="E76" s="49"/>
      <c r="F76" s="50"/>
      <c r="G76" s="50"/>
      <c r="H76" s="50"/>
      <c r="I76" s="50"/>
      <c r="J76" s="50">
        <v>36000</v>
      </c>
      <c r="K76" s="50" t="s">
        <v>737</v>
      </c>
    </row>
    <row r="77" spans="1:11" ht="19" x14ac:dyDescent="0.2">
      <c r="A77" s="61"/>
      <c r="B77" s="43"/>
      <c r="C77" s="46"/>
      <c r="D77" s="44"/>
      <c r="E77" s="62"/>
      <c r="F77" s="45"/>
      <c r="G77" s="45"/>
      <c r="H77" s="45"/>
      <c r="I77" s="45"/>
      <c r="J77" s="45">
        <v>59000</v>
      </c>
      <c r="K77" s="45" t="s">
        <v>139</v>
      </c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>
        <v>61000</v>
      </c>
      <c r="K78" s="50" t="s">
        <v>695</v>
      </c>
    </row>
    <row r="79" spans="1:11" ht="19" x14ac:dyDescent="0.2">
      <c r="A79" s="61"/>
      <c r="B79" s="43"/>
      <c r="C79" s="46"/>
      <c r="D79" s="44"/>
      <c r="E79" s="62"/>
      <c r="F79" s="45"/>
      <c r="G79" s="45"/>
      <c r="H79" s="45"/>
      <c r="I79" s="45"/>
      <c r="J79" s="45">
        <v>7000</v>
      </c>
      <c r="K79" s="45" t="s">
        <v>996</v>
      </c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>
        <v>250000</v>
      </c>
      <c r="K80" s="50" t="s">
        <v>21</v>
      </c>
    </row>
    <row r="81" spans="1:11" ht="19" x14ac:dyDescent="0.2">
      <c r="A81" s="61"/>
      <c r="B81" s="43"/>
      <c r="C81" s="46"/>
      <c r="D81" s="44"/>
      <c r="E81" s="62"/>
      <c r="F81" s="45"/>
      <c r="G81" s="45"/>
      <c r="H81" s="45"/>
      <c r="I81" s="45"/>
      <c r="J81" s="45">
        <v>50000</v>
      </c>
      <c r="K81" s="45" t="s">
        <v>396</v>
      </c>
    </row>
    <row r="82" spans="1:11" ht="19" x14ac:dyDescent="0.2">
      <c r="A82" s="57">
        <v>1004000</v>
      </c>
      <c r="B82" s="47">
        <v>46107</v>
      </c>
      <c r="C82" s="51" t="s">
        <v>16</v>
      </c>
      <c r="D82" s="48" t="s">
        <v>168</v>
      </c>
      <c r="E82" s="49">
        <v>416000</v>
      </c>
      <c r="F82" s="50">
        <v>248000</v>
      </c>
      <c r="G82" s="50">
        <v>340000</v>
      </c>
      <c r="H82" s="50"/>
      <c r="I82" s="50"/>
      <c r="J82" s="50">
        <v>30000</v>
      </c>
      <c r="K82" s="50" t="s">
        <v>814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36000</v>
      </c>
      <c r="K83" s="45" t="s">
        <v>997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>
        <v>30000</v>
      </c>
      <c r="K84" s="50" t="s">
        <v>875</v>
      </c>
    </row>
    <row r="85" spans="1:11" ht="19" x14ac:dyDescent="0.2">
      <c r="A85" s="61"/>
      <c r="B85" s="43"/>
      <c r="C85" s="46"/>
      <c r="D85" s="44"/>
      <c r="E85" s="62"/>
      <c r="F85" s="45"/>
      <c r="G85" s="45"/>
      <c r="H85" s="45"/>
      <c r="I85" s="45"/>
      <c r="J85" s="45">
        <v>20000</v>
      </c>
      <c r="K85" s="45" t="s">
        <v>807</v>
      </c>
    </row>
    <row r="86" spans="1:11" ht="19" x14ac:dyDescent="0.2">
      <c r="A86" s="57"/>
      <c r="B86" s="47"/>
      <c r="C86" s="51"/>
      <c r="D86" s="48"/>
      <c r="E86" s="49"/>
      <c r="F86" s="50"/>
      <c r="G86" s="50"/>
      <c r="H86" s="50"/>
      <c r="I86" s="50"/>
      <c r="J86" s="50">
        <v>32000</v>
      </c>
      <c r="K86" s="50" t="s">
        <v>998</v>
      </c>
    </row>
    <row r="87" spans="1:11" ht="19" x14ac:dyDescent="0.2">
      <c r="A87" s="61"/>
      <c r="B87" s="43"/>
      <c r="C87" s="46"/>
      <c r="D87" s="44"/>
      <c r="E87" s="62"/>
      <c r="F87" s="45"/>
      <c r="G87" s="45"/>
      <c r="H87" s="45"/>
      <c r="I87" s="45"/>
      <c r="J87" s="45">
        <v>33000</v>
      </c>
      <c r="K87" s="45" t="s">
        <v>803</v>
      </c>
    </row>
    <row r="88" spans="1:11" ht="19" x14ac:dyDescent="0.2">
      <c r="A88" s="57"/>
      <c r="B88" s="47"/>
      <c r="C88" s="51"/>
      <c r="D88" s="48"/>
      <c r="E88" s="49"/>
      <c r="F88" s="50"/>
      <c r="G88" s="50"/>
      <c r="H88" s="50"/>
      <c r="I88" s="50"/>
      <c r="J88" s="50">
        <v>40000</v>
      </c>
      <c r="K88" s="50" t="s">
        <v>999</v>
      </c>
    </row>
    <row r="89" spans="1:11" ht="19" x14ac:dyDescent="0.2">
      <c r="A89" s="61"/>
      <c r="B89" s="43"/>
      <c r="C89" s="46"/>
      <c r="D89" s="44"/>
      <c r="E89" s="62"/>
      <c r="F89" s="45"/>
      <c r="G89" s="45"/>
      <c r="H89" s="45"/>
      <c r="I89" s="45"/>
      <c r="J89" s="45">
        <v>26000</v>
      </c>
      <c r="K89" s="45" t="s">
        <v>1000</v>
      </c>
    </row>
    <row r="90" spans="1:11" ht="19" x14ac:dyDescent="0.2">
      <c r="A90" s="57">
        <v>1031000</v>
      </c>
      <c r="B90" s="47">
        <v>46108</v>
      </c>
      <c r="C90" s="51" t="s">
        <v>16</v>
      </c>
      <c r="D90" s="48" t="s">
        <v>168</v>
      </c>
      <c r="E90" s="49">
        <v>594000</v>
      </c>
      <c r="F90" s="50">
        <v>197000</v>
      </c>
      <c r="G90" s="50">
        <v>240000</v>
      </c>
      <c r="H90" s="50"/>
      <c r="I90" s="50"/>
      <c r="J90" s="50">
        <v>26000</v>
      </c>
      <c r="K90" s="50" t="s">
        <v>249</v>
      </c>
    </row>
    <row r="91" spans="1:11" ht="19" x14ac:dyDescent="0.2">
      <c r="A91" s="61"/>
      <c r="B91" s="43"/>
      <c r="C91" s="46"/>
      <c r="D91" s="44"/>
      <c r="E91" s="62"/>
      <c r="F91" s="45"/>
      <c r="G91" s="45"/>
      <c r="H91" s="45"/>
      <c r="I91" s="45"/>
      <c r="J91" s="45">
        <v>100000</v>
      </c>
      <c r="K91" s="45" t="s">
        <v>197</v>
      </c>
    </row>
    <row r="92" spans="1:11" ht="19" x14ac:dyDescent="0.2">
      <c r="A92" s="57">
        <v>626000</v>
      </c>
      <c r="B92" s="47">
        <v>46109</v>
      </c>
      <c r="C92" s="51" t="s">
        <v>16</v>
      </c>
      <c r="D92" s="48" t="s">
        <v>168</v>
      </c>
      <c r="E92" s="49">
        <v>153000</v>
      </c>
      <c r="F92" s="50">
        <v>223000</v>
      </c>
      <c r="G92" s="50">
        <v>250000</v>
      </c>
      <c r="H92" s="50"/>
      <c r="I92" s="50"/>
      <c r="J92" s="50">
        <v>39000</v>
      </c>
      <c r="K92" s="50" t="s">
        <v>1001</v>
      </c>
    </row>
    <row r="93" spans="1:11" ht="19" x14ac:dyDescent="0.2">
      <c r="A93" s="61"/>
      <c r="B93" s="43"/>
      <c r="C93" s="46"/>
      <c r="D93" s="44"/>
      <c r="E93" s="62"/>
      <c r="F93" s="45"/>
      <c r="G93" s="45"/>
      <c r="H93" s="45"/>
      <c r="I93" s="45"/>
      <c r="J93" s="45">
        <v>40000</v>
      </c>
      <c r="K93" s="45" t="s">
        <v>40</v>
      </c>
    </row>
    <row r="94" spans="1:11" ht="19" x14ac:dyDescent="0.2">
      <c r="A94" s="57"/>
      <c r="B94" s="47"/>
      <c r="C94" s="51"/>
      <c r="D94" s="48"/>
      <c r="E94" s="49"/>
      <c r="F94" s="50"/>
      <c r="G94" s="50"/>
      <c r="H94" s="50"/>
      <c r="I94" s="50"/>
      <c r="J94" s="50">
        <v>66000</v>
      </c>
      <c r="K94" s="50" t="s">
        <v>1002</v>
      </c>
    </row>
    <row r="95" spans="1:11" ht="19" x14ac:dyDescent="0.2">
      <c r="A95" s="61"/>
      <c r="B95" s="43"/>
      <c r="C95" s="46"/>
      <c r="D95" s="44"/>
      <c r="E95" s="62"/>
      <c r="F95" s="45"/>
      <c r="G95" s="45"/>
      <c r="H95" s="45"/>
      <c r="I95" s="45"/>
      <c r="J95" s="45">
        <v>20000</v>
      </c>
      <c r="K95" s="45" t="s">
        <v>594</v>
      </c>
    </row>
    <row r="96" spans="1:11" ht="19" x14ac:dyDescent="0.2">
      <c r="A96" s="57"/>
      <c r="B96" s="47"/>
      <c r="C96" s="51"/>
      <c r="D96" s="48"/>
      <c r="E96" s="49"/>
      <c r="F96" s="50"/>
      <c r="G96" s="50"/>
      <c r="H96" s="50"/>
      <c r="I96" s="50"/>
      <c r="J96" s="50">
        <v>15000</v>
      </c>
      <c r="K96" s="50" t="s">
        <v>1003</v>
      </c>
    </row>
    <row r="97" spans="1:11" ht="19" x14ac:dyDescent="0.2">
      <c r="A97" s="61"/>
      <c r="B97" s="43"/>
      <c r="C97" s="46"/>
      <c r="D97" s="44"/>
      <c r="E97" s="62"/>
      <c r="F97" s="45"/>
      <c r="G97" s="45"/>
      <c r="H97" s="45"/>
      <c r="I97" s="45"/>
      <c r="J97" s="45">
        <v>97000</v>
      </c>
      <c r="K97" s="45" t="s">
        <v>1004</v>
      </c>
    </row>
    <row r="98" spans="1:11" ht="19" x14ac:dyDescent="0.2">
      <c r="A98" s="57"/>
      <c r="B98" s="47"/>
      <c r="C98" s="51"/>
      <c r="D98" s="48"/>
      <c r="E98" s="49"/>
      <c r="F98" s="50"/>
      <c r="G98" s="50"/>
      <c r="H98" s="50"/>
      <c r="I98" s="50"/>
      <c r="J98" s="50">
        <v>160000</v>
      </c>
      <c r="K98" s="50" t="s">
        <v>27</v>
      </c>
    </row>
    <row r="99" spans="1:11" ht="19" x14ac:dyDescent="0.2">
      <c r="A99" s="61"/>
      <c r="B99" s="43"/>
      <c r="C99" s="46"/>
      <c r="D99" s="44"/>
      <c r="E99" s="62"/>
      <c r="F99" s="45"/>
      <c r="G99" s="45"/>
      <c r="H99" s="45"/>
      <c r="I99" s="45"/>
      <c r="J99" s="45">
        <v>105000</v>
      </c>
      <c r="K99" s="45" t="s">
        <v>28</v>
      </c>
    </row>
    <row r="100" spans="1:11" ht="19" x14ac:dyDescent="0.2">
      <c r="A100" s="57"/>
      <c r="B100" s="47"/>
      <c r="C100" s="51"/>
      <c r="D100" s="48"/>
      <c r="E100" s="49"/>
      <c r="F100" s="50"/>
      <c r="G100" s="50"/>
      <c r="H100" s="50"/>
      <c r="I100" s="50"/>
      <c r="J100" s="50">
        <v>240000</v>
      </c>
      <c r="K100" s="50" t="s">
        <v>480</v>
      </c>
    </row>
    <row r="101" spans="1:11" ht="19" x14ac:dyDescent="0.2">
      <c r="A101" s="61"/>
      <c r="B101" s="43">
        <v>46110</v>
      </c>
      <c r="C101" s="46" t="s">
        <v>125</v>
      </c>
      <c r="D101" s="44"/>
      <c r="E101" s="62"/>
      <c r="F101" s="45"/>
      <c r="G101" s="45"/>
      <c r="H101" s="45"/>
      <c r="I101" s="45"/>
      <c r="J101" s="45"/>
      <c r="K101" s="45"/>
    </row>
    <row r="102" spans="1:11" ht="19" x14ac:dyDescent="0.2">
      <c r="A102" s="57">
        <v>1664000</v>
      </c>
      <c r="B102" s="47">
        <v>46111</v>
      </c>
      <c r="C102" s="51" t="s">
        <v>16</v>
      </c>
      <c r="D102" s="48" t="s">
        <v>168</v>
      </c>
      <c r="E102" s="49">
        <v>831000</v>
      </c>
      <c r="F102" s="50">
        <v>281000</v>
      </c>
      <c r="G102" s="50">
        <v>552000</v>
      </c>
      <c r="H102" s="50"/>
      <c r="I102" s="50"/>
      <c r="J102" s="50">
        <v>41000</v>
      </c>
      <c r="K102" s="50" t="s">
        <v>998</v>
      </c>
    </row>
    <row r="103" spans="1:11" ht="19" x14ac:dyDescent="0.2">
      <c r="A103" s="61"/>
      <c r="B103" s="43"/>
      <c r="C103" s="46"/>
      <c r="D103" s="44"/>
      <c r="E103" s="62"/>
      <c r="F103" s="45"/>
      <c r="G103" s="45"/>
      <c r="H103" s="45"/>
      <c r="I103" s="45"/>
      <c r="J103" s="45">
        <v>26000</v>
      </c>
      <c r="K103" s="45" t="s">
        <v>1005</v>
      </c>
    </row>
    <row r="104" spans="1:11" ht="19" x14ac:dyDescent="0.2">
      <c r="A104" s="57"/>
      <c r="B104" s="47"/>
      <c r="C104" s="51"/>
      <c r="D104" s="48"/>
      <c r="E104" s="49"/>
      <c r="F104" s="50"/>
      <c r="G104" s="50"/>
      <c r="H104" s="50"/>
      <c r="I104" s="50"/>
      <c r="J104" s="50">
        <v>40000</v>
      </c>
      <c r="K104" s="50" t="s">
        <v>882</v>
      </c>
    </row>
    <row r="105" spans="1:11" ht="19" x14ac:dyDescent="0.2">
      <c r="A105" s="61"/>
      <c r="B105" s="43"/>
      <c r="C105" s="46"/>
      <c r="D105" s="44"/>
      <c r="E105" s="62"/>
      <c r="F105" s="45"/>
      <c r="G105" s="45"/>
      <c r="H105" s="45"/>
      <c r="I105" s="45"/>
      <c r="J105" s="45">
        <v>30000</v>
      </c>
      <c r="K105" s="45" t="s">
        <v>1006</v>
      </c>
    </row>
    <row r="106" spans="1:11" ht="19" x14ac:dyDescent="0.2">
      <c r="A106" s="57"/>
      <c r="B106" s="47"/>
      <c r="C106" s="51"/>
      <c r="D106" s="48"/>
      <c r="E106" s="49"/>
      <c r="F106" s="50"/>
      <c r="G106" s="50"/>
      <c r="H106" s="50"/>
      <c r="I106" s="50"/>
      <c r="J106" s="50">
        <v>40000</v>
      </c>
      <c r="K106" s="50" t="s">
        <v>834</v>
      </c>
    </row>
    <row r="107" spans="1:11" ht="19" x14ac:dyDescent="0.2">
      <c r="A107" s="61"/>
      <c r="B107" s="43"/>
      <c r="C107" s="46"/>
      <c r="D107" s="44"/>
      <c r="E107" s="62"/>
      <c r="F107" s="45"/>
      <c r="G107" s="45"/>
      <c r="H107" s="45"/>
      <c r="I107" s="45"/>
      <c r="J107" s="45">
        <v>40000</v>
      </c>
      <c r="K107" s="45" t="s">
        <v>1007</v>
      </c>
    </row>
    <row r="108" spans="1:11" ht="19" x14ac:dyDescent="0.2">
      <c r="A108" s="57"/>
      <c r="B108" s="47"/>
      <c r="C108" s="51"/>
      <c r="D108" s="48"/>
      <c r="E108" s="49"/>
      <c r="F108" s="50"/>
      <c r="G108" s="50"/>
      <c r="H108" s="50"/>
      <c r="I108" s="50"/>
      <c r="J108" s="50">
        <v>40000</v>
      </c>
      <c r="K108" s="50" t="s">
        <v>1008</v>
      </c>
    </row>
    <row r="109" spans="1:11" ht="19" x14ac:dyDescent="0.2">
      <c r="A109" s="61"/>
      <c r="B109" s="43"/>
      <c r="C109" s="46"/>
      <c r="D109" s="44"/>
      <c r="E109" s="62"/>
      <c r="F109" s="45"/>
      <c r="G109" s="45"/>
      <c r="H109" s="45"/>
      <c r="I109" s="45"/>
      <c r="J109" s="45">
        <v>30000</v>
      </c>
      <c r="K109" s="45" t="s">
        <v>1009</v>
      </c>
    </row>
    <row r="110" spans="1:11" ht="19" x14ac:dyDescent="0.2">
      <c r="A110" s="57">
        <v>1336000</v>
      </c>
      <c r="B110" s="47">
        <v>46112</v>
      </c>
      <c r="C110" s="51" t="s">
        <v>16</v>
      </c>
      <c r="D110" s="48" t="s">
        <v>168</v>
      </c>
      <c r="E110" s="49">
        <v>611000</v>
      </c>
      <c r="F110" s="50">
        <v>282000</v>
      </c>
      <c r="G110" s="50">
        <v>443000</v>
      </c>
      <c r="H110" s="50">
        <v>2904000</v>
      </c>
      <c r="I110" s="50" t="s">
        <v>1010</v>
      </c>
      <c r="J110" s="50">
        <v>108000</v>
      </c>
      <c r="K110" s="50" t="s">
        <v>203</v>
      </c>
    </row>
    <row r="111" spans="1:11" ht="19" x14ac:dyDescent="0.2">
      <c r="A111" s="61"/>
      <c r="B111" s="43"/>
      <c r="C111" s="46"/>
      <c r="D111" s="44"/>
      <c r="E111" s="62"/>
      <c r="F111" s="45"/>
      <c r="G111" s="45"/>
      <c r="H111" s="45"/>
      <c r="I111" s="45"/>
      <c r="J111" s="45">
        <v>62000</v>
      </c>
      <c r="K111" s="45" t="s">
        <v>1011</v>
      </c>
    </row>
    <row r="112" spans="1:11" ht="19" x14ac:dyDescent="0.2">
      <c r="A112" s="57"/>
      <c r="B112" s="47"/>
      <c r="C112" s="51"/>
      <c r="D112" s="48"/>
      <c r="E112" s="49"/>
      <c r="F112" s="50"/>
      <c r="G112" s="50"/>
      <c r="H112" s="50"/>
      <c r="I112" s="50"/>
      <c r="J112" s="50">
        <v>11000</v>
      </c>
      <c r="K112" s="50" t="s">
        <v>52</v>
      </c>
    </row>
    <row r="113" spans="1:11" ht="19" x14ac:dyDescent="0.2">
      <c r="A113" s="61"/>
      <c r="B113" s="43"/>
      <c r="C113" s="46"/>
      <c r="D113" s="44"/>
      <c r="E113" s="62"/>
      <c r="F113" s="45"/>
      <c r="G113" s="45"/>
      <c r="H113" s="45"/>
      <c r="I113" s="45"/>
      <c r="J113" s="45">
        <v>96000</v>
      </c>
      <c r="K113" s="45" t="s">
        <v>1012</v>
      </c>
    </row>
    <row r="114" spans="1:11" ht="19" x14ac:dyDescent="0.2">
      <c r="A114" s="57"/>
      <c r="B114" s="47"/>
      <c r="C114" s="51"/>
      <c r="D114" s="48"/>
      <c r="E114" s="49"/>
      <c r="F114" s="50"/>
      <c r="G114" s="50"/>
      <c r="H114" s="50"/>
      <c r="I114" s="50"/>
      <c r="J114" s="50">
        <v>24000</v>
      </c>
      <c r="K114" s="50" t="s">
        <v>368</v>
      </c>
    </row>
    <row r="115" spans="1:11" ht="19" x14ac:dyDescent="0.2">
      <c r="A115" s="61"/>
      <c r="B115" s="43"/>
      <c r="C115" s="46"/>
      <c r="D115" s="44"/>
      <c r="E115" s="62"/>
      <c r="F115" s="45"/>
      <c r="G115" s="45"/>
      <c r="H115" s="45"/>
      <c r="I115" s="45"/>
      <c r="J115" s="45">
        <v>50000</v>
      </c>
      <c r="K115" s="45" t="s">
        <v>1013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5BA8-9430-5D47-A411-A571CD046AC7}">
  <dimension ref="A3:K133"/>
  <sheetViews>
    <sheetView tabSelected="1" workbookViewId="0">
      <selection activeCell="H28" sqref="H28:H30"/>
    </sheetView>
  </sheetViews>
  <sheetFormatPr baseColWidth="10" defaultRowHeight="15" x14ac:dyDescent="0.2"/>
  <cols>
    <col min="1" max="1" width="20.33203125" bestFit="1" customWidth="1"/>
    <col min="3" max="3" width="13.33203125" bestFit="1" customWidth="1"/>
    <col min="4" max="4" width="12.33203125" customWidth="1"/>
    <col min="5" max="5" width="20.33203125" bestFit="1" customWidth="1"/>
    <col min="6" max="6" width="30" customWidth="1"/>
    <col min="7" max="7" width="23.83203125" customWidth="1"/>
    <col min="8" max="8" width="22.83203125" customWidth="1"/>
    <col min="9" max="9" width="30.5" customWidth="1"/>
    <col min="10" max="10" width="23.5" customWidth="1"/>
    <col min="11" max="11" width="32.6640625" customWidth="1"/>
  </cols>
  <sheetData>
    <row r="3" spans="1:11" ht="21" x14ac:dyDescent="0.2">
      <c r="H3" s="26"/>
      <c r="I3" s="27" t="s">
        <v>0</v>
      </c>
      <c r="J3" s="27">
        <f>L10/A10</f>
        <v>0</v>
      </c>
    </row>
    <row r="4" spans="1:11" ht="21" x14ac:dyDescent="0.2">
      <c r="F4" s="28" t="s">
        <v>1</v>
      </c>
      <c r="G4" s="60"/>
      <c r="H4" s="29"/>
      <c r="I4" s="27" t="s">
        <v>2</v>
      </c>
      <c r="J4" s="27"/>
      <c r="K4" s="30">
        <f>J4/10820</f>
        <v>0</v>
      </c>
    </row>
    <row r="5" spans="1:11" ht="24" x14ac:dyDescent="0.3">
      <c r="B5" s="31" t="s">
        <v>1072</v>
      </c>
      <c r="H5" s="26"/>
      <c r="I5" s="27" t="s">
        <v>3</v>
      </c>
      <c r="J5" s="27"/>
      <c r="K5" s="30">
        <f>J5/10820</f>
        <v>0</v>
      </c>
    </row>
    <row r="6" spans="1:11" ht="24" x14ac:dyDescent="0.3">
      <c r="B6" s="31"/>
      <c r="H6" s="26"/>
      <c r="I6" s="27" t="s">
        <v>4</v>
      </c>
      <c r="J6" s="27">
        <v>5565645</v>
      </c>
      <c r="K6" s="30" t="s">
        <v>1073</v>
      </c>
    </row>
    <row r="7" spans="1:11" ht="26" x14ac:dyDescent="0.3">
      <c r="B7" s="32" t="s">
        <v>1075</v>
      </c>
    </row>
    <row r="9" spans="1:11" ht="19" x14ac:dyDescent="0.2">
      <c r="A9" s="33" t="s">
        <v>5</v>
      </c>
      <c r="B9" s="33" t="s">
        <v>6</v>
      </c>
      <c r="C9" s="34" t="s">
        <v>7</v>
      </c>
      <c r="D9" s="35" t="s">
        <v>8</v>
      </c>
      <c r="E9" s="36" t="s">
        <v>9</v>
      </c>
      <c r="F9" s="37" t="s">
        <v>10</v>
      </c>
      <c r="G9" s="37" t="s">
        <v>49</v>
      </c>
      <c r="H9" s="37" t="s">
        <v>11</v>
      </c>
      <c r="I9" s="37" t="s">
        <v>12</v>
      </c>
      <c r="J9" s="37" t="s">
        <v>13</v>
      </c>
      <c r="K9" s="37" t="s">
        <v>14</v>
      </c>
    </row>
    <row r="10" spans="1:11" ht="21" x14ac:dyDescent="0.2">
      <c r="A10" s="38">
        <f>SUM(A11:A627)</f>
        <v>38241000</v>
      </c>
      <c r="B10" s="39"/>
      <c r="C10" s="40" t="s">
        <v>15</v>
      </c>
      <c r="D10" s="41"/>
      <c r="E10" s="42">
        <f>SUM(E11:E627)</f>
        <v>18181000</v>
      </c>
      <c r="F10" s="38">
        <f>SUM(F11:F627)</f>
        <v>5465000</v>
      </c>
      <c r="G10" s="38">
        <f>SUM(G11:G622)</f>
        <v>14595000</v>
      </c>
      <c r="H10" s="38">
        <f>SUM(H11:H627)</f>
        <v>13132000</v>
      </c>
      <c r="I10" s="38"/>
      <c r="J10" s="38">
        <f>SUM(J11:J627)</f>
        <v>7338000</v>
      </c>
      <c r="K10" s="38"/>
    </row>
    <row r="11" spans="1:11" ht="21" x14ac:dyDescent="0.2">
      <c r="A11" s="96">
        <v>1501000</v>
      </c>
      <c r="B11" s="97">
        <v>46113</v>
      </c>
      <c r="C11" s="109" t="s">
        <v>16</v>
      </c>
      <c r="D11" s="99" t="s">
        <v>168</v>
      </c>
      <c r="E11" s="13">
        <v>651000</v>
      </c>
      <c r="F11" s="13">
        <v>293000</v>
      </c>
      <c r="G11" s="13">
        <v>557000</v>
      </c>
      <c r="H11" s="13"/>
      <c r="I11" s="13"/>
      <c r="J11" s="13">
        <v>100000</v>
      </c>
      <c r="K11" s="13" t="s">
        <v>197</v>
      </c>
    </row>
    <row r="12" spans="1:11" ht="19" x14ac:dyDescent="0.2">
      <c r="A12" s="53"/>
      <c r="B12" s="4"/>
      <c r="C12" s="5"/>
      <c r="D12" s="2"/>
      <c r="E12" s="1"/>
      <c r="F12" s="1"/>
      <c r="G12" s="1"/>
      <c r="H12" s="1"/>
      <c r="I12" s="1"/>
      <c r="J12" s="8">
        <v>140000</v>
      </c>
      <c r="K12" s="50" t="s">
        <v>533</v>
      </c>
    </row>
    <row r="13" spans="1:11" ht="19" x14ac:dyDescent="0.2">
      <c r="A13" s="54">
        <v>1056000</v>
      </c>
      <c r="B13" s="10">
        <v>46114</v>
      </c>
      <c r="C13" s="14" t="s">
        <v>16</v>
      </c>
      <c r="D13" s="12" t="s">
        <v>168</v>
      </c>
      <c r="E13" s="15">
        <v>533000</v>
      </c>
      <c r="F13" s="13">
        <v>89000</v>
      </c>
      <c r="G13" s="13">
        <v>434000</v>
      </c>
      <c r="H13" s="13"/>
      <c r="I13" s="13"/>
      <c r="J13" s="13">
        <v>96000</v>
      </c>
      <c r="K13" s="45" t="s">
        <v>1012</v>
      </c>
    </row>
    <row r="14" spans="1:11" ht="19" x14ac:dyDescent="0.2">
      <c r="A14" s="53"/>
      <c r="B14" s="4"/>
      <c r="C14" s="5"/>
      <c r="D14" s="2"/>
      <c r="E14" s="3"/>
      <c r="F14" s="1"/>
      <c r="G14" s="1"/>
      <c r="H14" s="1"/>
      <c r="I14" s="1"/>
      <c r="J14" s="8">
        <v>24000</v>
      </c>
      <c r="K14" s="50" t="s">
        <v>988</v>
      </c>
    </row>
    <row r="15" spans="1:11" ht="19" x14ac:dyDescent="0.2">
      <c r="A15" s="56">
        <v>1599000</v>
      </c>
      <c r="B15" s="10">
        <v>46115</v>
      </c>
      <c r="C15" s="14" t="s">
        <v>16</v>
      </c>
      <c r="D15" s="12" t="s">
        <v>168</v>
      </c>
      <c r="E15" s="15">
        <v>1023000</v>
      </c>
      <c r="F15" s="13">
        <v>285000</v>
      </c>
      <c r="G15" s="13">
        <v>291000</v>
      </c>
      <c r="H15" s="13"/>
      <c r="I15" s="13"/>
      <c r="J15" s="13">
        <v>97000</v>
      </c>
      <c r="K15" s="13" t="s">
        <v>1019</v>
      </c>
    </row>
    <row r="16" spans="1:11" ht="19" x14ac:dyDescent="0.2">
      <c r="A16" s="55"/>
      <c r="B16" s="18"/>
      <c r="C16" s="19"/>
      <c r="D16" s="20"/>
      <c r="E16" s="21"/>
      <c r="F16" s="8"/>
      <c r="G16" s="8"/>
      <c r="H16" s="23"/>
      <c r="I16" s="23"/>
      <c r="J16" s="8">
        <v>8000</v>
      </c>
      <c r="K16" s="81" t="s">
        <v>1020</v>
      </c>
    </row>
    <row r="17" spans="1:11" ht="19" x14ac:dyDescent="0.2">
      <c r="A17" s="56"/>
      <c r="B17" s="10"/>
      <c r="C17" s="16"/>
      <c r="D17" s="12"/>
      <c r="E17" s="15"/>
      <c r="F17" s="13"/>
      <c r="G17" s="13"/>
      <c r="H17" s="17"/>
      <c r="I17" s="17"/>
      <c r="J17" s="13">
        <v>26000</v>
      </c>
      <c r="K17" s="13" t="s">
        <v>1021</v>
      </c>
    </row>
    <row r="18" spans="1:11" ht="19" x14ac:dyDescent="0.2">
      <c r="A18" s="55"/>
      <c r="B18" s="18"/>
      <c r="C18" s="19"/>
      <c r="D18" s="20"/>
      <c r="E18" s="21"/>
      <c r="F18" s="8"/>
      <c r="G18" s="8"/>
      <c r="H18" s="23"/>
      <c r="I18" s="23"/>
      <c r="J18" s="8">
        <v>13000</v>
      </c>
      <c r="K18" s="8" t="s">
        <v>317</v>
      </c>
    </row>
    <row r="19" spans="1:11" ht="19" x14ac:dyDescent="0.2">
      <c r="A19" s="56"/>
      <c r="B19" s="10"/>
      <c r="C19" s="16"/>
      <c r="D19" s="12"/>
      <c r="E19" s="15"/>
      <c r="F19" s="13"/>
      <c r="G19" s="13"/>
      <c r="H19" s="17"/>
      <c r="I19" s="17"/>
      <c r="J19" s="13">
        <v>19000</v>
      </c>
      <c r="K19" s="13" t="s">
        <v>1022</v>
      </c>
    </row>
    <row r="20" spans="1:11" ht="19" x14ac:dyDescent="0.2">
      <c r="A20" s="55"/>
      <c r="B20" s="18"/>
      <c r="C20" s="19"/>
      <c r="D20" s="20"/>
      <c r="E20" s="21"/>
      <c r="F20" s="8"/>
      <c r="G20" s="8"/>
      <c r="H20" s="23"/>
      <c r="I20" s="23"/>
      <c r="J20" s="8">
        <v>11000</v>
      </c>
      <c r="K20" s="8" t="s">
        <v>1023</v>
      </c>
    </row>
    <row r="21" spans="1:11" ht="19" x14ac:dyDescent="0.2">
      <c r="A21" s="56"/>
      <c r="B21" s="10"/>
      <c r="C21" s="16"/>
      <c r="D21" s="12"/>
      <c r="E21" s="15"/>
      <c r="F21" s="13"/>
      <c r="G21" s="13"/>
      <c r="H21" s="17"/>
      <c r="I21" s="17"/>
      <c r="J21" s="13">
        <v>33000</v>
      </c>
      <c r="K21" s="13" t="s">
        <v>1024</v>
      </c>
    </row>
    <row r="22" spans="1:11" ht="19" x14ac:dyDescent="0.2">
      <c r="A22" s="55">
        <v>805000</v>
      </c>
      <c r="B22" s="18">
        <v>46116</v>
      </c>
      <c r="C22" s="19" t="s">
        <v>16</v>
      </c>
      <c r="D22" s="20" t="s">
        <v>168</v>
      </c>
      <c r="E22" s="21">
        <v>443000</v>
      </c>
      <c r="F22" s="8">
        <v>54000</v>
      </c>
      <c r="G22" s="8">
        <v>308000</v>
      </c>
      <c r="H22" s="23"/>
      <c r="I22" s="23"/>
      <c r="J22" s="8"/>
      <c r="K22" s="8"/>
    </row>
    <row r="23" spans="1:11" ht="19" x14ac:dyDescent="0.2">
      <c r="A23" s="56"/>
      <c r="B23" s="10">
        <v>46117</v>
      </c>
      <c r="C23" s="15" t="s">
        <v>125</v>
      </c>
      <c r="D23" s="12"/>
      <c r="E23" s="15"/>
      <c r="F23" s="13"/>
      <c r="G23" s="13"/>
      <c r="H23" s="13"/>
      <c r="I23" s="13"/>
      <c r="J23" s="13">
        <v>160000</v>
      </c>
      <c r="K23" s="13" t="s">
        <v>395</v>
      </c>
    </row>
    <row r="24" spans="1:11" ht="19" x14ac:dyDescent="0.2">
      <c r="A24" s="55">
        <v>1305000</v>
      </c>
      <c r="B24" s="18">
        <v>46118</v>
      </c>
      <c r="C24" s="19" t="s">
        <v>16</v>
      </c>
      <c r="D24" s="20" t="s">
        <v>168</v>
      </c>
      <c r="E24" s="21">
        <v>648000</v>
      </c>
      <c r="F24" s="8">
        <v>240000</v>
      </c>
      <c r="G24" s="8">
        <v>417000</v>
      </c>
      <c r="H24" s="8"/>
      <c r="I24" s="8"/>
      <c r="J24" s="8">
        <v>24000</v>
      </c>
      <c r="K24" s="8" t="s">
        <v>249</v>
      </c>
    </row>
    <row r="25" spans="1:11" ht="19" x14ac:dyDescent="0.2">
      <c r="A25" s="56"/>
      <c r="B25" s="10"/>
      <c r="C25" s="15"/>
      <c r="D25" s="12"/>
      <c r="E25" s="15"/>
      <c r="F25" s="13"/>
      <c r="G25" s="13"/>
      <c r="H25" s="13"/>
      <c r="I25" s="13"/>
      <c r="J25" s="13">
        <v>240000</v>
      </c>
      <c r="K25" s="13" t="s">
        <v>1025</v>
      </c>
    </row>
    <row r="26" spans="1:11" ht="19" x14ac:dyDescent="0.2">
      <c r="A26" s="55">
        <v>2005000</v>
      </c>
      <c r="B26" s="18">
        <v>46119</v>
      </c>
      <c r="C26" s="19" t="s">
        <v>16</v>
      </c>
      <c r="D26" s="20" t="s">
        <v>168</v>
      </c>
      <c r="E26" s="21">
        <v>849000</v>
      </c>
      <c r="F26" s="8">
        <v>371000</v>
      </c>
      <c r="G26" s="8">
        <v>785000</v>
      </c>
      <c r="H26" s="8"/>
      <c r="I26" s="8"/>
      <c r="J26" s="8">
        <v>150000</v>
      </c>
      <c r="K26" s="8" t="s">
        <v>1026</v>
      </c>
    </row>
    <row r="27" spans="1:11" ht="19" x14ac:dyDescent="0.2">
      <c r="A27" s="56"/>
      <c r="B27" s="10"/>
      <c r="C27" s="16"/>
      <c r="D27" s="12"/>
      <c r="E27" s="15"/>
      <c r="F27" s="13"/>
      <c r="G27" s="13"/>
      <c r="H27" s="13"/>
      <c r="I27" s="13"/>
      <c r="J27" s="13">
        <v>78000</v>
      </c>
      <c r="K27" s="13" t="s">
        <v>1027</v>
      </c>
    </row>
    <row r="28" spans="1:11" ht="19" x14ac:dyDescent="0.2">
      <c r="A28" s="55">
        <v>1651000</v>
      </c>
      <c r="B28" s="18">
        <v>46120</v>
      </c>
      <c r="C28" s="19" t="s">
        <v>16</v>
      </c>
      <c r="D28" s="20" t="s">
        <v>168</v>
      </c>
      <c r="E28" s="21">
        <v>649000</v>
      </c>
      <c r="F28" s="8">
        <v>194000</v>
      </c>
      <c r="G28" s="8">
        <v>808000</v>
      </c>
      <c r="H28" s="8">
        <v>6753000</v>
      </c>
      <c r="I28" s="8" t="s">
        <v>1070</v>
      </c>
      <c r="J28" s="8">
        <v>23000</v>
      </c>
      <c r="K28" s="8" t="s">
        <v>1028</v>
      </c>
    </row>
    <row r="29" spans="1:11" ht="19" x14ac:dyDescent="0.2">
      <c r="A29" s="56"/>
      <c r="B29" s="10"/>
      <c r="C29" s="16"/>
      <c r="D29" s="12"/>
      <c r="E29" s="15"/>
      <c r="F29" s="13"/>
      <c r="G29" s="13"/>
      <c r="H29" s="13">
        <v>1000000</v>
      </c>
      <c r="I29" s="13" t="s">
        <v>411</v>
      </c>
      <c r="J29" s="13">
        <v>33000</v>
      </c>
      <c r="K29" s="13" t="s">
        <v>55</v>
      </c>
    </row>
    <row r="30" spans="1:11" ht="19" x14ac:dyDescent="0.2">
      <c r="A30" s="55"/>
      <c r="B30" s="18"/>
      <c r="C30" s="22"/>
      <c r="D30" s="20"/>
      <c r="E30" s="21"/>
      <c r="F30" s="8"/>
      <c r="G30" s="8"/>
      <c r="H30" s="8">
        <v>275000</v>
      </c>
      <c r="I30" s="8" t="s">
        <v>1071</v>
      </c>
      <c r="J30" s="8">
        <v>30000</v>
      </c>
      <c r="K30" s="8" t="s">
        <v>997</v>
      </c>
    </row>
    <row r="31" spans="1:11" ht="19" x14ac:dyDescent="0.2">
      <c r="A31" s="56"/>
      <c r="B31" s="10"/>
      <c r="C31" s="14"/>
      <c r="D31" s="12"/>
      <c r="E31" s="15"/>
      <c r="F31" s="13"/>
      <c r="G31" s="13"/>
      <c r="H31" s="13"/>
      <c r="I31" s="13"/>
      <c r="J31" s="13">
        <v>45000</v>
      </c>
      <c r="K31" s="13" t="s">
        <v>834</v>
      </c>
    </row>
    <row r="32" spans="1:11" ht="19" x14ac:dyDescent="0.2">
      <c r="A32" s="55"/>
      <c r="B32" s="18"/>
      <c r="C32" s="22"/>
      <c r="D32" s="20"/>
      <c r="E32" s="21"/>
      <c r="F32" s="8"/>
      <c r="G32" s="8"/>
      <c r="H32" s="8"/>
      <c r="I32" s="8"/>
      <c r="J32" s="8">
        <v>40000</v>
      </c>
      <c r="K32" s="8" t="s">
        <v>882</v>
      </c>
    </row>
    <row r="33" spans="1:11" ht="19" x14ac:dyDescent="0.2">
      <c r="A33" s="54"/>
      <c r="B33" s="10"/>
      <c r="C33" s="14"/>
      <c r="D33" s="12"/>
      <c r="E33" s="15"/>
      <c r="F33" s="13"/>
      <c r="G33" s="13"/>
      <c r="H33" s="13"/>
      <c r="I33" s="13"/>
      <c r="J33" s="13">
        <v>50000</v>
      </c>
      <c r="K33" s="13" t="s">
        <v>1029</v>
      </c>
    </row>
    <row r="34" spans="1:11" ht="19" x14ac:dyDescent="0.2">
      <c r="A34" s="53"/>
      <c r="B34" s="18"/>
      <c r="C34" s="22"/>
      <c r="D34" s="20"/>
      <c r="E34" s="21"/>
      <c r="F34" s="8"/>
      <c r="G34" s="8"/>
      <c r="H34" s="8"/>
      <c r="I34" s="8"/>
      <c r="J34" s="8">
        <v>29000</v>
      </c>
      <c r="K34" s="8" t="s">
        <v>1030</v>
      </c>
    </row>
    <row r="35" spans="1:11" ht="19" x14ac:dyDescent="0.2">
      <c r="A35" s="54"/>
      <c r="B35" s="10"/>
      <c r="C35" s="14"/>
      <c r="D35" s="12"/>
      <c r="E35" s="15"/>
      <c r="F35" s="13"/>
      <c r="G35" s="13"/>
      <c r="H35" s="13"/>
      <c r="I35" s="13"/>
      <c r="J35" s="13">
        <v>37000</v>
      </c>
      <c r="K35" s="13" t="s">
        <v>919</v>
      </c>
    </row>
    <row r="36" spans="1:11" ht="19" x14ac:dyDescent="0.2">
      <c r="A36" s="53">
        <v>1708000</v>
      </c>
      <c r="B36" s="18">
        <v>46121</v>
      </c>
      <c r="C36" s="22" t="s">
        <v>16</v>
      </c>
      <c r="D36" s="20" t="s">
        <v>168</v>
      </c>
      <c r="E36" s="21">
        <v>743000</v>
      </c>
      <c r="F36" s="8">
        <v>223000</v>
      </c>
      <c r="G36" s="8">
        <v>742000</v>
      </c>
      <c r="H36" s="8"/>
      <c r="I36" s="8"/>
      <c r="J36" s="8">
        <v>100000</v>
      </c>
      <c r="K36" s="8" t="s">
        <v>197</v>
      </c>
    </row>
    <row r="37" spans="1:11" ht="19" x14ac:dyDescent="0.2">
      <c r="A37" s="56"/>
      <c r="B37" s="11"/>
      <c r="C37" s="13"/>
      <c r="D37" s="110"/>
      <c r="E37" s="13"/>
      <c r="F37" s="13"/>
      <c r="G37" s="13"/>
      <c r="H37" s="13"/>
      <c r="I37" s="13"/>
      <c r="J37" s="13">
        <v>30000</v>
      </c>
      <c r="K37" s="79" t="s">
        <v>249</v>
      </c>
    </row>
    <row r="38" spans="1:11" ht="19" x14ac:dyDescent="0.2">
      <c r="A38" s="55"/>
      <c r="B38" s="18"/>
      <c r="C38" s="22"/>
      <c r="D38" s="20"/>
      <c r="E38" s="21"/>
      <c r="F38" s="8"/>
      <c r="G38" s="8"/>
      <c r="H38" s="8"/>
      <c r="I38" s="8"/>
      <c r="J38" s="8">
        <v>250000</v>
      </c>
      <c r="K38" s="8" t="s">
        <v>21</v>
      </c>
    </row>
    <row r="39" spans="1:11" ht="19" x14ac:dyDescent="0.2">
      <c r="A39" s="56"/>
      <c r="B39" s="10"/>
      <c r="C39" s="14"/>
      <c r="D39" s="12"/>
      <c r="E39" s="15"/>
      <c r="F39" s="13"/>
      <c r="G39" s="13"/>
      <c r="H39" s="13"/>
      <c r="I39" s="13"/>
      <c r="J39" s="13">
        <v>160000</v>
      </c>
      <c r="K39" s="13" t="s">
        <v>327</v>
      </c>
    </row>
    <row r="40" spans="1:11" ht="19" x14ac:dyDescent="0.2">
      <c r="A40" s="55"/>
      <c r="B40" s="18"/>
      <c r="C40" s="22"/>
      <c r="D40" s="20"/>
      <c r="E40" s="21"/>
      <c r="F40" s="8"/>
      <c r="G40" s="8"/>
      <c r="H40" s="8"/>
      <c r="I40" s="8"/>
      <c r="J40" s="8">
        <v>86000</v>
      </c>
      <c r="K40" s="8" t="s">
        <v>1031</v>
      </c>
    </row>
    <row r="41" spans="1:11" ht="19" x14ac:dyDescent="0.2">
      <c r="A41" s="56"/>
      <c r="B41" s="10"/>
      <c r="C41" s="14"/>
      <c r="D41" s="12"/>
      <c r="E41" s="15"/>
      <c r="F41" s="13"/>
      <c r="G41" s="13"/>
      <c r="H41" s="13"/>
      <c r="I41" s="13"/>
      <c r="J41" s="13">
        <v>67000</v>
      </c>
      <c r="K41" s="13" t="s">
        <v>1032</v>
      </c>
    </row>
    <row r="42" spans="1:11" ht="19" x14ac:dyDescent="0.2">
      <c r="A42" s="55"/>
      <c r="B42" s="18"/>
      <c r="C42" s="22"/>
      <c r="D42" s="20"/>
      <c r="E42" s="21"/>
      <c r="F42" s="8"/>
      <c r="G42" s="8"/>
      <c r="H42" s="8"/>
      <c r="I42" s="8"/>
      <c r="J42" s="8">
        <v>13000</v>
      </c>
      <c r="K42" s="8" t="s">
        <v>1033</v>
      </c>
    </row>
    <row r="43" spans="1:11" ht="19" x14ac:dyDescent="0.2">
      <c r="A43" s="56">
        <v>1558000</v>
      </c>
      <c r="B43" s="10">
        <v>46122</v>
      </c>
      <c r="C43" s="14" t="s">
        <v>16</v>
      </c>
      <c r="D43" s="12" t="s">
        <v>168</v>
      </c>
      <c r="E43" s="15">
        <v>597000</v>
      </c>
      <c r="F43" s="13">
        <v>174000</v>
      </c>
      <c r="G43" s="13">
        <v>787000</v>
      </c>
      <c r="H43" s="13"/>
      <c r="I43" s="13"/>
      <c r="J43" s="13"/>
      <c r="K43" s="13"/>
    </row>
    <row r="44" spans="1:11" ht="19" x14ac:dyDescent="0.2">
      <c r="A44" s="55"/>
      <c r="B44" s="18"/>
      <c r="C44" s="22"/>
      <c r="D44" s="20"/>
      <c r="E44" s="21"/>
      <c r="F44" s="8"/>
      <c r="G44" s="8"/>
      <c r="H44" s="8"/>
      <c r="I44" s="105"/>
      <c r="J44" s="8"/>
      <c r="K44" s="8"/>
    </row>
    <row r="45" spans="1:11" ht="19" x14ac:dyDescent="0.2">
      <c r="A45" s="56">
        <v>912000</v>
      </c>
      <c r="B45" s="10">
        <v>46123</v>
      </c>
      <c r="C45" s="14" t="s">
        <v>16</v>
      </c>
      <c r="D45" s="12" t="s">
        <v>168</v>
      </c>
      <c r="E45" s="15">
        <v>290000</v>
      </c>
      <c r="F45" s="13">
        <v>158000</v>
      </c>
      <c r="G45" s="13">
        <v>464000</v>
      </c>
      <c r="H45" s="13"/>
      <c r="I45" s="13"/>
      <c r="J45" s="45"/>
      <c r="K45" s="45"/>
    </row>
    <row r="46" spans="1:11" ht="19" x14ac:dyDescent="0.2">
      <c r="A46" s="59"/>
      <c r="B46" s="47">
        <v>46124</v>
      </c>
      <c r="C46" s="51" t="s">
        <v>125</v>
      </c>
      <c r="D46" s="48"/>
      <c r="E46" s="49"/>
      <c r="F46" s="50"/>
      <c r="G46" s="50"/>
      <c r="H46" s="50"/>
      <c r="I46" s="50"/>
      <c r="J46" s="50"/>
      <c r="K46" s="50"/>
    </row>
    <row r="47" spans="1:11" ht="19" x14ac:dyDescent="0.2">
      <c r="A47" s="58">
        <v>1249000</v>
      </c>
      <c r="B47" s="43">
        <v>46125</v>
      </c>
      <c r="C47" s="46" t="s">
        <v>16</v>
      </c>
      <c r="D47" s="44" t="s">
        <v>168</v>
      </c>
      <c r="E47" s="15">
        <v>576000</v>
      </c>
      <c r="F47" s="13">
        <v>129000</v>
      </c>
      <c r="G47" s="13">
        <v>544000</v>
      </c>
      <c r="H47" s="45"/>
      <c r="I47" s="45"/>
      <c r="J47" s="45">
        <v>35000</v>
      </c>
      <c r="K47" s="45" t="s">
        <v>249</v>
      </c>
    </row>
    <row r="48" spans="1:11" ht="19" x14ac:dyDescent="0.2">
      <c r="A48" s="57"/>
      <c r="B48" s="47"/>
      <c r="C48" s="51"/>
      <c r="D48" s="48"/>
      <c r="E48" s="49"/>
      <c r="F48" s="50"/>
      <c r="G48" s="50"/>
      <c r="H48" s="50"/>
      <c r="I48" s="50"/>
      <c r="J48" s="50">
        <v>20000</v>
      </c>
      <c r="K48" s="50" t="s">
        <v>61</v>
      </c>
    </row>
    <row r="49" spans="1:11" ht="19" x14ac:dyDescent="0.2">
      <c r="A49" s="61"/>
      <c r="B49" s="43"/>
      <c r="C49" s="46"/>
      <c r="D49" s="44"/>
      <c r="E49" s="62"/>
      <c r="F49" s="45"/>
      <c r="G49" s="45"/>
      <c r="H49" s="45"/>
      <c r="I49" s="45"/>
      <c r="J49" s="45">
        <v>36000</v>
      </c>
      <c r="K49" s="45" t="s">
        <v>997</v>
      </c>
    </row>
    <row r="50" spans="1:11" ht="19" x14ac:dyDescent="0.2">
      <c r="A50" s="57"/>
      <c r="B50" s="47"/>
      <c r="C50" s="51"/>
      <c r="D50" s="48"/>
      <c r="E50" s="49"/>
      <c r="F50" s="50"/>
      <c r="G50" s="50"/>
      <c r="H50" s="50"/>
      <c r="I50" s="50"/>
      <c r="J50" s="50">
        <v>36000</v>
      </c>
      <c r="K50" s="50" t="s">
        <v>1034</v>
      </c>
    </row>
    <row r="51" spans="1:11" ht="19" x14ac:dyDescent="0.2">
      <c r="A51" s="61"/>
      <c r="B51" s="43"/>
      <c r="C51" s="46"/>
      <c r="D51" s="44"/>
      <c r="E51" s="62"/>
      <c r="F51" s="45"/>
      <c r="G51" s="45"/>
      <c r="H51" s="45"/>
      <c r="I51" s="45"/>
      <c r="J51" s="45">
        <v>31000</v>
      </c>
      <c r="K51" s="45" t="s">
        <v>807</v>
      </c>
    </row>
    <row r="52" spans="1:11" ht="19" x14ac:dyDescent="0.2">
      <c r="A52" s="57"/>
      <c r="B52" s="47"/>
      <c r="C52" s="51"/>
      <c r="D52" s="48"/>
      <c r="E52" s="49"/>
      <c r="F52" s="50"/>
      <c r="G52" s="50"/>
      <c r="H52" s="50"/>
      <c r="I52" s="50"/>
      <c r="J52" s="50">
        <v>30000</v>
      </c>
      <c r="K52" s="50" t="s">
        <v>808</v>
      </c>
    </row>
    <row r="53" spans="1:11" ht="19" x14ac:dyDescent="0.2">
      <c r="A53" s="61"/>
      <c r="B53" s="43"/>
      <c r="C53" s="46"/>
      <c r="D53" s="44"/>
      <c r="E53" s="62"/>
      <c r="F53" s="45"/>
      <c r="G53" s="45"/>
      <c r="H53" s="45"/>
      <c r="I53" s="45"/>
      <c r="J53" s="45">
        <v>20000</v>
      </c>
      <c r="K53" s="45" t="s">
        <v>1035</v>
      </c>
    </row>
    <row r="54" spans="1:11" ht="19" x14ac:dyDescent="0.2">
      <c r="A54" s="57"/>
      <c r="B54" s="47"/>
      <c r="C54" s="51"/>
      <c r="D54" s="48"/>
      <c r="E54" s="49"/>
      <c r="F54" s="50"/>
      <c r="G54" s="50"/>
      <c r="H54" s="50"/>
      <c r="I54" s="50"/>
      <c r="J54" s="50">
        <v>33000</v>
      </c>
      <c r="K54" s="50" t="s">
        <v>803</v>
      </c>
    </row>
    <row r="55" spans="1:11" ht="19" x14ac:dyDescent="0.2">
      <c r="A55" s="61"/>
      <c r="B55" s="43"/>
      <c r="C55" s="46"/>
      <c r="D55" s="44"/>
      <c r="E55" s="62"/>
      <c r="F55" s="45"/>
      <c r="G55" s="45"/>
      <c r="H55" s="45"/>
      <c r="I55" s="45"/>
      <c r="J55" s="45">
        <v>30000</v>
      </c>
      <c r="K55" s="45" t="s">
        <v>1009</v>
      </c>
    </row>
    <row r="56" spans="1:11" ht="19" x14ac:dyDescent="0.2">
      <c r="A56" s="57"/>
      <c r="B56" s="47"/>
      <c r="C56" s="51"/>
      <c r="D56" s="48"/>
      <c r="E56" s="49"/>
      <c r="F56" s="50"/>
      <c r="G56" s="50"/>
      <c r="H56" s="50"/>
      <c r="I56" s="50"/>
      <c r="J56" s="50">
        <v>35000</v>
      </c>
      <c r="K56" s="63" t="s">
        <v>919</v>
      </c>
    </row>
    <row r="57" spans="1:11" ht="19" x14ac:dyDescent="0.2">
      <c r="A57" s="61"/>
      <c r="B57" s="43"/>
      <c r="C57" s="46"/>
      <c r="D57" s="44"/>
      <c r="E57" s="62"/>
      <c r="F57" s="45"/>
      <c r="G57" s="45"/>
      <c r="H57" s="45"/>
      <c r="I57" s="45"/>
      <c r="J57" s="45">
        <v>20000</v>
      </c>
      <c r="K57" s="45" t="s">
        <v>1036</v>
      </c>
    </row>
    <row r="58" spans="1:11" ht="19" x14ac:dyDescent="0.2">
      <c r="A58" s="57">
        <v>1898000</v>
      </c>
      <c r="B58" s="47">
        <v>46126</v>
      </c>
      <c r="C58" s="51" t="s">
        <v>16</v>
      </c>
      <c r="D58" s="48" t="s">
        <v>168</v>
      </c>
      <c r="E58" s="49">
        <v>883000</v>
      </c>
      <c r="F58" s="50">
        <v>195000</v>
      </c>
      <c r="G58" s="50">
        <v>820000</v>
      </c>
      <c r="H58" s="50"/>
      <c r="I58" s="50"/>
      <c r="J58" s="50">
        <v>82000</v>
      </c>
      <c r="K58" s="50" t="s">
        <v>1037</v>
      </c>
    </row>
    <row r="59" spans="1:11" ht="19" x14ac:dyDescent="0.2">
      <c r="A59" s="61"/>
      <c r="B59" s="43"/>
      <c r="C59" s="46"/>
      <c r="D59" s="44"/>
      <c r="E59" s="62"/>
      <c r="F59" s="45"/>
      <c r="G59" s="45"/>
      <c r="H59" s="45"/>
      <c r="I59" s="45"/>
      <c r="J59" s="45">
        <v>7000</v>
      </c>
      <c r="K59" s="45" t="s">
        <v>706</v>
      </c>
    </row>
    <row r="60" spans="1:11" ht="19" x14ac:dyDescent="0.2">
      <c r="A60" s="57"/>
      <c r="B60" s="47"/>
      <c r="C60" s="51"/>
      <c r="D60" s="48"/>
      <c r="E60" s="49"/>
      <c r="F60" s="50"/>
      <c r="G60" s="50"/>
      <c r="H60" s="50"/>
      <c r="I60" s="50"/>
      <c r="J60" s="50">
        <v>24000</v>
      </c>
      <c r="K60" s="50" t="s">
        <v>368</v>
      </c>
    </row>
    <row r="61" spans="1:11" ht="19" x14ac:dyDescent="0.2">
      <c r="A61" s="61"/>
      <c r="B61" s="43"/>
      <c r="C61" s="46"/>
      <c r="D61" s="44"/>
      <c r="E61" s="62"/>
      <c r="F61" s="45"/>
      <c r="G61" s="45"/>
      <c r="H61" s="45"/>
      <c r="I61" s="45"/>
      <c r="J61" s="45">
        <v>20000</v>
      </c>
      <c r="K61" s="45" t="s">
        <v>594</v>
      </c>
    </row>
    <row r="62" spans="1:11" ht="19" x14ac:dyDescent="0.2">
      <c r="A62" s="57"/>
      <c r="B62" s="47"/>
      <c r="C62" s="51"/>
      <c r="D62" s="48"/>
      <c r="E62" s="49"/>
      <c r="F62" s="50"/>
      <c r="G62" s="50"/>
      <c r="H62" s="50"/>
      <c r="I62" s="50"/>
      <c r="J62" s="50">
        <v>180000</v>
      </c>
      <c r="K62" s="50" t="s">
        <v>622</v>
      </c>
    </row>
    <row r="63" spans="1:11" ht="32" x14ac:dyDescent="0.2">
      <c r="A63" s="61">
        <v>1520000</v>
      </c>
      <c r="B63" s="43">
        <v>46127</v>
      </c>
      <c r="C63" s="46" t="s">
        <v>16</v>
      </c>
      <c r="D63" s="44" t="s">
        <v>168</v>
      </c>
      <c r="E63" s="62">
        <v>927000</v>
      </c>
      <c r="F63" s="45">
        <v>92000</v>
      </c>
      <c r="G63" s="45">
        <v>501000</v>
      </c>
      <c r="H63" s="45">
        <v>2004000</v>
      </c>
      <c r="I63" s="106" t="s">
        <v>881</v>
      </c>
      <c r="J63" s="45">
        <v>100000</v>
      </c>
      <c r="K63" s="45" t="s">
        <v>523</v>
      </c>
    </row>
    <row r="64" spans="1:11" ht="19" x14ac:dyDescent="0.2">
      <c r="A64" s="57"/>
      <c r="B64" s="47"/>
      <c r="C64" s="51"/>
      <c r="D64" s="48"/>
      <c r="E64" s="49"/>
      <c r="F64" s="50"/>
      <c r="G64" s="50"/>
      <c r="H64" s="50"/>
      <c r="I64" s="50"/>
      <c r="J64" s="50">
        <v>100000</v>
      </c>
      <c r="K64" s="50" t="s">
        <v>1038</v>
      </c>
    </row>
    <row r="65" spans="1:11" ht="19" x14ac:dyDescent="0.2">
      <c r="A65" s="61"/>
      <c r="B65" s="43"/>
      <c r="C65" s="46"/>
      <c r="D65" s="44"/>
      <c r="E65" s="62"/>
      <c r="F65" s="45"/>
      <c r="G65" s="45"/>
      <c r="H65" s="45"/>
      <c r="I65" s="45"/>
      <c r="J65" s="45">
        <v>175000</v>
      </c>
      <c r="K65" s="45" t="s">
        <v>1039</v>
      </c>
    </row>
    <row r="66" spans="1:11" ht="19" x14ac:dyDescent="0.2">
      <c r="A66" s="57"/>
      <c r="B66" s="47"/>
      <c r="C66" s="51"/>
      <c r="D66" s="48"/>
      <c r="E66" s="49"/>
      <c r="F66" s="50"/>
      <c r="G66" s="50"/>
      <c r="H66" s="50"/>
      <c r="I66" s="50"/>
      <c r="J66" s="50">
        <v>75000</v>
      </c>
      <c r="K66" s="50" t="s">
        <v>124</v>
      </c>
    </row>
    <row r="67" spans="1:11" ht="19" x14ac:dyDescent="0.2">
      <c r="A67" s="61"/>
      <c r="B67" s="43"/>
      <c r="C67" s="46"/>
      <c r="D67" s="44"/>
      <c r="E67" s="62"/>
      <c r="F67" s="45"/>
      <c r="G67" s="45"/>
      <c r="H67" s="45"/>
      <c r="I67" s="45"/>
      <c r="J67" s="45">
        <v>35000</v>
      </c>
      <c r="K67" s="45" t="s">
        <v>598</v>
      </c>
    </row>
    <row r="68" spans="1:11" ht="19" x14ac:dyDescent="0.2">
      <c r="A68" s="57"/>
      <c r="B68" s="47"/>
      <c r="C68" s="51"/>
      <c r="D68" s="48"/>
      <c r="E68" s="49"/>
      <c r="F68" s="50"/>
      <c r="G68" s="50"/>
      <c r="H68" s="50"/>
      <c r="I68" s="50"/>
      <c r="J68" s="50">
        <v>112000</v>
      </c>
      <c r="K68" s="50" t="s">
        <v>254</v>
      </c>
    </row>
    <row r="69" spans="1:11" ht="19" x14ac:dyDescent="0.2">
      <c r="A69" s="61"/>
      <c r="B69" s="43"/>
      <c r="C69" s="46"/>
      <c r="D69" s="44"/>
      <c r="E69" s="62"/>
      <c r="F69" s="45"/>
      <c r="G69" s="45"/>
      <c r="H69" s="45"/>
      <c r="I69" s="45"/>
      <c r="J69" s="45">
        <v>58000</v>
      </c>
      <c r="K69" s="45" t="s">
        <v>1040</v>
      </c>
    </row>
    <row r="70" spans="1:11" ht="19" x14ac:dyDescent="0.2">
      <c r="A70" s="57">
        <v>2291000</v>
      </c>
      <c r="B70" s="47">
        <v>46128</v>
      </c>
      <c r="C70" s="51" t="s">
        <v>16</v>
      </c>
      <c r="D70" s="48" t="s">
        <v>168</v>
      </c>
      <c r="E70" s="49">
        <v>989000</v>
      </c>
      <c r="F70" s="50">
        <v>378000</v>
      </c>
      <c r="G70" s="50">
        <v>924000</v>
      </c>
      <c r="H70" s="50"/>
      <c r="I70" s="50"/>
      <c r="J70" s="50">
        <v>27000</v>
      </c>
      <c r="K70" s="50" t="s">
        <v>249</v>
      </c>
    </row>
    <row r="71" spans="1:11" ht="19" x14ac:dyDescent="0.2">
      <c r="A71" s="61"/>
      <c r="B71" s="43"/>
      <c r="C71" s="46"/>
      <c r="D71" s="44"/>
      <c r="E71" s="62"/>
      <c r="F71" s="45"/>
      <c r="G71" s="45"/>
      <c r="H71" s="45"/>
      <c r="I71" s="45"/>
      <c r="J71" s="45"/>
      <c r="K71" s="45"/>
    </row>
    <row r="72" spans="1:11" ht="19" x14ac:dyDescent="0.2">
      <c r="A72" s="57">
        <v>1221000</v>
      </c>
      <c r="B72" s="47">
        <v>46129</v>
      </c>
      <c r="C72" s="51" t="s">
        <v>16</v>
      </c>
      <c r="D72" s="48" t="s">
        <v>168</v>
      </c>
      <c r="E72" s="49">
        <v>557000</v>
      </c>
      <c r="F72" s="50">
        <v>152000</v>
      </c>
      <c r="G72" s="50">
        <v>512000</v>
      </c>
      <c r="H72" s="50"/>
      <c r="I72" s="50"/>
      <c r="J72" s="50">
        <v>95000</v>
      </c>
      <c r="K72" s="50" t="s">
        <v>1041</v>
      </c>
    </row>
    <row r="73" spans="1:11" ht="19" x14ac:dyDescent="0.2">
      <c r="A73" s="61"/>
      <c r="B73" s="43"/>
      <c r="C73" s="46"/>
      <c r="D73" s="44"/>
      <c r="E73" s="62"/>
      <c r="F73" s="45"/>
      <c r="G73" s="45"/>
      <c r="H73" s="45"/>
      <c r="I73" s="45"/>
      <c r="J73" s="45">
        <v>56000</v>
      </c>
      <c r="K73" s="45" t="s">
        <v>1042</v>
      </c>
    </row>
    <row r="74" spans="1:11" ht="19" x14ac:dyDescent="0.2">
      <c r="A74" s="57"/>
      <c r="B74" s="47"/>
      <c r="C74" s="51"/>
      <c r="D74" s="48"/>
      <c r="E74" s="49"/>
      <c r="F74" s="50"/>
      <c r="G74" s="50"/>
      <c r="H74" s="50"/>
      <c r="I74" s="50"/>
      <c r="J74" s="50">
        <v>6000</v>
      </c>
      <c r="K74" s="50" t="s">
        <v>706</v>
      </c>
    </row>
    <row r="75" spans="1:11" ht="19" x14ac:dyDescent="0.2">
      <c r="A75" s="61">
        <v>1083000</v>
      </c>
      <c r="B75" s="43">
        <v>46130</v>
      </c>
      <c r="C75" s="46" t="s">
        <v>16</v>
      </c>
      <c r="D75" s="44" t="s">
        <v>168</v>
      </c>
      <c r="E75" s="62">
        <v>283000</v>
      </c>
      <c r="F75" s="45">
        <v>139000</v>
      </c>
      <c r="G75" s="45">
        <v>661000</v>
      </c>
      <c r="H75" s="45"/>
      <c r="I75" s="45"/>
      <c r="J75" s="45">
        <v>30000</v>
      </c>
      <c r="K75" s="45" t="s">
        <v>233</v>
      </c>
    </row>
    <row r="76" spans="1:11" ht="19" x14ac:dyDescent="0.2">
      <c r="A76" s="57"/>
      <c r="B76" s="47">
        <v>46131</v>
      </c>
      <c r="C76" s="51" t="s">
        <v>125</v>
      </c>
      <c r="D76" s="51"/>
      <c r="E76" s="49"/>
      <c r="F76" s="50"/>
      <c r="G76" s="50"/>
      <c r="H76" s="50"/>
      <c r="I76" s="50"/>
      <c r="J76" s="50">
        <v>250000</v>
      </c>
      <c r="K76" s="50" t="s">
        <v>1043</v>
      </c>
    </row>
    <row r="77" spans="1:11" ht="19" x14ac:dyDescent="0.2">
      <c r="A77" s="61">
        <v>1140000</v>
      </c>
      <c r="B77" s="43">
        <v>46132</v>
      </c>
      <c r="C77" s="46" t="s">
        <v>16</v>
      </c>
      <c r="D77" s="44" t="s">
        <v>136</v>
      </c>
      <c r="E77" s="62">
        <v>536000</v>
      </c>
      <c r="F77" s="45">
        <v>103000</v>
      </c>
      <c r="G77" s="45">
        <v>501000</v>
      </c>
      <c r="H77" s="45"/>
      <c r="I77" s="45"/>
      <c r="J77" s="45">
        <v>50000</v>
      </c>
      <c r="K77" s="45" t="s">
        <v>1044</v>
      </c>
    </row>
    <row r="78" spans="1:11" ht="19" x14ac:dyDescent="0.2">
      <c r="A78" s="57"/>
      <c r="B78" s="47"/>
      <c r="C78" s="51"/>
      <c r="D78" s="48"/>
      <c r="E78" s="49"/>
      <c r="F78" s="50"/>
      <c r="G78" s="50"/>
      <c r="H78" s="50"/>
      <c r="I78" s="50"/>
      <c r="J78" s="50">
        <v>160000</v>
      </c>
      <c r="K78" s="50" t="s">
        <v>1045</v>
      </c>
    </row>
    <row r="79" spans="1:11" ht="19" x14ac:dyDescent="0.2">
      <c r="A79" s="61">
        <v>1632000</v>
      </c>
      <c r="B79" s="43">
        <v>46133</v>
      </c>
      <c r="C79" s="46" t="s">
        <v>16</v>
      </c>
      <c r="D79" s="44" t="s">
        <v>136</v>
      </c>
      <c r="E79" s="62">
        <v>654000</v>
      </c>
      <c r="F79" s="45">
        <v>509000</v>
      </c>
      <c r="G79" s="45">
        <v>469000</v>
      </c>
      <c r="H79" s="45"/>
      <c r="I79" s="45"/>
      <c r="J79" s="45">
        <v>11000</v>
      </c>
      <c r="K79" s="45" t="s">
        <v>1046</v>
      </c>
    </row>
    <row r="80" spans="1:11" ht="19" x14ac:dyDescent="0.2">
      <c r="A80" s="57"/>
      <c r="B80" s="47"/>
      <c r="C80" s="51"/>
      <c r="D80" s="48"/>
      <c r="E80" s="49"/>
      <c r="F80" s="50"/>
      <c r="G80" s="50"/>
      <c r="H80" s="50"/>
      <c r="I80" s="50"/>
      <c r="J80" s="50">
        <v>53000</v>
      </c>
      <c r="K80" s="50" t="s">
        <v>1047</v>
      </c>
    </row>
    <row r="81" spans="1:11" ht="19" x14ac:dyDescent="0.2">
      <c r="A81" s="61"/>
      <c r="B81" s="43"/>
      <c r="C81" s="46"/>
      <c r="D81" s="44"/>
      <c r="E81" s="62"/>
      <c r="F81" s="45"/>
      <c r="G81" s="45"/>
      <c r="H81" s="45"/>
      <c r="I81" s="45"/>
      <c r="J81" s="45">
        <v>45000</v>
      </c>
      <c r="K81" s="45" t="s">
        <v>1048</v>
      </c>
    </row>
    <row r="82" spans="1:11" ht="19" x14ac:dyDescent="0.2">
      <c r="A82" s="57"/>
      <c r="B82" s="47"/>
      <c r="C82" s="51"/>
      <c r="D82" s="48"/>
      <c r="E82" s="49"/>
      <c r="F82" s="50"/>
      <c r="G82" s="50"/>
      <c r="H82" s="50"/>
      <c r="I82" s="50"/>
      <c r="J82" s="50">
        <v>28000</v>
      </c>
      <c r="K82" s="50" t="s">
        <v>1049</v>
      </c>
    </row>
    <row r="83" spans="1:11" ht="19" x14ac:dyDescent="0.2">
      <c r="A83" s="61"/>
      <c r="B83" s="43"/>
      <c r="C83" s="46"/>
      <c r="D83" s="44"/>
      <c r="E83" s="62"/>
      <c r="F83" s="45"/>
      <c r="G83" s="45"/>
      <c r="H83" s="45"/>
      <c r="I83" s="45"/>
      <c r="J83" s="45">
        <v>84000</v>
      </c>
      <c r="K83" s="45" t="s">
        <v>1050</v>
      </c>
    </row>
    <row r="84" spans="1:11" ht="19" x14ac:dyDescent="0.2">
      <c r="A84" s="57"/>
      <c r="B84" s="47"/>
      <c r="C84" s="51"/>
      <c r="D84" s="48"/>
      <c r="E84" s="49"/>
      <c r="F84" s="50"/>
      <c r="G84" s="50"/>
      <c r="H84" s="50"/>
      <c r="I84" s="50"/>
      <c r="J84" s="50">
        <v>30000</v>
      </c>
      <c r="K84" s="50" t="s">
        <v>249</v>
      </c>
    </row>
    <row r="85" spans="1:11" ht="19" x14ac:dyDescent="0.2">
      <c r="A85" s="61"/>
      <c r="B85" s="43"/>
      <c r="C85" s="46"/>
      <c r="D85" s="44"/>
      <c r="E85" s="62"/>
      <c r="F85" s="45"/>
      <c r="G85" s="45"/>
      <c r="H85" s="45"/>
      <c r="I85" s="45"/>
      <c r="J85" s="45">
        <v>30000</v>
      </c>
      <c r="K85" s="45" t="s">
        <v>997</v>
      </c>
    </row>
    <row r="86" spans="1:11" ht="19" x14ac:dyDescent="0.2">
      <c r="A86" s="57"/>
      <c r="B86" s="47"/>
      <c r="C86" s="51"/>
      <c r="D86" s="48"/>
      <c r="E86" s="49"/>
      <c r="F86" s="50"/>
      <c r="G86" s="50"/>
      <c r="H86" s="50"/>
      <c r="I86" s="50"/>
      <c r="J86" s="50">
        <v>30000</v>
      </c>
      <c r="K86" s="50" t="s">
        <v>1051</v>
      </c>
    </row>
    <row r="87" spans="1:11" ht="19" x14ac:dyDescent="0.2">
      <c r="A87" s="61"/>
      <c r="B87" s="43"/>
      <c r="C87" s="46"/>
      <c r="D87" s="44"/>
      <c r="E87" s="62"/>
      <c r="F87" s="45"/>
      <c r="G87" s="45"/>
      <c r="H87" s="45"/>
      <c r="I87" s="45"/>
      <c r="J87" s="45">
        <v>30000</v>
      </c>
      <c r="K87" s="45" t="s">
        <v>857</v>
      </c>
    </row>
    <row r="88" spans="1:11" ht="19" x14ac:dyDescent="0.2">
      <c r="A88" s="57"/>
      <c r="B88" s="47"/>
      <c r="C88" s="51"/>
      <c r="D88" s="48"/>
      <c r="E88" s="49"/>
      <c r="F88" s="50"/>
      <c r="G88" s="50"/>
      <c r="H88" s="50"/>
      <c r="I88" s="50"/>
      <c r="J88" s="50">
        <v>50000</v>
      </c>
      <c r="K88" s="50" t="s">
        <v>855</v>
      </c>
    </row>
    <row r="89" spans="1:11" ht="19" x14ac:dyDescent="0.2">
      <c r="A89" s="61"/>
      <c r="B89" s="43"/>
      <c r="C89" s="46"/>
      <c r="D89" s="44"/>
      <c r="E89" s="62"/>
      <c r="F89" s="45"/>
      <c r="G89" s="45"/>
      <c r="H89" s="45"/>
      <c r="I89" s="45"/>
      <c r="J89" s="45">
        <v>50000</v>
      </c>
      <c r="K89" s="45" t="s">
        <v>1052</v>
      </c>
    </row>
    <row r="90" spans="1:11" ht="19" x14ac:dyDescent="0.2">
      <c r="A90" s="57"/>
      <c r="B90" s="47"/>
      <c r="C90" s="51"/>
      <c r="D90" s="48"/>
      <c r="E90" s="49"/>
      <c r="F90" s="50"/>
      <c r="G90" s="50"/>
      <c r="H90" s="50"/>
      <c r="I90" s="50"/>
      <c r="J90" s="50">
        <v>20000</v>
      </c>
      <c r="K90" s="50" t="s">
        <v>1053</v>
      </c>
    </row>
    <row r="91" spans="1:11" ht="19" x14ac:dyDescent="0.2">
      <c r="A91" s="61"/>
      <c r="B91" s="43"/>
      <c r="C91" s="46"/>
      <c r="D91" s="44"/>
      <c r="E91" s="62"/>
      <c r="F91" s="45"/>
      <c r="G91" s="45"/>
      <c r="H91" s="45"/>
      <c r="I91" s="45"/>
      <c r="J91" s="45">
        <v>40000</v>
      </c>
      <c r="K91" s="45" t="s">
        <v>854</v>
      </c>
    </row>
    <row r="92" spans="1:11" ht="19" x14ac:dyDescent="0.2">
      <c r="A92" s="57">
        <v>1507000</v>
      </c>
      <c r="B92" s="47">
        <v>46134</v>
      </c>
      <c r="C92" s="51" t="s">
        <v>16</v>
      </c>
      <c r="D92" s="48" t="s">
        <v>168</v>
      </c>
      <c r="E92" s="49">
        <v>641000</v>
      </c>
      <c r="F92" s="50">
        <v>348000</v>
      </c>
      <c r="G92" s="50">
        <v>518000</v>
      </c>
      <c r="H92" s="50"/>
      <c r="I92" s="50"/>
      <c r="J92" s="50">
        <v>100000</v>
      </c>
      <c r="K92" s="50" t="s">
        <v>331</v>
      </c>
    </row>
    <row r="93" spans="1:11" ht="19" x14ac:dyDescent="0.2">
      <c r="A93" s="61"/>
      <c r="B93" s="43"/>
      <c r="C93" s="46"/>
      <c r="D93" s="44"/>
      <c r="E93" s="62"/>
      <c r="F93" s="45"/>
      <c r="G93" s="45"/>
      <c r="H93" s="45"/>
      <c r="I93" s="45"/>
      <c r="J93" s="45">
        <v>84000</v>
      </c>
      <c r="K93" s="45" t="s">
        <v>1054</v>
      </c>
    </row>
    <row r="94" spans="1:11" ht="19" x14ac:dyDescent="0.2">
      <c r="A94" s="57">
        <v>1726000</v>
      </c>
      <c r="B94" s="47">
        <v>46135</v>
      </c>
      <c r="C94" s="51" t="s">
        <v>16</v>
      </c>
      <c r="D94" s="48" t="s">
        <v>168</v>
      </c>
      <c r="E94" s="49">
        <v>687000</v>
      </c>
      <c r="F94" s="50">
        <v>407000</v>
      </c>
      <c r="G94" s="50">
        <v>632000</v>
      </c>
      <c r="H94" s="50"/>
      <c r="I94" s="50"/>
      <c r="J94" s="50">
        <v>105000</v>
      </c>
      <c r="K94" s="50" t="s">
        <v>28</v>
      </c>
    </row>
    <row r="95" spans="1:11" ht="19" x14ac:dyDescent="0.2">
      <c r="A95" s="61"/>
      <c r="B95" s="43"/>
      <c r="C95" s="46"/>
      <c r="D95" s="44"/>
      <c r="E95" s="62"/>
      <c r="F95" s="45"/>
      <c r="G95" s="45"/>
      <c r="H95" s="45"/>
      <c r="I95" s="45"/>
      <c r="J95" s="45">
        <v>160000</v>
      </c>
      <c r="K95" s="45" t="s">
        <v>27</v>
      </c>
    </row>
    <row r="96" spans="1:11" ht="19" x14ac:dyDescent="0.2">
      <c r="A96" s="57"/>
      <c r="B96" s="47"/>
      <c r="C96" s="51"/>
      <c r="D96" s="48"/>
      <c r="E96" s="49"/>
      <c r="F96" s="50"/>
      <c r="G96" s="50"/>
      <c r="H96" s="50"/>
      <c r="I96" s="50"/>
      <c r="J96" s="50">
        <v>150000</v>
      </c>
      <c r="K96" s="50" t="s">
        <v>1055</v>
      </c>
    </row>
    <row r="97" spans="1:11" ht="19" x14ac:dyDescent="0.2">
      <c r="A97" s="61"/>
      <c r="B97" s="43"/>
      <c r="C97" s="46"/>
      <c r="D97" s="44"/>
      <c r="E97" s="62"/>
      <c r="F97" s="45"/>
      <c r="G97" s="45"/>
      <c r="H97" s="45"/>
      <c r="I97" s="45"/>
      <c r="J97" s="45">
        <v>150000</v>
      </c>
      <c r="K97" s="45" t="s">
        <v>1056</v>
      </c>
    </row>
    <row r="98" spans="1:11" ht="19" x14ac:dyDescent="0.2">
      <c r="A98" s="57">
        <v>1138000</v>
      </c>
      <c r="B98" s="47">
        <v>46136</v>
      </c>
      <c r="C98" s="51" t="s">
        <v>16</v>
      </c>
      <c r="D98" s="48" t="s">
        <v>168</v>
      </c>
      <c r="E98" s="49">
        <v>727000</v>
      </c>
      <c r="F98" s="50">
        <v>84000</v>
      </c>
      <c r="G98" s="50">
        <v>327000</v>
      </c>
      <c r="H98" s="50"/>
      <c r="I98" s="50"/>
      <c r="J98" s="50"/>
      <c r="K98" s="50"/>
    </row>
    <row r="99" spans="1:11" ht="19" x14ac:dyDescent="0.2">
      <c r="A99" s="61"/>
      <c r="B99" s="43"/>
      <c r="C99" s="46"/>
      <c r="D99" s="44"/>
      <c r="E99" s="62"/>
      <c r="F99" s="45"/>
      <c r="G99" s="45"/>
      <c r="H99" s="45"/>
      <c r="I99" s="45"/>
      <c r="J99" s="45"/>
      <c r="K99" s="45"/>
    </row>
    <row r="100" spans="1:11" ht="19" x14ac:dyDescent="0.2">
      <c r="A100" s="57">
        <v>1048000</v>
      </c>
      <c r="B100" s="47">
        <v>46137</v>
      </c>
      <c r="C100" s="51" t="s">
        <v>16</v>
      </c>
      <c r="D100" s="48" t="s">
        <v>168</v>
      </c>
      <c r="E100" s="49">
        <v>396000</v>
      </c>
      <c r="F100" s="50">
        <v>26000</v>
      </c>
      <c r="G100" s="50">
        <v>626000</v>
      </c>
      <c r="H100" s="50"/>
      <c r="I100" s="50"/>
      <c r="J100" s="50">
        <v>100000</v>
      </c>
      <c r="K100" s="50" t="s">
        <v>197</v>
      </c>
    </row>
    <row r="101" spans="1:11" ht="19" x14ac:dyDescent="0.2">
      <c r="A101" s="61"/>
      <c r="B101" s="43"/>
      <c r="C101" s="46"/>
      <c r="D101" s="44"/>
      <c r="E101" s="62"/>
      <c r="F101" s="45"/>
      <c r="G101" s="45"/>
      <c r="H101" s="45"/>
      <c r="I101" s="45"/>
      <c r="J101" s="45">
        <v>30000</v>
      </c>
      <c r="K101" s="45" t="s">
        <v>795</v>
      </c>
    </row>
    <row r="102" spans="1:11" ht="19" x14ac:dyDescent="0.2">
      <c r="A102" s="57"/>
      <c r="B102" s="47">
        <v>46138</v>
      </c>
      <c r="C102" s="51" t="s">
        <v>125</v>
      </c>
      <c r="D102" s="48"/>
      <c r="E102" s="49"/>
      <c r="F102" s="50"/>
      <c r="G102" s="50"/>
      <c r="H102" s="50"/>
      <c r="I102" s="50"/>
      <c r="J102" s="50">
        <v>45000</v>
      </c>
      <c r="K102" s="50" t="s">
        <v>628</v>
      </c>
    </row>
    <row r="103" spans="1:11" ht="19" x14ac:dyDescent="0.2">
      <c r="A103" s="61"/>
      <c r="B103" s="43"/>
      <c r="C103" s="46"/>
      <c r="D103" s="44"/>
      <c r="E103" s="62"/>
      <c r="F103" s="45"/>
      <c r="G103" s="45"/>
      <c r="H103" s="45"/>
      <c r="I103" s="45"/>
      <c r="J103" s="45">
        <v>60000</v>
      </c>
      <c r="K103" s="45" t="s">
        <v>1057</v>
      </c>
    </row>
    <row r="104" spans="1:11" ht="19" x14ac:dyDescent="0.2">
      <c r="A104" s="57">
        <v>1651000</v>
      </c>
      <c r="B104" s="47">
        <v>46139</v>
      </c>
      <c r="C104" s="51" t="s">
        <v>16</v>
      </c>
      <c r="D104" s="48" t="s">
        <v>168</v>
      </c>
      <c r="E104" s="49">
        <v>966000</v>
      </c>
      <c r="F104" s="50">
        <v>240000</v>
      </c>
      <c r="G104" s="50">
        <v>445000</v>
      </c>
      <c r="H104" s="50"/>
      <c r="I104" s="50"/>
      <c r="J104" s="50">
        <v>65000</v>
      </c>
      <c r="K104" s="50" t="s">
        <v>1058</v>
      </c>
    </row>
    <row r="105" spans="1:11" ht="19" x14ac:dyDescent="0.2">
      <c r="A105" s="61"/>
      <c r="B105" s="43"/>
      <c r="C105" s="46"/>
      <c r="D105" s="44"/>
      <c r="E105" s="62"/>
      <c r="F105" s="45"/>
      <c r="G105" s="45"/>
      <c r="H105" s="45"/>
      <c r="I105" s="45"/>
      <c r="J105" s="45">
        <v>30000</v>
      </c>
      <c r="K105" s="45" t="s">
        <v>997</v>
      </c>
    </row>
    <row r="106" spans="1:11" ht="19" x14ac:dyDescent="0.2">
      <c r="A106" s="57"/>
      <c r="B106" s="47"/>
      <c r="C106" s="51"/>
      <c r="D106" s="48"/>
      <c r="E106" s="49"/>
      <c r="F106" s="50"/>
      <c r="G106" s="50"/>
      <c r="H106" s="50"/>
      <c r="I106" s="50"/>
      <c r="J106" s="50">
        <v>45000</v>
      </c>
      <c r="K106" s="50" t="s">
        <v>855</v>
      </c>
    </row>
    <row r="107" spans="1:11" ht="19" x14ac:dyDescent="0.2">
      <c r="A107" s="61"/>
      <c r="B107" s="43"/>
      <c r="C107" s="46"/>
      <c r="D107" s="44"/>
      <c r="E107" s="62"/>
      <c r="F107" s="45"/>
      <c r="G107" s="45"/>
      <c r="H107" s="45"/>
      <c r="I107" s="45"/>
      <c r="J107" s="45">
        <v>30000</v>
      </c>
      <c r="K107" s="45" t="s">
        <v>1059</v>
      </c>
    </row>
    <row r="108" spans="1:11" ht="19" x14ac:dyDescent="0.2">
      <c r="A108" s="57"/>
      <c r="B108" s="47"/>
      <c r="C108" s="51"/>
      <c r="D108" s="48"/>
      <c r="E108" s="49"/>
      <c r="F108" s="50"/>
      <c r="G108" s="50"/>
      <c r="H108" s="50"/>
      <c r="I108" s="50"/>
      <c r="J108" s="50">
        <v>30000</v>
      </c>
      <c r="K108" s="50" t="s">
        <v>1060</v>
      </c>
    </row>
    <row r="109" spans="1:11" ht="19" x14ac:dyDescent="0.2">
      <c r="A109" s="61"/>
      <c r="B109" s="43"/>
      <c r="C109" s="46"/>
      <c r="D109" s="44"/>
      <c r="E109" s="62"/>
      <c r="F109" s="45"/>
      <c r="G109" s="45"/>
      <c r="H109" s="45"/>
      <c r="I109" s="45"/>
      <c r="J109" s="45">
        <v>35000</v>
      </c>
      <c r="K109" s="45" t="s">
        <v>854</v>
      </c>
    </row>
    <row r="110" spans="1:11" ht="19" x14ac:dyDescent="0.2">
      <c r="A110" s="57"/>
      <c r="B110" s="47"/>
      <c r="C110" s="51"/>
      <c r="D110" s="48"/>
      <c r="E110" s="49"/>
      <c r="F110" s="50"/>
      <c r="G110" s="50"/>
      <c r="H110" s="50"/>
      <c r="I110" s="50"/>
      <c r="J110" s="50">
        <v>45000</v>
      </c>
      <c r="K110" s="50" t="s">
        <v>1052</v>
      </c>
    </row>
    <row r="111" spans="1:11" ht="19" x14ac:dyDescent="0.2">
      <c r="A111" s="61"/>
      <c r="B111" s="43"/>
      <c r="C111" s="46"/>
      <c r="D111" s="44"/>
      <c r="E111" s="62"/>
      <c r="F111" s="45"/>
      <c r="G111" s="45"/>
      <c r="H111" s="45"/>
      <c r="I111" s="45"/>
      <c r="J111" s="45">
        <v>22000</v>
      </c>
      <c r="K111" s="45" t="s">
        <v>876</v>
      </c>
    </row>
    <row r="112" spans="1:11" ht="19" x14ac:dyDescent="0.2">
      <c r="A112" s="57"/>
      <c r="B112" s="47"/>
      <c r="C112" s="51"/>
      <c r="D112" s="48"/>
      <c r="E112" s="49"/>
      <c r="F112" s="50"/>
      <c r="G112" s="50"/>
      <c r="H112" s="50"/>
      <c r="I112" s="50"/>
      <c r="J112" s="50">
        <v>40000</v>
      </c>
      <c r="K112" s="50" t="s">
        <v>919</v>
      </c>
    </row>
    <row r="113" spans="1:11" ht="19" x14ac:dyDescent="0.2">
      <c r="A113" s="61"/>
      <c r="B113" s="43"/>
      <c r="C113" s="46"/>
      <c r="D113" s="44"/>
      <c r="E113" s="62"/>
      <c r="F113" s="45"/>
      <c r="G113" s="45"/>
      <c r="H113" s="45"/>
      <c r="I113" s="45"/>
      <c r="J113" s="45">
        <v>120000</v>
      </c>
      <c r="K113" s="45" t="s">
        <v>747</v>
      </c>
    </row>
    <row r="114" spans="1:11" ht="19" x14ac:dyDescent="0.2">
      <c r="A114" s="57"/>
      <c r="B114" s="47"/>
      <c r="C114" s="51"/>
      <c r="D114" s="48"/>
      <c r="E114" s="49"/>
      <c r="F114" s="50"/>
      <c r="G114" s="50"/>
      <c r="H114" s="50"/>
      <c r="I114" s="50"/>
      <c r="J114" s="50">
        <v>105000</v>
      </c>
      <c r="K114" s="50" t="s">
        <v>1061</v>
      </c>
    </row>
    <row r="115" spans="1:11" ht="19" x14ac:dyDescent="0.2">
      <c r="A115" s="61"/>
      <c r="B115" s="43"/>
      <c r="C115" s="46"/>
      <c r="D115" s="44"/>
      <c r="E115" s="62"/>
      <c r="F115" s="45"/>
      <c r="G115" s="45"/>
      <c r="H115" s="45"/>
      <c r="I115" s="45"/>
      <c r="J115" s="45">
        <v>160000</v>
      </c>
      <c r="K115" s="45" t="s">
        <v>27</v>
      </c>
    </row>
    <row r="116" spans="1:11" ht="19" x14ac:dyDescent="0.2">
      <c r="A116" s="57"/>
      <c r="B116" s="47"/>
      <c r="C116" s="51"/>
      <c r="D116" s="48"/>
      <c r="E116" s="49"/>
      <c r="F116" s="50"/>
      <c r="G116" s="50"/>
      <c r="H116" s="50"/>
      <c r="I116" s="50"/>
      <c r="J116" s="50">
        <v>114000</v>
      </c>
      <c r="K116" s="50" t="s">
        <v>254</v>
      </c>
    </row>
    <row r="117" spans="1:11" ht="19" x14ac:dyDescent="0.2">
      <c r="A117" s="61"/>
      <c r="B117" s="43"/>
      <c r="C117" s="46"/>
      <c r="D117" s="44"/>
      <c r="E117" s="62"/>
      <c r="F117" s="45"/>
      <c r="G117" s="45"/>
      <c r="H117" s="45"/>
      <c r="I117" s="45"/>
      <c r="J117" s="45">
        <v>43000</v>
      </c>
      <c r="K117" s="45" t="s">
        <v>76</v>
      </c>
    </row>
    <row r="118" spans="1:11" ht="19" x14ac:dyDescent="0.2">
      <c r="A118" s="57"/>
      <c r="B118" s="47"/>
      <c r="C118" s="51"/>
      <c r="D118" s="48"/>
      <c r="E118" s="49"/>
      <c r="F118" s="50"/>
      <c r="G118" s="50"/>
      <c r="H118" s="50"/>
      <c r="I118" s="50"/>
      <c r="J118" s="50">
        <v>14000</v>
      </c>
      <c r="K118" s="50" t="s">
        <v>1062</v>
      </c>
    </row>
    <row r="119" spans="1:11" ht="19" x14ac:dyDescent="0.2">
      <c r="A119" s="61">
        <v>1716000</v>
      </c>
      <c r="B119" s="43">
        <v>46140</v>
      </c>
      <c r="C119" s="46" t="s">
        <v>16</v>
      </c>
      <c r="D119" s="44" t="s">
        <v>168</v>
      </c>
      <c r="E119" s="62">
        <v>1062000</v>
      </c>
      <c r="F119" s="45">
        <v>198000</v>
      </c>
      <c r="G119" s="45">
        <v>456000</v>
      </c>
      <c r="H119" s="45"/>
      <c r="I119" s="45"/>
      <c r="J119" s="45">
        <v>10000</v>
      </c>
      <c r="K119" s="45" t="s">
        <v>669</v>
      </c>
    </row>
    <row r="120" spans="1:11" ht="19" x14ac:dyDescent="0.2">
      <c r="A120" s="57"/>
      <c r="B120" s="47"/>
      <c r="C120" s="51"/>
      <c r="D120" s="48"/>
      <c r="E120" s="49"/>
      <c r="F120" s="50"/>
      <c r="G120" s="50"/>
      <c r="H120" s="50"/>
      <c r="I120" s="50"/>
      <c r="J120" s="50">
        <v>30000</v>
      </c>
      <c r="K120" s="50" t="s">
        <v>343</v>
      </c>
    </row>
    <row r="121" spans="1:11" ht="19" x14ac:dyDescent="0.2">
      <c r="A121" s="61"/>
      <c r="B121" s="43"/>
      <c r="C121" s="46"/>
      <c r="D121" s="44"/>
      <c r="E121" s="62"/>
      <c r="F121" s="45"/>
      <c r="G121" s="45"/>
      <c r="H121" s="45"/>
      <c r="I121" s="45"/>
      <c r="J121" s="45">
        <v>35000</v>
      </c>
      <c r="K121" s="45" t="s">
        <v>122</v>
      </c>
    </row>
    <row r="122" spans="1:11" ht="19" x14ac:dyDescent="0.2">
      <c r="A122" s="57"/>
      <c r="B122" s="47"/>
      <c r="C122" s="51"/>
      <c r="D122" s="48"/>
      <c r="E122" s="49"/>
      <c r="F122" s="50"/>
      <c r="G122" s="50"/>
      <c r="H122" s="50"/>
      <c r="I122" s="50"/>
      <c r="J122" s="50">
        <v>14000</v>
      </c>
      <c r="K122" s="50" t="s">
        <v>293</v>
      </c>
    </row>
    <row r="123" spans="1:11" ht="19" x14ac:dyDescent="0.2">
      <c r="A123" s="61"/>
      <c r="B123" s="43"/>
      <c r="C123" s="46"/>
      <c r="D123" s="44"/>
      <c r="E123" s="62"/>
      <c r="F123" s="45"/>
      <c r="G123" s="45"/>
      <c r="H123" s="45"/>
      <c r="I123" s="45"/>
      <c r="J123" s="45">
        <v>89000</v>
      </c>
      <c r="K123" s="45" t="s">
        <v>1063</v>
      </c>
    </row>
    <row r="124" spans="1:11" ht="19" x14ac:dyDescent="0.2">
      <c r="A124" s="57"/>
      <c r="B124" s="47"/>
      <c r="C124" s="51"/>
      <c r="D124" s="48"/>
      <c r="E124" s="49"/>
      <c r="F124" s="50"/>
      <c r="G124" s="50"/>
      <c r="H124" s="50"/>
      <c r="I124" s="50"/>
      <c r="J124" s="50">
        <v>120000</v>
      </c>
      <c r="K124" s="50" t="s">
        <v>460</v>
      </c>
    </row>
    <row r="125" spans="1:11" ht="19" x14ac:dyDescent="0.2">
      <c r="A125" s="61">
        <v>1787000</v>
      </c>
      <c r="B125" s="43">
        <v>46141</v>
      </c>
      <c r="C125" s="46" t="s">
        <v>16</v>
      </c>
      <c r="D125" s="44" t="s">
        <v>168</v>
      </c>
      <c r="E125" s="62">
        <v>1054000</v>
      </c>
      <c r="F125" s="45">
        <v>158000</v>
      </c>
      <c r="G125" s="45">
        <v>575000</v>
      </c>
      <c r="H125" s="45"/>
      <c r="I125" s="45"/>
      <c r="J125" s="45">
        <v>210000</v>
      </c>
      <c r="K125" s="45" t="s">
        <v>1064</v>
      </c>
    </row>
    <row r="126" spans="1:11" ht="19" x14ac:dyDescent="0.2">
      <c r="A126" s="57"/>
      <c r="B126" s="47"/>
      <c r="C126" s="51"/>
      <c r="D126" s="48"/>
      <c r="E126" s="49"/>
      <c r="F126" s="50"/>
      <c r="G126" s="50"/>
      <c r="H126" s="50"/>
      <c r="I126" s="50"/>
      <c r="J126" s="50"/>
      <c r="K126" s="50"/>
    </row>
    <row r="127" spans="1:11" ht="19" x14ac:dyDescent="0.2">
      <c r="A127" s="61">
        <v>1534000</v>
      </c>
      <c r="B127" s="43">
        <v>46142</v>
      </c>
      <c r="C127" s="46" t="s">
        <v>16</v>
      </c>
      <c r="D127" s="44" t="s">
        <v>168</v>
      </c>
      <c r="E127" s="62">
        <v>817000</v>
      </c>
      <c r="F127" s="45">
        <v>226000</v>
      </c>
      <c r="G127" s="45">
        <v>491000</v>
      </c>
      <c r="H127" s="45"/>
      <c r="I127" s="45"/>
      <c r="J127" s="45">
        <v>100000</v>
      </c>
      <c r="K127" s="45" t="s">
        <v>197</v>
      </c>
    </row>
    <row r="128" spans="1:11" ht="19" x14ac:dyDescent="0.2">
      <c r="A128" s="57"/>
      <c r="B128" s="47"/>
      <c r="C128" s="51"/>
      <c r="D128" s="48"/>
      <c r="E128" s="49"/>
      <c r="F128" s="50"/>
      <c r="G128" s="50"/>
      <c r="H128" s="50"/>
      <c r="I128" s="50"/>
      <c r="J128" s="50">
        <v>20000</v>
      </c>
      <c r="K128" s="50" t="s">
        <v>594</v>
      </c>
    </row>
    <row r="129" spans="1:11" ht="19" x14ac:dyDescent="0.2">
      <c r="A129" s="61"/>
      <c r="B129" s="43"/>
      <c r="C129" s="46"/>
      <c r="D129" s="44"/>
      <c r="E129" s="62"/>
      <c r="F129" s="45"/>
      <c r="G129" s="45"/>
      <c r="H129" s="45"/>
      <c r="I129" s="45"/>
      <c r="J129" s="45">
        <v>72000</v>
      </c>
      <c r="K129" s="45" t="s">
        <v>1065</v>
      </c>
    </row>
    <row r="130" spans="1:11" ht="19" x14ac:dyDescent="0.2">
      <c r="A130" s="57"/>
      <c r="B130" s="47"/>
      <c r="C130" s="51"/>
      <c r="D130" s="48"/>
      <c r="E130" s="49"/>
      <c r="F130" s="50"/>
      <c r="G130" s="50"/>
      <c r="H130" s="50">
        <v>3000000</v>
      </c>
      <c r="I130" s="50" t="s">
        <v>1066</v>
      </c>
      <c r="J130" s="50">
        <v>28000</v>
      </c>
      <c r="K130" s="50" t="s">
        <v>1067</v>
      </c>
    </row>
    <row r="131" spans="1:11" ht="19" x14ac:dyDescent="0.2">
      <c r="A131" s="61"/>
      <c r="B131" s="43"/>
      <c r="C131" s="46"/>
      <c r="D131" s="44"/>
      <c r="E131" s="62"/>
      <c r="F131" s="45"/>
      <c r="G131" s="45"/>
      <c r="H131" s="45">
        <v>100000</v>
      </c>
      <c r="I131" s="45" t="s">
        <v>1068</v>
      </c>
      <c r="J131" s="45">
        <v>37000</v>
      </c>
      <c r="K131" s="45" t="s">
        <v>1069</v>
      </c>
    </row>
    <row r="132" spans="1:11" ht="19" x14ac:dyDescent="0.2">
      <c r="A132" s="57"/>
      <c r="B132" s="47"/>
      <c r="C132" s="51"/>
      <c r="D132" s="48"/>
      <c r="E132" s="49"/>
      <c r="F132" s="50"/>
      <c r="G132" s="50"/>
      <c r="H132" s="50"/>
      <c r="I132" s="50"/>
      <c r="J132" s="50">
        <v>10000</v>
      </c>
      <c r="K132" s="50" t="s">
        <v>658</v>
      </c>
    </row>
    <row r="133" spans="1:11" ht="19" x14ac:dyDescent="0.2">
      <c r="A133" s="61"/>
      <c r="B133" s="43"/>
      <c r="C133" s="46"/>
      <c r="D133" s="44"/>
      <c r="E133" s="62"/>
      <c r="F133" s="45"/>
      <c r="G133" s="45"/>
      <c r="H133" s="45"/>
      <c r="I133" s="45"/>
      <c r="J133" s="45"/>
      <c r="K133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Апрель 2024</vt:lpstr>
      <vt:lpstr>Май 2024</vt:lpstr>
      <vt:lpstr>Июнь 2024</vt:lpstr>
      <vt:lpstr>Июль 2024</vt:lpstr>
      <vt:lpstr>Август 2024</vt:lpstr>
      <vt:lpstr>Сентябрь 2024</vt:lpstr>
      <vt:lpstr>Октябрь 2024</vt:lpstr>
      <vt:lpstr>Ноябрь 2024</vt:lpstr>
      <vt:lpstr>Декабрь 2024</vt:lpstr>
      <vt:lpstr>Январь 2025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Август 2025</vt:lpstr>
      <vt:lpstr>Сентябрь 2025</vt:lpstr>
      <vt:lpstr>Октябрь 2025</vt:lpstr>
      <vt:lpstr>Ноябрь 2025</vt:lpstr>
      <vt:lpstr>Декабрь 2025</vt:lpstr>
      <vt:lpstr>Январь 2026</vt:lpstr>
      <vt:lpstr>Февраль 2026</vt:lpstr>
      <vt:lpstr>Март 2026</vt:lpstr>
      <vt:lpstr>Апрель 2026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</dc:creator>
  <cp:lastModifiedBy>Dmitriy Korolyov</cp:lastModifiedBy>
  <dcterms:created xsi:type="dcterms:W3CDTF">2024-04-23T07:41:03Z</dcterms:created>
  <dcterms:modified xsi:type="dcterms:W3CDTF">2026-05-14T08:55:20Z</dcterms:modified>
</cp:coreProperties>
</file>