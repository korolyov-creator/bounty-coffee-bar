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dmitrijkorolev/Desktop/BOUNTY/"/>
    </mc:Choice>
  </mc:AlternateContent>
  <xr:revisionPtr revIDLastSave="0" documentId="13_ncr:1_{359F938C-3A6F-9249-BE51-5CBD9721D23C}" xr6:coauthVersionLast="47" xr6:coauthVersionMax="47" xr10:uidLastSave="{00000000-0000-0000-0000-000000000000}"/>
  <bookViews>
    <workbookView xWindow="0" yWindow="600" windowWidth="33600" windowHeight="18820" firstSheet="41" activeTab="54" xr2:uid="{00000000-000D-0000-FFFF-FFFF00000000}"/>
  </bookViews>
  <sheets>
    <sheet name="октябрь 2021" sheetId="1" r:id="rId1"/>
    <sheet name="ноябрь" sheetId="2" r:id="rId2"/>
    <sheet name="декабрь" sheetId="3" r:id="rId3"/>
    <sheet name="Январь" sheetId="4" r:id="rId4"/>
    <sheet name="Февраль" sheetId="5" r:id="rId5"/>
    <sheet name="Март" sheetId="6" r:id="rId6"/>
    <sheet name="Апрель" sheetId="7" r:id="rId7"/>
    <sheet name="Май" sheetId="8" r:id="rId8"/>
    <sheet name="Июнь" sheetId="9" r:id="rId9"/>
    <sheet name="Июль" sheetId="17" r:id="rId10"/>
    <sheet name="Август" sheetId="11" r:id="rId11"/>
    <sheet name="Сентябрь" sheetId="12" r:id="rId12"/>
    <sheet name="Октябрь 2022" sheetId="13" r:id="rId13"/>
    <sheet name="Ноябрь 2022" sheetId="14" r:id="rId14"/>
    <sheet name="Декабрь 2022" sheetId="15" r:id="rId15"/>
    <sheet name="Январь 2023" sheetId="16" r:id="rId16"/>
    <sheet name="Февраль 2023" sheetId="18" r:id="rId17"/>
    <sheet name="Март 2023" sheetId="20" r:id="rId18"/>
    <sheet name="Апрель 2023" sheetId="19" r:id="rId19"/>
    <sheet name="Май 2023" sheetId="21" r:id="rId20"/>
    <sheet name="Июнь 2023" sheetId="22" r:id="rId21"/>
    <sheet name="Июль 2023" sheetId="23" r:id="rId22"/>
    <sheet name="Август 2023" sheetId="24" r:id="rId23"/>
    <sheet name="Сентябрь 2023" sheetId="25" r:id="rId24"/>
    <sheet name="Октябрь 2023" sheetId="26" r:id="rId25"/>
    <sheet name="Ноябрь 2023" sheetId="27" r:id="rId26"/>
    <sheet name="Декабрь 2023" sheetId="28" r:id="rId27"/>
    <sheet name="Январь 2024" sheetId="29" r:id="rId28"/>
    <sheet name="Февраль 2024" sheetId="30" r:id="rId29"/>
    <sheet name="Март 2024" sheetId="31" r:id="rId30"/>
    <sheet name="Апрель 2024" sheetId="32" r:id="rId31"/>
    <sheet name="Май 2024" sheetId="33" r:id="rId32"/>
    <sheet name="Июнь 2024" sheetId="34" r:id="rId33"/>
    <sheet name="Июль 2024" sheetId="35" r:id="rId34"/>
    <sheet name="Август 2024" sheetId="36" r:id="rId35"/>
    <sheet name="Сентябрь 2024" sheetId="37" r:id="rId36"/>
    <sheet name="Октябрь 2024" sheetId="38" r:id="rId37"/>
    <sheet name="Ноябрь 2024" sheetId="39" r:id="rId38"/>
    <sheet name="Декабрь 2024" sheetId="40" r:id="rId39"/>
    <sheet name="Январь 2025" sheetId="41" r:id="rId40"/>
    <sheet name="Февраль 2025" sheetId="42" r:id="rId41"/>
    <sheet name="Март 2025" sheetId="43" r:id="rId42"/>
    <sheet name="Апрель 2025" sheetId="44" r:id="rId43"/>
    <sheet name="Май 2025" sheetId="45" r:id="rId44"/>
    <sheet name="Июнь 2025" sheetId="46" r:id="rId45"/>
    <sheet name="Июль 2025" sheetId="47" r:id="rId46"/>
    <sheet name="Август 2025" sheetId="48" r:id="rId47"/>
    <sheet name="Сентябрь 2025" sheetId="50" r:id="rId48"/>
    <sheet name="Октябрь 2025" sheetId="49" r:id="rId49"/>
    <sheet name="Ноябрь 2025" sheetId="51" r:id="rId50"/>
    <sheet name="Декабрь 2025" sheetId="52" r:id="rId51"/>
    <sheet name="Январь 2026" sheetId="53" r:id="rId52"/>
    <sheet name="Февраль 2026" sheetId="54" r:id="rId53"/>
    <sheet name="Март 2026" sheetId="55" r:id="rId54"/>
    <sheet name="Апрель 2026" sheetId="56" r:id="rId55"/>
  </sheets>
  <externalReferences>
    <externalReference r:id="rId5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56" l="1"/>
  <c r="H10" i="56"/>
  <c r="G10" i="56"/>
  <c r="F10" i="56"/>
  <c r="E10" i="56"/>
  <c r="A10" i="56"/>
  <c r="J3" i="56" s="1"/>
  <c r="K5" i="56"/>
  <c r="K4" i="56"/>
  <c r="J10" i="55"/>
  <c r="H10" i="55"/>
  <c r="G10" i="55"/>
  <c r="F10" i="55"/>
  <c r="E10" i="55"/>
  <c r="A10" i="55"/>
  <c r="J3" i="55" s="1"/>
  <c r="K5" i="55"/>
  <c r="K4" i="55"/>
  <c r="J10" i="54" l="1"/>
  <c r="H10" i="54"/>
  <c r="G10" i="54"/>
  <c r="F10" i="54"/>
  <c r="E10" i="54"/>
  <c r="A10" i="54"/>
  <c r="J3" i="54" s="1"/>
  <c r="K5" i="54"/>
  <c r="K4" i="54"/>
  <c r="J10" i="53" l="1"/>
  <c r="H10" i="53"/>
  <c r="G10" i="53"/>
  <c r="F10" i="53"/>
  <c r="E10" i="53"/>
  <c r="A10" i="53"/>
  <c r="J3" i="53" s="1"/>
  <c r="K5" i="53"/>
  <c r="K4" i="53"/>
  <c r="J10" i="52" l="1"/>
  <c r="H10" i="52"/>
  <c r="G10" i="52"/>
  <c r="F10" i="52"/>
  <c r="E10" i="52"/>
  <c r="A10" i="52"/>
  <c r="J3" i="52" s="1"/>
  <c r="K5" i="52"/>
  <c r="K4" i="52"/>
  <c r="J10" i="51" l="1"/>
  <c r="H10" i="51"/>
  <c r="G10" i="51"/>
  <c r="F10" i="51"/>
  <c r="E10" i="51"/>
  <c r="A10" i="51"/>
  <c r="K5" i="51"/>
  <c r="K4" i="51"/>
  <c r="J10" i="49" l="1"/>
  <c r="H10" i="49"/>
  <c r="G10" i="49"/>
  <c r="F10" i="49"/>
  <c r="E10" i="49"/>
  <c r="A10" i="49"/>
  <c r="J3" i="49" s="1"/>
  <c r="K5" i="49"/>
  <c r="K4" i="49"/>
  <c r="J10" i="50" l="1"/>
  <c r="H10" i="50"/>
  <c r="G10" i="50"/>
  <c r="F10" i="50"/>
  <c r="E10" i="50"/>
  <c r="A10" i="50"/>
  <c r="J3" i="50" s="1"/>
  <c r="K5" i="50"/>
  <c r="K4" i="50"/>
  <c r="J10" i="48" l="1"/>
  <c r="H10" i="48"/>
  <c r="G10" i="48"/>
  <c r="F10" i="48"/>
  <c r="E10" i="48"/>
  <c r="A10" i="48"/>
  <c r="J3" i="48" s="1"/>
  <c r="K5" i="48"/>
  <c r="K4" i="48"/>
  <c r="J10" i="47" l="1"/>
  <c r="H10" i="47"/>
  <c r="G10" i="47"/>
  <c r="F10" i="47"/>
  <c r="E10" i="47"/>
  <c r="A10" i="47"/>
  <c r="J3" i="47" s="1"/>
  <c r="K5" i="47"/>
  <c r="K4" i="47"/>
  <c r="J10" i="46" l="1"/>
  <c r="H10" i="46"/>
  <c r="G10" i="46"/>
  <c r="F10" i="46"/>
  <c r="E10" i="46"/>
  <c r="A10" i="46"/>
  <c r="J3" i="46" s="1"/>
  <c r="K5" i="46"/>
  <c r="K4" i="46"/>
  <c r="J10" i="45" l="1"/>
  <c r="H10" i="45"/>
  <c r="G10" i="45"/>
  <c r="F10" i="45"/>
  <c r="E10" i="45"/>
  <c r="A10" i="45"/>
  <c r="J3" i="45" s="1"/>
  <c r="K5" i="45"/>
  <c r="K4" i="45"/>
  <c r="J10" i="44" l="1"/>
  <c r="H10" i="44"/>
  <c r="G10" i="44"/>
  <c r="F10" i="44"/>
  <c r="E10" i="44"/>
  <c r="A10" i="44"/>
  <c r="J3" i="44" s="1"/>
  <c r="K5" i="44"/>
  <c r="K4" i="44"/>
  <c r="J10" i="43" l="1"/>
  <c r="H10" i="43"/>
  <c r="G10" i="43"/>
  <c r="F10" i="43"/>
  <c r="E10" i="43"/>
  <c r="A10" i="43"/>
  <c r="J3" i="43" s="1"/>
  <c r="K5" i="43"/>
  <c r="K4" i="43"/>
  <c r="J10" i="42" l="1"/>
  <c r="H10" i="42"/>
  <c r="G10" i="42"/>
  <c r="F10" i="42"/>
  <c r="E10" i="42"/>
  <c r="A10" i="42"/>
  <c r="J3" i="42" s="1"/>
  <c r="K5" i="42"/>
  <c r="K4" i="42"/>
  <c r="J10" i="41" l="1"/>
  <c r="H10" i="41"/>
  <c r="G10" i="41"/>
  <c r="F10" i="41"/>
  <c r="E10" i="41"/>
  <c r="A10" i="41"/>
  <c r="J3" i="41" s="1"/>
  <c r="K5" i="41"/>
  <c r="K4" i="41"/>
  <c r="J10" i="40" l="1"/>
  <c r="H10" i="40"/>
  <c r="G10" i="40"/>
  <c r="F10" i="40"/>
  <c r="E10" i="40"/>
  <c r="A10" i="40"/>
  <c r="J3" i="40" s="1"/>
  <c r="K5" i="40"/>
  <c r="K4" i="40"/>
  <c r="J10" i="39" l="1"/>
  <c r="H10" i="39"/>
  <c r="G10" i="39"/>
  <c r="F10" i="39"/>
  <c r="E10" i="39"/>
  <c r="A10" i="39"/>
  <c r="J3" i="39" s="1"/>
  <c r="K5" i="39"/>
  <c r="K4" i="39"/>
  <c r="J10" i="38" l="1"/>
  <c r="H10" i="38"/>
  <c r="G10" i="38"/>
  <c r="F10" i="38"/>
  <c r="E10" i="38"/>
  <c r="A10" i="38"/>
  <c r="J3" i="38" s="1"/>
  <c r="K5" i="38"/>
  <c r="K4" i="38"/>
  <c r="J10" i="37" l="1"/>
  <c r="H10" i="37"/>
  <c r="G10" i="37"/>
  <c r="F10" i="37"/>
  <c r="E10" i="37"/>
  <c r="A10" i="37"/>
  <c r="J3" i="37" s="1"/>
  <c r="K5" i="37"/>
  <c r="K4" i="37"/>
  <c r="J10" i="36" l="1"/>
  <c r="H10" i="36"/>
  <c r="G10" i="36"/>
  <c r="F10" i="36"/>
  <c r="E10" i="36"/>
  <c r="A10" i="36"/>
  <c r="J3" i="36" s="1"/>
  <c r="K5" i="36"/>
  <c r="K4" i="36"/>
  <c r="J10" i="35" l="1"/>
  <c r="H10" i="35"/>
  <c r="G10" i="35"/>
  <c r="F10" i="35"/>
  <c r="E10" i="35"/>
  <c r="A10" i="35"/>
  <c r="J3" i="35" s="1"/>
  <c r="K5" i="35"/>
  <c r="K4" i="35"/>
  <c r="J10" i="34"/>
  <c r="H10" i="34"/>
  <c r="G10" i="34"/>
  <c r="F10" i="34"/>
  <c r="E10" i="34"/>
  <c r="A10" i="34"/>
  <c r="J3" i="34" s="1"/>
  <c r="K5" i="34"/>
  <c r="K4" i="34"/>
  <c r="J10" i="33" l="1"/>
  <c r="H10" i="33"/>
  <c r="G10" i="33"/>
  <c r="F10" i="33"/>
  <c r="E10" i="33"/>
  <c r="A10" i="33"/>
  <c r="J3" i="33" s="1"/>
  <c r="K5" i="33"/>
  <c r="K4" i="33"/>
  <c r="I10" i="32"/>
  <c r="G10" i="32"/>
  <c r="F10" i="32"/>
  <c r="E10" i="32"/>
  <c r="A10" i="32"/>
  <c r="I3" i="32" s="1"/>
  <c r="J5" i="32"/>
  <c r="J4" i="32"/>
  <c r="I10" i="31" l="1"/>
  <c r="G10" i="31"/>
  <c r="F10" i="31"/>
  <c r="E10" i="31"/>
  <c r="A10" i="31"/>
  <c r="I3" i="31" s="1"/>
  <c r="J5" i="31"/>
  <c r="J4" i="31"/>
  <c r="I10" i="30" l="1"/>
  <c r="G10" i="30"/>
  <c r="F10" i="30"/>
  <c r="E10" i="30"/>
  <c r="A10" i="30"/>
  <c r="I3" i="30" s="1"/>
  <c r="J5" i="30"/>
  <c r="J4" i="30"/>
  <c r="I10" i="29" l="1"/>
  <c r="G10" i="29"/>
  <c r="F10" i="29"/>
  <c r="E10" i="29"/>
  <c r="A10" i="29"/>
  <c r="I3" i="29" s="1"/>
  <c r="J5" i="29"/>
  <c r="J4" i="29"/>
  <c r="I10" i="28" l="1"/>
  <c r="G10" i="28"/>
  <c r="F10" i="28"/>
  <c r="E10" i="28"/>
  <c r="A10" i="28"/>
  <c r="J5" i="28"/>
  <c r="J4" i="28"/>
  <c r="I10" i="27"/>
  <c r="G10" i="27"/>
  <c r="F10" i="27"/>
  <c r="E10" i="27"/>
  <c r="A10" i="27"/>
  <c r="I3" i="27" s="1"/>
  <c r="J5" i="27"/>
  <c r="J4" i="27"/>
  <c r="J4" i="26" l="1"/>
  <c r="J5" i="26"/>
  <c r="A10" i="26"/>
  <c r="I3" i="26" s="1"/>
  <c r="E10" i="26"/>
  <c r="F10" i="26"/>
  <c r="G10" i="26"/>
  <c r="I10" i="26"/>
  <c r="J6" i="24" l="1"/>
  <c r="J5" i="24"/>
  <c r="J4" i="24"/>
  <c r="I3" i="24"/>
  <c r="I10" i="25" l="1"/>
  <c r="G10" i="25"/>
  <c r="F10" i="25"/>
  <c r="E10" i="25"/>
  <c r="A10" i="25"/>
  <c r="I3" i="25" s="1"/>
  <c r="J5" i="25"/>
  <c r="J4" i="25"/>
  <c r="I10" i="24" l="1"/>
  <c r="G10" i="24"/>
  <c r="F10" i="24"/>
  <c r="E10" i="24"/>
  <c r="A10" i="24"/>
  <c r="I10" i="23"/>
  <c r="G10" i="23"/>
  <c r="F10" i="23"/>
  <c r="E10" i="23"/>
  <c r="A10" i="23"/>
  <c r="J5" i="23"/>
  <c r="J4" i="23"/>
  <c r="I10" i="22" l="1"/>
  <c r="G10" i="22"/>
  <c r="F10" i="22"/>
  <c r="E10" i="22"/>
  <c r="A10" i="22"/>
  <c r="I3" i="22" s="1"/>
  <c r="J5" i="22"/>
  <c r="J4" i="22"/>
  <c r="I10" i="21" l="1"/>
  <c r="G10" i="21"/>
  <c r="F10" i="21"/>
  <c r="E10" i="21"/>
  <c r="A10" i="21"/>
  <c r="I3" i="21" s="1"/>
  <c r="J5" i="21"/>
  <c r="J4" i="21"/>
  <c r="I9" i="19" l="1"/>
  <c r="G9" i="19"/>
  <c r="F9" i="19"/>
  <c r="E9" i="19"/>
  <c r="A9" i="19"/>
  <c r="I2" i="19" s="1"/>
  <c r="J4" i="19"/>
  <c r="J3" i="19"/>
  <c r="I10" i="20" l="1"/>
  <c r="G10" i="20"/>
  <c r="F10" i="20"/>
  <c r="E10" i="20"/>
  <c r="A10" i="20"/>
  <c r="I3" i="20" s="1"/>
  <c r="J5" i="20"/>
  <c r="J4" i="20"/>
  <c r="I10" i="18"/>
  <c r="F10" i="18"/>
  <c r="E10" i="18"/>
  <c r="A10" i="18"/>
  <c r="I3" i="18"/>
  <c r="J5" i="18"/>
  <c r="J4" i="18"/>
  <c r="A195" i="17"/>
  <c r="A188" i="17"/>
  <c r="A182" i="17"/>
  <c r="A176" i="17"/>
  <c r="A169" i="17"/>
  <c r="A161" i="17"/>
  <c r="A157" i="17"/>
  <c r="A152" i="17"/>
  <c r="A142" i="17"/>
  <c r="A138" i="17"/>
  <c r="A132" i="17"/>
  <c r="A122" i="17"/>
  <c r="A118" i="17"/>
  <c r="A109" i="17"/>
  <c r="A103" i="17"/>
  <c r="A97" i="17"/>
  <c r="A92" i="17"/>
  <c r="A83" i="17"/>
  <c r="A75" i="17"/>
  <c r="A67" i="17"/>
  <c r="A63" i="17"/>
  <c r="A59" i="17"/>
  <c r="A50" i="17"/>
  <c r="A43" i="17"/>
  <c r="A39" i="17"/>
  <c r="A31" i="17"/>
  <c r="A20" i="17"/>
  <c r="A11" i="17"/>
  <c r="A10" i="17" s="1"/>
  <c r="I3" i="17" s="1"/>
  <c r="I10" i="17"/>
  <c r="G10" i="17"/>
  <c r="F10" i="17"/>
  <c r="E10" i="17"/>
  <c r="J5" i="17"/>
  <c r="J4" i="17"/>
  <c r="I11" i="16"/>
  <c r="G11" i="16"/>
  <c r="F11" i="16"/>
  <c r="E11" i="16"/>
  <c r="A11" i="16"/>
  <c r="I4" i="16" s="1"/>
  <c r="J6" i="16"/>
  <c r="J5" i="16"/>
  <c r="K89" i="15"/>
  <c r="L89" i="15"/>
  <c r="K90" i="15"/>
  <c r="L90" i="15" s="1"/>
  <c r="I10" i="15"/>
  <c r="G10" i="15"/>
  <c r="F10" i="15"/>
  <c r="E10" i="15"/>
  <c r="A10" i="15"/>
  <c r="I3" i="15" s="1"/>
  <c r="J5" i="15"/>
  <c r="J4" i="15"/>
  <c r="K10" i="14"/>
  <c r="I10" i="14"/>
  <c r="G10" i="14"/>
  <c r="F10" i="14"/>
  <c r="E10" i="14"/>
  <c r="A10" i="14"/>
  <c r="I3" i="14" s="1"/>
  <c r="J5" i="14"/>
  <c r="J4" i="14"/>
  <c r="I127" i="13"/>
  <c r="I10" i="13" s="1"/>
  <c r="K10" i="13"/>
  <c r="G10" i="13"/>
  <c r="F10" i="13"/>
  <c r="E10" i="13"/>
  <c r="A10" i="13"/>
  <c r="I3" i="13" s="1"/>
  <c r="J5" i="13"/>
  <c r="J4" i="13"/>
  <c r="K209" i="12"/>
  <c r="L209" i="12"/>
  <c r="K206" i="12"/>
  <c r="L206" i="12"/>
  <c r="K207" i="12"/>
  <c r="L207" i="12" s="1"/>
  <c r="K208" i="12"/>
  <c r="L208" i="12"/>
  <c r="K202" i="12"/>
  <c r="L202" i="12"/>
  <c r="K203" i="12"/>
  <c r="L203" i="12" s="1"/>
  <c r="K204" i="12"/>
  <c r="L204" i="12" s="1"/>
  <c r="K205" i="12"/>
  <c r="L205" i="12" s="1"/>
  <c r="I10" i="12"/>
  <c r="G10" i="12"/>
  <c r="F10" i="12"/>
  <c r="E10" i="12"/>
  <c r="A10" i="12"/>
  <c r="I3" i="12" s="1"/>
  <c r="J5" i="12"/>
  <c r="J4" i="12"/>
  <c r="K10" i="11"/>
  <c r="I10" i="11"/>
  <c r="G10" i="11"/>
  <c r="F10" i="11"/>
  <c r="E10" i="11"/>
  <c r="A10" i="11"/>
  <c r="I3" i="11" s="1"/>
  <c r="J5" i="11"/>
  <c r="J4" i="11"/>
  <c r="K135" i="9"/>
  <c r="L135" i="9" s="1"/>
  <c r="K136" i="9"/>
  <c r="L136" i="9"/>
  <c r="K133" i="9"/>
  <c r="L133" i="9" s="1"/>
  <c r="K134" i="9"/>
  <c r="L134" i="9" s="1"/>
  <c r="K137" i="9"/>
  <c r="L137" i="9" s="1"/>
  <c r="K129" i="9"/>
  <c r="L129" i="9"/>
  <c r="K130" i="9"/>
  <c r="L130" i="9" s="1"/>
  <c r="K131" i="9"/>
  <c r="L131" i="9" s="1"/>
  <c r="I10" i="9"/>
  <c r="G10" i="9"/>
  <c r="F10" i="9"/>
  <c r="E10" i="9"/>
  <c r="A10" i="9"/>
  <c r="J5" i="9"/>
  <c r="J4" i="9"/>
  <c r="K10" i="8"/>
  <c r="I10" i="8"/>
  <c r="G10" i="8"/>
  <c r="F10" i="8"/>
  <c r="E10" i="8"/>
  <c r="A10" i="8"/>
  <c r="I3" i="8" s="1"/>
  <c r="J5" i="8"/>
  <c r="J4" i="8"/>
  <c r="K153" i="7"/>
  <c r="L153" i="7" s="1"/>
  <c r="I143" i="7"/>
  <c r="I24" i="7"/>
  <c r="G10" i="7"/>
  <c r="F10" i="7"/>
  <c r="E10" i="7"/>
  <c r="A10" i="7"/>
  <c r="I3" i="7" s="1"/>
  <c r="J5" i="7"/>
  <c r="J4" i="7"/>
  <c r="K151" i="6"/>
  <c r="L151" i="6" s="1"/>
  <c r="F10" i="6"/>
  <c r="E10" i="6"/>
  <c r="A10" i="6"/>
  <c r="I3" i="6"/>
  <c r="J5" i="6"/>
  <c r="J4" i="6"/>
  <c r="L135" i="5"/>
  <c r="L132" i="5"/>
  <c r="L133" i="5"/>
  <c r="L128" i="5"/>
  <c r="L138" i="5"/>
  <c r="L139" i="5"/>
  <c r="L134" i="5"/>
  <c r="L131" i="5"/>
  <c r="L126" i="5"/>
  <c r="L125" i="5"/>
  <c r="L124" i="5"/>
  <c r="L117" i="5"/>
  <c r="L116" i="5"/>
  <c r="L115" i="5"/>
  <c r="L114" i="5"/>
  <c r="L113" i="5"/>
  <c r="L112" i="5"/>
  <c r="L111" i="5"/>
  <c r="L110" i="5"/>
  <c r="L109" i="5"/>
  <c r="L108" i="5"/>
  <c r="L102" i="5"/>
  <c r="L101" i="5"/>
  <c r="L100" i="5"/>
  <c r="L99" i="5"/>
  <c r="L98" i="5"/>
  <c r="L95" i="5"/>
  <c r="L94" i="5"/>
  <c r="L93" i="5"/>
  <c r="L92" i="5"/>
  <c r="L91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0" i="5"/>
  <c r="L69" i="5"/>
  <c r="L68" i="5"/>
  <c r="L67" i="5"/>
  <c r="L65" i="5"/>
  <c r="L64" i="5"/>
  <c r="L60" i="5"/>
  <c r="L59" i="5"/>
  <c r="L58" i="5"/>
  <c r="L57" i="5"/>
  <c r="L56" i="5"/>
  <c r="L55" i="5"/>
  <c r="L54" i="5"/>
  <c r="L53" i="5"/>
  <c r="L50" i="5"/>
  <c r="L49" i="5"/>
  <c r="L48" i="5"/>
  <c r="L47" i="5"/>
  <c r="L46" i="5"/>
  <c r="L45" i="5"/>
  <c r="L44" i="5"/>
  <c r="L43" i="5"/>
  <c r="L39" i="5"/>
  <c r="L38" i="5"/>
  <c r="L37" i="5"/>
  <c r="L36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8" i="5"/>
  <c r="L17" i="5"/>
  <c r="L12" i="5"/>
  <c r="L11" i="5"/>
  <c r="F10" i="5"/>
  <c r="E10" i="5"/>
  <c r="A10" i="5"/>
  <c r="I3" i="5"/>
  <c r="J5" i="5"/>
  <c r="J4" i="5"/>
  <c r="I134" i="4"/>
  <c r="L134" i="4" s="1"/>
  <c r="K134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5" i="4"/>
  <c r="A136" i="4"/>
  <c r="A11" i="4"/>
  <c r="G10" i="4"/>
  <c r="F10" i="4"/>
  <c r="E10" i="4"/>
  <c r="I132" i="4"/>
  <c r="K132" i="4"/>
  <c r="K124" i="4" s="1"/>
  <c r="L120" i="4"/>
  <c r="L12" i="4"/>
  <c r="L11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4" i="4"/>
  <c r="L35" i="4"/>
  <c r="L36" i="4"/>
  <c r="L37" i="4"/>
  <c r="L38" i="4"/>
  <c r="L39" i="4"/>
  <c r="L40" i="4"/>
  <c r="L41" i="4"/>
  <c r="L42" i="4"/>
  <c r="L43" i="4"/>
  <c r="L44" i="4"/>
  <c r="L45" i="4"/>
  <c r="L48" i="4"/>
  <c r="L49" i="4"/>
  <c r="L50" i="4"/>
  <c r="L51" i="4"/>
  <c r="L52" i="4"/>
  <c r="L53" i="4"/>
  <c r="L54" i="4"/>
  <c r="L55" i="4"/>
  <c r="L58" i="4"/>
  <c r="L59" i="4"/>
  <c r="L60" i="4"/>
  <c r="L61" i="4"/>
  <c r="L62" i="4"/>
  <c r="L63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82" i="4"/>
  <c r="L83" i="4"/>
  <c r="L84" i="4"/>
  <c r="L85" i="4"/>
  <c r="L86" i="4"/>
  <c r="L87" i="4"/>
  <c r="L88" i="4"/>
  <c r="L89" i="4"/>
  <c r="L90" i="4"/>
  <c r="L91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7" i="4"/>
  <c r="L118" i="4"/>
  <c r="L119" i="4"/>
  <c r="L122" i="4"/>
  <c r="L123" i="4"/>
  <c r="L127" i="4"/>
  <c r="L128" i="4"/>
  <c r="L129" i="4"/>
  <c r="L130" i="4"/>
  <c r="L131" i="4"/>
  <c r="L133" i="4"/>
  <c r="L135" i="4"/>
  <c r="L136" i="4"/>
  <c r="L15" i="4"/>
  <c r="L16" i="4"/>
  <c r="L18" i="4"/>
  <c r="L19" i="4"/>
  <c r="J5" i="4"/>
  <c r="J4" i="4"/>
  <c r="I166" i="3"/>
  <c r="K166" i="3"/>
  <c r="K160" i="3" s="1"/>
  <c r="G12" i="3"/>
  <c r="I4" i="3"/>
  <c r="L13" i="3"/>
  <c r="I66" i="3"/>
  <c r="I6" i="1"/>
  <c r="I5" i="1"/>
  <c r="J6" i="3"/>
  <c r="J5" i="3"/>
  <c r="K4" i="2"/>
  <c r="K3" i="2"/>
  <c r="B56" i="2"/>
  <c r="B11" i="2"/>
  <c r="B17" i="2"/>
  <c r="B20" i="2"/>
  <c r="B23" i="2"/>
  <c r="B37" i="2"/>
  <c r="B30" i="2"/>
  <c r="B41" i="2"/>
  <c r="B43" i="2"/>
  <c r="B51" i="2"/>
  <c r="B54" i="2"/>
  <c r="B67" i="2"/>
  <c r="B71" i="2"/>
  <c r="B75" i="2"/>
  <c r="B80" i="2"/>
  <c r="B84" i="2"/>
  <c r="B95" i="2"/>
  <c r="B99" i="2"/>
  <c r="B102" i="2"/>
  <c r="B112" i="2"/>
  <c r="B115" i="2"/>
  <c r="B117" i="2"/>
  <c r="B122" i="2"/>
  <c r="B125" i="2"/>
  <c r="B131" i="2"/>
  <c r="B140" i="2"/>
  <c r="B146" i="2"/>
  <c r="B153" i="2"/>
  <c r="B157" i="2"/>
  <c r="B161" i="2"/>
  <c r="L165" i="2"/>
  <c r="M165" i="2" s="1"/>
  <c r="L166" i="2"/>
  <c r="L162" i="2" s="1"/>
  <c r="L164" i="2"/>
  <c r="G10" i="2"/>
  <c r="F10" i="2"/>
  <c r="M164" i="2"/>
  <c r="L164" i="3"/>
  <c r="L167" i="3"/>
  <c r="L165" i="3"/>
  <c r="L163" i="3"/>
  <c r="L162" i="3"/>
  <c r="L158" i="3"/>
  <c r="L161" i="3"/>
  <c r="L159" i="3"/>
  <c r="L90" i="1"/>
  <c r="L86" i="1"/>
  <c r="L87" i="1"/>
  <c r="L88" i="1"/>
  <c r="L89" i="1"/>
  <c r="L78" i="1"/>
  <c r="L79" i="1"/>
  <c r="L80" i="1"/>
  <c r="L81" i="1"/>
  <c r="L82" i="1"/>
  <c r="L83" i="1"/>
  <c r="L84" i="1"/>
  <c r="L68" i="1"/>
  <c r="L71" i="1"/>
  <c r="L66" i="1"/>
  <c r="L67" i="1"/>
  <c r="L156" i="3"/>
  <c r="L157" i="3"/>
  <c r="L50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152" i="3"/>
  <c r="L151" i="3"/>
  <c r="L150" i="3"/>
  <c r="L149" i="3"/>
  <c r="L144" i="3"/>
  <c r="L143" i="3"/>
  <c r="L138" i="3"/>
  <c r="L137" i="3"/>
  <c r="L136" i="3"/>
  <c r="L135" i="3"/>
  <c r="L130" i="3"/>
  <c r="L128" i="3"/>
  <c r="K92" i="1"/>
  <c r="L13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2" i="1"/>
  <c r="L73" i="1"/>
  <c r="L74" i="1"/>
  <c r="L75" i="1"/>
  <c r="L76" i="1"/>
  <c r="L77" i="1"/>
  <c r="L85" i="1"/>
  <c r="L91" i="1"/>
  <c r="I92" i="1"/>
  <c r="G92" i="1"/>
  <c r="F92" i="1"/>
  <c r="E92" i="1"/>
  <c r="L126" i="3"/>
  <c r="L125" i="3"/>
  <c r="L122" i="3"/>
  <c r="L121" i="3"/>
  <c r="L119" i="3"/>
  <c r="L120" i="3"/>
  <c r="L117" i="3"/>
  <c r="L114" i="3"/>
  <c r="L108" i="3"/>
  <c r="L107" i="3"/>
  <c r="L96" i="3"/>
  <c r="L94" i="3"/>
  <c r="L93" i="3"/>
  <c r="L92" i="3"/>
  <c r="L91" i="3"/>
  <c r="L90" i="3"/>
  <c r="L85" i="3"/>
  <c r="L84" i="3"/>
  <c r="L83" i="3"/>
  <c r="L82" i="3"/>
  <c r="L77" i="3"/>
  <c r="L76" i="3"/>
  <c r="L67" i="3"/>
  <c r="L65" i="3"/>
  <c r="L59" i="3"/>
  <c r="L57" i="3"/>
  <c r="L54" i="3"/>
  <c r="L53" i="3"/>
  <c r="L49" i="3"/>
  <c r="L48" i="3"/>
  <c r="L46" i="3"/>
  <c r="L45" i="3"/>
  <c r="L38" i="3"/>
  <c r="L25" i="3"/>
  <c r="L28" i="3"/>
  <c r="L23" i="3"/>
  <c r="L24" i="3"/>
  <c r="L22" i="3"/>
  <c r="L27" i="3"/>
  <c r="L20" i="3"/>
  <c r="L18" i="3"/>
  <c r="L19" i="3"/>
  <c r="L21" i="3"/>
  <c r="L17" i="3"/>
  <c r="L15" i="3"/>
  <c r="L14" i="3"/>
  <c r="L16" i="3"/>
  <c r="L132" i="4"/>
  <c r="L130" i="5"/>
  <c r="L127" i="5"/>
  <c r="L129" i="5"/>
  <c r="L137" i="5"/>
  <c r="I10" i="5"/>
  <c r="L136" i="5"/>
  <c r="L122" i="5"/>
  <c r="L119" i="5"/>
  <c r="L121" i="5"/>
  <c r="L123" i="5"/>
  <c r="L120" i="5"/>
  <c r="L106" i="5"/>
  <c r="L118" i="5"/>
  <c r="L104" i="5"/>
  <c r="L107" i="5"/>
  <c r="L105" i="5"/>
  <c r="G10" i="5"/>
  <c r="L103" i="5"/>
  <c r="L97" i="5"/>
  <c r="L90" i="5"/>
  <c r="L96" i="5"/>
  <c r="L89" i="5"/>
  <c r="L71" i="5"/>
  <c r="L63" i="5"/>
  <c r="L62" i="5"/>
  <c r="L66" i="5"/>
  <c r="L61" i="5"/>
  <c r="L52" i="5"/>
  <c r="L41" i="5"/>
  <c r="L51" i="5"/>
  <c r="L42" i="5"/>
  <c r="L40" i="5"/>
  <c r="L35" i="5"/>
  <c r="L19" i="5"/>
  <c r="L15" i="5"/>
  <c r="L14" i="5"/>
  <c r="L16" i="5"/>
  <c r="K10" i="5"/>
  <c r="L13" i="5"/>
  <c r="I10" i="6"/>
  <c r="K116" i="6"/>
  <c r="L116" i="6" s="1"/>
  <c r="K115" i="6"/>
  <c r="K113" i="6" s="1"/>
  <c r="G10" i="6"/>
  <c r="G10" i="18"/>
  <c r="L124" i="4" l="1"/>
  <c r="A10" i="4"/>
  <c r="I3" i="4" s="1"/>
  <c r="K125" i="4"/>
  <c r="L125" i="4" s="1"/>
  <c r="K86" i="9"/>
  <c r="L86" i="9" s="1"/>
  <c r="K175" i="12"/>
  <c r="L175" i="12" s="1"/>
  <c r="L115" i="6"/>
  <c r="L166" i="3"/>
  <c r="K169" i="12"/>
  <c r="L169" i="12" s="1"/>
  <c r="K85" i="9"/>
  <c r="L85" i="9" s="1"/>
  <c r="K174" i="12"/>
  <c r="L174" i="12" s="1"/>
  <c r="B10" i="2"/>
  <c r="I10" i="4"/>
  <c r="L113" i="6"/>
  <c r="K114" i="6"/>
  <c r="L114" i="6" s="1"/>
  <c r="M162" i="2"/>
  <c r="K155" i="3"/>
  <c r="L155" i="3" s="1"/>
  <c r="K153" i="3"/>
  <c r="L160" i="3"/>
  <c r="K154" i="3"/>
  <c r="L154" i="3" s="1"/>
  <c r="L92" i="1"/>
  <c r="K143" i="7"/>
  <c r="L143" i="7" s="1"/>
  <c r="K84" i="9"/>
  <c r="K177" i="12"/>
  <c r="L177" i="12" s="1"/>
  <c r="M166" i="2"/>
  <c r="K166" i="12"/>
  <c r="L166" i="12" s="1"/>
  <c r="K176" i="12"/>
  <c r="L176" i="12" s="1"/>
  <c r="L163" i="2"/>
  <c r="L161" i="2"/>
  <c r="K165" i="12"/>
  <c r="L165" i="12" s="1"/>
  <c r="K170" i="12"/>
  <c r="L170" i="12" s="1"/>
  <c r="I10" i="7"/>
  <c r="K160" i="12" l="1"/>
  <c r="L160" i="12" s="1"/>
  <c r="K164" i="12"/>
  <c r="L164" i="12" s="1"/>
  <c r="K121" i="4"/>
  <c r="L84" i="9"/>
  <c r="K25" i="9"/>
  <c r="L25" i="9" s="1"/>
  <c r="K34" i="9"/>
  <c r="K22" i="9"/>
  <c r="L22" i="9" s="1"/>
  <c r="K21" i="9"/>
  <c r="L21" i="9" s="1"/>
  <c r="K132" i="7"/>
  <c r="L132" i="7" s="1"/>
  <c r="K127" i="7"/>
  <c r="K133" i="7"/>
  <c r="L133" i="7" s="1"/>
  <c r="K128" i="7"/>
  <c r="L128" i="7" s="1"/>
  <c r="K134" i="7"/>
  <c r="L134" i="7" s="1"/>
  <c r="K135" i="7"/>
  <c r="L135" i="7" s="1"/>
  <c r="K163" i="12"/>
  <c r="L163" i="12" s="1"/>
  <c r="K161" i="12"/>
  <c r="L161" i="12" s="1"/>
  <c r="L160" i="2"/>
  <c r="M163" i="2"/>
  <c r="K159" i="12"/>
  <c r="M161" i="2"/>
  <c r="L158" i="2"/>
  <c r="K10" i="6"/>
  <c r="L159" i="2"/>
  <c r="K148" i="3"/>
  <c r="L148" i="3" s="1"/>
  <c r="K147" i="3"/>
  <c r="L147" i="3" s="1"/>
  <c r="K145" i="3"/>
  <c r="K146" i="3"/>
  <c r="L146" i="3" s="1"/>
  <c r="L153" i="3"/>
  <c r="K168" i="12"/>
  <c r="L168" i="12" s="1"/>
  <c r="L121" i="4" l="1"/>
  <c r="K112" i="4"/>
  <c r="L112" i="4" s="1"/>
  <c r="K115" i="4"/>
  <c r="L115" i="4" s="1"/>
  <c r="K113" i="4"/>
  <c r="L113" i="4" s="1"/>
  <c r="K116" i="4"/>
  <c r="K135" i="12"/>
  <c r="L135" i="12" s="1"/>
  <c r="K140" i="12"/>
  <c r="K136" i="12"/>
  <c r="L136" i="12" s="1"/>
  <c r="K141" i="12"/>
  <c r="L141" i="12" s="1"/>
  <c r="K137" i="12"/>
  <c r="L137" i="12" s="1"/>
  <c r="L159" i="12"/>
  <c r="K142" i="12"/>
  <c r="L142" i="12" s="1"/>
  <c r="K119" i="7"/>
  <c r="L119" i="7" s="1"/>
  <c r="K109" i="7"/>
  <c r="L109" i="7" s="1"/>
  <c r="K106" i="7"/>
  <c r="L106" i="7" s="1"/>
  <c r="L127" i="7"/>
  <c r="K113" i="7"/>
  <c r="L113" i="7" s="1"/>
  <c r="K110" i="7"/>
  <c r="L110" i="7" s="1"/>
  <c r="K107" i="7"/>
  <c r="L107" i="7" s="1"/>
  <c r="K117" i="7"/>
  <c r="L117" i="7" s="1"/>
  <c r="K114" i="7"/>
  <c r="L114" i="7" s="1"/>
  <c r="K111" i="7"/>
  <c r="L111" i="7" s="1"/>
  <c r="K108" i="7"/>
  <c r="L108" i="7" s="1"/>
  <c r="K118" i="7"/>
  <c r="L118" i="7" s="1"/>
  <c r="K115" i="7"/>
  <c r="L115" i="7" s="1"/>
  <c r="K105" i="7"/>
  <c r="M159" i="2"/>
  <c r="L156" i="2"/>
  <c r="L157" i="2"/>
  <c r="M160" i="2"/>
  <c r="K24" i="9"/>
  <c r="L24" i="9" s="1"/>
  <c r="K15" i="9"/>
  <c r="L15" i="9" s="1"/>
  <c r="K13" i="9"/>
  <c r="K16" i="9"/>
  <c r="L16" i="9" s="1"/>
  <c r="K17" i="9"/>
  <c r="L17" i="9" s="1"/>
  <c r="L34" i="9"/>
  <c r="K23" i="9"/>
  <c r="L23" i="9" s="1"/>
  <c r="K18" i="9"/>
  <c r="L18" i="9" s="1"/>
  <c r="L155" i="2"/>
  <c r="M158" i="2"/>
  <c r="K139" i="3"/>
  <c r="K141" i="3"/>
  <c r="L141" i="3" s="1"/>
  <c r="L145" i="3"/>
  <c r="K142" i="3"/>
  <c r="L142" i="3" s="1"/>
  <c r="K140" i="3"/>
  <c r="L140" i="3" s="1"/>
  <c r="L116" i="4" l="1"/>
  <c r="K114" i="4"/>
  <c r="L153" i="2"/>
  <c r="M156" i="2"/>
  <c r="L154" i="2"/>
  <c r="M157" i="2"/>
  <c r="L13" i="9"/>
  <c r="K10" i="9"/>
  <c r="K131" i="3"/>
  <c r="K134" i="3"/>
  <c r="L134" i="3" s="1"/>
  <c r="K132" i="3"/>
  <c r="L132" i="3" s="1"/>
  <c r="K133" i="3"/>
  <c r="L133" i="3" s="1"/>
  <c r="K129" i="3"/>
  <c r="L129" i="3" s="1"/>
  <c r="L139" i="3"/>
  <c r="L105" i="7"/>
  <c r="K93" i="7"/>
  <c r="L93" i="7" s="1"/>
  <c r="K94" i="7"/>
  <c r="L94" i="7" s="1"/>
  <c r="K95" i="7"/>
  <c r="L95" i="7" s="1"/>
  <c r="K92" i="7"/>
  <c r="K134" i="12"/>
  <c r="L134" i="12" s="1"/>
  <c r="K130" i="12"/>
  <c r="L140" i="12"/>
  <c r="K131" i="12"/>
  <c r="L131" i="12" s="1"/>
  <c r="K133" i="12"/>
  <c r="L133" i="12" s="1"/>
  <c r="L152" i="2"/>
  <c r="M155" i="2"/>
  <c r="L114" i="4" l="1"/>
  <c r="K111" i="4"/>
  <c r="K109" i="12"/>
  <c r="L109" i="12" s="1"/>
  <c r="K110" i="12"/>
  <c r="L110" i="12" s="1"/>
  <c r="L130" i="12"/>
  <c r="K108" i="12"/>
  <c r="M154" i="2"/>
  <c r="L151" i="2"/>
  <c r="L131" i="3"/>
  <c r="K127" i="3"/>
  <c r="M152" i="2"/>
  <c r="L149" i="2"/>
  <c r="L92" i="7"/>
  <c r="K77" i="7"/>
  <c r="K72" i="7"/>
  <c r="L72" i="7" s="1"/>
  <c r="K78" i="7"/>
  <c r="L78" i="7" s="1"/>
  <c r="K68" i="7"/>
  <c r="K79" i="7"/>
  <c r="L79" i="7" s="1"/>
  <c r="K71" i="7"/>
  <c r="L71" i="7" s="1"/>
  <c r="M153" i="2"/>
  <c r="L150" i="2"/>
  <c r="L111" i="4" l="1"/>
  <c r="K92" i="4"/>
  <c r="M149" i="2"/>
  <c r="L146" i="2"/>
  <c r="L77" i="7"/>
  <c r="K70" i="7"/>
  <c r="L70" i="7" s="1"/>
  <c r="M150" i="2"/>
  <c r="L147" i="2"/>
  <c r="L148" i="2"/>
  <c r="M151" i="2"/>
  <c r="L108" i="12"/>
  <c r="K63" i="12"/>
  <c r="L63" i="12" s="1"/>
  <c r="K58" i="12"/>
  <c r="L58" i="12" s="1"/>
  <c r="K56" i="12"/>
  <c r="L56" i="12" s="1"/>
  <c r="K60" i="12"/>
  <c r="L60" i="12" s="1"/>
  <c r="K59" i="12"/>
  <c r="L59" i="12" s="1"/>
  <c r="K65" i="12"/>
  <c r="L65" i="12" s="1"/>
  <c r="K61" i="12"/>
  <c r="L61" i="12" s="1"/>
  <c r="K54" i="12"/>
  <c r="K66" i="12"/>
  <c r="L66" i="12" s="1"/>
  <c r="K57" i="12"/>
  <c r="L57" i="12" s="1"/>
  <c r="K55" i="12"/>
  <c r="L55" i="12" s="1"/>
  <c r="L127" i="3"/>
  <c r="K123" i="3"/>
  <c r="K124" i="3"/>
  <c r="L124" i="3" s="1"/>
  <c r="L68" i="7"/>
  <c r="K45" i="7"/>
  <c r="L45" i="7" s="1"/>
  <c r="K80" i="4" l="1"/>
  <c r="L92" i="4"/>
  <c r="K81" i="4"/>
  <c r="L144" i="2"/>
  <c r="M147" i="2"/>
  <c r="M146" i="2"/>
  <c r="L143" i="2"/>
  <c r="K40" i="12"/>
  <c r="L40" i="12" s="1"/>
  <c r="K42" i="12"/>
  <c r="L42" i="12" s="1"/>
  <c r="K41" i="12"/>
  <c r="L41" i="12" s="1"/>
  <c r="K43" i="12"/>
  <c r="L43" i="12" s="1"/>
  <c r="K37" i="12"/>
  <c r="L54" i="12"/>
  <c r="K44" i="12"/>
  <c r="L44" i="12" s="1"/>
  <c r="K38" i="12"/>
  <c r="L38" i="12" s="1"/>
  <c r="K118" i="3"/>
  <c r="L123" i="3"/>
  <c r="K116" i="3"/>
  <c r="L116" i="3" s="1"/>
  <c r="K51" i="7"/>
  <c r="M148" i="2"/>
  <c r="L145" i="2"/>
  <c r="K79" i="4" l="1"/>
  <c r="L79" i="4" s="1"/>
  <c r="L81" i="4"/>
  <c r="K78" i="4"/>
  <c r="L80" i="4"/>
  <c r="M145" i="2"/>
  <c r="L142" i="2"/>
  <c r="K42" i="7"/>
  <c r="L42" i="7" s="1"/>
  <c r="K38" i="7"/>
  <c r="L38" i="7" s="1"/>
  <c r="K34" i="7"/>
  <c r="L34" i="7" s="1"/>
  <c r="K43" i="7"/>
  <c r="L43" i="7" s="1"/>
  <c r="K36" i="7"/>
  <c r="L36" i="7" s="1"/>
  <c r="K35" i="7"/>
  <c r="L35" i="7" s="1"/>
  <c r="K44" i="7"/>
  <c r="L44" i="7" s="1"/>
  <c r="K37" i="7"/>
  <c r="L37" i="7" s="1"/>
  <c r="K30" i="7"/>
  <c r="L51" i="7"/>
  <c r="K31" i="7"/>
  <c r="K41" i="7"/>
  <c r="L41" i="7" s="1"/>
  <c r="K33" i="7"/>
  <c r="K111" i="3"/>
  <c r="K112" i="3"/>
  <c r="L112" i="3" s="1"/>
  <c r="K115" i="3"/>
  <c r="L118" i="3"/>
  <c r="K113" i="3"/>
  <c r="L113" i="3" s="1"/>
  <c r="L140" i="2"/>
  <c r="M143" i="2"/>
  <c r="K24" i="12"/>
  <c r="K19" i="12"/>
  <c r="L37" i="12"/>
  <c r="M144" i="2"/>
  <c r="L141" i="2"/>
  <c r="K64" i="4" l="1"/>
  <c r="L78" i="4"/>
  <c r="M140" i="2"/>
  <c r="L137" i="2"/>
  <c r="M141" i="2"/>
  <c r="L138" i="2"/>
  <c r="L111" i="3"/>
  <c r="K109" i="3"/>
  <c r="K17" i="12"/>
  <c r="K18" i="12"/>
  <c r="L33" i="7"/>
  <c r="K24" i="7"/>
  <c r="L139" i="2"/>
  <c r="M142" i="2"/>
  <c r="K110" i="3"/>
  <c r="L110" i="3" s="1"/>
  <c r="L115" i="3"/>
  <c r="L64" i="4" l="1"/>
  <c r="K57" i="4"/>
  <c r="L57" i="4" s="1"/>
  <c r="K56" i="4"/>
  <c r="K10" i="12"/>
  <c r="K97" i="3"/>
  <c r="L97" i="3" s="1"/>
  <c r="K101" i="3"/>
  <c r="L109" i="3"/>
  <c r="K105" i="3"/>
  <c r="K95" i="3"/>
  <c r="K104" i="3"/>
  <c r="L104" i="3" s="1"/>
  <c r="K106" i="3"/>
  <c r="L106" i="3" s="1"/>
  <c r="K98" i="3"/>
  <c r="L98" i="3" s="1"/>
  <c r="K102" i="3"/>
  <c r="M138" i="2"/>
  <c r="L135" i="2"/>
  <c r="M139" i="2"/>
  <c r="L136" i="2"/>
  <c r="M137" i="2"/>
  <c r="L134" i="2"/>
  <c r="L24" i="7"/>
  <c r="K13" i="7"/>
  <c r="K14" i="7"/>
  <c r="L14" i="7" s="1"/>
  <c r="K15" i="7"/>
  <c r="L15" i="7" s="1"/>
  <c r="K47" i="4" l="1"/>
  <c r="L47" i="4" s="1"/>
  <c r="K46" i="4"/>
  <c r="L56" i="4"/>
  <c r="L133" i="2"/>
  <c r="M136" i="2"/>
  <c r="K10" i="7"/>
  <c r="L13" i="7"/>
  <c r="M135" i="2"/>
  <c r="L132" i="2"/>
  <c r="L101" i="3"/>
  <c r="L95" i="3"/>
  <c r="K103" i="3"/>
  <c r="L103" i="3" s="1"/>
  <c r="L105" i="3"/>
  <c r="L131" i="2"/>
  <c r="M134" i="2"/>
  <c r="L102" i="3"/>
  <c r="K33" i="4" l="1"/>
  <c r="L46" i="4"/>
  <c r="M133" i="2"/>
  <c r="L130" i="2"/>
  <c r="L129" i="2"/>
  <c r="M132" i="2"/>
  <c r="K100" i="3"/>
  <c r="L100" i="3" s="1"/>
  <c r="L128" i="2"/>
  <c r="M131" i="2"/>
  <c r="K99" i="3"/>
  <c r="K17" i="4" l="1"/>
  <c r="L33" i="4"/>
  <c r="L99" i="3"/>
  <c r="K89" i="3"/>
  <c r="L89" i="3" s="1"/>
  <c r="K88" i="3"/>
  <c r="L88" i="3" s="1"/>
  <c r="K86" i="3"/>
  <c r="K87" i="3"/>
  <c r="L87" i="3" s="1"/>
  <c r="L126" i="2"/>
  <c r="M129" i="2"/>
  <c r="L125" i="2"/>
  <c r="M128" i="2"/>
  <c r="M130" i="2"/>
  <c r="L127" i="2"/>
  <c r="K14" i="4" l="1"/>
  <c r="L14" i="4" s="1"/>
  <c r="L17" i="4"/>
  <c r="K13" i="4"/>
  <c r="L123" i="2"/>
  <c r="M126" i="2"/>
  <c r="M127" i="2"/>
  <c r="L124" i="2"/>
  <c r="L122" i="2"/>
  <c r="M125" i="2"/>
  <c r="K79" i="3"/>
  <c r="L79" i="3" s="1"/>
  <c r="K80" i="3"/>
  <c r="L86" i="3"/>
  <c r="K81" i="3"/>
  <c r="L81" i="3" s="1"/>
  <c r="L13" i="4" l="1"/>
  <c r="K10" i="4"/>
  <c r="K78" i="3"/>
  <c r="L80" i="3"/>
  <c r="L119" i="2"/>
  <c r="M122" i="2"/>
  <c r="M124" i="2"/>
  <c r="L121" i="2"/>
  <c r="L120" i="2"/>
  <c r="M123" i="2"/>
  <c r="M120" i="2" l="1"/>
  <c r="L117" i="2"/>
  <c r="M121" i="2"/>
  <c r="L118" i="2"/>
  <c r="M119" i="2"/>
  <c r="L116" i="2"/>
  <c r="K73" i="3"/>
  <c r="L73" i="3" s="1"/>
  <c r="K68" i="3"/>
  <c r="K70" i="3"/>
  <c r="L70" i="3" s="1"/>
  <c r="K66" i="3"/>
  <c r="L78" i="3"/>
  <c r="K69" i="3"/>
  <c r="L69" i="3" s="1"/>
  <c r="K72" i="3"/>
  <c r="L72" i="3" s="1"/>
  <c r="K71" i="3"/>
  <c r="L71" i="3" s="1"/>
  <c r="K75" i="3"/>
  <c r="L75" i="3" s="1"/>
  <c r="K74" i="3"/>
  <c r="L74" i="3" s="1"/>
  <c r="K63" i="3" l="1"/>
  <c r="L63" i="3" s="1"/>
  <c r="K60" i="3"/>
  <c r="K64" i="3"/>
  <c r="L64" i="3" s="1"/>
  <c r="L68" i="3"/>
  <c r="K62" i="3"/>
  <c r="L62" i="3" s="1"/>
  <c r="K61" i="3"/>
  <c r="L61" i="3" s="1"/>
  <c r="M118" i="2"/>
  <c r="L115" i="2"/>
  <c r="M116" i="2"/>
  <c r="L113" i="2"/>
  <c r="L66" i="3"/>
  <c r="K58" i="3"/>
  <c r="L114" i="2"/>
  <c r="M117" i="2"/>
  <c r="M115" i="2" l="1"/>
  <c r="L112" i="2"/>
  <c r="L110" i="2"/>
  <c r="M113" i="2"/>
  <c r="L60" i="3"/>
  <c r="K56" i="3"/>
  <c r="L56" i="3" s="1"/>
  <c r="L111" i="2"/>
  <c r="M114" i="2"/>
  <c r="L58" i="3"/>
  <c r="K55" i="3"/>
  <c r="L108" i="2" l="1"/>
  <c r="M111" i="2"/>
  <c r="M110" i="2"/>
  <c r="L107" i="2"/>
  <c r="K52" i="3"/>
  <c r="L52" i="3" s="1"/>
  <c r="K51" i="3"/>
  <c r="L51" i="3" s="1"/>
  <c r="L55" i="3"/>
  <c r="K50" i="3"/>
  <c r="L109" i="2"/>
  <c r="M112" i="2"/>
  <c r="L50" i="3" l="1"/>
  <c r="K47" i="3"/>
  <c r="L104" i="2"/>
  <c r="M107" i="2"/>
  <c r="L106" i="2"/>
  <c r="M109" i="2"/>
  <c r="L105" i="2"/>
  <c r="M108" i="2"/>
  <c r="L103" i="2" l="1"/>
  <c r="M106" i="2"/>
  <c r="L102" i="2"/>
  <c r="M105" i="2"/>
  <c r="K44" i="3"/>
  <c r="L44" i="3" s="1"/>
  <c r="K41" i="3"/>
  <c r="L41" i="3" s="1"/>
  <c r="L47" i="3"/>
  <c r="K43" i="3"/>
  <c r="L43" i="3" s="1"/>
  <c r="K42" i="3"/>
  <c r="L42" i="3" s="1"/>
  <c r="K40" i="3"/>
  <c r="M104" i="2"/>
  <c r="L101" i="2"/>
  <c r="L98" i="2" l="1"/>
  <c r="M101" i="2"/>
  <c r="M102" i="2"/>
  <c r="L99" i="2"/>
  <c r="K36" i="3"/>
  <c r="L36" i="3" s="1"/>
  <c r="K33" i="3"/>
  <c r="L33" i="3" s="1"/>
  <c r="K35" i="3"/>
  <c r="L35" i="3" s="1"/>
  <c r="K37" i="3"/>
  <c r="L37" i="3" s="1"/>
  <c r="K31" i="3"/>
  <c r="L31" i="3" s="1"/>
  <c r="K32" i="3"/>
  <c r="K34" i="3"/>
  <c r="L34" i="3" s="1"/>
  <c r="K29" i="3"/>
  <c r="L40" i="3"/>
  <c r="L100" i="2"/>
  <c r="M103" i="2"/>
  <c r="M99" i="2" l="1"/>
  <c r="L96" i="2"/>
  <c r="L97" i="2"/>
  <c r="M100" i="2"/>
  <c r="L29" i="3"/>
  <c r="L32" i="3"/>
  <c r="K30" i="3"/>
  <c r="L30" i="3" s="1"/>
  <c r="L95" i="2"/>
  <c r="M98" i="2"/>
  <c r="K26" i="3" l="1"/>
  <c r="L94" i="2"/>
  <c r="M97" i="2"/>
  <c r="M96" i="2"/>
  <c r="L93" i="2"/>
  <c r="M95" i="2"/>
  <c r="L92" i="2"/>
  <c r="L90" i="2" l="1"/>
  <c r="M93" i="2"/>
  <c r="M92" i="2"/>
  <c r="L89" i="2"/>
  <c r="M94" i="2"/>
  <c r="L91" i="2"/>
  <c r="K12" i="3"/>
  <c r="L26" i="3"/>
  <c r="K11" i="3"/>
  <c r="M89" i="2" l="1"/>
  <c r="L86" i="2"/>
  <c r="L88" i="2"/>
  <c r="M91" i="2"/>
  <c r="M90" i="2"/>
  <c r="L87" i="2"/>
  <c r="M88" i="2" l="1"/>
  <c r="L85" i="2"/>
  <c r="L84" i="2"/>
  <c r="M87" i="2"/>
  <c r="M86" i="2"/>
  <c r="L83" i="2"/>
  <c r="M83" i="2" l="1"/>
  <c r="L80" i="2"/>
  <c r="M84" i="2"/>
  <c r="L81" i="2"/>
  <c r="L82" i="2"/>
  <c r="M85" i="2"/>
  <c r="M82" i="2" l="1"/>
  <c r="L79" i="2"/>
  <c r="M81" i="2"/>
  <c r="L78" i="2"/>
  <c r="M80" i="2"/>
  <c r="L77" i="2"/>
  <c r="M77" i="2" l="1"/>
  <c r="L74" i="2"/>
  <c r="M79" i="2"/>
  <c r="L76" i="2"/>
  <c r="M78" i="2"/>
  <c r="L75" i="2"/>
  <c r="L72" i="2" l="1"/>
  <c r="M75" i="2"/>
  <c r="L71" i="2"/>
  <c r="M74" i="2"/>
  <c r="L73" i="2"/>
  <c r="M76" i="2"/>
  <c r="L70" i="2" l="1"/>
  <c r="M73" i="2"/>
  <c r="L68" i="2"/>
  <c r="M71" i="2"/>
  <c r="M72" i="2"/>
  <c r="L69" i="2"/>
  <c r="L66" i="2" l="1"/>
  <c r="M69" i="2"/>
  <c r="M68" i="2"/>
  <c r="L65" i="2"/>
  <c r="L67" i="2"/>
  <c r="M70" i="2"/>
  <c r="M65" i="2" l="1"/>
  <c r="L62" i="2"/>
  <c r="M67" i="2"/>
  <c r="L64" i="2"/>
  <c r="M66" i="2"/>
  <c r="L63" i="2"/>
  <c r="L60" i="2" l="1"/>
  <c r="M63" i="2"/>
  <c r="L59" i="2"/>
  <c r="M62" i="2"/>
  <c r="L61" i="2"/>
  <c r="M64" i="2"/>
  <c r="M61" i="2" l="1"/>
  <c r="L58" i="2"/>
  <c r="M59" i="2"/>
  <c r="L56" i="2"/>
  <c r="L57" i="2"/>
  <c r="M60" i="2"/>
  <c r="L53" i="2" l="1"/>
  <c r="M56" i="2"/>
  <c r="M57" i="2"/>
  <c r="L54" i="2"/>
  <c r="L55" i="2"/>
  <c r="M58" i="2"/>
  <c r="L52" i="2" l="1"/>
  <c r="M55" i="2"/>
  <c r="L51" i="2"/>
  <c r="M54" i="2"/>
  <c r="L50" i="2"/>
  <c r="M53" i="2"/>
  <c r="M51" i="2" l="1"/>
  <c r="L48" i="2"/>
  <c r="L47" i="2"/>
  <c r="M50" i="2"/>
  <c r="M52" i="2"/>
  <c r="L49" i="2"/>
  <c r="M47" i="2" l="1"/>
  <c r="L44" i="2"/>
  <c r="L45" i="2"/>
  <c r="M48" i="2"/>
  <c r="M49" i="2"/>
  <c r="L46" i="2"/>
  <c r="L41" i="2" l="1"/>
  <c r="M44" i="2"/>
  <c r="L43" i="2"/>
  <c r="M46" i="2"/>
  <c r="L42" i="2"/>
  <c r="M45" i="2"/>
  <c r="M42" i="2" l="1"/>
  <c r="L39" i="2"/>
  <c r="L40" i="2"/>
  <c r="M43" i="2"/>
  <c r="M41" i="2"/>
  <c r="L38" i="2"/>
  <c r="M38" i="2" l="1"/>
  <c r="L35" i="2"/>
  <c r="L37" i="2"/>
  <c r="M40" i="2"/>
  <c r="M39" i="2"/>
  <c r="L36" i="2"/>
  <c r="L34" i="2" l="1"/>
  <c r="M37" i="2"/>
  <c r="M36" i="2"/>
  <c r="L33" i="2"/>
  <c r="M35" i="2"/>
  <c r="L32" i="2"/>
  <c r="M32" i="2" l="1"/>
  <c r="L29" i="2"/>
  <c r="L30" i="2"/>
  <c r="M33" i="2"/>
  <c r="M34" i="2"/>
  <c r="L31" i="2"/>
  <c r="L27" i="2" l="1"/>
  <c r="M30" i="2"/>
  <c r="L28" i="2"/>
  <c r="M31" i="2"/>
  <c r="L26" i="2"/>
  <c r="M29" i="2"/>
  <c r="L23" i="2" l="1"/>
  <c r="M26" i="2"/>
  <c r="L25" i="2"/>
  <c r="M28" i="2"/>
  <c r="M27" i="2"/>
  <c r="L24" i="2"/>
  <c r="M25" i="2" l="1"/>
  <c r="L22" i="2"/>
  <c r="L21" i="2"/>
  <c r="M24" i="2"/>
  <c r="M23" i="2"/>
  <c r="L20" i="2"/>
  <c r="M21" i="2" l="1"/>
  <c r="L18" i="2"/>
  <c r="M20" i="2"/>
  <c r="L17" i="2"/>
  <c r="L19" i="2"/>
  <c r="M22" i="2"/>
  <c r="M19" i="2" l="1"/>
  <c r="L16" i="2"/>
  <c r="L14" i="2"/>
  <c r="M17" i="2"/>
  <c r="L15" i="2"/>
  <c r="M18" i="2"/>
  <c r="M15" i="2" l="1"/>
  <c r="L12" i="2"/>
  <c r="M12" i="2" s="1"/>
  <c r="M16" i="2"/>
  <c r="L13" i="2"/>
  <c r="M13" i="2" s="1"/>
  <c r="L11" i="2"/>
  <c r="M14" i="2"/>
  <c r="L9" i="2" l="1"/>
  <c r="M9" i="2" s="1"/>
  <c r="L10" i="2"/>
  <c r="M11" i="2"/>
</calcChain>
</file>

<file path=xl/sharedStrings.xml><?xml version="1.0" encoding="utf-8"?>
<sst xmlns="http://schemas.openxmlformats.org/spreadsheetml/2006/main" count="17008" uniqueCount="5038">
  <si>
    <t>Месяц</t>
  </si>
  <si>
    <t>Расход со счета</t>
  </si>
  <si>
    <t>Терминал</t>
  </si>
  <si>
    <t>Закуп</t>
  </si>
  <si>
    <t>Нал</t>
  </si>
  <si>
    <t>Время суток</t>
  </si>
  <si>
    <t>Дата</t>
  </si>
  <si>
    <t>Смена</t>
  </si>
  <si>
    <t>Расход</t>
  </si>
  <si>
    <t>день</t>
  </si>
  <si>
    <t>ночь</t>
  </si>
  <si>
    <t>Коментарии</t>
  </si>
  <si>
    <t>Коментарии2</t>
  </si>
  <si>
    <t>ИТОГО</t>
  </si>
  <si>
    <t xml:space="preserve">      </t>
  </si>
  <si>
    <t>Итого расход нал</t>
  </si>
  <si>
    <t>взбитые сливки</t>
  </si>
  <si>
    <t>орешки</t>
  </si>
  <si>
    <t>пакеты для мусора</t>
  </si>
  <si>
    <t>ОКТЯБРЬ</t>
  </si>
  <si>
    <t>Мадина</t>
  </si>
  <si>
    <t>Олеся</t>
  </si>
  <si>
    <t>аванс Мадина</t>
  </si>
  <si>
    <t>молоко 36 л</t>
  </si>
  <si>
    <t>молоко 24л</t>
  </si>
  <si>
    <t>апельсины 2 кг</t>
  </si>
  <si>
    <t>яблоки 3 кг</t>
  </si>
  <si>
    <t>тряпка для пола, средство для мытья окон</t>
  </si>
  <si>
    <t>Джахонгир</t>
  </si>
  <si>
    <t>Билол</t>
  </si>
  <si>
    <t>такси (доставка гофры и пакетов)</t>
  </si>
  <si>
    <t>имбирь 200гр</t>
  </si>
  <si>
    <t>молоко 12 литров</t>
  </si>
  <si>
    <t xml:space="preserve">такси </t>
  </si>
  <si>
    <t>грузчик</t>
  </si>
  <si>
    <t>трубочки черные</t>
  </si>
  <si>
    <t>капхолдеры</t>
  </si>
  <si>
    <t>такси</t>
  </si>
  <si>
    <t>аванс Джахонгир</t>
  </si>
  <si>
    <t>стаканчики 400 шт</t>
  </si>
  <si>
    <t>топинг</t>
  </si>
  <si>
    <t>зп</t>
  </si>
  <si>
    <t>Печенье(15шт шоколадные и 15 шт овсяные)</t>
  </si>
  <si>
    <t>орешки (180 шт сгущечка), 25 шт (кофейные)</t>
  </si>
  <si>
    <t>Салфетки влажные(120шт)</t>
  </si>
  <si>
    <t xml:space="preserve">Губки металические 3шт </t>
  </si>
  <si>
    <t>молоко 1 литр</t>
  </si>
  <si>
    <t xml:space="preserve">Лимоны </t>
  </si>
  <si>
    <t>Апельсины</t>
  </si>
  <si>
    <t>Точилка для ножей</t>
  </si>
  <si>
    <t>Тряпочный рулон 20шт</t>
  </si>
  <si>
    <t>Сахар 5 кг</t>
  </si>
  <si>
    <t>Черный маркер</t>
  </si>
  <si>
    <t>Бананы 690гр</t>
  </si>
  <si>
    <t>Мороженое 1 кг</t>
  </si>
  <si>
    <t>Апельсины 1.888 гр</t>
  </si>
  <si>
    <t>Печенье овсяное 15шт</t>
  </si>
  <si>
    <t>Печенье шоколад 15шт</t>
  </si>
  <si>
    <t>Стаканчики 250мл 200шт</t>
  </si>
  <si>
    <t>Мусор</t>
  </si>
  <si>
    <t>Орешки кофейные 6 пачек</t>
  </si>
  <si>
    <t>Орешки 10 пачек</t>
  </si>
  <si>
    <t>Молоко 13л</t>
  </si>
  <si>
    <t>Свет</t>
  </si>
  <si>
    <t>Мороженое 800гр</t>
  </si>
  <si>
    <t>Сливки 12л</t>
  </si>
  <si>
    <t>Молоко 12л</t>
  </si>
  <si>
    <t>Контейнер для молока</t>
  </si>
  <si>
    <t>Бумажные салфетки 6 пачек</t>
  </si>
  <si>
    <t>Контейнеры для орешек 100шт</t>
  </si>
  <si>
    <t xml:space="preserve">Лимоны 954гр </t>
  </si>
  <si>
    <t>Вода 0.5л 24шт</t>
  </si>
  <si>
    <t>Молоко 24л</t>
  </si>
  <si>
    <t>Светильник на стол</t>
  </si>
  <si>
    <t>Сушка для тарелок</t>
  </si>
  <si>
    <t>Веник + совок</t>
  </si>
  <si>
    <t>Стаканчики большие 400шт + гофре 400шт</t>
  </si>
  <si>
    <t>Шоколадные орешки 10 пачек и орешки со сгущенкой 10 пачек</t>
  </si>
  <si>
    <t>Штраф 60000! Снять с зп</t>
  </si>
  <si>
    <t>Отвертка</t>
  </si>
  <si>
    <t>Дельфин тряпка</t>
  </si>
  <si>
    <t>Апельсины 2,100 кг</t>
  </si>
  <si>
    <t>Ремонт кондиционера</t>
  </si>
  <si>
    <t>Печенье шоколад 15шт и печение овсяное 15шт</t>
  </si>
  <si>
    <t>Обогреватель</t>
  </si>
  <si>
    <t>взбитые сливки 2шт</t>
  </si>
  <si>
    <t>42000 Инкассацию в банк сдать</t>
  </si>
  <si>
    <t>Крафт-пакеты 100шт</t>
  </si>
  <si>
    <t>Кофе 10кг</t>
  </si>
  <si>
    <t>Сиропы 3 шт</t>
  </si>
  <si>
    <t>Долг за предыдуший кофе</t>
  </si>
  <si>
    <t>Мята</t>
  </si>
  <si>
    <t xml:space="preserve">Тряпка для пола, мыло, средство для мытья посуды, фибра тряпка </t>
  </si>
  <si>
    <t xml:space="preserve">36000 Инкассацию в банк </t>
  </si>
  <si>
    <t>32000 Инкассацию в банк</t>
  </si>
  <si>
    <t xml:space="preserve">Орешки со сгущенкой180шт </t>
  </si>
  <si>
    <t>Кофейные орешки 50шт</t>
  </si>
  <si>
    <t>Шоколадное печенье 15шт</t>
  </si>
  <si>
    <t>Овсяное печенье 14шт</t>
  </si>
  <si>
    <t>Сахар 1кг</t>
  </si>
  <si>
    <t xml:space="preserve">Топинг ягодный 1 шт </t>
  </si>
  <si>
    <t>Сахар 5кг</t>
  </si>
  <si>
    <t>Лимоны 534гр</t>
  </si>
  <si>
    <t>Бумага для терминала упаковка</t>
  </si>
  <si>
    <t xml:space="preserve">Светильник на стену </t>
  </si>
  <si>
    <t>Азиз</t>
  </si>
  <si>
    <t>Зп за 12 смен</t>
  </si>
  <si>
    <t>Зп за 4 смены</t>
  </si>
  <si>
    <t>36000 Инкассация в банк</t>
  </si>
  <si>
    <t>Орешки 180 шт</t>
  </si>
  <si>
    <t>Чай черный и зеленый 200шт</t>
  </si>
  <si>
    <t>Пакеты для мусора 20шт</t>
  </si>
  <si>
    <t>Печенье шоколадное 15шт</t>
  </si>
  <si>
    <t>Коврик на стол</t>
  </si>
  <si>
    <t>Вода 0.33л 24шт</t>
  </si>
  <si>
    <t>Напиток 18+ 12шт</t>
  </si>
  <si>
    <t>Аренда с 13 ноября по 13 декабря</t>
  </si>
  <si>
    <t>Стаканчики черные 500мл - 400шт</t>
  </si>
  <si>
    <t>Стаканчики прозрачные 500мл- 200шт</t>
  </si>
  <si>
    <t>Гофре на стаканчики 400шт</t>
  </si>
  <si>
    <t xml:space="preserve">Перчатки одноразовые 100шт </t>
  </si>
  <si>
    <t>Лимоны 820гр</t>
  </si>
  <si>
    <t>Апельсины 1.962кг</t>
  </si>
  <si>
    <t>мусор</t>
  </si>
  <si>
    <t>Стаканчики 250мл 400шт</t>
  </si>
  <si>
    <t>Печенье шоколадное 20шт</t>
  </si>
  <si>
    <t>Мята 3 пучка</t>
  </si>
  <si>
    <t>Молоко 48л</t>
  </si>
  <si>
    <t>Овсяное печенье 15шт</t>
  </si>
  <si>
    <t>30000 Инкассация в банк</t>
  </si>
  <si>
    <t>Сухие салфетки 10пачек</t>
  </si>
  <si>
    <t>Влажные салфетки 120шт</t>
  </si>
  <si>
    <t>Лимоны 864гр</t>
  </si>
  <si>
    <t>Апельсины 1972гр</t>
  </si>
  <si>
    <t>Шоколадные орешки 35шт</t>
  </si>
  <si>
    <t>Элекстронные сигареты долг</t>
  </si>
  <si>
    <t>Шоколадные орешки 50шт</t>
  </si>
  <si>
    <t>28000 инкассация в банк</t>
  </si>
  <si>
    <t>За мусор</t>
  </si>
  <si>
    <t>Сиропы 2 шт</t>
  </si>
  <si>
    <t xml:space="preserve">За электронные сигареты </t>
  </si>
  <si>
    <t>Шоколадное печенье 20шт</t>
  </si>
  <si>
    <t xml:space="preserve">36000инкассация в банк </t>
  </si>
  <si>
    <t>Овсяные печенье 10шт</t>
  </si>
  <si>
    <t>Молоко Лактель 2% 5л</t>
  </si>
  <si>
    <t xml:space="preserve">Выпечка с Бона </t>
  </si>
  <si>
    <t>Тарелки для холодильника 4шт</t>
  </si>
  <si>
    <t>Молоко 36л</t>
  </si>
  <si>
    <t>Брауни 10шт</t>
  </si>
  <si>
    <t>18000Инкассация в банк</t>
  </si>
  <si>
    <t>Капхолдеры 150шт</t>
  </si>
  <si>
    <t>Стаканчики 500мл-400шт</t>
  </si>
  <si>
    <t>Крафт-треугольники 500шт</t>
  </si>
  <si>
    <t>Брауни 15шт</t>
  </si>
  <si>
    <t>Вода 0.5л 12шт</t>
  </si>
  <si>
    <t>Контейнер для брауни</t>
  </si>
  <si>
    <t>Полотенце для контейнера</t>
  </si>
  <si>
    <t>Какао 2кг</t>
  </si>
  <si>
    <t>Сахар рафинад 1пачка</t>
  </si>
  <si>
    <t>Мята 4пучка</t>
  </si>
  <si>
    <t xml:space="preserve">Рустам </t>
  </si>
  <si>
    <t>Зп за одну смену</t>
  </si>
  <si>
    <t>Молоко 10л</t>
  </si>
  <si>
    <t>Молоко 2% 12л</t>
  </si>
  <si>
    <t xml:space="preserve">Апельсины 1.396гр </t>
  </si>
  <si>
    <t>25000 Инкассация в банк</t>
  </si>
  <si>
    <t>Сливки 24л-200гр</t>
  </si>
  <si>
    <t>28000Инкассация в банк</t>
  </si>
  <si>
    <t>Зарплата за 13 смен</t>
  </si>
  <si>
    <t>Зарплата за 16 смен</t>
  </si>
  <si>
    <t>Сдала инкассацию по 28.11</t>
  </si>
  <si>
    <t xml:space="preserve">Бухгалтер </t>
  </si>
  <si>
    <t>Зарплата за 1.5 месяца</t>
  </si>
  <si>
    <t>НОЯБРЬ</t>
  </si>
  <si>
    <t xml:space="preserve">рентабильность </t>
  </si>
  <si>
    <t>Алексей 70%</t>
  </si>
  <si>
    <t>Ульяна 30%</t>
  </si>
  <si>
    <t>курс на 01.12.2021 = 10 820,00</t>
  </si>
  <si>
    <t>остаток на счету</t>
  </si>
  <si>
    <t>Декабрь</t>
  </si>
  <si>
    <t>курс на 01.12.2021 = 10 690,00</t>
  </si>
  <si>
    <t>28000 Инкассация в банк</t>
  </si>
  <si>
    <t>Чай черный 25шт</t>
  </si>
  <si>
    <t>Орешки со сгущенкой 180шт</t>
  </si>
  <si>
    <t>Апельсины 1.622гр</t>
  </si>
  <si>
    <t>Лимоны 872гр</t>
  </si>
  <si>
    <t>Мороженое 1кг</t>
  </si>
  <si>
    <t>Имбирь 262гр</t>
  </si>
  <si>
    <t>Мята 1пучок</t>
  </si>
  <si>
    <t>Апельсины 1.818гр</t>
  </si>
  <si>
    <t>Стаканчики 500мл - 400шт</t>
  </si>
  <si>
    <t>Гофре для стаканчиков -400шт</t>
  </si>
  <si>
    <t>Печенье овсяное 20шт</t>
  </si>
  <si>
    <t>Кофе долг 10кг</t>
  </si>
  <si>
    <t>Сиропы долг 0.75кг 2шт</t>
  </si>
  <si>
    <t>Кофе в пачках Блэнд 250гр-2шт</t>
  </si>
  <si>
    <t>Кофе в пачках Винтер 250гр-2шт</t>
  </si>
  <si>
    <t>Кофе в пачках Арабика 250гр-3шт</t>
  </si>
  <si>
    <t>Мята 3пучка</t>
  </si>
  <si>
    <t>Молоко 3.2% -12л</t>
  </si>
  <si>
    <t>Апельсины 1792гр</t>
  </si>
  <si>
    <t>Зарплата Билолу за 3 смены</t>
  </si>
  <si>
    <t>Бананы 1.389кг</t>
  </si>
  <si>
    <t>Чай черный 100шт</t>
  </si>
  <si>
    <t>Вода 0.33л-12л</t>
  </si>
  <si>
    <t>Молоко 2%-24л</t>
  </si>
  <si>
    <t xml:space="preserve">Мусор </t>
  </si>
  <si>
    <t>Лимоны 668гр</t>
  </si>
  <si>
    <t>Мята 2пучка</t>
  </si>
  <si>
    <t>Апельсины 1678гр</t>
  </si>
  <si>
    <t>Пакеты для мусора 7шт</t>
  </si>
  <si>
    <t>Овсяное печенье 15 шт</t>
  </si>
  <si>
    <t>стаканчики 500мл - 200шт</t>
  </si>
  <si>
    <t>Гофре для стаканчиков -200шт</t>
  </si>
  <si>
    <t>Стаканчики 350мл-140 шт</t>
  </si>
  <si>
    <t>Апельсины 1362гр</t>
  </si>
  <si>
    <t>18000 Дима должен доложить</t>
  </si>
  <si>
    <t>Яблоки 1004гр</t>
  </si>
  <si>
    <t>Апельсины 2088гр</t>
  </si>
  <si>
    <t>Лимоны 1014гр</t>
  </si>
  <si>
    <t>Мята 2 пучка</t>
  </si>
  <si>
    <t>Апельсины 2124гр</t>
  </si>
  <si>
    <t>Кока-кола 0.355 мл -12шт</t>
  </si>
  <si>
    <t>Вода 0.5л-12шт</t>
  </si>
  <si>
    <t>Red Bull 350мл -24шт</t>
  </si>
  <si>
    <t>Пластиковые стаканчики под орешки -100шт</t>
  </si>
  <si>
    <t xml:space="preserve">Аренда с 13 декабря по 13 января </t>
  </si>
  <si>
    <t>Свет 182179 квт/2021 квт</t>
  </si>
  <si>
    <t xml:space="preserve">Такси </t>
  </si>
  <si>
    <t>Зарплата за 14 смен</t>
  </si>
  <si>
    <t>Лимоны 1102гр</t>
  </si>
  <si>
    <t>Апельсины 2320гр</t>
  </si>
  <si>
    <t>Мусорные пакеты 21шт</t>
  </si>
  <si>
    <t>Мята 6 пучков</t>
  </si>
  <si>
    <t>Сухие салфетки 10упаковок</t>
  </si>
  <si>
    <t>Ёлка 180м</t>
  </si>
  <si>
    <t xml:space="preserve">Шары и звезда </t>
  </si>
  <si>
    <t>Еловые ветки 2м - 2шт</t>
  </si>
  <si>
    <t xml:space="preserve">Гирлянда 3*3 </t>
  </si>
  <si>
    <t>Световая гирлянда 50м</t>
  </si>
  <si>
    <t>Скотч 3шт</t>
  </si>
  <si>
    <t>Удленитель 3м</t>
  </si>
  <si>
    <t xml:space="preserve">Переходник </t>
  </si>
  <si>
    <t>Стаканчики 350мл-400шт</t>
  </si>
  <si>
    <t>Гофре 400шт</t>
  </si>
  <si>
    <t>Кофе 10 кг(долг)</t>
  </si>
  <si>
    <t>Сэндвичи 10шт</t>
  </si>
  <si>
    <t>Сэндвичи 5шт</t>
  </si>
  <si>
    <t xml:space="preserve">34000 Инкассация в банк </t>
  </si>
  <si>
    <t>Сэндвичи 6шт</t>
  </si>
  <si>
    <t>c</t>
  </si>
  <si>
    <t>Бумага для r-keeper 6шт</t>
  </si>
  <si>
    <t>Такси за сиропы</t>
  </si>
  <si>
    <t>Мёд 1400гр</t>
  </si>
  <si>
    <t>Молоко 144л</t>
  </si>
  <si>
    <t>Сиропы 2л</t>
  </si>
  <si>
    <t>Орешки со сгущенкой 270шт</t>
  </si>
  <si>
    <t>Стаканчики чёрные 500мл-200шт</t>
  </si>
  <si>
    <t>Стаканчики прозрачные 500мл-200шт</t>
  </si>
  <si>
    <t>Гофре 600шт</t>
  </si>
  <si>
    <t>Лимоны 1972гр</t>
  </si>
  <si>
    <t>Батарейки 2шт</t>
  </si>
  <si>
    <t>Зарплата за 16 смен + 120тыс на Новый год</t>
  </si>
  <si>
    <t>Зарплата за 15 смен + 120тыс на Новый год</t>
  </si>
  <si>
    <t>Зарплата за месяц</t>
  </si>
  <si>
    <t>Зарплата Билому за 2 смены</t>
  </si>
  <si>
    <t>Стаканчики чёрные 500мл- 400шт</t>
  </si>
  <si>
    <t>Овсяное печенье 16шт</t>
  </si>
  <si>
    <t>Сахар 2кг</t>
  </si>
  <si>
    <t>Чай чёрный 100шт</t>
  </si>
  <si>
    <t>Зеленый чай 100шт</t>
  </si>
  <si>
    <t>Сахар 4кг</t>
  </si>
  <si>
    <t>Апельсины 1.329</t>
  </si>
  <si>
    <t>Лимоны 780гр</t>
  </si>
  <si>
    <t>Топинг облепиховый 1217гр</t>
  </si>
  <si>
    <t xml:space="preserve">Инкассация за январь </t>
  </si>
  <si>
    <t>Орешки со сгущёнкой 180шт</t>
  </si>
  <si>
    <t xml:space="preserve">Сдала в банк Инкассацию в банк за декабрь </t>
  </si>
  <si>
    <t>Бананы 1057гр</t>
  </si>
  <si>
    <t>Сливки 3500гр</t>
  </si>
  <si>
    <t>Вода 0.5л -12шт</t>
  </si>
  <si>
    <t>156000 Инкассация в банк</t>
  </si>
  <si>
    <t>342000 Инкассация в банк</t>
  </si>
  <si>
    <t>Стаканчики чёрные 250мл-400шт</t>
  </si>
  <si>
    <t>499000 Инкассация в банк</t>
  </si>
  <si>
    <t>Сахар 900гр</t>
  </si>
  <si>
    <t>34000 Инкассация в банк</t>
  </si>
  <si>
    <t>Свет 184586/2407кВт</t>
  </si>
  <si>
    <t>Coca-cola 330мл-24шт</t>
  </si>
  <si>
    <t>Сахар 6кг</t>
  </si>
  <si>
    <t>Мята 10пучков</t>
  </si>
  <si>
    <t>Пакеты для мусора 21шт</t>
  </si>
  <si>
    <t>Антисептик 500мл</t>
  </si>
  <si>
    <t>Салфетки 10пачек</t>
  </si>
  <si>
    <t>Стаканчики чёрные 500мл-400шт</t>
  </si>
  <si>
    <t>Гофре 500шт</t>
  </si>
  <si>
    <t>Молоко 180л</t>
  </si>
  <si>
    <t>Доставка капхолдеров</t>
  </si>
  <si>
    <t>курс на 01.01.2022 = 10 900,00</t>
  </si>
  <si>
    <t>Аренда с 13 января по 13 февраля</t>
  </si>
  <si>
    <t>Зарплата за 15 смен</t>
  </si>
  <si>
    <t>Зарплата за 14 смен - 792000 сум официальная зп на карточку</t>
  </si>
  <si>
    <t>имбирь 255 гр</t>
  </si>
  <si>
    <t>кофейные орешки 50 шт</t>
  </si>
  <si>
    <t xml:space="preserve"> Мороженое Мега 1 кг</t>
  </si>
  <si>
    <t>взбитые сливки Кампина 20% 250 гр</t>
  </si>
  <si>
    <t>перчатки одноразовые 100 шт</t>
  </si>
  <si>
    <t xml:space="preserve">батарейки </t>
  </si>
  <si>
    <t>сливки простоквашино 10% 2800 гр</t>
  </si>
  <si>
    <t>Апельсины 1780гр</t>
  </si>
  <si>
    <t>сахар 3 700гр</t>
  </si>
  <si>
    <t xml:space="preserve">Салфетки </t>
  </si>
  <si>
    <t>дорожные стажер Истам</t>
  </si>
  <si>
    <t xml:space="preserve"> 25000 Инкассация в банк </t>
  </si>
  <si>
    <t>гофры 400 шт</t>
  </si>
  <si>
    <t>какао 3 кг</t>
  </si>
  <si>
    <t xml:space="preserve">трубочки кофйные 16 пачек </t>
  </si>
  <si>
    <t>Овсяное печенье 10шт</t>
  </si>
  <si>
    <t>Брауни 16шт</t>
  </si>
  <si>
    <t xml:space="preserve">дорожные стажер </t>
  </si>
  <si>
    <t>апельсины 1888 гр</t>
  </si>
  <si>
    <t>сахар рафинад</t>
  </si>
  <si>
    <t>Стаканчики прозрачные 500мл- 400шт</t>
  </si>
  <si>
    <t>66000 Инкассация в банк</t>
  </si>
  <si>
    <t>18+ 12шт</t>
  </si>
  <si>
    <t>трубочки большие 2 пачки</t>
  </si>
  <si>
    <t>кофе 10 кг (долг)</t>
  </si>
  <si>
    <t>Сдала в банк Инкассацию в банк за январь</t>
  </si>
  <si>
    <t>Зарплата за 16 смен Азизу</t>
  </si>
  <si>
    <t>Зарплата за 16 смен Джахонгиру</t>
  </si>
  <si>
    <t>зарплата за январь</t>
  </si>
  <si>
    <t>молоко 168 л</t>
  </si>
  <si>
    <t>48000 инкассация в банк</t>
  </si>
  <si>
    <t>86000 инкассация в банк</t>
  </si>
  <si>
    <t>Шоколадное печенье 16шт</t>
  </si>
  <si>
    <t>сахар 6 кг</t>
  </si>
  <si>
    <t>мята 2 п</t>
  </si>
  <si>
    <t>сливки простоквашино 10% 1400гр</t>
  </si>
  <si>
    <t>шторы день/ночь</t>
  </si>
  <si>
    <t xml:space="preserve"> Орешки со сгущенкой 216шт </t>
  </si>
  <si>
    <t>сутки</t>
  </si>
  <si>
    <t>32000 инкассация в банк</t>
  </si>
  <si>
    <t>Гофра 600 шт</t>
  </si>
  <si>
    <t>Стаканчики  250мл-400шт</t>
  </si>
  <si>
    <t>Red Bull 24 шт</t>
  </si>
  <si>
    <t>апельсины 1686 гр</t>
  </si>
  <si>
    <t>мята 5 п</t>
  </si>
  <si>
    <t>лимоны 838 гр</t>
  </si>
  <si>
    <t>пакеты для мусора 90х100 7 шт</t>
  </si>
  <si>
    <t>вода 48шт</t>
  </si>
  <si>
    <t>ксерокопия</t>
  </si>
  <si>
    <t>Свет 186794/2200кВт</t>
  </si>
  <si>
    <t>доставка контейнеров</t>
  </si>
  <si>
    <t>доставка капхолдеров</t>
  </si>
  <si>
    <t xml:space="preserve"> Орешки со сгущенкой 180шт </t>
  </si>
  <si>
    <t>салфетки 5 пачек по 200шт</t>
  </si>
  <si>
    <t>чай черный 100 п</t>
  </si>
  <si>
    <t>сахар 2 кг</t>
  </si>
  <si>
    <t>салфетки влажные</t>
  </si>
  <si>
    <t>взбитые сливки Кампина 2 шт</t>
  </si>
  <si>
    <t>Сутки</t>
  </si>
  <si>
    <t>Дельфин-тряпка</t>
  </si>
  <si>
    <t>Мытьё окон</t>
  </si>
  <si>
    <t>Ночь</t>
  </si>
  <si>
    <t xml:space="preserve">Зарплата Азизу за 16 смен </t>
  </si>
  <si>
    <t>Зарплата Джахонгиру за 14 смен + на карточку 792 000 сум</t>
  </si>
  <si>
    <t>сливки простоквашино 10% 2100гр</t>
  </si>
  <si>
    <t>Орешки со сгущёнкой 216 шт</t>
  </si>
  <si>
    <t xml:space="preserve">апельсины 2754 гр </t>
  </si>
  <si>
    <t>сахар 4 кг</t>
  </si>
  <si>
    <t>Шоколадное печенье  20шт</t>
  </si>
  <si>
    <t>Стаканчики прозрачные 500мл-400шт</t>
  </si>
  <si>
    <t>Гофре -800шт</t>
  </si>
  <si>
    <t>Орешки со сгущенкой-180шт</t>
  </si>
  <si>
    <t>18+</t>
  </si>
  <si>
    <t>взбитыу сливки 3 шт</t>
  </si>
  <si>
    <t>Аренда с 13 февраля по 13 марта</t>
  </si>
  <si>
    <t>апельсины 1266 гр</t>
  </si>
  <si>
    <t>брауни 17 шт</t>
  </si>
  <si>
    <t>бумага для r-keeper</t>
  </si>
  <si>
    <t>Стаканчики  250мл-300шт</t>
  </si>
  <si>
    <t>такси (пакеты крафт)</t>
  </si>
  <si>
    <t>реклама (1000$ от Алексея. 1000х10830=10830000 Остаток 1300000)</t>
  </si>
  <si>
    <t>апельсины 3232гр</t>
  </si>
  <si>
    <t>дорожные стажер</t>
  </si>
  <si>
    <t>орешки 216 шт</t>
  </si>
  <si>
    <t>муравейник 5 шт</t>
  </si>
  <si>
    <t>Аванс Джахонгир</t>
  </si>
  <si>
    <t>Сдала инкассацию в банк за февраль</t>
  </si>
  <si>
    <t>Зарплата Джахонгиру за 14 смен - аванс</t>
  </si>
  <si>
    <t>Зарплата Азизу за 13 смен</t>
  </si>
  <si>
    <t>Зарплата за февраль</t>
  </si>
  <si>
    <t>молоко 240 л</t>
  </si>
  <si>
    <t>кока кола 330 мл 24 шт</t>
  </si>
  <si>
    <t>бананы 1 кг</t>
  </si>
  <si>
    <t>мороженое Мега 1 кг</t>
  </si>
  <si>
    <t>лимоны 608 гр</t>
  </si>
  <si>
    <t>Столбец1</t>
  </si>
  <si>
    <t>Столбец2</t>
  </si>
  <si>
    <t>36$ продление лицензии за r-keeper за февраль</t>
  </si>
  <si>
    <t>салфетки 4 пачки</t>
  </si>
  <si>
    <t>имбирь 214гр</t>
  </si>
  <si>
    <t>вода 24шт</t>
  </si>
  <si>
    <t>14000 Инкассация в банк</t>
  </si>
  <si>
    <t>30000 инкассация в банк</t>
  </si>
  <si>
    <t>Шахноза</t>
  </si>
  <si>
    <t>Азизбек</t>
  </si>
  <si>
    <t>апельсины  2146 гр</t>
  </si>
  <si>
    <t>брауни 16 шт</t>
  </si>
  <si>
    <t>Гофра 400 шт</t>
  </si>
  <si>
    <t>пакеты для мусора 70х90 5 пачек</t>
  </si>
  <si>
    <t xml:space="preserve">курс на 01.03.2022 = </t>
  </si>
  <si>
    <t>муравейник 10 пачек</t>
  </si>
  <si>
    <t xml:space="preserve">апельсины 1160гр </t>
  </si>
  <si>
    <t>яблокт 1560 гр</t>
  </si>
  <si>
    <t>апельсины 2564 гр</t>
  </si>
  <si>
    <t>холдеры 150 шт</t>
  </si>
  <si>
    <t>доставка холдеры</t>
  </si>
  <si>
    <t>98000 инкассация в банк</t>
  </si>
  <si>
    <t>сиропы  4шт 5388гр</t>
  </si>
  <si>
    <t>сливки Зеленое село 6480 гр</t>
  </si>
  <si>
    <t>апельсины 1 кг</t>
  </si>
  <si>
    <t>573000 инкассация в банк</t>
  </si>
  <si>
    <t>кофейные орешки 25 шт</t>
  </si>
  <si>
    <t>орешуи со сгущенкой 180 шт</t>
  </si>
  <si>
    <t>шоколадное печенье 16 шт</t>
  </si>
  <si>
    <t>овсяное печенье 10 шт</t>
  </si>
  <si>
    <t>кукис классические 10 шт</t>
  </si>
  <si>
    <t xml:space="preserve"> синнабоны роллы 5 шт</t>
  </si>
  <si>
    <t>пакеты для мусора 90х120 12 шт и кисточка</t>
  </si>
  <si>
    <t>70000 инкассация в банк</t>
  </si>
  <si>
    <t>лимоны 496 гр</t>
  </si>
  <si>
    <t>апельсины 1068 гр</t>
  </si>
  <si>
    <t>апельсины 2358гр</t>
  </si>
  <si>
    <t>Сито, воронка,вода</t>
  </si>
  <si>
    <t>апельсины 1124</t>
  </si>
  <si>
    <t xml:space="preserve">карточка на хумо </t>
  </si>
  <si>
    <t>Свет  1784 кВт</t>
  </si>
  <si>
    <t>апельсины 1124 гр</t>
  </si>
  <si>
    <t>апельсины 4484 гр</t>
  </si>
  <si>
    <t>День</t>
  </si>
  <si>
    <t>Синнабоны - 5шт</t>
  </si>
  <si>
    <t>чай зеленый 100 пакетиков</t>
  </si>
  <si>
    <t>стаканчики 250-400шт</t>
  </si>
  <si>
    <t>муравейник 5 пачек</t>
  </si>
  <si>
    <t>брауни 15 шт</t>
  </si>
  <si>
    <t>апельсины 2894 гр</t>
  </si>
  <si>
    <t>трубочки для  фреша</t>
  </si>
  <si>
    <t>вода 0.5 24шт</t>
  </si>
  <si>
    <t>орешки со сгущенкой 180 шт</t>
  </si>
  <si>
    <t>сахар3100гр</t>
  </si>
  <si>
    <t xml:space="preserve">доставка </t>
  </si>
  <si>
    <t>апельсины 2946 гр</t>
  </si>
  <si>
    <t>лимоны 960 гр</t>
  </si>
  <si>
    <t>редбул 24 шт 250 мл</t>
  </si>
  <si>
    <t>18+ 12 шт 250 мл</t>
  </si>
  <si>
    <t>мята 5 пучков</t>
  </si>
  <si>
    <t>печенье кукис-10шт</t>
  </si>
  <si>
    <t>Печенье кукис-10шт</t>
  </si>
  <si>
    <t>стаканчики прозрачные 500 мл - 200 шт</t>
  </si>
  <si>
    <t>гофры 600 шт</t>
  </si>
  <si>
    <t>Зарплата Шахнозе за 13 смен 1560000 (800000 с карты, - 50000 штраф)</t>
  </si>
  <si>
    <t>Зарплата Азизбеку за  15 смен 1800000 (800000 с кары, 109000 штраф)</t>
  </si>
  <si>
    <t xml:space="preserve">зарплата Азизу за 2 смены </t>
  </si>
  <si>
    <t>зарплата Джахонгиру за 1 смену</t>
  </si>
  <si>
    <t>молоко 204 л (9170 сум)</t>
  </si>
  <si>
    <t>Аренда с 13 марта по 13 апреля (11550 сум)</t>
  </si>
  <si>
    <t>18.032022</t>
  </si>
  <si>
    <t>апельсины 2750</t>
  </si>
  <si>
    <t>54000 инкассация в банк</t>
  </si>
  <si>
    <t>49000 инкассация в банк</t>
  </si>
  <si>
    <t>615000 инкассация в банк</t>
  </si>
  <si>
    <t>34000 инкассация в банк</t>
  </si>
  <si>
    <t>Джахонгир за 2 смены</t>
  </si>
  <si>
    <t>сахар 3600 гр</t>
  </si>
  <si>
    <t>чай черный 100 пакетиков</t>
  </si>
  <si>
    <t>сахар 900 гр</t>
  </si>
  <si>
    <t xml:space="preserve"> кофе 10 кг (долг)  11520</t>
  </si>
  <si>
    <t xml:space="preserve"> кофе 10 кг (долг)  10960</t>
  </si>
  <si>
    <t>кофе 10 кг (долг) 10920</t>
  </si>
  <si>
    <t>пакеты для мусора 14 шт</t>
  </si>
  <si>
    <t>тряпочки 3 шт</t>
  </si>
  <si>
    <t>лимоны 876 гр</t>
  </si>
  <si>
    <t>апельсины 1556 гр</t>
  </si>
  <si>
    <t>бананы 1354 гр</t>
  </si>
  <si>
    <t>шоколадное печенье 20 шт</t>
  </si>
  <si>
    <t>реклама на окна+вывеска на заднее окно</t>
  </si>
  <si>
    <t>муравейник 7 пачек</t>
  </si>
  <si>
    <t>4000 недостача</t>
  </si>
  <si>
    <t>35000 недостача</t>
  </si>
  <si>
    <t>канцелярские зажимы</t>
  </si>
  <si>
    <t>диагностика кофемашины</t>
  </si>
  <si>
    <t>мыло для рук</t>
  </si>
  <si>
    <t>печенье 16 шт</t>
  </si>
  <si>
    <t>мята2 пучка</t>
  </si>
  <si>
    <t>яблоки 1710 гр</t>
  </si>
  <si>
    <t>мороженое 1 кг</t>
  </si>
  <si>
    <t>трубочки толстые  1000шт</t>
  </si>
  <si>
    <t>контейнеры для орешков 200 шт</t>
  </si>
  <si>
    <t>капхолдер 150 шт</t>
  </si>
  <si>
    <t>16000 недостача</t>
  </si>
  <si>
    <t>зарплата Бухгалтеру за март</t>
  </si>
  <si>
    <t>апельсины 3246 гр</t>
  </si>
  <si>
    <t>Зарплата Азизбеку за  13 смен 1560000 (-119000 штраф)</t>
  </si>
  <si>
    <t>Зарплата Шахнозе за 13 смен 1560000 (-71000 штраф)</t>
  </si>
  <si>
    <t xml:space="preserve">зарплата Азизу за 4 смены (-24000 штраф) </t>
  </si>
  <si>
    <t>870000 молоко 96 л по 9170 сум (бадамзар)</t>
  </si>
  <si>
    <t>молоко 96 л (бадамзар)</t>
  </si>
  <si>
    <t>инкассация в банк</t>
  </si>
  <si>
    <t>38000 инкассация в банк</t>
  </si>
  <si>
    <t>Шоколадное печенье-20шт</t>
  </si>
  <si>
    <t>Овсяное печенье -15шт</t>
  </si>
  <si>
    <t>Брауни -16шт</t>
  </si>
  <si>
    <t xml:space="preserve">Апельсины </t>
  </si>
  <si>
    <t>Зарпалата 1 смену</t>
  </si>
  <si>
    <t>Сахар 4 кг</t>
  </si>
  <si>
    <t xml:space="preserve">курс на 01.04.2022 = </t>
  </si>
  <si>
    <t>60000 инкассация в банк</t>
  </si>
  <si>
    <t>Взбитые сливке 4шт</t>
  </si>
  <si>
    <t>Апельсины 1240гр</t>
  </si>
  <si>
    <t>Лимоны 792гр</t>
  </si>
  <si>
    <t>Орешки -180шт</t>
  </si>
  <si>
    <t>Муравейник -5 упаковок</t>
  </si>
  <si>
    <t>Кофейные орешки- 5 упаковок</t>
  </si>
  <si>
    <t>Бананы-1224гр</t>
  </si>
  <si>
    <t>Средство для мытья посуды 1шт</t>
  </si>
  <si>
    <t>Сухие салфетки 5 упаковок</t>
  </si>
  <si>
    <t>Батарейки 4шт</t>
  </si>
  <si>
    <t>Вода с газом 1л-6шт</t>
  </si>
  <si>
    <t>Яблоки -1104гр</t>
  </si>
  <si>
    <t>Вода 0.5 -24шт</t>
  </si>
  <si>
    <t>Мята-4 пучка</t>
  </si>
  <si>
    <t>36000 инкассация в банк</t>
  </si>
  <si>
    <t>Зарплата за 2 смены Джахонгир</t>
  </si>
  <si>
    <t>Red Bull - 24 шт</t>
  </si>
  <si>
    <t>Апельсины -2056гр</t>
  </si>
  <si>
    <t>Кофейные орешки- 25шт</t>
  </si>
  <si>
    <t>Мороженое - 2кг</t>
  </si>
  <si>
    <t>Мята-6пучков</t>
  </si>
  <si>
    <t>Апельсины -1764гр</t>
  </si>
  <si>
    <t>Гофре 200шт</t>
  </si>
  <si>
    <t>Овсяное печенье-15шт</t>
  </si>
  <si>
    <t>Шоколадное печенье-16шт</t>
  </si>
  <si>
    <t>Доставка</t>
  </si>
  <si>
    <t>Апельсины-2240гр</t>
  </si>
  <si>
    <t>Лимоны-816гр</t>
  </si>
  <si>
    <t>Апельсины-2352гр</t>
  </si>
  <si>
    <t xml:space="preserve"> </t>
  </si>
  <si>
    <t>Шахноза 12 смен - 792000 на карту -7000 штраф</t>
  </si>
  <si>
    <t>Яблоки - 1488гр</t>
  </si>
  <si>
    <t>Бананы -1114гр</t>
  </si>
  <si>
    <t>Сухие салфетки -10шт</t>
  </si>
  <si>
    <t xml:space="preserve">Азиз за 14 смен </t>
  </si>
  <si>
    <t>Кофе -10кг (закрыла)</t>
  </si>
  <si>
    <t>Аренда за апрель (закрыла)</t>
  </si>
  <si>
    <t>Апельсины-2206гр</t>
  </si>
  <si>
    <t>Апельсины -2006гр</t>
  </si>
  <si>
    <t>Компотница для Айс-ти</t>
  </si>
  <si>
    <t>Искусственные цветы-5шт</t>
  </si>
  <si>
    <t xml:space="preserve">Мел </t>
  </si>
  <si>
    <t>Coca-cola-25шт</t>
  </si>
  <si>
    <t>Вода 0,5 - 24шт</t>
  </si>
  <si>
    <t>Апельсины-1810гр</t>
  </si>
  <si>
    <t>Лимоны- 774гр</t>
  </si>
  <si>
    <t>Сироп Гренадин -1391гр</t>
  </si>
  <si>
    <t>Кристина</t>
  </si>
  <si>
    <t>Бананы -1164гр</t>
  </si>
  <si>
    <t>Кофе-10кг (отдала)</t>
  </si>
  <si>
    <t>Свет -1706кВт (закрыла)</t>
  </si>
  <si>
    <t>Сахар 1800гр</t>
  </si>
  <si>
    <t>Апельсины - 2140гр</t>
  </si>
  <si>
    <t>80000 Инкассация в банк</t>
  </si>
  <si>
    <t>Мята 4 пучка</t>
  </si>
  <si>
    <t>Взбитые сливки 2шт</t>
  </si>
  <si>
    <t>Жидкие сливки 10% -6шт</t>
  </si>
  <si>
    <t>Апельсины-1970гр</t>
  </si>
  <si>
    <t>44000 Инкассация в банк</t>
  </si>
  <si>
    <t>Чай чёрный-100пакетиков</t>
  </si>
  <si>
    <t>Бумага для R-keeper - 6шт</t>
  </si>
  <si>
    <t>Бумага для терминала - 16шт</t>
  </si>
  <si>
    <t>Влажные салфетки-120шт</t>
  </si>
  <si>
    <t>Лимоны-794гр</t>
  </si>
  <si>
    <t>Яблоки-1224гр</t>
  </si>
  <si>
    <t>48000 Инкассация в банк</t>
  </si>
  <si>
    <t>Зп 1 смену</t>
  </si>
  <si>
    <t>Гофре - 400шт</t>
  </si>
  <si>
    <t>Азиз зп за 5 смен - 18000 сум штраф</t>
  </si>
  <si>
    <t>Сахар - 2.7кг</t>
  </si>
  <si>
    <t>Апельсины - 1336гр</t>
  </si>
  <si>
    <t>58000 инкассация в банк</t>
  </si>
  <si>
    <t xml:space="preserve">Стажёр </t>
  </si>
  <si>
    <t>52000 Инкассация в банк</t>
  </si>
  <si>
    <t>Апельсины - 1934гр</t>
  </si>
  <si>
    <t>Лимоны-528гр</t>
  </si>
  <si>
    <t>Апельсины-1212гр</t>
  </si>
  <si>
    <t>Бананы-1266гр</t>
  </si>
  <si>
    <t>53000 Инкассация в банк</t>
  </si>
  <si>
    <t>Стаканчики 250мл-400шт</t>
  </si>
  <si>
    <t>54000 Инкассация в банк</t>
  </si>
  <si>
    <t>Мороженое 2кг</t>
  </si>
  <si>
    <t>Зарплата Кристине за 11 смен + 4 дня (стажёр)</t>
  </si>
  <si>
    <t>Зарплата Шахнозе за 14 смен</t>
  </si>
  <si>
    <t>Молоко 132л (закрыла)</t>
  </si>
  <si>
    <t>Оплата за R-keeper за апрель (закрыла)</t>
  </si>
  <si>
    <t>Жидкие сливки 10% -12шт</t>
  </si>
  <si>
    <t>Апельсины-2038гр</t>
  </si>
  <si>
    <t>Зарплата Азизу за 2 смены</t>
  </si>
  <si>
    <t>Пакеты мусорные -7шт</t>
  </si>
  <si>
    <t>Взбитые сливки -2шт</t>
  </si>
  <si>
    <t>Апельсины -1728гр</t>
  </si>
  <si>
    <t>Бананы-1368гр</t>
  </si>
  <si>
    <t>Трубочки кофейные - 5шт</t>
  </si>
  <si>
    <t>Муравейники - 3шт</t>
  </si>
  <si>
    <t>Орешки со сгущёнкой - 162шт</t>
  </si>
  <si>
    <t>Кофейные орешки -35шт</t>
  </si>
  <si>
    <t>Брауни - 16шт</t>
  </si>
  <si>
    <t>Шоколадное печенье - 19шт</t>
  </si>
  <si>
    <t>Овсяное печенье - 15шт</t>
  </si>
  <si>
    <t>Апельсины - 1780гр</t>
  </si>
  <si>
    <t>Капхолдеры - 150шт (закрыла)</t>
  </si>
  <si>
    <t>Кофейные трубочки (закрыла)</t>
  </si>
  <si>
    <t>Контейнеры для орешек -50шт (закрыла)</t>
  </si>
  <si>
    <t xml:space="preserve">Инкассация в банк </t>
  </si>
  <si>
    <t>Салфетки - 2 пачки</t>
  </si>
  <si>
    <t xml:space="preserve">Распечатка остатков - 4 листа </t>
  </si>
  <si>
    <t xml:space="preserve">Стаканчики чёрные 500мл - 400шт </t>
  </si>
  <si>
    <t>Гофре-400шт</t>
  </si>
  <si>
    <t xml:space="preserve">Капучино (не пробила) </t>
  </si>
  <si>
    <t>Прибыль нал - 424 100 сум</t>
  </si>
  <si>
    <t>На 05.05.2022</t>
  </si>
  <si>
    <t>Доставка химии для кофемашины</t>
  </si>
  <si>
    <t xml:space="preserve">Доставка стульев </t>
  </si>
  <si>
    <t xml:space="preserve">Порошок </t>
  </si>
  <si>
    <t>Средство для окон</t>
  </si>
  <si>
    <t>Зарплата Джахонгиру за одну смену</t>
  </si>
  <si>
    <t>Кофе -10 кг (закрыла)</t>
  </si>
  <si>
    <t>Сироп банановый (закрыла)</t>
  </si>
  <si>
    <t>Сироп Лесной орех (закрыла)</t>
  </si>
  <si>
    <t>Сироп Сладкая карамель (закрыла)</t>
  </si>
  <si>
    <t>Бананы - 1666гр</t>
  </si>
  <si>
    <t>Мороженое - 1кг</t>
  </si>
  <si>
    <t>Апельсины - 1874гр</t>
  </si>
  <si>
    <t>Мята - 3 пучка</t>
  </si>
  <si>
    <t>Яблоки -1208гр</t>
  </si>
  <si>
    <t>Салфетки -1 упаковка</t>
  </si>
  <si>
    <t>Вода 0,5мл - 24шт</t>
  </si>
  <si>
    <t>Яблоки - 1378гр</t>
  </si>
  <si>
    <t>18+ напиток - 12шт</t>
  </si>
  <si>
    <t>Салфетки - 8 упаковок</t>
  </si>
  <si>
    <t>Электронные сигареты - 15шт</t>
  </si>
  <si>
    <t>Таблетки для фильтра</t>
  </si>
  <si>
    <t>Шоколадное печенье - 20шт</t>
  </si>
  <si>
    <t>Овсяное печенье - 10шт</t>
  </si>
  <si>
    <t>Орешки со сгущёнкой - 180шт</t>
  </si>
  <si>
    <t>Муравейники - 5 упаковок</t>
  </si>
  <si>
    <t>Кофейные орешки - 25шт</t>
  </si>
  <si>
    <t>Электрик</t>
  </si>
  <si>
    <t>Свет - 1516 кВт (закрыла)</t>
  </si>
  <si>
    <t>Аренда (закрыла)</t>
  </si>
  <si>
    <t>Орешки со сгущёнкой - 90шт</t>
  </si>
  <si>
    <t>Сахар -4кг</t>
  </si>
  <si>
    <t>Зарплата Шахнозе за 9 смен - 792000 официально зарплата - штраф 15000</t>
  </si>
  <si>
    <t xml:space="preserve">Зарплата Джахонгиру за 8 смен </t>
  </si>
  <si>
    <t>Зарплата Кристине за 10 смен</t>
  </si>
  <si>
    <t>Апельсины - 1616гр</t>
  </si>
  <si>
    <t>Яблоки - 1418гр</t>
  </si>
  <si>
    <t>Пакеты для мусора - 14шт</t>
  </si>
  <si>
    <t>Яблоки - 1186гр</t>
  </si>
  <si>
    <t>Стаканчики черные 500мл-400шт</t>
  </si>
  <si>
    <t>Гофре-300шт</t>
  </si>
  <si>
    <t>Апельсины - 1938гр</t>
  </si>
  <si>
    <t>Специи для Айс-ти (бадьян, корица и гвоздика)</t>
  </si>
  <si>
    <t>Сахар - 2кг</t>
  </si>
  <si>
    <t>Чай клубничный - 30пакетиков</t>
  </si>
  <si>
    <t>Чай малиновый - 30 пакетиков</t>
  </si>
  <si>
    <t>Лимоны - 1008гр</t>
  </si>
  <si>
    <t>Апельсины -2060гр</t>
  </si>
  <si>
    <t>Кофе - 10кг (закрыла)</t>
  </si>
  <si>
    <t>Red Bull - 24шт</t>
  </si>
  <si>
    <t>Взбитые сливки - 3шт</t>
  </si>
  <si>
    <t>Бананы - 1082гр</t>
  </si>
  <si>
    <t>Мята - 2пучка</t>
  </si>
  <si>
    <t>Молоко - 216л (закрыла)</t>
  </si>
  <si>
    <t>Муравейники - 5шт</t>
  </si>
  <si>
    <t>Сахар - 1 кг</t>
  </si>
  <si>
    <t>Барчиной</t>
  </si>
  <si>
    <t>Печенье шоколадное - 20шт</t>
  </si>
  <si>
    <t>Яблоки-1708гр</t>
  </si>
  <si>
    <t>Печенье овсяное - 15шт</t>
  </si>
  <si>
    <t>Сахар - 3600гр</t>
  </si>
  <si>
    <t>Бананы - 1090гр</t>
  </si>
  <si>
    <t>Coca-cola 330мл - 24шт</t>
  </si>
  <si>
    <t>Напиток 18+ 250мл - 12шт</t>
  </si>
  <si>
    <t>Жидкие сливки - 12упаковок</t>
  </si>
  <si>
    <t>Яблоки - 1436гр</t>
  </si>
  <si>
    <t>Губка для посуды - 5шт</t>
  </si>
  <si>
    <t>Жидкое мыло - 1шт</t>
  </si>
  <si>
    <t>Апельсины- 1600гр</t>
  </si>
  <si>
    <t>Барные стулья - 2шт (закрыла)</t>
  </si>
  <si>
    <t xml:space="preserve">Зарплата Барчиной за 2 смены </t>
  </si>
  <si>
    <t>Апельсины - 1672гр</t>
  </si>
  <si>
    <t>Гофре - 600шт</t>
  </si>
  <si>
    <t>Мята - 2 пучка</t>
  </si>
  <si>
    <t>Капхолдеры - 150шт</t>
  </si>
  <si>
    <t>Трубочки черные большие - 1 упаковка</t>
  </si>
  <si>
    <t>Топинг шоколадный (закрыла)</t>
  </si>
  <si>
    <t>Сироп клубничный (закрыла)</t>
  </si>
  <si>
    <t>Сироп карамель (закрыла)</t>
  </si>
  <si>
    <t>Сироп кокосовый (закрыла)</t>
  </si>
  <si>
    <t>Зарплата Шахнозе за 12 смен</t>
  </si>
  <si>
    <t>Зарплата Кристине за 13 смен</t>
  </si>
  <si>
    <t>Зарплата Джахонгиру за 5 смен</t>
  </si>
  <si>
    <t>Лимоны - 810 гр</t>
  </si>
  <si>
    <t>Средство для мытья посуды</t>
  </si>
  <si>
    <t>Чай чёрный - 100шт</t>
  </si>
  <si>
    <t>Бананы - 1316гр</t>
  </si>
  <si>
    <t>Сахар - 4кг</t>
  </si>
  <si>
    <t>Зарплата бухгалтеру</t>
  </si>
  <si>
    <t>Апельсины - 1166гр</t>
  </si>
  <si>
    <t>Вода 0,5мл-12шт</t>
  </si>
  <si>
    <t>Салфетки 100шт - 8упаковок</t>
  </si>
  <si>
    <t>Муравейник - 5 упаковок</t>
  </si>
  <si>
    <t>Яблоки - 1266гр</t>
  </si>
  <si>
    <t>Апельсины- 1382гр</t>
  </si>
  <si>
    <t>Яблоки - 1326гр</t>
  </si>
  <si>
    <t>Кофе -3кг (закрыла)</t>
  </si>
  <si>
    <t>Молоко - 575 000 сум</t>
  </si>
  <si>
    <t xml:space="preserve">Прибыль с апреля - 424 000 сум </t>
  </si>
  <si>
    <t>Итого прибыль нал: 3 102 000 сум</t>
  </si>
  <si>
    <t>От 02.06</t>
  </si>
  <si>
    <t xml:space="preserve">курс на 01.05.2022 = </t>
  </si>
  <si>
    <t>Апельсины - 2056гр</t>
  </si>
  <si>
    <t>Химия для кофемашины (закрыла)</t>
  </si>
  <si>
    <t>Дизайн меню (закрыла)</t>
  </si>
  <si>
    <t>Печать меню (закрыла)</t>
  </si>
  <si>
    <t xml:space="preserve">Прибыль за май - 2 103 100 сум </t>
  </si>
  <si>
    <t>Оплата за R-keeper (закрыла)</t>
  </si>
  <si>
    <t>Выходной!</t>
  </si>
  <si>
    <t>Влажные салфетки - 72шт</t>
  </si>
  <si>
    <t>Заменитель сахара - 1200шт</t>
  </si>
  <si>
    <t>Вода 0,5 мл - 24шт</t>
  </si>
  <si>
    <t>Стаканчики 250мл - 400шт</t>
  </si>
  <si>
    <t>Батарейки</t>
  </si>
  <si>
    <t>Бананы - 1324гр</t>
  </si>
  <si>
    <t>Апельсины - 1622гр</t>
  </si>
  <si>
    <t>Взбитые сливки - 6шт</t>
  </si>
  <si>
    <t>Заправка баллона</t>
  </si>
  <si>
    <t>Бумага для R-keeper - 3шт</t>
  </si>
  <si>
    <t>Бумага для терминала - 5шт</t>
  </si>
  <si>
    <t>Свет (закрыла)</t>
  </si>
  <si>
    <t>Стаканчики прозрачные 500мл - 400шт</t>
  </si>
  <si>
    <t>Овсяное печенье - 20шт</t>
  </si>
  <si>
    <t>Вода - 36шт</t>
  </si>
  <si>
    <t>Зарплата Шахнозе за 13 смен (официальная зп 792000 сум)</t>
  </si>
  <si>
    <t>Апельсины - 1406гр</t>
  </si>
  <si>
    <t>Бананы - 832гр</t>
  </si>
  <si>
    <t>Стажер</t>
  </si>
  <si>
    <t>Яблоки - 1642гр</t>
  </si>
  <si>
    <t>Муравейники - 7упаковок</t>
  </si>
  <si>
    <t>Пакеты - 14шт</t>
  </si>
  <si>
    <t>Напиток 18+ - 12шт</t>
  </si>
  <si>
    <t>Апельсины - 2196гр</t>
  </si>
  <si>
    <t xml:space="preserve">Амир </t>
  </si>
  <si>
    <t>Бананы - 1058гр</t>
  </si>
  <si>
    <t>Лимоны - 792гр</t>
  </si>
  <si>
    <t>Брауни- 16шт</t>
  </si>
  <si>
    <t>Прозрачные стаканчики 500мл - 400шт</t>
  </si>
  <si>
    <t xml:space="preserve">Шоколадный сироп </t>
  </si>
  <si>
    <t>Sprite для мохито 1л - 6шт</t>
  </si>
  <si>
    <t>Вода 0.5мл - 24шт</t>
  </si>
  <si>
    <t xml:space="preserve">Сироп малиновый </t>
  </si>
  <si>
    <t>Обучение Кристины в школе бариста (закрыла)</t>
  </si>
  <si>
    <t>Сироп Гренадин (долг)</t>
  </si>
  <si>
    <t>Амир</t>
  </si>
  <si>
    <t>Апельсины - 1704гр</t>
  </si>
  <si>
    <t xml:space="preserve">Топинг облепиховый </t>
  </si>
  <si>
    <t>Бананы - 1218гр</t>
  </si>
  <si>
    <t>Инкассация в банк</t>
  </si>
  <si>
    <t>Зарплата Кристине за 12 смен</t>
  </si>
  <si>
    <t>Зарплата Барчиной за 1 смену</t>
  </si>
  <si>
    <t>Зарплата Амиру за 5 смен</t>
  </si>
  <si>
    <t>Red-Bull 250мл - 16шт</t>
  </si>
  <si>
    <t>Вода 0.5мл - 12шт</t>
  </si>
  <si>
    <t>Апельсины-1802гр</t>
  </si>
  <si>
    <t>Лимоны - 622гр</t>
  </si>
  <si>
    <t xml:space="preserve">Зарплата бухгалтеру </t>
  </si>
  <si>
    <t xml:space="preserve">Прибыль за июнь: 5 725 000 сум </t>
  </si>
  <si>
    <t xml:space="preserve">Опалата за молоко с Бадамзара 156л: 1 495 000 сум </t>
  </si>
  <si>
    <t xml:space="preserve">Сняла со счета 04.07: 8 000 000 сум  </t>
  </si>
  <si>
    <t>Итого прибыль нал: 15 220 000 сум</t>
  </si>
  <si>
    <t>На 01.07</t>
  </si>
  <si>
    <t>Вода 0.5мл-12шт</t>
  </si>
  <si>
    <t>Жидкое мыло</t>
  </si>
  <si>
    <t>Апельсины -2192гр</t>
  </si>
  <si>
    <t>Шоколадное печенье -15шт</t>
  </si>
  <si>
    <t>Мята -1пучок</t>
  </si>
  <si>
    <t>Бананы - 1024гр</t>
  </si>
  <si>
    <t>Мята- 2пучка</t>
  </si>
  <si>
    <t>Апельсины - 4100гр</t>
  </si>
  <si>
    <t xml:space="preserve">Свет </t>
  </si>
  <si>
    <t xml:space="preserve">Трубочки кофейные - 10 пачек </t>
  </si>
  <si>
    <t>Бананы - 1098гр</t>
  </si>
  <si>
    <t>Мороженое - 1 кг</t>
  </si>
  <si>
    <t>Стаканчики черные 500мл- 200шт</t>
  </si>
  <si>
    <t>Печенье шоколадное - 15шт</t>
  </si>
  <si>
    <t>Печенье овсяное - 10шт</t>
  </si>
  <si>
    <t xml:space="preserve">Ночь </t>
  </si>
  <si>
    <t>Сэндвичи - 8шт</t>
  </si>
  <si>
    <t>Доставка 1 кг кофе с бадамзара</t>
  </si>
  <si>
    <t>Апельсины - 1778гр</t>
  </si>
  <si>
    <t>Шоколадное печенье - 10шт</t>
  </si>
  <si>
    <t>Овсяное печенье - 6шт</t>
  </si>
  <si>
    <t>Кофе - 10кг</t>
  </si>
  <si>
    <t xml:space="preserve">Топинг ягодный </t>
  </si>
  <si>
    <t>Пакеты для мусора - 11шт</t>
  </si>
  <si>
    <t>Бананы - 802гр</t>
  </si>
  <si>
    <t>Сахар - 1800гр</t>
  </si>
  <si>
    <t>Апельсины - 5118гр</t>
  </si>
  <si>
    <t>Мусорные пакеты - 11шт</t>
  </si>
  <si>
    <t>Бумага для R-keeper - 4шт</t>
  </si>
  <si>
    <t>Бумага для терминала - 19шт</t>
  </si>
  <si>
    <t>Сэндвичи - 7шт</t>
  </si>
  <si>
    <t>Яблоки - 1342гр</t>
  </si>
  <si>
    <t>Апельсины - 1774гр</t>
  </si>
  <si>
    <t>Мята - 3пучка</t>
  </si>
  <si>
    <t>Лимоны - 844гр</t>
  </si>
  <si>
    <t>Бананы - 1212гр</t>
  </si>
  <si>
    <t>Муравейники - 10 упаковок</t>
  </si>
  <si>
    <t>Стаканчики прозрачные 500мл - 200шт</t>
  </si>
  <si>
    <t>Молоко - 203литра</t>
  </si>
  <si>
    <t>Зарплата Шахнозе за 11 смен - 792 000 (на карту)</t>
  </si>
  <si>
    <t xml:space="preserve">Зарплата Кристине за 12 смен </t>
  </si>
  <si>
    <t xml:space="preserve">Зарплата Амиру за 7 смен </t>
  </si>
  <si>
    <t>Апельсины - 2420гр</t>
  </si>
  <si>
    <t>Бананы - 1050гр</t>
  </si>
  <si>
    <t>Батарейки - 4шт</t>
  </si>
  <si>
    <t>Сахар - 2700гр</t>
  </si>
  <si>
    <t>Мойка окон</t>
  </si>
  <si>
    <t>Апельсины - 2102гр</t>
  </si>
  <si>
    <t>Овсяное печенье - 12шт</t>
  </si>
  <si>
    <t>Апельсины - 4574гр</t>
  </si>
  <si>
    <t>Sprite 1л- 6шт</t>
  </si>
  <si>
    <t>Салфетки 100шт- 5 упаковок</t>
  </si>
  <si>
    <t>Бананы - 1290гр</t>
  </si>
  <si>
    <t>Апельсины - 1476гр</t>
  </si>
  <si>
    <t>Стаканчики 350мл - 400шт</t>
  </si>
  <si>
    <t>Кофе - 2кг</t>
  </si>
  <si>
    <t>Стаканчики прозрачные 500мл - 400 шт</t>
  </si>
  <si>
    <t>Доставка кофе с бадамзара</t>
  </si>
  <si>
    <t>Апельсины - 2738гр</t>
  </si>
  <si>
    <t>Шоколадное печенье - 15шт</t>
  </si>
  <si>
    <t>Жидкие сливки 500мл - 12 упаковок</t>
  </si>
  <si>
    <t>Черные трубочки коктейльные -100шт</t>
  </si>
  <si>
    <t>Сироп малиновый - 1405гр</t>
  </si>
  <si>
    <t>Сироп банановый - 1432гр</t>
  </si>
  <si>
    <t>Имбирь - 164гр</t>
  </si>
  <si>
    <t>Лимоны - 976гр</t>
  </si>
  <si>
    <t xml:space="preserve">Средство для мыть окон </t>
  </si>
  <si>
    <t>Апельсины - 1402гр</t>
  </si>
  <si>
    <t>Овсяное печенье - 16шт</t>
  </si>
  <si>
    <t>Апельсины - 1954гр</t>
  </si>
  <si>
    <t>Аренда</t>
  </si>
  <si>
    <t>Яблоки - 2394гр</t>
  </si>
  <si>
    <t xml:space="preserve">Жидкое мыло </t>
  </si>
  <si>
    <t>Пакеты для мусора - 7шт</t>
  </si>
  <si>
    <t>Трубочки цветные - 250шт</t>
  </si>
  <si>
    <t>Выходной</t>
  </si>
  <si>
    <t>Апельсины - 2072гр</t>
  </si>
  <si>
    <t>Яблоки - 1576гр</t>
  </si>
  <si>
    <t>Зарплата Кристине за 14 смен</t>
  </si>
  <si>
    <t>Зарплата Амиру за 2 смены</t>
  </si>
  <si>
    <t>Молоко - 15л</t>
  </si>
  <si>
    <t>Яблоки - 1950гр</t>
  </si>
  <si>
    <t>Сироп ванильный - 1068гр</t>
  </si>
  <si>
    <t>Мусорные пакеты - 18шт</t>
  </si>
  <si>
    <t>Молоко - 1л</t>
  </si>
  <si>
    <t>Сироп лесной орех</t>
  </si>
  <si>
    <t>Сироп Гренадин</t>
  </si>
  <si>
    <t xml:space="preserve">Сироп клубничный </t>
  </si>
  <si>
    <t>Молоко -24л</t>
  </si>
  <si>
    <t>Замена фильтров</t>
  </si>
  <si>
    <t>Сэндвичи - 10шт</t>
  </si>
  <si>
    <t>Яблоки - 1454гр</t>
  </si>
  <si>
    <t>Апельсины - 2040гр</t>
  </si>
  <si>
    <t>Бананы - 1310гр</t>
  </si>
  <si>
    <t>Молоко - 12л</t>
  </si>
  <si>
    <t>Муравейники - 10упаковок</t>
  </si>
  <si>
    <t>Лимоны - 558гр</t>
  </si>
  <si>
    <t xml:space="preserve">Молоко - 3л </t>
  </si>
  <si>
    <t>Шоколадное печенье - 25шт</t>
  </si>
  <si>
    <t>Салфетки сухие 100шт - 6 упаковок</t>
  </si>
  <si>
    <t>Тряпочки - 4шт</t>
  </si>
  <si>
    <t>Сосa-cola (original) 24шт</t>
  </si>
  <si>
    <t>Молоко - 24л</t>
  </si>
  <si>
    <t>Апельсины - 1684гр</t>
  </si>
  <si>
    <t>Сэндвичи - 9шт</t>
  </si>
  <si>
    <t>курс на 01.04.2022 = 11030</t>
  </si>
  <si>
    <t>R-keeper за сентябрь</t>
  </si>
  <si>
    <t xml:space="preserve">Молоко (Бадамзар) 204л - 1955 000 сум </t>
  </si>
  <si>
    <t>От 05.09</t>
  </si>
  <si>
    <t xml:space="preserve">Инкассация в банк за июль </t>
  </si>
  <si>
    <t xml:space="preserve">Прибыль нал: 9 999 500 сум + 1 955 000 (молоко) = 11 954 500 сум </t>
  </si>
  <si>
    <t xml:space="preserve">Доставка стаканчиков </t>
  </si>
  <si>
    <t>Чистка фильтров</t>
  </si>
  <si>
    <t xml:space="preserve">Молоко -5л </t>
  </si>
  <si>
    <t>Бананы - 620гр</t>
  </si>
  <si>
    <t>Апельсины- 1468гр</t>
  </si>
  <si>
    <t>Молоко - 10л</t>
  </si>
  <si>
    <t>Сэндвичи - 5шт</t>
  </si>
  <si>
    <t xml:space="preserve">Общая сумма инкассации ц14: 37 579  000 сум за август  </t>
  </si>
  <si>
    <t>Сахар -900гр</t>
  </si>
  <si>
    <t>Вода с газом 1,5л - 6шт</t>
  </si>
  <si>
    <t>Бананы - 1396гр</t>
  </si>
  <si>
    <t>Апельсины - 2818гр</t>
  </si>
  <si>
    <t>Лимоны - 934гр</t>
  </si>
  <si>
    <t>Чеки для терминала - 9шт</t>
  </si>
  <si>
    <t>Чеки для R-keeper - 6шт</t>
  </si>
  <si>
    <t xml:space="preserve">Молоко - 6л </t>
  </si>
  <si>
    <t>Молоко-8л</t>
  </si>
  <si>
    <t>Свет - 2283 кВт</t>
  </si>
  <si>
    <t>Овсяное печенье - 8шт</t>
  </si>
  <si>
    <t>Апельсины - 2096гр</t>
  </si>
  <si>
    <t>Молоко - 26л</t>
  </si>
  <si>
    <t>Огнетушитель - 2шт</t>
  </si>
  <si>
    <t>Сироп карамель - 1854гр</t>
  </si>
  <si>
    <t xml:space="preserve">Взбитые сливки - 6шт </t>
  </si>
  <si>
    <t>Стакачики черные 500мл - 400шт</t>
  </si>
  <si>
    <t>Сироп солёная карамель</t>
  </si>
  <si>
    <t xml:space="preserve">Дельфин тряпка </t>
  </si>
  <si>
    <t>Зарплата Шахнозе за 12 смен (792 000 сум официально)</t>
  </si>
  <si>
    <t>Зарплата Кристине за 13 смен (792 000 сум официально)</t>
  </si>
  <si>
    <t xml:space="preserve">Зарплата Амиру за 2 смены </t>
  </si>
  <si>
    <t>Апельсины - 1324гр</t>
  </si>
  <si>
    <t>Апельсины - 2702гр</t>
  </si>
  <si>
    <t>Имбирь - 272гр</t>
  </si>
  <si>
    <t>Бананы - 1372гр</t>
  </si>
  <si>
    <t>Кофейные орешки - 35шт</t>
  </si>
  <si>
    <t>Жидкие сливки - 12 упаковок</t>
  </si>
  <si>
    <t>Топинг облепиха - 1278гр</t>
  </si>
  <si>
    <t>Лимоны - 582гр</t>
  </si>
  <si>
    <t>Апельсины - 1976гр</t>
  </si>
  <si>
    <t>Капхолдеры - 75шт</t>
  </si>
  <si>
    <t>Кофейные трубочки - 10 упаковок</t>
  </si>
  <si>
    <t>Трубочки коктейльные черные - 1 упаковка</t>
  </si>
  <si>
    <t>Влажные салфетки - 120шт</t>
  </si>
  <si>
    <t>Сироп малина - 1432гр</t>
  </si>
  <si>
    <t>Сироп клубника - 1400гр</t>
  </si>
  <si>
    <t>Апельсины - 3888гр</t>
  </si>
  <si>
    <t>Доставка кофе</t>
  </si>
  <si>
    <t>Red-bull - 24шт</t>
  </si>
  <si>
    <t>Пакеты для мусора - 21шт</t>
  </si>
  <si>
    <t xml:space="preserve">Молоко </t>
  </si>
  <si>
    <t>Зарплата Джахонгиру за 1 смену</t>
  </si>
  <si>
    <t>Маркер - 1шт</t>
  </si>
  <si>
    <t>Трубочки разноцветные - 1 упаковка</t>
  </si>
  <si>
    <t>Контейнеры для орешек - 100шт</t>
  </si>
  <si>
    <t>Лимоны - 642гр</t>
  </si>
  <si>
    <t>Имбирь - 432гр</t>
  </si>
  <si>
    <t>Доставка крафт пакетов</t>
  </si>
  <si>
    <t>Топинг ягодный - 1278гр</t>
  </si>
  <si>
    <t>Зарплата Шахнозе за 13 смен</t>
  </si>
  <si>
    <t>Зарплата Кристине за 11 смен</t>
  </si>
  <si>
    <t>Химия для фильтров</t>
  </si>
  <si>
    <t>Интернет</t>
  </si>
  <si>
    <t xml:space="preserve">Крафт пакеты 450 000 сум </t>
  </si>
  <si>
    <t>Зарплата Бухгалтеру</t>
  </si>
  <si>
    <t xml:space="preserve">Молоко - 120л (долг бадамзар)            </t>
  </si>
  <si>
    <t xml:space="preserve">Общая сумма инкассации ц14: 35 326 000  сум за сентябрь  </t>
  </si>
  <si>
    <t>курс на 01.09.2022 = 11060</t>
  </si>
  <si>
    <t>Апельсины - 2074гр</t>
  </si>
  <si>
    <t>Бананы - 1030гр</t>
  </si>
  <si>
    <t>Мята - 4 пучка</t>
  </si>
  <si>
    <t>Сухие салфетки - 8 упаковок</t>
  </si>
  <si>
    <t>Сэндвичи - 3шт</t>
  </si>
  <si>
    <t>Вода без газа 0.5мл - 24шт</t>
  </si>
  <si>
    <t>Пакеты для мусора - 28шт</t>
  </si>
  <si>
    <t>Яблоки - 1426гр</t>
  </si>
  <si>
    <t>Лимоны - 662гр</t>
  </si>
  <si>
    <t>Бананы - 1252гр</t>
  </si>
  <si>
    <t>Шоколадный сироп - 1060гр</t>
  </si>
  <si>
    <t>Кокосовый сироп - 1834гр</t>
  </si>
  <si>
    <t xml:space="preserve">Стаканчики прозрачные 500мл - 200шт </t>
  </si>
  <si>
    <t>Чеки для терминала - 16шт</t>
  </si>
  <si>
    <t xml:space="preserve">Овсяное печенье - 15шт </t>
  </si>
  <si>
    <t>Стаканчики 250мл -400шт</t>
  </si>
  <si>
    <t xml:space="preserve">Прибыль нал: 6 801 000 сум  </t>
  </si>
  <si>
    <t>Жидкие сливки 500мл - 12упаковок</t>
  </si>
  <si>
    <t>Coca-cola 330мл- 24шт</t>
  </si>
  <si>
    <t>Сахар - 5кг</t>
  </si>
  <si>
    <t>Имбирь - 286гр</t>
  </si>
  <si>
    <t>Яблоки - 1786гр</t>
  </si>
  <si>
    <t>Лимоны - 818гр</t>
  </si>
  <si>
    <t>Чай зелёный - 100шт</t>
  </si>
  <si>
    <t>Весы для кофе</t>
  </si>
  <si>
    <t xml:space="preserve">Овсяное печенье - 8шт </t>
  </si>
  <si>
    <t>Апельсины - 2576гр</t>
  </si>
  <si>
    <t xml:space="preserve">Мёд - 1л </t>
  </si>
  <si>
    <t>Апельсины - 2272гр</t>
  </si>
  <si>
    <t>Бананы - 1788гр</t>
  </si>
  <si>
    <t xml:space="preserve">Стаканчики прозрачные 500мл - 400шт </t>
  </si>
  <si>
    <t>Шоколадное печенье - 8шт</t>
  </si>
  <si>
    <t xml:space="preserve">Овсяное печенье - 10шт </t>
  </si>
  <si>
    <t>Зарплата Шахнозе за 10 смен (792 000 сум на карту)</t>
  </si>
  <si>
    <t>Зарплата Кристине за 13 смен (792 000 сум на карту)</t>
  </si>
  <si>
    <t>Апельсины - 2088гр</t>
  </si>
  <si>
    <t>Имбирь - 206гр</t>
  </si>
  <si>
    <t>Доставка сиропов</t>
  </si>
  <si>
    <t>Ягодный топинг - 1270гр</t>
  </si>
  <si>
    <t>Облепиха топинг - 1302гр</t>
  </si>
  <si>
    <t xml:space="preserve">Овсяное печенье - 16шт </t>
  </si>
  <si>
    <t xml:space="preserve">Молоко - 60л </t>
  </si>
  <si>
    <t>Сэндвичи - 4шт</t>
  </si>
  <si>
    <t>Губка - 1шт</t>
  </si>
  <si>
    <t>Сухие салфетки - 8 упаковка</t>
  </si>
  <si>
    <t>Лимоны - 782гр</t>
  </si>
  <si>
    <t>Имбирь - 404гр</t>
  </si>
  <si>
    <t>Сэндвичи - 6шт</t>
  </si>
  <si>
    <t>Брауни - 32шт</t>
  </si>
  <si>
    <t>Батарейки - 2шт</t>
  </si>
  <si>
    <t>Трубочки кофейные маленькие - 10 упаковок</t>
  </si>
  <si>
    <t>Трубочки коктейльные черные - 150шт</t>
  </si>
  <si>
    <t xml:space="preserve">День </t>
  </si>
  <si>
    <t>Сироп малиновый - 1852гр</t>
  </si>
  <si>
    <t>Сироп клубника - 1936гр</t>
  </si>
  <si>
    <t>Сироп клюква - 1842гр</t>
  </si>
  <si>
    <t>Сироп банановый - 1047гр</t>
  </si>
  <si>
    <t>Десерт - 6шт</t>
  </si>
  <si>
    <t>Молоко Мусаффо - 6л</t>
  </si>
  <si>
    <t>Молоко лактель - 4л</t>
  </si>
  <si>
    <t xml:space="preserve">Мята - 2 пучка </t>
  </si>
  <si>
    <t>Стаканчики черные 500мл - 200шт</t>
  </si>
  <si>
    <t>Молоко - 300л (закрыла)</t>
  </si>
  <si>
    <t>R-keeper за октябрь</t>
  </si>
  <si>
    <t>Молоко Мусаффо - 5л</t>
  </si>
  <si>
    <t>Жидкие сливки 10% - 12978гр</t>
  </si>
  <si>
    <t>Молоко лактель - 30л (долг)</t>
  </si>
  <si>
    <t>Десерт - 7шт</t>
  </si>
  <si>
    <t>Апельсины - 1656гр</t>
  </si>
  <si>
    <t>Десерт - 11шт</t>
  </si>
  <si>
    <t>Сэндвичи - 2шт</t>
  </si>
  <si>
    <t xml:space="preserve">Зарплата Шахнозе за 13 смен </t>
  </si>
  <si>
    <t>Зпрлата бухгалтеру</t>
  </si>
  <si>
    <t>Лимоны - 714гр</t>
  </si>
  <si>
    <t>Доставка ключей</t>
  </si>
  <si>
    <t>Сироп чёрная смородина - 1842гр</t>
  </si>
  <si>
    <t>Кофе - 10 кг</t>
  </si>
  <si>
    <t>Red Bull 250мл - 22шт</t>
  </si>
  <si>
    <t>Яблоки - 1314гр</t>
  </si>
  <si>
    <t xml:space="preserve">Средство для мытья пола </t>
  </si>
  <si>
    <t>Апельсины - 2134гр</t>
  </si>
  <si>
    <t xml:space="preserve">Молоко - 10коробок закрыла с кассы </t>
  </si>
  <si>
    <t>Десерты - 8шт</t>
  </si>
  <si>
    <t>Имбирь - 472гр</t>
  </si>
  <si>
    <t>Сэндвичи - 1шт</t>
  </si>
  <si>
    <t>Сироп манго - 1391гр</t>
  </si>
  <si>
    <t>Топинг шоколадный - 1069гр</t>
  </si>
  <si>
    <t>Молоко - 39л (с кассы)</t>
  </si>
  <si>
    <t>Кофейные орешки - 25 шт</t>
  </si>
  <si>
    <t>Бананы - 1420гр</t>
  </si>
  <si>
    <t>Лимоны - 804гр</t>
  </si>
  <si>
    <t xml:space="preserve">Средство для мытья рук </t>
  </si>
  <si>
    <t>Молоко - 20л (с кассы)</t>
  </si>
  <si>
    <t>Молоко - 72л (долг Ульяне)</t>
  </si>
  <si>
    <t xml:space="preserve">Прибыль нал: 20 351 000 сум  </t>
  </si>
  <si>
    <t xml:space="preserve">Общая сумма инкассации ц14: 52 830 000  сум за октябрь  </t>
  </si>
  <si>
    <t xml:space="preserve">Инкассация </t>
  </si>
  <si>
    <t>Десерты - 9шт</t>
  </si>
  <si>
    <t>Какао - 1133гр</t>
  </si>
  <si>
    <t>Доставка копхолдеров</t>
  </si>
  <si>
    <t>Химия для кофемашины</t>
  </si>
  <si>
    <t>Молоко - 120 л (с кассы)</t>
  </si>
  <si>
    <t>Лимоны - 890гр</t>
  </si>
  <si>
    <t>Средство для мытья питчеров</t>
  </si>
  <si>
    <t>Пакеты для мусора - 9шт</t>
  </si>
  <si>
    <t>Облепиха топинг - 1309гр</t>
  </si>
  <si>
    <t>Ягодный топинг - 1276гр</t>
  </si>
  <si>
    <t>Десерты - 7шт</t>
  </si>
  <si>
    <t>Муравейники - 2 упаковок</t>
  </si>
  <si>
    <t>Овсяное печенье - 5шт</t>
  </si>
  <si>
    <t>Имбирь - 258гр</t>
  </si>
  <si>
    <t>Зарплата Кристине за 11 смен (792 000 официально)</t>
  </si>
  <si>
    <t>Зарплата Шахнозе за 13 смен (792 000 официально)</t>
  </si>
  <si>
    <t>Зарплата Барчиной за 2 смены</t>
  </si>
  <si>
    <t>Молоко Мусаффо 4% - 6л</t>
  </si>
  <si>
    <t>Молоко Мусаффо 3,2% - 2л</t>
  </si>
  <si>
    <t>Десерты - 5шт</t>
  </si>
  <si>
    <t xml:space="preserve">Жидкие сливки 10% - 24 упаковки </t>
  </si>
  <si>
    <t>Молоко Лактель 2% - 24л</t>
  </si>
  <si>
    <t>Брауни - 15шт</t>
  </si>
  <si>
    <t>Молоко - 60л (с кассы)</t>
  </si>
  <si>
    <t>Десерты - 10шт</t>
  </si>
  <si>
    <t>Лимоны - 902гр</t>
  </si>
  <si>
    <t>Апельсины - 1016гр</t>
  </si>
  <si>
    <t>Контейнеры для орешек - 50шт</t>
  </si>
  <si>
    <t>Сироп карамель</t>
  </si>
  <si>
    <t>Сироп малина</t>
  </si>
  <si>
    <t>Сироп ваниль</t>
  </si>
  <si>
    <t>Coca-cola 330мл - 10шт</t>
  </si>
  <si>
    <t>Молоко - 9л (долг Диме)</t>
  </si>
  <si>
    <t>Молоко - 20л (долг Диме)</t>
  </si>
  <si>
    <t>Молоко - 8л (долг Диме)</t>
  </si>
  <si>
    <t>Апельсины - 1688гр</t>
  </si>
  <si>
    <t>Лимоны - 904гр</t>
  </si>
  <si>
    <t>Молоко - 38л (долг Диме)</t>
  </si>
  <si>
    <t>Молоко - 12л (долг Диме)</t>
  </si>
  <si>
    <t>Стаканчики 250мл - 315шт</t>
  </si>
  <si>
    <t>Яблоки - 1384гр</t>
  </si>
  <si>
    <t>Топинг ягодный - 1255гр</t>
  </si>
  <si>
    <t>Топинг облепиховый - 1255гр</t>
  </si>
  <si>
    <t>Молоко - 4л (долг Диме)</t>
  </si>
  <si>
    <t>Молоко - 17л (долг Диме)</t>
  </si>
  <si>
    <t>Какао - 1109гр</t>
  </si>
  <si>
    <t>Какао - 1095гр</t>
  </si>
  <si>
    <t>Молоко - 5л</t>
  </si>
  <si>
    <t>Доставка кофе (1,5 кг)</t>
  </si>
  <si>
    <t>Доставка кофе (2 кг)</t>
  </si>
  <si>
    <t>Брауни - 30шт</t>
  </si>
  <si>
    <t>Молоко - 40л (долг Диме)</t>
  </si>
  <si>
    <t>Апельсины - 1510гр</t>
  </si>
  <si>
    <t>Имбирь - 316гр</t>
  </si>
  <si>
    <t>Лимоны - 1078гр</t>
  </si>
  <si>
    <t>Зарплата Шахнозе за 11 смен</t>
  </si>
  <si>
    <t>R-keeper за ноябрь</t>
  </si>
  <si>
    <t>R-keeper за декабрь</t>
  </si>
  <si>
    <t xml:space="preserve">Общая сумма инкассации ц14: 54 584 000 сум за ноябрь </t>
  </si>
  <si>
    <t>Прибыль нал: 19 698 000 сум + 1 040 000 сум (молоко Бадамзар - 96л) = 20 738 000 сум</t>
  </si>
  <si>
    <t>Трубочки черные коктельные</t>
  </si>
  <si>
    <t xml:space="preserve">Трубочки разноцветные </t>
  </si>
  <si>
    <t>Молоко - 13л (долг Диме)</t>
  </si>
  <si>
    <t xml:space="preserve">Молоко - 43л (долг Диме) </t>
  </si>
  <si>
    <t>От 15.11.2022</t>
  </si>
  <si>
    <t>От 03.10.2022</t>
  </si>
  <si>
    <t>Свет - 1831квт</t>
  </si>
  <si>
    <t>Лимоны - 874гр</t>
  </si>
  <si>
    <t>Губка - 2шт</t>
  </si>
  <si>
    <t>Влажные салфетки - 100шт</t>
  </si>
  <si>
    <t>Стаканчики 250мл - 300шт</t>
  </si>
  <si>
    <t>От 05.12.2022</t>
  </si>
  <si>
    <t>Сахар 2900 гр</t>
  </si>
  <si>
    <t>Топинг ягодный - 1310гр</t>
  </si>
  <si>
    <t>Заменитель сахара - 650шт</t>
  </si>
  <si>
    <t>Coca - cola 330мл- 24шт</t>
  </si>
  <si>
    <t>Яблоки - 1430гр</t>
  </si>
  <si>
    <t>Апельсины - 1802гр</t>
  </si>
  <si>
    <t>Мусорные пакеты 28шт</t>
  </si>
  <si>
    <t xml:space="preserve">Имбирь - 350гр </t>
  </si>
  <si>
    <t>Сироп лесной орех - 1061гр</t>
  </si>
  <si>
    <t>Сироп шоколадный - 1058гр</t>
  </si>
  <si>
    <t>Сироп кокосовый - 1833гр</t>
  </si>
  <si>
    <t>Сироп клубничный - 637гр</t>
  </si>
  <si>
    <t>Сироп голубика - 1839гр</t>
  </si>
  <si>
    <t>Сироп вишня - 1836гр</t>
  </si>
  <si>
    <t>Сахар - 3кг</t>
  </si>
  <si>
    <t>Лимоны - 986гр</t>
  </si>
  <si>
    <t>Зарплата Кристине за 8 смен</t>
  </si>
  <si>
    <t>Черный чай - 100шт</t>
  </si>
  <si>
    <t>Зелёный чай - 100шт</t>
  </si>
  <si>
    <t>Мята- 3 пучка</t>
  </si>
  <si>
    <t>Вода - 10л</t>
  </si>
  <si>
    <t>Вода - 20л</t>
  </si>
  <si>
    <t>Кофе - 5шт</t>
  </si>
  <si>
    <t>Молоко - 48л</t>
  </si>
  <si>
    <t>Топинг облепиха - 1280гр</t>
  </si>
  <si>
    <t xml:space="preserve">Доместос </t>
  </si>
  <si>
    <t>Мед - 1047гр</t>
  </si>
  <si>
    <t>Апельсины - 1591гр</t>
  </si>
  <si>
    <t>Имбирь - 318гр</t>
  </si>
  <si>
    <t>Молоко - 48л (долг Диме)</t>
  </si>
  <si>
    <t>Лимоны - 920гр</t>
  </si>
  <si>
    <t>Контейнеры для орешек - 35шт</t>
  </si>
  <si>
    <t>Черные стаканчики 500мл - 400шт</t>
  </si>
  <si>
    <t>Гофре - 800шт</t>
  </si>
  <si>
    <t xml:space="preserve">Молоко - 36л </t>
  </si>
  <si>
    <t>Молоко лактель - 5л</t>
  </si>
  <si>
    <t xml:space="preserve">Молоко - 24л </t>
  </si>
  <si>
    <t>Топинг ягодный - 1264гр</t>
  </si>
  <si>
    <t>Red Bull 250мл - 12шт</t>
  </si>
  <si>
    <t xml:space="preserve">Жидкое мыло 1л </t>
  </si>
  <si>
    <t xml:space="preserve">Бумажные салфетки - 8 упаковок </t>
  </si>
  <si>
    <t>Сахар - 900гр</t>
  </si>
  <si>
    <t>Сироп карамель - 1402гр</t>
  </si>
  <si>
    <t>Сироп клубника - 1394гр</t>
  </si>
  <si>
    <t>молоко-48л</t>
  </si>
  <si>
    <t>овсяное печенье -16 шт</t>
  </si>
  <si>
    <t xml:space="preserve">выходной </t>
  </si>
  <si>
    <t>сироп роза - 1841гр</t>
  </si>
  <si>
    <t>сахар 4кг</t>
  </si>
  <si>
    <t>мята 4 пучка</t>
  </si>
  <si>
    <t>лимоны 858гр</t>
  </si>
  <si>
    <t>апельсины 1544гр</t>
  </si>
  <si>
    <t>десерт</t>
  </si>
  <si>
    <t>ремонт холодильника</t>
  </si>
  <si>
    <t>чай черный 25шт</t>
  </si>
  <si>
    <t>молоко - 48л</t>
  </si>
  <si>
    <t>средство для полов</t>
  </si>
  <si>
    <t>перчатки</t>
  </si>
  <si>
    <t>средство для посуды</t>
  </si>
  <si>
    <t>чай черный 100шт</t>
  </si>
  <si>
    <t>Какао - 2 банки</t>
  </si>
  <si>
    <t>брауни -16шт</t>
  </si>
  <si>
    <t>Вода 0,5мл - 8шт</t>
  </si>
  <si>
    <t>имбирь 268гр</t>
  </si>
  <si>
    <t>Зарплата Шахнозе за 13 смен (- 792 000 сум официально)</t>
  </si>
  <si>
    <t>Зарплата Барчиной за 4 смены</t>
  </si>
  <si>
    <t>Зарплаата Шахнозе за 12 смен</t>
  </si>
  <si>
    <t>Зарплата Барчиной за 14 смен</t>
  </si>
  <si>
    <t>жидкие сливки 10% - 24 упаковки</t>
  </si>
  <si>
    <t>Топинг ягодный - 1299гр</t>
  </si>
  <si>
    <t>30-31/12/2022</t>
  </si>
  <si>
    <t>Ночь/День</t>
  </si>
  <si>
    <t>Сахар - 6кг</t>
  </si>
  <si>
    <t>Coca-cola-10шт</t>
  </si>
  <si>
    <t xml:space="preserve">Оплата за интернет </t>
  </si>
  <si>
    <t xml:space="preserve">Аренда </t>
  </si>
  <si>
    <t xml:space="preserve">Общая сумма инкассации ц14: 44 089 000 сум за декабрь  </t>
  </si>
  <si>
    <t>От 05.12.22</t>
  </si>
  <si>
    <t>курс на 01.04.2022 = 11330 сум</t>
  </si>
  <si>
    <t xml:space="preserve">Зарплата Кристине </t>
  </si>
  <si>
    <t>Какао американский - 4 банки</t>
  </si>
  <si>
    <t xml:space="preserve">Прибыль нал: 12 410 000 сум  </t>
  </si>
  <si>
    <t>Сэндвичи</t>
  </si>
  <si>
    <t>с</t>
  </si>
  <si>
    <t xml:space="preserve">Общая сумма инкассации ц14: 34 019 000 сум за январь </t>
  </si>
  <si>
    <t>Лимоны - 1170гр</t>
  </si>
  <si>
    <t>Мусорные пакеты - 28шт</t>
  </si>
  <si>
    <t>Red-Bull 250мл - 10шт</t>
  </si>
  <si>
    <t>Апельсины - 1698гр</t>
  </si>
  <si>
    <t>мята 3 пучка</t>
  </si>
  <si>
    <t xml:space="preserve">день </t>
  </si>
  <si>
    <t>свет - 2324кв/ч</t>
  </si>
  <si>
    <t>вода 0,5 - 24 шт</t>
  </si>
  <si>
    <t>имбирь 262гр</t>
  </si>
  <si>
    <t>салфетки - 7уп</t>
  </si>
  <si>
    <t>стикеры</t>
  </si>
  <si>
    <t>сэнвичи - 8шт</t>
  </si>
  <si>
    <t>кофе 4 кг (колумбия)</t>
  </si>
  <si>
    <t>прозрачные стаканчики 500мл - 400 шт</t>
  </si>
  <si>
    <t>бананы - 1420гр</t>
  </si>
  <si>
    <t>лимоны - 1304гр</t>
  </si>
  <si>
    <t>чай черный 100 шт</t>
  </si>
  <si>
    <t>чай зеленый 100шт</t>
  </si>
  <si>
    <t>контейнеры для орешков 100 шт</t>
  </si>
  <si>
    <t>трубочки коктельные черные 400 шт</t>
  </si>
  <si>
    <t>шоколадное печенье - 15шт</t>
  </si>
  <si>
    <t>овсяное печенье - 10шт</t>
  </si>
  <si>
    <t>брауни - 16шт</t>
  </si>
  <si>
    <t>муравейники - 10 шт</t>
  </si>
  <si>
    <t>шоколадное печенье - 25шт</t>
  </si>
  <si>
    <t>брауни - 32шт</t>
  </si>
  <si>
    <t>топинг облепиха - 1294гр</t>
  </si>
  <si>
    <t>топинг ягодный - 1291гр</t>
  </si>
  <si>
    <t>сахар - 900гр</t>
  </si>
  <si>
    <t>яблоки - 654гр</t>
  </si>
  <si>
    <t>чеки для терминала - 16шт</t>
  </si>
  <si>
    <t>чеки для Киппера - 6шт</t>
  </si>
  <si>
    <t>сироп кокосовый - 1830гр</t>
  </si>
  <si>
    <t>сироп смородина - 1842гр</t>
  </si>
  <si>
    <t>сироп личи - 1839гр</t>
  </si>
  <si>
    <t>таймер для кофемашины 1шт</t>
  </si>
  <si>
    <t>гофры - 400 шт</t>
  </si>
  <si>
    <t xml:space="preserve">кофе 10кг </t>
  </si>
  <si>
    <t>топинг малина - 1314гр</t>
  </si>
  <si>
    <t>Зарплата Кристине за 4 смены</t>
  </si>
  <si>
    <t>Зарплата Барчиной за 12 смен</t>
  </si>
  <si>
    <t>Апельсины - 1150гр</t>
  </si>
  <si>
    <t>Лимоны - 752гр</t>
  </si>
  <si>
    <t>Мяты - 2 пучка</t>
  </si>
  <si>
    <t>Сухие салфетки - 4 упаковок</t>
  </si>
  <si>
    <t>Coca-cola - 10шт</t>
  </si>
  <si>
    <t>Апельсины - 1628гр</t>
  </si>
  <si>
    <t>Имбирь - 260гр</t>
  </si>
  <si>
    <t>десерт - 12шт</t>
  </si>
  <si>
    <t>стаканчики 250мл - 300 шт</t>
  </si>
  <si>
    <t>стаканчики прозрачные - 200шт</t>
  </si>
  <si>
    <t>гофры - 300 шт</t>
  </si>
  <si>
    <t>топинг манго - 1301гр</t>
  </si>
  <si>
    <t>топинг ягодный - 1265гр</t>
  </si>
  <si>
    <t>апельсины - 1142гр</t>
  </si>
  <si>
    <t>лимоны - 1070гр</t>
  </si>
  <si>
    <t>чай черный - 100шт</t>
  </si>
  <si>
    <t>молоко безлактозное - 48л</t>
  </si>
  <si>
    <t>шоколадный топинг - 1064гр</t>
  </si>
  <si>
    <t>Сахар - 8кг</t>
  </si>
  <si>
    <t>топинг клубника - 1309гр</t>
  </si>
  <si>
    <t>химия для кофемашины</t>
  </si>
  <si>
    <t>овсянные печеньки - 20шт</t>
  </si>
  <si>
    <t>выходной!!</t>
  </si>
  <si>
    <t>шоколадныйе печеньки - 25шт</t>
  </si>
  <si>
    <t>апельсины - 1484гр</t>
  </si>
  <si>
    <t>имбирь - 336гр</t>
  </si>
  <si>
    <t>сэндвичи - 6 шт</t>
  </si>
  <si>
    <t>дисерты - 12шт</t>
  </si>
  <si>
    <t>ягодный топинг - 1274гр</t>
  </si>
  <si>
    <t>малиновый топинг - 1318гр</t>
  </si>
  <si>
    <t>стаканчики черные 500мл - 200шт</t>
  </si>
  <si>
    <t>гофры - 500шт</t>
  </si>
  <si>
    <t>шоколадные печеньки - 25шт</t>
  </si>
  <si>
    <t>бумага для терминала - 16шт</t>
  </si>
  <si>
    <t>лимоны - 1136гр</t>
  </si>
  <si>
    <t>яблоки - 938гр</t>
  </si>
  <si>
    <t>апельсины - 2168гр</t>
  </si>
  <si>
    <t>капхолдеры - 300 шт</t>
  </si>
  <si>
    <t>кофейные трубочки - 10 уп</t>
  </si>
  <si>
    <t>сахар - 8кг</t>
  </si>
  <si>
    <t>red bull - 5шт</t>
  </si>
  <si>
    <t>жидкое мыло</t>
  </si>
  <si>
    <t>мед - 1030гр</t>
  </si>
  <si>
    <t>сэндвичи - 5шт</t>
  </si>
  <si>
    <t>стаканчики черные 500мл- 200шт</t>
  </si>
  <si>
    <t>стаканчики прозрачные 500мл - 200шт</t>
  </si>
  <si>
    <t>сэндвичи - 6шт</t>
  </si>
  <si>
    <t>сантехник</t>
  </si>
  <si>
    <t>орешки кофейные - 25шт</t>
  </si>
  <si>
    <t>десерт -10шт</t>
  </si>
  <si>
    <t>лимоны - 622гр</t>
  </si>
  <si>
    <t>апельсины - 1130гр</t>
  </si>
  <si>
    <t>мороженое - 1000гр</t>
  </si>
  <si>
    <t>топинг облепиха - 1286гр</t>
  </si>
  <si>
    <t>печеньки овсянные - 16шт</t>
  </si>
  <si>
    <t>печеньки шоколадные - 25шт</t>
  </si>
  <si>
    <t>десерт - 10шт</t>
  </si>
  <si>
    <t>Зарплата Шахнозе за 15 смен</t>
  </si>
  <si>
    <t>Зарплата Барчиной за 16 смен</t>
  </si>
  <si>
    <t>доставка пакеты</t>
  </si>
  <si>
    <t xml:space="preserve">Молоко (Бадамзар) 192л - 1840 000 сум </t>
  </si>
  <si>
    <t xml:space="preserve">Инкассация за июль: 18 512 000 сум </t>
  </si>
  <si>
    <t xml:space="preserve">Прибыль нал: 1 018 800 сум + 1840 000 (молоко) = 2858 800 сум  </t>
  </si>
  <si>
    <t>Трубочки бумажные - 1упакоывка</t>
  </si>
  <si>
    <t xml:space="preserve">Трубочки коктейльные черные - 1упаковка </t>
  </si>
  <si>
    <t>Апельсины - 2008гр</t>
  </si>
  <si>
    <t>Орешки со сгущёнкой - 180 шт</t>
  </si>
  <si>
    <t xml:space="preserve">Муравейники -5 упаковок </t>
  </si>
  <si>
    <t>Coca-cola 250мл - 24шт</t>
  </si>
  <si>
    <t>Имбирь - 376гр</t>
  </si>
  <si>
    <t>Sprite 1,5 л - 6шт</t>
  </si>
  <si>
    <t xml:space="preserve">18+ 250мл </t>
  </si>
  <si>
    <t xml:space="preserve">Жидкие сливки 350мл - 7упаковок </t>
  </si>
  <si>
    <t>Мороженое -1кг</t>
  </si>
  <si>
    <t>Бананы - 1306гр</t>
  </si>
  <si>
    <t>Яблоки - 1190гр</t>
  </si>
  <si>
    <t>вода 0,5 24 шт</t>
  </si>
  <si>
    <t>апельсины, лимон, мята</t>
  </si>
  <si>
    <t>печеньки</t>
  </si>
  <si>
    <t>шоколад печен 15 шт</t>
  </si>
  <si>
    <t>выпечка</t>
  </si>
  <si>
    <t>кофе 5 кг 1 сироп</t>
  </si>
  <si>
    <t>сироп гренадин плюс доставка 17000</t>
  </si>
  <si>
    <t>мусорные пакеты 3 шт</t>
  </si>
  <si>
    <t>бананы 1550 гр</t>
  </si>
  <si>
    <t>лимоны 872 гр</t>
  </si>
  <si>
    <t>сахар - 5 кг</t>
  </si>
  <si>
    <t>мята</t>
  </si>
  <si>
    <t xml:space="preserve">сухие салфетки </t>
  </si>
  <si>
    <t>редбул</t>
  </si>
  <si>
    <t>аренда</t>
  </si>
  <si>
    <t>Бананы - 1086гр</t>
  </si>
  <si>
    <t>зп Шахноза</t>
  </si>
  <si>
    <t>зп Кристина</t>
  </si>
  <si>
    <t>зп Амир</t>
  </si>
  <si>
    <t>за Барчиной</t>
  </si>
  <si>
    <t>чеки для кассового аппарата</t>
  </si>
  <si>
    <t>Апельсины - 1722гр</t>
  </si>
  <si>
    <t>порошок</t>
  </si>
  <si>
    <t>вода 0,5 12 шт</t>
  </si>
  <si>
    <t>кофе -10кг</t>
  </si>
  <si>
    <t>Гофры и Бол прозрач</t>
  </si>
  <si>
    <t>Яблоки</t>
  </si>
  <si>
    <t>печеньки и брауни</t>
  </si>
  <si>
    <t>сингл черные</t>
  </si>
  <si>
    <t>орешки и муравейники</t>
  </si>
  <si>
    <t>кока кола 250 мл</t>
  </si>
  <si>
    <t>лимоны 0,766</t>
  </si>
  <si>
    <t>спрайт</t>
  </si>
  <si>
    <t>сливки жидкие</t>
  </si>
  <si>
    <t>кофе - 10кг и сироп</t>
  </si>
  <si>
    <t>батарейки</t>
  </si>
  <si>
    <t>сливки</t>
  </si>
  <si>
    <t>апельсины</t>
  </si>
  <si>
    <t>ркипер</t>
  </si>
  <si>
    <t>Бананы</t>
  </si>
  <si>
    <t>Доставка топинга</t>
  </si>
  <si>
    <t>Мороженное</t>
  </si>
  <si>
    <t>Лимоны</t>
  </si>
  <si>
    <t>Зарплата Амиру за 8 смен</t>
  </si>
  <si>
    <t>Сахар</t>
  </si>
  <si>
    <t>чай черный</t>
  </si>
  <si>
    <t>такси быдам</t>
  </si>
  <si>
    <t xml:space="preserve">Инкассация в банк (18 512 000 сум за июль)  </t>
  </si>
  <si>
    <t xml:space="preserve">оплата за интернет и телефон </t>
  </si>
  <si>
    <t xml:space="preserve">Кофе - 10кг </t>
  </si>
  <si>
    <t xml:space="preserve">стаканчики 250мл - 400шт </t>
  </si>
  <si>
    <t>Зарплата Шахнозе за 9 смен           (792 000сум - официально)</t>
  </si>
  <si>
    <t>Зарплата Кристине.                            (официально 2 992 000 сум)</t>
  </si>
  <si>
    <t>курс на 01.01.2023 = 11 330 сум</t>
  </si>
  <si>
    <t xml:space="preserve">Сухие салфетки - 4 упаковки </t>
  </si>
  <si>
    <t>Coca - cola 330мл- 6 шт</t>
  </si>
  <si>
    <t>Red Bull 250мл - 6шт</t>
  </si>
  <si>
    <t>Десерты - 12шт</t>
  </si>
  <si>
    <t>Бананы - 1184гр</t>
  </si>
  <si>
    <t>Оплата за R-Keeper за февраль</t>
  </si>
  <si>
    <t>Крафт пакеты (долг Диме)</t>
  </si>
  <si>
    <t>Аренда за февраль (долг Диме)</t>
  </si>
  <si>
    <t>Ягодный топинг - 1283гр</t>
  </si>
  <si>
    <t>Какао - 2кг</t>
  </si>
  <si>
    <t>От 03.02.2023</t>
  </si>
  <si>
    <t>Аренда за январь</t>
  </si>
  <si>
    <t>Оплата за R-Keeper за январь</t>
  </si>
  <si>
    <t>Яблоки - 1434гр</t>
  </si>
  <si>
    <t>Лимоны - 990гр</t>
  </si>
  <si>
    <t>Апельсины - 1682гр</t>
  </si>
  <si>
    <t>Coca - cola 330мл- 8 шт</t>
  </si>
  <si>
    <t>Cахара - 7кг</t>
  </si>
  <si>
    <t>Свет - 2936 кВт</t>
  </si>
  <si>
    <t>Десерты - 14шт</t>
  </si>
  <si>
    <t>Бананы - 1292гр</t>
  </si>
  <si>
    <t xml:space="preserve">Прибыль нал: 18 744 000 сум  </t>
  </si>
  <si>
    <t>Пластиковые ложки - 1 упаковка</t>
  </si>
  <si>
    <t>Имбирь - 282гр</t>
  </si>
  <si>
    <t>Мята - 6 пучков</t>
  </si>
  <si>
    <t>Топинг ягодный - 1267гр</t>
  </si>
  <si>
    <t>Лимоны - 1210гр</t>
  </si>
  <si>
    <t>Апельсины - 2686гр</t>
  </si>
  <si>
    <t>Кофейные орешки - 10 упаковок</t>
  </si>
  <si>
    <t>Топинг клубника - 1316гр</t>
  </si>
  <si>
    <t>Топинг малины - 1298гр</t>
  </si>
  <si>
    <t>Сироп солёная карамель - 1350гр</t>
  </si>
  <si>
    <t>Трубочки коктейльные разноцветные - 1 упаковка</t>
  </si>
  <si>
    <t>Трубочки кофейные - 10 упаковка</t>
  </si>
  <si>
    <t>Апельсины - 1690гр</t>
  </si>
  <si>
    <t>Жидкие сливки 10% - 24 упаковки</t>
  </si>
  <si>
    <t>Зарплата Кристине за 13 смен (официально 792 000 сум)</t>
  </si>
  <si>
    <t>Зарплата Барчиной за 13 смен</t>
  </si>
  <si>
    <t>Ягодный топинг - 2544гр (2 бутылки)</t>
  </si>
  <si>
    <t>Сироп Лесной орех - 1409гр</t>
  </si>
  <si>
    <t>Сироп Карамель - 1414гр</t>
  </si>
  <si>
    <t>Сироп Ваниль - 1431гр</t>
  </si>
  <si>
    <t>Coca-cola 330мл - 6шт</t>
  </si>
  <si>
    <t>Сухие салфетки - 8шт</t>
  </si>
  <si>
    <t>Лимоны - 898гр</t>
  </si>
  <si>
    <t>Бананы - 1402гр</t>
  </si>
  <si>
    <t>Апельсины - 1932гр</t>
  </si>
  <si>
    <t>Пакеты для мусора - 35шт</t>
  </si>
  <si>
    <t>Тряпочки для кофемашины - 4шт</t>
  </si>
  <si>
    <t>Взбитые сливки - 2шт</t>
  </si>
  <si>
    <t>Чеки для терминала - 3шт</t>
  </si>
  <si>
    <t>Швабра - 1шт</t>
  </si>
  <si>
    <t>Имбирь - 216гр</t>
  </si>
  <si>
    <t>Чеки для R-keeper - 4шт</t>
  </si>
  <si>
    <t>овсянные печеньки - 16шт</t>
  </si>
  <si>
    <t>сахар - 4кг</t>
  </si>
  <si>
    <t>бананы - 1384гр</t>
  </si>
  <si>
    <t>апельсины - 2124гр</t>
  </si>
  <si>
    <t>лимоны - 1344гр</t>
  </si>
  <si>
    <t>таймер - 1шт</t>
  </si>
  <si>
    <t>долг Уля</t>
  </si>
  <si>
    <t>лампочка коричневая - 1шт</t>
  </si>
  <si>
    <t xml:space="preserve">лампочка </t>
  </si>
  <si>
    <t>десерт - 9шт</t>
  </si>
  <si>
    <t>сахар - 2900гр</t>
  </si>
  <si>
    <t>имбирь - 292гр</t>
  </si>
  <si>
    <t>сэндвич - 8шт</t>
  </si>
  <si>
    <t>топинг облепиха - 1273гр</t>
  </si>
  <si>
    <t>сингл стаканчики - 400шт</t>
  </si>
  <si>
    <t>коврик на столик</t>
  </si>
  <si>
    <t>стаканчики дабл черные - 200 шт</t>
  </si>
  <si>
    <t>стаканчики дабл прозрачные - 200 шт</t>
  </si>
  <si>
    <t xml:space="preserve">мусор </t>
  </si>
  <si>
    <t>кофейные орешки - 25шт</t>
  </si>
  <si>
    <t>Муравейники - 8 упаковок</t>
  </si>
  <si>
    <t>ред булл - 1шт</t>
  </si>
  <si>
    <t>лимон - 1460гр</t>
  </si>
  <si>
    <t>апельсин - 1950гр</t>
  </si>
  <si>
    <t>Red Bull 250мл - 10шт</t>
  </si>
  <si>
    <t>сахар - 5кг</t>
  </si>
  <si>
    <t>яблоки - 882гр</t>
  </si>
  <si>
    <t>кофе - 10кг</t>
  </si>
  <si>
    <t>распечатка меню</t>
  </si>
  <si>
    <t>кофейные орешки - 50шт</t>
  </si>
  <si>
    <t>Топинг малина - 1287гр</t>
  </si>
  <si>
    <t>Топинг ягодный - 1271гр</t>
  </si>
  <si>
    <t>Зарплата Шахнозе за 8 смен - официально 792 000 сум</t>
  </si>
  <si>
    <t>Зарплата Барчиной за 11 смен</t>
  </si>
  <si>
    <t xml:space="preserve">Зарплата Кристине за 5 смен + 9 дней работы </t>
  </si>
  <si>
    <t>Дизайн меню</t>
  </si>
  <si>
    <t>Сэндвичи - 13шт</t>
  </si>
  <si>
    <t>Общая сумма инкассации ц14: 28 687 000 сум за февраль</t>
  </si>
  <si>
    <t>От 01.03.2023</t>
  </si>
  <si>
    <t>сэндвичи - 4 шт</t>
  </si>
  <si>
    <t>курс на 01.02.2023 = 11 400 сум</t>
  </si>
  <si>
    <t>сливки зеленое село - 12700гр</t>
  </si>
  <si>
    <t>контейнеры для орешков - 50шт</t>
  </si>
  <si>
    <t>сахар - 6кг</t>
  </si>
  <si>
    <t>яблоки - 864гр</t>
  </si>
  <si>
    <t>мороженое - 1кг</t>
  </si>
  <si>
    <t>имбирь - 476гр</t>
  </si>
  <si>
    <t>лимоны - 1280гр</t>
  </si>
  <si>
    <t>Кофейные орешки - 15шт</t>
  </si>
  <si>
    <t>шоколадный топинг - 1074гр</t>
  </si>
  <si>
    <t>ВЫХОДНОЙ!!!</t>
  </si>
  <si>
    <t>бананы - 1218гр</t>
  </si>
  <si>
    <t>вода 0,5 - 24шт</t>
  </si>
  <si>
    <t>кола - 15шт</t>
  </si>
  <si>
    <t>red bull - 15шт</t>
  </si>
  <si>
    <t>сухие салфетки - 15уп</t>
  </si>
  <si>
    <t>пакеты для мусора - 4 уп</t>
  </si>
  <si>
    <t>кофе</t>
  </si>
  <si>
    <t>ягодный топинг - 1293гр</t>
  </si>
  <si>
    <t>сэндвичи - 3шт</t>
  </si>
  <si>
    <t>брауни - 30шт</t>
  </si>
  <si>
    <t>десерты - 12шт</t>
  </si>
  <si>
    <t>кустики - 6шт</t>
  </si>
  <si>
    <t>свет - 1621квт</t>
  </si>
  <si>
    <t>сироп капамель - 1409гр</t>
  </si>
  <si>
    <t>сироп гринадин - 1435гр</t>
  </si>
  <si>
    <t>апельсин - 2408гр</t>
  </si>
  <si>
    <t>яблоки - 1364гр</t>
  </si>
  <si>
    <t>чай зеленый - 100шт</t>
  </si>
  <si>
    <t>сингл - 400шт</t>
  </si>
  <si>
    <t>сэндвичи - 10шт</t>
  </si>
  <si>
    <t>лимоны - 1262гр</t>
  </si>
  <si>
    <t>имбирь  - 372гр</t>
  </si>
  <si>
    <t>Топинг облепиховый - 1291гр</t>
  </si>
  <si>
    <t>Топинг клубника - 1304гр</t>
  </si>
  <si>
    <t>Аванс Барчиной</t>
  </si>
  <si>
    <t>сиф</t>
  </si>
  <si>
    <t>ср-во для мытья полов</t>
  </si>
  <si>
    <t>губки - 3шт</t>
  </si>
  <si>
    <t>бананы - 1356гр</t>
  </si>
  <si>
    <t>апельсины - 1493гр</t>
  </si>
  <si>
    <t>яблоки - 1082гр</t>
  </si>
  <si>
    <t>ручки - 2шт</t>
  </si>
  <si>
    <t>чеки для терминала мал - 32ш</t>
  </si>
  <si>
    <t>чеки для терминала бол - 8шт</t>
  </si>
  <si>
    <t>чай черный - 200шт</t>
  </si>
  <si>
    <t>доставка кофе  - 2кг колумбия</t>
  </si>
  <si>
    <t>шоколадное печеньки - 25шт</t>
  </si>
  <si>
    <t>овсянные печеньки - 15шт</t>
  </si>
  <si>
    <t>яблоки - 946гр</t>
  </si>
  <si>
    <t xml:space="preserve">Прибыль нал: 20 465 000 сум  </t>
  </si>
  <si>
    <t>Общая сумма инкассации ц14: 29 633 000 сум за март</t>
  </si>
  <si>
    <t xml:space="preserve">Прибыль нал: 26 435 000 сум  </t>
  </si>
  <si>
    <t>Оплата за R-keeper за март</t>
  </si>
  <si>
    <t>Аренда за март</t>
  </si>
  <si>
    <t>десерты - 10шт</t>
  </si>
  <si>
    <t>колумбия - 2кг</t>
  </si>
  <si>
    <t>сироп голубика</t>
  </si>
  <si>
    <t>доплата бухгалтеру</t>
  </si>
  <si>
    <t>сироп вишня</t>
  </si>
  <si>
    <t>десерты - 12шт ( предыдущие)</t>
  </si>
  <si>
    <t>Зарплата Шахнозе за 11 смен (официально 792 000)</t>
  </si>
  <si>
    <t>Яблоки - 2016гр</t>
  </si>
  <si>
    <t>Зарплата Кристина за 5 смен</t>
  </si>
  <si>
    <t>Апельсины - 1794гр</t>
  </si>
  <si>
    <t>сэндвичи - 8шт</t>
  </si>
  <si>
    <t>апельсины - 2936гр</t>
  </si>
  <si>
    <t>лимоны - 1490гр</t>
  </si>
  <si>
    <t>мята - 2 пучка</t>
  </si>
  <si>
    <t>мел от муравьев</t>
  </si>
  <si>
    <t>горячий шоколад</t>
  </si>
  <si>
    <t>капхолдеры - 300шт</t>
  </si>
  <si>
    <t>ср-во для стекол</t>
  </si>
  <si>
    <t>мед - 1027гр</t>
  </si>
  <si>
    <t>яблоки - 1436гр</t>
  </si>
  <si>
    <t>апельсины - 1950гр</t>
  </si>
  <si>
    <t>бананы - 1016гр</t>
  </si>
  <si>
    <t>батарейки - 4шт</t>
  </si>
  <si>
    <t>овсяные печеньки - 15шт</t>
  </si>
  <si>
    <t>апельсины - 1190гр</t>
  </si>
  <si>
    <t>имбирь - 356гр</t>
  </si>
  <si>
    <t>яблоки - 1810гр</t>
  </si>
  <si>
    <t>сахар - 1кг</t>
  </si>
  <si>
    <t>химия для машины</t>
  </si>
  <si>
    <t>ореки со сгущнгкой - 180шт</t>
  </si>
  <si>
    <t>сироп ваниль - 1072гр</t>
  </si>
  <si>
    <t>сироп клюква -1854 гр</t>
  </si>
  <si>
    <t>Топинг облепиховый - 1343гр</t>
  </si>
  <si>
    <t>ягодный топинг - 1337гр</t>
  </si>
  <si>
    <t>лимоны - 1330гр</t>
  </si>
  <si>
    <t>пакеты для мусора - 3уп</t>
  </si>
  <si>
    <t>пакеты для мусора -2уп</t>
  </si>
  <si>
    <t>ср-во для посуды</t>
  </si>
  <si>
    <t>бананы - 906гр</t>
  </si>
  <si>
    <t>влажные салфетки</t>
  </si>
  <si>
    <t>red bull - 8шт</t>
  </si>
  <si>
    <t>18+ - 5шт</t>
  </si>
  <si>
    <t>кола - 10шт</t>
  </si>
  <si>
    <t>Оплата за интернет и  раб. телефон</t>
  </si>
  <si>
    <t>апельсины - 2990гр</t>
  </si>
  <si>
    <t>бананы - 1200гр</t>
  </si>
  <si>
    <t>имбирь - 388гр</t>
  </si>
  <si>
    <t>кофе 10кг</t>
  </si>
  <si>
    <t>яблоки - 1384гр</t>
  </si>
  <si>
    <t>яблоки - 2222гр</t>
  </si>
  <si>
    <t xml:space="preserve">Зарплата Кристине за 3 смены (+ 1 508 000 сум зарплата) </t>
  </si>
  <si>
    <t>от 03.04.2023</t>
  </si>
  <si>
    <t>чай черный - 300шт</t>
  </si>
  <si>
    <t>сэндвичи - 2шт</t>
  </si>
  <si>
    <t>шоколадные печеньки - 20шт</t>
  </si>
  <si>
    <t>овсянные печеньки - 10шт</t>
  </si>
  <si>
    <t>red bull -10шт</t>
  </si>
  <si>
    <t>вода - 24шт</t>
  </si>
  <si>
    <t>сухие салфетки - 10 уп</t>
  </si>
  <si>
    <t>сироп лесной орех - 1408гр</t>
  </si>
  <si>
    <t>сироп гренадин - 1431</t>
  </si>
  <si>
    <t>сироп кокос - 1404</t>
  </si>
  <si>
    <t>сироп манго - 1398гр</t>
  </si>
  <si>
    <t>сироп карамель - 1407гр</t>
  </si>
  <si>
    <t>мята - 3 пучка</t>
  </si>
  <si>
    <t>апельсины - 1734гр</t>
  </si>
  <si>
    <t>лимоны - 1338гр</t>
  </si>
  <si>
    <t>сливки - 12604гр</t>
  </si>
  <si>
    <t>топинг ягодный - 1262гр</t>
  </si>
  <si>
    <t>топинг клубника - 1271гр</t>
  </si>
  <si>
    <t>топинг малина - 1270гр</t>
  </si>
  <si>
    <t>орешки со сгущенкой - 180шт</t>
  </si>
  <si>
    <t>муравейники- 10шт</t>
  </si>
  <si>
    <t>свет - 1217кв</t>
  </si>
  <si>
    <t xml:space="preserve">трубочки черные </t>
  </si>
  <si>
    <t>трубочки бумажные</t>
  </si>
  <si>
    <t xml:space="preserve">кофейные трубочки </t>
  </si>
  <si>
    <t xml:space="preserve">однораз ложки </t>
  </si>
  <si>
    <t>заправка балона колд брю</t>
  </si>
  <si>
    <t>сироп ваниль - 1405гр</t>
  </si>
  <si>
    <t>сироп маракуйя - 1394гр</t>
  </si>
  <si>
    <t>кофейные орешки - 35шт</t>
  </si>
  <si>
    <t>бананы - 1124гр</t>
  </si>
  <si>
    <t>имбирь - 246гр</t>
  </si>
  <si>
    <t>Барчиной аванс</t>
  </si>
  <si>
    <t>апельсины - 2718гр</t>
  </si>
  <si>
    <t>яблоки - 1878гр</t>
  </si>
  <si>
    <t>лимоны - 2286гр</t>
  </si>
  <si>
    <t>сахара - 4кг</t>
  </si>
  <si>
    <t>топинг облепиха - 1318 гр</t>
  </si>
  <si>
    <t>ягодный топинг - 1291 гр</t>
  </si>
  <si>
    <t>имбирь - 520гр</t>
  </si>
  <si>
    <t>red bull -4шт</t>
  </si>
  <si>
    <t xml:space="preserve">подставка для ножей </t>
  </si>
  <si>
    <t>ершик для холдера</t>
  </si>
  <si>
    <t>стулья на ултцу - 2шт</t>
  </si>
  <si>
    <t>шоколадный топинг - 1071гр</t>
  </si>
  <si>
    <t>горячий шоколад - 1099гр</t>
  </si>
  <si>
    <t>мороженое - 2кг</t>
  </si>
  <si>
    <t>бананы - 1598гр</t>
  </si>
  <si>
    <t>мяты - 2пуч</t>
  </si>
  <si>
    <t>кола - 6шт</t>
  </si>
  <si>
    <t>18+ - 6шт</t>
  </si>
  <si>
    <t>пакеты для мусора - 5уп</t>
  </si>
  <si>
    <t>салфетки - 6уп</t>
  </si>
  <si>
    <t>десерты - 15шт</t>
  </si>
  <si>
    <t>сэндвичи - 9шт</t>
  </si>
  <si>
    <t>овсянное печенье - 16шт</t>
  </si>
  <si>
    <t>Зарплата Шахнозе за 12 смен (официально на карту - 968 000сум)</t>
  </si>
  <si>
    <t xml:space="preserve">Зарплата Барчиной за 13 смен </t>
  </si>
  <si>
    <t>яблоки - 1930гр</t>
  </si>
  <si>
    <t>Зарплата Кристине за 5 смен</t>
  </si>
  <si>
    <t>контейнеры для орешков -100шт</t>
  </si>
  <si>
    <t xml:space="preserve">горячий шоколад </t>
  </si>
  <si>
    <t>18+ - 4шт</t>
  </si>
  <si>
    <t>ред булл - 10шт</t>
  </si>
  <si>
    <t>салфетки влажные - 1уп</t>
  </si>
  <si>
    <t>бананы - 1334гр</t>
  </si>
  <si>
    <t>имбирь - 648гр</t>
  </si>
  <si>
    <t>ср-во для посуды - 2шт</t>
  </si>
  <si>
    <t>жидкое мыло - 1шт</t>
  </si>
  <si>
    <t>яблоки - 2157гр</t>
  </si>
  <si>
    <t>лимоны - 1098гр</t>
  </si>
  <si>
    <t>яблоки - 1872гр</t>
  </si>
  <si>
    <t>мята - 2пуч</t>
  </si>
  <si>
    <t>капхолдеры - 150шт</t>
  </si>
  <si>
    <t>ткань для чехлов - 4 метра</t>
  </si>
  <si>
    <t>клубничный топинг - 1284гр</t>
  </si>
  <si>
    <t>малиновый топинг - 1314гр</t>
  </si>
  <si>
    <t>ягодный топинг - 1282 гр</t>
  </si>
  <si>
    <t>бананновый сироп - 1428гр</t>
  </si>
  <si>
    <t>мята - 2 пуч</t>
  </si>
  <si>
    <t>терминальные чеки большие - 8 шт</t>
  </si>
  <si>
    <t>терминальные чеки маленькие - 32 шт</t>
  </si>
  <si>
    <t>салфетки сухие - 1рулон</t>
  </si>
  <si>
    <t>тряпочки - 3шт</t>
  </si>
  <si>
    <t>вода - 16шт</t>
  </si>
  <si>
    <t>овсянные печенькт - 15шт</t>
  </si>
  <si>
    <t>сэндвичи - 4шт</t>
  </si>
  <si>
    <t>лед</t>
  </si>
  <si>
    <t>ремонт ледогениратора</t>
  </si>
  <si>
    <t>отделочные работы</t>
  </si>
  <si>
    <t>покраска стен</t>
  </si>
  <si>
    <t>клей для кафеля - 2 мешка</t>
  </si>
  <si>
    <t>краска для фассада - 15кг</t>
  </si>
  <si>
    <t>кофейные орешки - 15шт</t>
  </si>
  <si>
    <t>сэндвичи -6шт</t>
  </si>
  <si>
    <t>апельсины - 1224гр</t>
  </si>
  <si>
    <t>яблоки - 1434гр</t>
  </si>
  <si>
    <t>рэд булл - 15шт</t>
  </si>
  <si>
    <t>вода - 36шт</t>
  </si>
  <si>
    <t>лимоны - 1876гр</t>
  </si>
  <si>
    <t>бананы - 1988гр</t>
  </si>
  <si>
    <t>десерты - 13шт</t>
  </si>
  <si>
    <t>облепиховый топинг - 1270гр</t>
  </si>
  <si>
    <t xml:space="preserve">Зарплата Шахнозе за 12 смен </t>
  </si>
  <si>
    <t xml:space="preserve">Зарплата Барчиной за 12 смен </t>
  </si>
  <si>
    <t>Зарпала Кристине за 4 смен +            1 332 000 сум зарплата</t>
  </si>
  <si>
    <t>сэндвичи -10шт</t>
  </si>
  <si>
    <t>Оплата за R-keeper за апрель</t>
  </si>
  <si>
    <t>Оптала за интернет и телефон</t>
  </si>
  <si>
    <t xml:space="preserve">Прибыль нал: 29 372 000 сум  </t>
  </si>
  <si>
    <t>от 02.05.2023</t>
  </si>
  <si>
    <t>Общая сумма инкассации ц14: 20 258 000 сум за апрель</t>
  </si>
  <si>
    <t>курс на 01.04.2023 = 11 410сум</t>
  </si>
  <si>
    <t>яблоки -2кг</t>
  </si>
  <si>
    <t>топинг ягодный</t>
  </si>
  <si>
    <t>муравейники - 10уп</t>
  </si>
  <si>
    <t>апельсины - 4010гр</t>
  </si>
  <si>
    <t>сингл - 300шт</t>
  </si>
  <si>
    <t>трубочки черные - 1000шт</t>
  </si>
  <si>
    <t>мороженное - 2кг</t>
  </si>
  <si>
    <t>лимоны - 1334гр</t>
  </si>
  <si>
    <t>мята - 2пучка</t>
  </si>
  <si>
    <t>яблоки - 2062гр</t>
  </si>
  <si>
    <t>бананы - 1762гр</t>
  </si>
  <si>
    <t>имбирь - 616гр</t>
  </si>
  <si>
    <t>замена фильтров</t>
  </si>
  <si>
    <t>ВЫХОДНОЙ</t>
  </si>
  <si>
    <t>кофейные орешки - 5уп</t>
  </si>
  <si>
    <t>топинг малина - 1277гр</t>
  </si>
  <si>
    <t>сироп манго - 1400гр</t>
  </si>
  <si>
    <t>сироп маракуйя - 1401гр</t>
  </si>
  <si>
    <t>сироп ваниль - 1411гр</t>
  </si>
  <si>
    <t>red bull - 24ш</t>
  </si>
  <si>
    <t>вода 0,5 - 12шт</t>
  </si>
  <si>
    <t>апельсины - 1678гр</t>
  </si>
  <si>
    <t>мята - 1пуч</t>
  </si>
  <si>
    <t>сливки - 12574гр</t>
  </si>
  <si>
    <t>ягодный топинг - 1281гр</t>
  </si>
  <si>
    <t>апельсины - 3440гр</t>
  </si>
  <si>
    <t>мята - 3пуч</t>
  </si>
  <si>
    <t>лимоны - 878гр</t>
  </si>
  <si>
    <t>яблоки - 1696гр</t>
  </si>
  <si>
    <t>бананы - 1472гр</t>
  </si>
  <si>
    <t>вода 0,5 - 36шт</t>
  </si>
  <si>
    <t>адреналин - 15шт</t>
  </si>
  <si>
    <t>пакеты для мусора - 70шт</t>
  </si>
  <si>
    <t>влажные салфетки - 2уп</t>
  </si>
  <si>
    <t>бумажные салфетки - 32уп</t>
  </si>
  <si>
    <t>Зарплата Шахнозе за 13 смен (официально 968 000 сум на карту)</t>
  </si>
  <si>
    <t xml:space="preserve">Шоколадный топинг </t>
  </si>
  <si>
    <t>Карамельный сироп - 1403гр</t>
  </si>
  <si>
    <t>Зарплата Кристине за 2 смены</t>
  </si>
  <si>
    <t>Кокосовый сироп - 1398гр</t>
  </si>
  <si>
    <t>Шоколадный сироп  - 1400гр</t>
  </si>
  <si>
    <t>Сироп Гренадин - 1424гр</t>
  </si>
  <si>
    <t>Сироп Смородина - 1430гр</t>
  </si>
  <si>
    <t>Банановый сироп - 1422гр</t>
  </si>
  <si>
    <t>ремонт кондиционера</t>
  </si>
  <si>
    <t>топинг облепиха - 1302гр</t>
  </si>
  <si>
    <t>топинг малина - 1307гр</t>
  </si>
  <si>
    <t>мороженое  - 1кг</t>
  </si>
  <si>
    <t>мята   3 пучка</t>
  </si>
  <si>
    <t>бананы - 1534гр</t>
  </si>
  <si>
    <t>губки для посуды - 10шт</t>
  </si>
  <si>
    <t>лимоны - 1450гр</t>
  </si>
  <si>
    <t>апельсины - 2022гр</t>
  </si>
  <si>
    <t>топинг клубника - 1291гр</t>
  </si>
  <si>
    <t>кофейные трубочки - 10уп</t>
  </si>
  <si>
    <t>трубочки белын - 1000шт</t>
  </si>
  <si>
    <t>контейнеры для орешков - 150шт</t>
  </si>
  <si>
    <t>вода 05 - 36шт</t>
  </si>
  <si>
    <t>лимоны - 966гр</t>
  </si>
  <si>
    <t>апельсины - 1718гр</t>
  </si>
  <si>
    <t>бананы - 2238гр</t>
  </si>
  <si>
    <t>вода с газом 0,5 - 3шт</t>
  </si>
  <si>
    <t>сироп махито - 1355гр</t>
  </si>
  <si>
    <t>сэндвичи - 7шт</t>
  </si>
  <si>
    <t>горячий шоколад - 2 банки</t>
  </si>
  <si>
    <t>яблоки - 2094гр</t>
  </si>
  <si>
    <t>мята- 4пучка</t>
  </si>
  <si>
    <t>апельсины - 2648гр</t>
  </si>
  <si>
    <t>бум полотенцу - 1уп</t>
  </si>
  <si>
    <t>лампочка</t>
  </si>
  <si>
    <t>веник</t>
  </si>
  <si>
    <t>пошив чехлов</t>
  </si>
  <si>
    <t>жидкие сливки - 6280гр</t>
  </si>
  <si>
    <t>десерты - 14шт</t>
  </si>
  <si>
    <t>бананы - 2068гр</t>
  </si>
  <si>
    <t>корица - 2уп</t>
  </si>
  <si>
    <t>заменитель сахара -1уп</t>
  </si>
  <si>
    <t>муравейники  - 10уп</t>
  </si>
  <si>
    <t xml:space="preserve">   </t>
  </si>
  <si>
    <t xml:space="preserve">ночь </t>
  </si>
  <si>
    <t>топинг клубничный - 1276гр</t>
  </si>
  <si>
    <t>18+ - 12шт</t>
  </si>
  <si>
    <t>вода с газом 0,5 - 24шт</t>
  </si>
  <si>
    <t>вода 0,5 - 13шт</t>
  </si>
  <si>
    <t>сироп лесной орех - 1410гр</t>
  </si>
  <si>
    <t>сироп гриннадин - 1399гр</t>
  </si>
  <si>
    <t>Лимоны - 1044гр</t>
  </si>
  <si>
    <t>Фрэшница</t>
  </si>
  <si>
    <t>Опалата за свет</t>
  </si>
  <si>
    <t xml:space="preserve">Зарплата Кристине за 6 смен (на карту 3 168 000 сум)  </t>
  </si>
  <si>
    <t>Опалата за R-Keeper за май</t>
  </si>
  <si>
    <t>Аренда за май</t>
  </si>
  <si>
    <t>Оплата за интернет и телефон</t>
  </si>
  <si>
    <t xml:space="preserve">Прибыль нал: 36 219 000 сум  </t>
  </si>
  <si>
    <t>курс на 01.05.2023 = 11 410сум</t>
  </si>
  <si>
    <t>Общая сумма инкассации ц14: 23 510 000 сум за май</t>
  </si>
  <si>
    <t>от 01.07.2023</t>
  </si>
  <si>
    <t>муравейники - 10шт</t>
  </si>
  <si>
    <t>апельсины - 1946гр</t>
  </si>
  <si>
    <t>яблоки - 1176гр</t>
  </si>
  <si>
    <t>таймер - 2шт</t>
  </si>
  <si>
    <t>сироп кокос</t>
  </si>
  <si>
    <t>сироп ваниль</t>
  </si>
  <si>
    <t>сироп карамель</t>
  </si>
  <si>
    <t>сироп манго</t>
  </si>
  <si>
    <t>сироп гренадин</t>
  </si>
  <si>
    <t>тряпочки - 2уп</t>
  </si>
  <si>
    <t>полотенце - 3шт</t>
  </si>
  <si>
    <t>терминальные чеки - 8шт</t>
  </si>
  <si>
    <t>терминальные чеки - 32шт</t>
  </si>
  <si>
    <t>стикеры - 1уп</t>
  </si>
  <si>
    <t>апельсины - 2796гр</t>
  </si>
  <si>
    <t>бананы - 2094гр</t>
  </si>
  <si>
    <t>яблоки - 1990гр</t>
  </si>
  <si>
    <t>топинг вишня - 1321гр</t>
  </si>
  <si>
    <t>сироп мохито - 1352гр</t>
  </si>
  <si>
    <t>лимоны - 39гр</t>
  </si>
  <si>
    <t>рэд булл - 20шт</t>
  </si>
  <si>
    <t>мята - 3 пуч</t>
  </si>
  <si>
    <t>зеленый чай - 100шт</t>
  </si>
  <si>
    <t>сливки - 12672гр</t>
  </si>
  <si>
    <t>бананы - 1316гр</t>
  </si>
  <si>
    <t>апельсины - 1342гр</t>
  </si>
  <si>
    <t>лимоны - 1156гр</t>
  </si>
  <si>
    <t>швабра</t>
  </si>
  <si>
    <t>сироа маракуйя -- 1404гр</t>
  </si>
  <si>
    <t>сироп банановый - 1397гр</t>
  </si>
  <si>
    <t>сироп гренадин - 1423гр</t>
  </si>
  <si>
    <t>топинг клубника - 1308гр</t>
  </si>
  <si>
    <t>топинг малина - 1298гр</t>
  </si>
  <si>
    <t>сэндвичи - 12шт</t>
  </si>
  <si>
    <t>апельсины - 3010гр</t>
  </si>
  <si>
    <t>мята 3 пуч</t>
  </si>
  <si>
    <t>лимоны - 1174гр</t>
  </si>
  <si>
    <t>апельсины - 1066гр</t>
  </si>
  <si>
    <t>имбирь - 242гр</t>
  </si>
  <si>
    <t>сироп гренадин - 1422гр</t>
  </si>
  <si>
    <t>апельсины - 2950гр</t>
  </si>
  <si>
    <t>бананы - 1964гр</t>
  </si>
  <si>
    <t>сироп роза - 1402гр</t>
  </si>
  <si>
    <t>сироп личи - 1399гр</t>
  </si>
  <si>
    <t>ягодный топинг - 1305гр</t>
  </si>
  <si>
    <t>сироп мохито - 1354гр</t>
  </si>
  <si>
    <t>черные трубочки - 2000шт</t>
  </si>
  <si>
    <t>капхолдер - 150шт</t>
  </si>
  <si>
    <t>кофейные орешки - 10шт</t>
  </si>
  <si>
    <t>шоколадные печеньки - 15шт</t>
  </si>
  <si>
    <t>апельсины - 2014гр</t>
  </si>
  <si>
    <t>мороженое - 3кг</t>
  </si>
  <si>
    <t>вода с газом - 12шт</t>
  </si>
  <si>
    <t>доставка пакетов</t>
  </si>
  <si>
    <t>сахар - 2кг</t>
  </si>
  <si>
    <t>лимон - 2068гр</t>
  </si>
  <si>
    <t>апельсины - 4186гр</t>
  </si>
  <si>
    <t>бананы - 2218гр</t>
  </si>
  <si>
    <t>сироп гренадин - 2767гр</t>
  </si>
  <si>
    <t>сироп мохито - 596гр</t>
  </si>
  <si>
    <t>сироп фисташка - 1948гр</t>
  </si>
  <si>
    <t>Зарплата Шахнозе за 13 смен            ( + официально на карту 968 000 сум)</t>
  </si>
  <si>
    <t>Зарплата Кристине за 3 смены</t>
  </si>
  <si>
    <t xml:space="preserve">Зарплата Барчиной за 14 смен </t>
  </si>
  <si>
    <t>сэндвичи - 11шт</t>
  </si>
  <si>
    <t>пакеты для мусора - 15шт</t>
  </si>
  <si>
    <t>яблоки - 3522гр</t>
  </si>
  <si>
    <t>вода с газом - 24шт</t>
  </si>
  <si>
    <t>мята - 5пуч</t>
  </si>
  <si>
    <t>мороженое - 4кг</t>
  </si>
  <si>
    <t>апельсины - 5476гр</t>
  </si>
  <si>
    <t>овсяные печеньки - 16шт</t>
  </si>
  <si>
    <t>апельсины - 3622гр</t>
  </si>
  <si>
    <t>сироп клубника - 1283гр</t>
  </si>
  <si>
    <t>топинг облепиха - 1295гр</t>
  </si>
  <si>
    <t>бананы - 2008гр</t>
  </si>
  <si>
    <t>имбирь - 282гр</t>
  </si>
  <si>
    <t>лимоны - 1520гр</t>
  </si>
  <si>
    <t>жидкие сливки - 12498гр</t>
  </si>
  <si>
    <t>яблоки - 2134гр</t>
  </si>
  <si>
    <t>мед - 350гр</t>
  </si>
  <si>
    <t>сироп ваниль - 1396гр</t>
  </si>
  <si>
    <t>сироп гренадин - 1418гр</t>
  </si>
  <si>
    <t>взбитые сливки - 12шт</t>
  </si>
  <si>
    <t>молоко - 1л</t>
  </si>
  <si>
    <t>орешки со сгущенкой - 126шт</t>
  </si>
  <si>
    <t xml:space="preserve">Барчиной </t>
  </si>
  <si>
    <t>сироп карамель - 1412гр</t>
  </si>
  <si>
    <t>сироп шоколад - 1408гр</t>
  </si>
  <si>
    <t>сироп банан - 1423гр</t>
  </si>
  <si>
    <t>сухие салфетки - 40шт</t>
  </si>
  <si>
    <t>пакеты для мусора - 25шт</t>
  </si>
  <si>
    <t>18+ - 7шт</t>
  </si>
  <si>
    <t>яблоки - 1746гр</t>
  </si>
  <si>
    <t>лимоны - 1678гр</t>
  </si>
  <si>
    <t>бананы - 1464гр</t>
  </si>
  <si>
    <t>апельсины - 2500гр</t>
  </si>
  <si>
    <t>Сироп малиновый - 1291гр</t>
  </si>
  <si>
    <t>Клюква сироп - 1270гр</t>
  </si>
  <si>
    <t>Вишня сироп - 1317гр</t>
  </si>
  <si>
    <t>Сироп мохито - 1356гр</t>
  </si>
  <si>
    <t>сироп гренадин - 2843гр</t>
  </si>
  <si>
    <t>лимоны - 1840гр</t>
  </si>
  <si>
    <t>апельсины - 3050гр</t>
  </si>
  <si>
    <t>бананы - 1338гр</t>
  </si>
  <si>
    <t>апельсины - 3089гр</t>
  </si>
  <si>
    <t>сироп мохито - 1926гр</t>
  </si>
  <si>
    <t>апельсины - 6894гр</t>
  </si>
  <si>
    <t>бананы - 1584гр</t>
  </si>
  <si>
    <t>Зарплата Кристине за 7 смен  (на карту 3 168 000 сум)</t>
  </si>
  <si>
    <t>Заправка газ балона</t>
  </si>
  <si>
    <t>Оплата за свет</t>
  </si>
  <si>
    <t xml:space="preserve"> Зарплата Барчиной 11 смен</t>
  </si>
  <si>
    <t>Аванс Кристине</t>
  </si>
  <si>
    <t>Опалата за R-Keeper за июнь</t>
  </si>
  <si>
    <t xml:space="preserve">Аренда за июнь </t>
  </si>
  <si>
    <t>Крафт-пакеты - 600шт</t>
  </si>
  <si>
    <t>Общая сумма инкассации ц14: 19 572 000 сум за июнь</t>
  </si>
  <si>
    <t>курс на 01.01.2023 = 11 600 сум</t>
  </si>
  <si>
    <t>от 03.07.2023</t>
  </si>
  <si>
    <t>Прибыль нал: 30 236 000 сум  + 12 428 000 сум (сняла со счета доп 06.07) = 42 664 000 сум</t>
  </si>
  <si>
    <t>≠</t>
  </si>
  <si>
    <t>мастер</t>
  </si>
  <si>
    <t>кола - 24шт</t>
  </si>
  <si>
    <t>вода с газом - 36шт</t>
  </si>
  <si>
    <t>замена резинок на кофемашине</t>
  </si>
  <si>
    <t>сироп мохито - 1932гр</t>
  </si>
  <si>
    <t>сироп соленая карамель - 589гр</t>
  </si>
  <si>
    <t>свет  - 1,895 квт</t>
  </si>
  <si>
    <t>мята - 4пуч</t>
  </si>
  <si>
    <t>лимоны - 1622гр</t>
  </si>
  <si>
    <t>апельсины - 4492гр</t>
  </si>
  <si>
    <t>черные трубочки - 1000шт</t>
  </si>
  <si>
    <t>бумажные трубочки - 1000шт</t>
  </si>
  <si>
    <t>ложечки однораз  - 100шт</t>
  </si>
  <si>
    <t>топинг ягодный - 1322гр</t>
  </si>
  <si>
    <t>заправка газ балон</t>
  </si>
  <si>
    <t>апельсины - 2840гр</t>
  </si>
  <si>
    <t>апельсины - 3276гр</t>
  </si>
  <si>
    <t>имбирь - 308гр</t>
  </si>
  <si>
    <t>орешки со сгущенкой - 180</t>
  </si>
  <si>
    <t>оасянные печеньки - 16шт</t>
  </si>
  <si>
    <t>апельсины - 4314гр</t>
  </si>
  <si>
    <t>апельсины - 5772гр</t>
  </si>
  <si>
    <t>лед - 4кг</t>
  </si>
  <si>
    <t>бананы - 2366гр</t>
  </si>
  <si>
    <t xml:space="preserve">лед </t>
  </si>
  <si>
    <t>мастер ледогенератор</t>
  </si>
  <si>
    <t>лимоны - 2уп</t>
  </si>
  <si>
    <t xml:space="preserve">жидкое мыло </t>
  </si>
  <si>
    <t>сэндвичи- 12шт</t>
  </si>
  <si>
    <t>вода 0,5  - 36шт</t>
  </si>
  <si>
    <t>мед - 527гр</t>
  </si>
  <si>
    <t>red bull - 24шт</t>
  </si>
  <si>
    <t xml:space="preserve">ср-во для стекол </t>
  </si>
  <si>
    <t>адреналин 3 - 15шт</t>
  </si>
  <si>
    <t>апельсины - 2204гр</t>
  </si>
  <si>
    <t>лимоны - 874гр</t>
  </si>
  <si>
    <t>сироп маракуйя - 1427гр</t>
  </si>
  <si>
    <t>сироп манго - 1405гр</t>
  </si>
  <si>
    <t>сироп мохито - 1931гр</t>
  </si>
  <si>
    <t>шоколадный топинг - 1068гр</t>
  </si>
  <si>
    <t>топинг клубничный - 1284гр</t>
  </si>
  <si>
    <t>замена насоса</t>
  </si>
  <si>
    <t>апельсины - 6096гр</t>
  </si>
  <si>
    <t>сироп мохито - 3848</t>
  </si>
  <si>
    <t>лимоны - 1726гр</t>
  </si>
  <si>
    <t>малиновый топинг - 1313гр</t>
  </si>
  <si>
    <t>бананы - 2004гр</t>
  </si>
  <si>
    <t>имбирь - 318гр</t>
  </si>
  <si>
    <t>апельсины - 5370гр</t>
  </si>
  <si>
    <t>кофе - 9кг (+1кг Дима 260000)</t>
  </si>
  <si>
    <t>ЗП Шахноза  (11смен + официально на карту 968 000 сум)</t>
  </si>
  <si>
    <t>апельсины - 2454гр</t>
  </si>
  <si>
    <t>ЗП Кристина ( 6 смен)</t>
  </si>
  <si>
    <t>ЗП Барчиной ( 11 смен)</t>
  </si>
  <si>
    <t xml:space="preserve">Шахноза </t>
  </si>
  <si>
    <t>сироп гренадин - 2850</t>
  </si>
  <si>
    <t>сироп банан - 1428</t>
  </si>
  <si>
    <t>лимоны - 2048гр</t>
  </si>
  <si>
    <t>апельсины - 5754гр</t>
  </si>
  <si>
    <t>бананы - 2420гр</t>
  </si>
  <si>
    <t>ягодный топинг - 1313гр</t>
  </si>
  <si>
    <t>облепиха топинг - 1290гр</t>
  </si>
  <si>
    <t>пакеты для мусора - 1уп</t>
  </si>
  <si>
    <t>брауни- 16шт</t>
  </si>
  <si>
    <t>орешки со сгущенкой- 180шт</t>
  </si>
  <si>
    <t>яблоки - 1676гр</t>
  </si>
  <si>
    <t>апельсины - 6142гр</t>
  </si>
  <si>
    <t>сироп мохито - 3843гр</t>
  </si>
  <si>
    <t>клубничный топинг - 1311гр</t>
  </si>
  <si>
    <t>апельсины - 6576гр</t>
  </si>
  <si>
    <t>лимоны - 3464гр</t>
  </si>
  <si>
    <t>рэд булл - 10шт</t>
  </si>
  <si>
    <t>влажные салфетки - 1уп</t>
  </si>
  <si>
    <t>пакеты для мусора - 35шт</t>
  </si>
  <si>
    <t>контейнеры доя орешков - 150шт</t>
  </si>
  <si>
    <t>бананы - 1832гр</t>
  </si>
  <si>
    <t>апельсины - 2588гр</t>
  </si>
  <si>
    <t>шоколадный топинг - 1070гр</t>
  </si>
  <si>
    <t>сироп карамель - 1413гр</t>
  </si>
  <si>
    <t>апельсины - 4218гр</t>
  </si>
  <si>
    <t>топинг малина - 1326гр</t>
  </si>
  <si>
    <t>имбирь - 270гр</t>
  </si>
  <si>
    <t>сироп мохито - 3851гр</t>
  </si>
  <si>
    <t>апельсины - 4542гр</t>
  </si>
  <si>
    <t>десерты - 11шт</t>
  </si>
  <si>
    <t>свет (замена провода)</t>
  </si>
  <si>
    <t>вода с газом - 48шт</t>
  </si>
  <si>
    <t xml:space="preserve">демонтаж и установка кондиционера </t>
  </si>
  <si>
    <t>вода 0,5 - 48шт</t>
  </si>
  <si>
    <t>бананы - 4422гр</t>
  </si>
  <si>
    <t>апельсины - 5676гр</t>
  </si>
  <si>
    <t>сироп клюква - 1930</t>
  </si>
  <si>
    <t>сироп вишня - 1928гр</t>
  </si>
  <si>
    <t>мурравейники - 10уп</t>
  </si>
  <si>
    <t>лимоны - 2202гр</t>
  </si>
  <si>
    <t>сироп ваниль - 1401гр</t>
  </si>
  <si>
    <t>сироп гренадин - 2854гр</t>
  </si>
  <si>
    <t>Чеки для терминала - 32шт</t>
  </si>
  <si>
    <t>Чеки для R-keeeper - 8шт</t>
  </si>
  <si>
    <t>Одноразовые пакеты - 1 рулон</t>
  </si>
  <si>
    <t>Тряпочки для кофе - 5шт</t>
  </si>
  <si>
    <t>Сэндвичи - 12шт</t>
  </si>
  <si>
    <t>Топинг клубника - 1277гр</t>
  </si>
  <si>
    <t>Зарплата Кристине за 4 смены (3 168 000 сум на карту)</t>
  </si>
  <si>
    <t>Топинг лесные ягоды - 1308гр</t>
  </si>
  <si>
    <t>Опалата за R-Keeper за август</t>
  </si>
  <si>
    <t>Сахар - 4 кг</t>
  </si>
  <si>
    <t>Апельсины - 4358гр (турция)</t>
  </si>
  <si>
    <t>Яблоки - 1778гр</t>
  </si>
  <si>
    <t>Химия для кофеймашины - 1шт</t>
  </si>
  <si>
    <t>Апельсины - 2432гр (Африка)</t>
  </si>
  <si>
    <t>Мороженое - 2 упаковки</t>
  </si>
  <si>
    <t>Сэндвичи - 10 шт</t>
  </si>
  <si>
    <t>Мороженое шоколадное - 1шт</t>
  </si>
  <si>
    <t>Апельсины (турция) - 2304гр</t>
  </si>
  <si>
    <t>Яблоки -1822гр</t>
  </si>
  <si>
    <t>Подвесная табличка "Open/Closed"</t>
  </si>
  <si>
    <t>Напиток 18+ 250мл - 7шт</t>
  </si>
  <si>
    <t>Гель для мыть посуды - 1шт</t>
  </si>
  <si>
    <t>Adrenaline 250мл - 10шт</t>
  </si>
  <si>
    <t>Вода без газа 0.5 мл - 24шт</t>
  </si>
  <si>
    <t xml:space="preserve">Доставка наклеек </t>
  </si>
  <si>
    <t>Орешки со сгущенкой - 180шт</t>
  </si>
  <si>
    <t>Свет - 1962кВт</t>
  </si>
  <si>
    <t>Взбитые сливки - 12шт</t>
  </si>
  <si>
    <t>Сэндвичи - 15шт</t>
  </si>
  <si>
    <t>Яблоки - 2638гр</t>
  </si>
  <si>
    <t>Опалата за R-Keeper за июль</t>
  </si>
  <si>
    <t>Опалата за интернет и телефон</t>
  </si>
  <si>
    <t>Оплата за аренду</t>
  </si>
  <si>
    <t>Общая сумма инкассации ц14: 12 996 000 сум за июль</t>
  </si>
  <si>
    <t>Прибыль нал: 30 660 000 сум  + 12 004 000 сум (сняла доп со счета  03.08) = 42 664 000 сум</t>
  </si>
  <si>
    <t>от 04.08.2023</t>
  </si>
  <si>
    <t>Имбирь - 394гр</t>
  </si>
  <si>
    <t>Апельсины (турция) - 2896гр</t>
  </si>
  <si>
    <t>Сироп банановый - 1426гр</t>
  </si>
  <si>
    <t>Сироп лесной орех - 1413гр</t>
  </si>
  <si>
    <t>Шоколадный топпинг - 1067гр</t>
  </si>
  <si>
    <t>Апельсины - 4068гр</t>
  </si>
  <si>
    <t>Трубочки черные коктельные - 1 упаковка</t>
  </si>
  <si>
    <t>Бананы - 1798гр</t>
  </si>
  <si>
    <t>Лимоны - 1434гр</t>
  </si>
  <si>
    <t>Мята - 4пучка</t>
  </si>
  <si>
    <t>Сироп Мохито - 4450гр</t>
  </si>
  <si>
    <t>Апельсины (Африка) - 6040гр</t>
  </si>
  <si>
    <t>Апельсины - 2730гр</t>
  </si>
  <si>
    <t>Вода с газом 0.5мл - 24шт</t>
  </si>
  <si>
    <t>Апельсины - 2275гр</t>
  </si>
  <si>
    <t>Крышки для сингл стаканчиков - 100шт + доставка</t>
  </si>
  <si>
    <t>Яблоки - 2478гр</t>
  </si>
  <si>
    <t>Апельсины - 3322гр</t>
  </si>
  <si>
    <t>Сироп карамель - 1410гр</t>
  </si>
  <si>
    <t>Сироп гренадин - 1427гр</t>
  </si>
  <si>
    <t>Сироп манго - 1405гр</t>
  </si>
  <si>
    <t>Печенье овсяное - 20шт</t>
  </si>
  <si>
    <t>Апельсины - 3498гр</t>
  </si>
  <si>
    <t>Стаканчики 250 мл - 400шт</t>
  </si>
  <si>
    <t>Лимоны - 1092гр</t>
  </si>
  <si>
    <t>Апельсины - 3938гр</t>
  </si>
  <si>
    <t>Бананы - 1210гр</t>
  </si>
  <si>
    <t>Жидкие сливки -</t>
  </si>
  <si>
    <t>Стажер Сабина за 4 смены</t>
  </si>
  <si>
    <t>Топинг клубника - 1307гр</t>
  </si>
  <si>
    <t>Сироп соленая карамель - 1340гр</t>
  </si>
  <si>
    <t>Аdrenaline 250мл - 12шт</t>
  </si>
  <si>
    <t>Протеиновые батончики - 14шт</t>
  </si>
  <si>
    <t xml:space="preserve">Молоко кокосовое - 3л </t>
  </si>
  <si>
    <t>Вода без газа 0,5мл - 24шт</t>
  </si>
  <si>
    <t>Яблоки - 3622гр</t>
  </si>
  <si>
    <t>Апельсины - 4326гр</t>
  </si>
  <si>
    <t>Топинг облепиха - 1333гр</t>
  </si>
  <si>
    <t>Сэндвичи - 14шт</t>
  </si>
  <si>
    <t xml:space="preserve">Сабина </t>
  </si>
  <si>
    <t>Апельсины - 3550гр</t>
  </si>
  <si>
    <t>Чай черный - 200шт</t>
  </si>
  <si>
    <t>Яблоки - 3162гр</t>
  </si>
  <si>
    <t>Бананы - 1692гр</t>
  </si>
  <si>
    <t>Сироп Ваниль - 1400гр</t>
  </si>
  <si>
    <t>Сабина</t>
  </si>
  <si>
    <t>Мороженое - 2 кг</t>
  </si>
  <si>
    <t>Лимоны - 1126гр</t>
  </si>
  <si>
    <t>Орешки со сгущенкой - 162шт</t>
  </si>
  <si>
    <t>Сэндивичи - 10шт</t>
  </si>
  <si>
    <t>Черные коктельные трубочки - 2 уп</t>
  </si>
  <si>
    <t xml:space="preserve">Сироп Гренадин </t>
  </si>
  <si>
    <t>Сэндивичи - 7шт</t>
  </si>
  <si>
    <t>Яблоки - 3844гр</t>
  </si>
  <si>
    <t>Бананы - 1622гр</t>
  </si>
  <si>
    <t>Лимоны - 1580гр</t>
  </si>
  <si>
    <t>Апельсины - 3932гр</t>
  </si>
  <si>
    <t>Шоколадное печенье - 12шт</t>
  </si>
  <si>
    <t>Яблоки - 3562гр</t>
  </si>
  <si>
    <t>Мята -3 пучка</t>
  </si>
  <si>
    <t>Апельсины - 7424гр</t>
  </si>
  <si>
    <t>Пахлава - 7шт</t>
  </si>
  <si>
    <t>Батончики фитнес - 32шт</t>
  </si>
  <si>
    <t>Бумажные салфетки - 12 упаковок</t>
  </si>
  <si>
    <t>Апельсины - 8026гр</t>
  </si>
  <si>
    <t>Топинг ягодный - 1338гр</t>
  </si>
  <si>
    <t>Зарплата Кристине за 10 смен (на карту 968 000)</t>
  </si>
  <si>
    <t>Зарплата Сабине за 8 смен</t>
  </si>
  <si>
    <t>Таблетки для фильтров</t>
  </si>
  <si>
    <t>Печенье шоколадное - 25шт</t>
  </si>
  <si>
    <t>2 смена</t>
  </si>
  <si>
    <t>3 смена</t>
  </si>
  <si>
    <t xml:space="preserve">1 смена </t>
  </si>
  <si>
    <t>Бананы - 1148гр</t>
  </si>
  <si>
    <t>Сироп гренадин - 1428гр</t>
  </si>
  <si>
    <t>Сироп кокосовый - 1392гр</t>
  </si>
  <si>
    <t>Сироп карамель - 1175гр</t>
  </si>
  <si>
    <t>1 смена</t>
  </si>
  <si>
    <t>Сахар - 8 кг</t>
  </si>
  <si>
    <t>Лимоны - 1096гр</t>
  </si>
  <si>
    <t>Вода без газа 0.5мл - 48шт</t>
  </si>
  <si>
    <t>Adrenaline 250 мл - 10шт</t>
  </si>
  <si>
    <t>Фитнес батончики - 48шт</t>
  </si>
  <si>
    <t>3 сменв</t>
  </si>
  <si>
    <t>Свет - 1552 кВт</t>
  </si>
  <si>
    <t>Сироп малина - 1310гр</t>
  </si>
  <si>
    <t>Сироп клубника - 1324гр</t>
  </si>
  <si>
    <t>Имбирь - 320гр</t>
  </si>
  <si>
    <t>Яблоки - 3098гр</t>
  </si>
  <si>
    <t>Апельсины - 3808гр</t>
  </si>
  <si>
    <t>Сироп мохито - 1936гр</t>
  </si>
  <si>
    <t>Сироп топинамбур - 1936гр</t>
  </si>
  <si>
    <t>Сироп шоколад - 1940гр</t>
  </si>
  <si>
    <t>Сироп маракуйя - 1406гр</t>
  </si>
  <si>
    <t>Жидкие сливки - 2 блока</t>
  </si>
  <si>
    <t xml:space="preserve">2 смена </t>
  </si>
  <si>
    <t>Зарплата Барчиной за 13 смен (на карту 968 000 сум)</t>
  </si>
  <si>
    <t>Общая сумма инкассации ц14: 7 774 000 сум за август</t>
  </si>
  <si>
    <t>от 05.08.2023</t>
  </si>
  <si>
    <t>Аренда за август</t>
  </si>
  <si>
    <t>Интернет и телефона</t>
  </si>
  <si>
    <t>Стикеры на стаканы - 20 000 шт</t>
  </si>
  <si>
    <t xml:space="preserve">Американский какао </t>
  </si>
  <si>
    <t xml:space="preserve">Прибыль нал: 31 332 000 сум + 8 226 000 сум (доп сняла со счета 05.08)  = 39 558 000 сум </t>
  </si>
  <si>
    <t>Бананы - 1300гр</t>
  </si>
  <si>
    <t>Сэндвичи - 11шт</t>
  </si>
  <si>
    <t>Кофейные маленькие трубочки - 10уп</t>
  </si>
  <si>
    <t>Коктельные трубочки - 1 уп</t>
  </si>
  <si>
    <t>Ремонт мотора от холодильника</t>
  </si>
  <si>
    <t>Апельсины - 4188гр</t>
  </si>
  <si>
    <t>Топинг облепиха - 1334гр</t>
  </si>
  <si>
    <t xml:space="preserve">3 смена </t>
  </si>
  <si>
    <t>Лимоны- 1641гр</t>
  </si>
  <si>
    <t>Апельсины - 4274гр</t>
  </si>
  <si>
    <t>Coca-cola 330мл - 16шт</t>
  </si>
  <si>
    <t>Средство для мытья посуда - 850гр</t>
  </si>
  <si>
    <t>Жидкое мыло - 1л</t>
  </si>
  <si>
    <t>Десерты - 11шт</t>
  </si>
  <si>
    <t>Сироп карамель - 1403гр</t>
  </si>
  <si>
    <t>Сироп ваниль - 1412гр</t>
  </si>
  <si>
    <t xml:space="preserve">Химия для кофемашины </t>
  </si>
  <si>
    <t>Бананы - 1452гр</t>
  </si>
  <si>
    <t>Жидкие сливки - 1кг</t>
  </si>
  <si>
    <t xml:space="preserve">Зарплата Сабине за 15 смен </t>
  </si>
  <si>
    <t>Зарплата Барчиной за 15 смен</t>
  </si>
  <si>
    <t>Зарплата Кристине за 15 смен - (официально на карту 968 000 сум)</t>
  </si>
  <si>
    <t>жидкие сливки - 12757гр</t>
  </si>
  <si>
    <t>апельсины - 2858гр</t>
  </si>
  <si>
    <t>Лимоны - 1164гр</t>
  </si>
  <si>
    <t>Имбирь - 300гр</t>
  </si>
  <si>
    <t>Яблоки - 2082гр</t>
  </si>
  <si>
    <t>сироп кокос - 1404гр</t>
  </si>
  <si>
    <t>сироп манго - 1401гр</t>
  </si>
  <si>
    <t>сироп банан - 1421гр</t>
  </si>
  <si>
    <t>пакеты для мусора - 5 уп</t>
  </si>
  <si>
    <t>яблоки - 3290гр</t>
  </si>
  <si>
    <t>апельсины - 3984гр</t>
  </si>
  <si>
    <t>терминальные чеки</t>
  </si>
  <si>
    <t>сендвичи - 10шт</t>
  </si>
  <si>
    <t>контейнеры для орешков - 100шт</t>
  </si>
  <si>
    <t>жидкие сливки - 12736гр</t>
  </si>
  <si>
    <t>топинг ягодный - 1336гр</t>
  </si>
  <si>
    <t>топинг клубника - 1336гр</t>
  </si>
  <si>
    <t>сэндвичи - 15шт</t>
  </si>
  <si>
    <t>орехи со сгущенкой - 180шт</t>
  </si>
  <si>
    <t>бананы - 1100гр</t>
  </si>
  <si>
    <t xml:space="preserve">сах заменитель </t>
  </si>
  <si>
    <t>лимоны - 948гр</t>
  </si>
  <si>
    <t>имбирь - 322гр</t>
  </si>
  <si>
    <t>выходной</t>
  </si>
  <si>
    <t>бананы - 1560гр</t>
  </si>
  <si>
    <t>мята 4 пуч</t>
  </si>
  <si>
    <t>Топинг облепиха - 2607гр</t>
  </si>
  <si>
    <t>Сироп ваниль - 1413гр</t>
  </si>
  <si>
    <t>Топинг голубика - 1079гр</t>
  </si>
  <si>
    <t>Сироп смородина - 1400гр</t>
  </si>
  <si>
    <t>Яблоки - 2670гр</t>
  </si>
  <si>
    <t>Апельсины - 3624гр</t>
  </si>
  <si>
    <t>Coca-cola 330мл - 7шт</t>
  </si>
  <si>
    <t>Батончики Фитнес - 16шт</t>
  </si>
  <si>
    <t>жидкие сливки - 12722гр</t>
  </si>
  <si>
    <t xml:space="preserve">выпечка куликов </t>
  </si>
  <si>
    <t>терминальные чеки - 5шт</t>
  </si>
  <si>
    <t>мед - 379гр</t>
  </si>
  <si>
    <t>Итальянский какао - 2 кг</t>
  </si>
  <si>
    <t>Зарплата Сабине за 9 смен</t>
  </si>
  <si>
    <t>Зарплата Кристине за 7 смен (+ пол месяца зп за отчеты и закуп - 2 250 000 сум)</t>
  </si>
  <si>
    <t>Общая сумма инкассации ц14:  11 475 000 сум за сентябрь</t>
  </si>
  <si>
    <t>от 05.10.2023</t>
  </si>
  <si>
    <t>Оплата за R-Keeper за сентябрь</t>
  </si>
  <si>
    <t>Аренда за сентябрь</t>
  </si>
  <si>
    <t>Прибыль нал: 34 742 000 сум  + 14 525 000 сум (доп сняла со счета 05.10) = 49 267 000 сум</t>
  </si>
  <si>
    <t xml:space="preserve">Алексей </t>
  </si>
  <si>
    <t xml:space="preserve">Ульяна </t>
  </si>
  <si>
    <t>Дмитрий</t>
  </si>
  <si>
    <t>курс на 01.05.2023 = 12 000 сум</t>
  </si>
  <si>
    <t>Ульяна 70%</t>
  </si>
  <si>
    <t>Алексей 30%</t>
  </si>
  <si>
    <t>яблоки - 1840гр</t>
  </si>
  <si>
    <t>аванс Барчиной</t>
  </si>
  <si>
    <t>яблоки - 2364гр</t>
  </si>
  <si>
    <t>бананы - 1496гр</t>
  </si>
  <si>
    <t>лимоны - 1582гр</t>
  </si>
  <si>
    <t>аапельсины - 4750гр</t>
  </si>
  <si>
    <t>имбирь - 262гр</t>
  </si>
  <si>
    <t>трубочки черные - 1уп</t>
  </si>
  <si>
    <t>red bull - 10шт</t>
  </si>
  <si>
    <t>тряпка для пола</t>
  </si>
  <si>
    <t xml:space="preserve">ср-во для посуды </t>
  </si>
  <si>
    <t>салфетки сухие - 4уп</t>
  </si>
  <si>
    <t>тряпочки</t>
  </si>
  <si>
    <t>терминальные чеки мал - 32шт</t>
  </si>
  <si>
    <t>терминальные чеки большие - 8шт</t>
  </si>
  <si>
    <t>ручка - 1шт</t>
  </si>
  <si>
    <t>сахар - 3кг</t>
  </si>
  <si>
    <t>сэндвичи - 13шт</t>
  </si>
  <si>
    <t>яблоки - 3026гр</t>
  </si>
  <si>
    <t>апельсины - 4588гр</t>
  </si>
  <si>
    <t>Сироп гренадин - 1425гр</t>
  </si>
  <si>
    <t>Топинг малина - 1320гр</t>
  </si>
  <si>
    <t>Топинг яогдный - 1308гр</t>
  </si>
  <si>
    <t>Чай черный - 300шт</t>
  </si>
  <si>
    <t>Вода без газа 0.5мл - 36шт</t>
  </si>
  <si>
    <t>Сухие салфетки - 20 упаковок</t>
  </si>
  <si>
    <t>Пакеты для мусора - 70шт</t>
  </si>
  <si>
    <t>Мед 470гр</t>
  </si>
  <si>
    <t>жидкие сливки - 12820гр</t>
  </si>
  <si>
    <t>батончики фисташка - 30шт</t>
  </si>
  <si>
    <t>батончики кокос - 30шт</t>
  </si>
  <si>
    <t>сэндвичи - 14шт</t>
  </si>
  <si>
    <t>имбирь - 254гр</t>
  </si>
  <si>
    <t>лимоны - 1152гр</t>
  </si>
  <si>
    <t>топинг ягодный - 1314гр</t>
  </si>
  <si>
    <t>топинг клубничный - 1327гр</t>
  </si>
  <si>
    <t>кокосовый сироп - 1401гр</t>
  </si>
  <si>
    <t xml:space="preserve">Зарлата Барчиной за 13 смен (-  на карту 968 000 сум) </t>
  </si>
  <si>
    <t>Зарплата Кристине за 9 смен</t>
  </si>
  <si>
    <t>Зарплата Сабине за 4 смены</t>
  </si>
  <si>
    <t>Зарплата Камиле (стажер) за 8 смен</t>
  </si>
  <si>
    <t>Батончики Кокос - 30шт</t>
  </si>
  <si>
    <t>Батончики Фисташка и карамель - 30шт</t>
  </si>
  <si>
    <t>Батончики молочные - 40шт</t>
  </si>
  <si>
    <t>Яблоки - 2918гр</t>
  </si>
  <si>
    <t>Корица - 80гр</t>
  </si>
  <si>
    <t>Сироп карамельный - 1406гр</t>
  </si>
  <si>
    <t>Сироп ванильный - 1405гр</t>
  </si>
  <si>
    <t>Жидкие сливки - 12734гр</t>
  </si>
  <si>
    <t>Орешки со сгущенкой - 10упаковок</t>
  </si>
  <si>
    <t>Coca-cola 330 мл - 8шт</t>
  </si>
  <si>
    <t>Red Bull 250мл - 8шт</t>
  </si>
  <si>
    <t>Вода без газа 0.5мл - 22шт</t>
  </si>
  <si>
    <t>Лимоны - 1466гр</t>
  </si>
  <si>
    <t>Яблоки - 3052гр</t>
  </si>
  <si>
    <t>Апельсины - 4496гр</t>
  </si>
  <si>
    <t>Яблоки - 3640гр</t>
  </si>
  <si>
    <t>Бананы - 1236гр</t>
  </si>
  <si>
    <t>Батончики Молочные - 40шт</t>
  </si>
  <si>
    <t>ягодный топинг - 1322гр</t>
  </si>
  <si>
    <t>облепиха топинг - 1319гр</t>
  </si>
  <si>
    <t>овсяные печеньки - 20шт</t>
  </si>
  <si>
    <t>яблоки - 2826гр</t>
  </si>
  <si>
    <t>апельсины - 4228гр</t>
  </si>
  <si>
    <t>Чай зеленый - 100шт</t>
  </si>
  <si>
    <t>Лимоны - 1312гр</t>
  </si>
  <si>
    <t>Зарплата Кристине за 14 смен (- официально 968 000 - 1 200 000 на карту) + 2 250 000 зп за пол месяца за отчеты и закуп</t>
  </si>
  <si>
    <t>Сироп манго - 1395гр</t>
  </si>
  <si>
    <t>Сироп маракуйя - 1398гр</t>
  </si>
  <si>
    <t>Коктельные черные трубочки - 1уп</t>
  </si>
  <si>
    <t>Свет за 1291квт</t>
  </si>
  <si>
    <t xml:space="preserve">Оплата за Хумо терминал </t>
  </si>
  <si>
    <t>Аренда за октябрь</t>
  </si>
  <si>
    <t>Оплата за R-keeper за октябрь</t>
  </si>
  <si>
    <t>Общая сумма инкассации ц14: 13 654 000 сум за октябрь</t>
  </si>
  <si>
    <t>курс на 01.10.2023 = 12 200сум</t>
  </si>
  <si>
    <t>Алексей 50%</t>
  </si>
  <si>
    <t>Ульяна 50%</t>
  </si>
  <si>
    <t>от 04.11.2023</t>
  </si>
  <si>
    <t>Американский какао</t>
  </si>
  <si>
    <t>Покупка кондиционера и установка (долг Дмитрий 437 дол)</t>
  </si>
  <si>
    <t>Бонусы Кристине и Барчиной по 500 000 сум</t>
  </si>
  <si>
    <t xml:space="preserve">Прибыль нал: 36 321 000 сум + 1 346 000 сум (доп сняла со счета 03.11) = 37 667 000 сум </t>
  </si>
  <si>
    <t>Вода без газа 0.5мл - 12шт</t>
  </si>
  <si>
    <t>Напиток 18+ 250мл - 10шт</t>
  </si>
  <si>
    <t>Апельсины - 3214гр</t>
  </si>
  <si>
    <t>Средство для мытья посуды - 1шт</t>
  </si>
  <si>
    <t>Топинг Малика - 1304гр</t>
  </si>
  <si>
    <t>Топинг клубника - 1342гр</t>
  </si>
  <si>
    <t>Кофейные кофейные - 25шт</t>
  </si>
  <si>
    <t>Брауни - 14шт</t>
  </si>
  <si>
    <t>Овсяное песенье - 20шт</t>
  </si>
  <si>
    <t>Сироп карамель - 1409гр</t>
  </si>
  <si>
    <t>Замена мотора для ледогенератора</t>
  </si>
  <si>
    <t>Доставка крафт-пакетов</t>
  </si>
  <si>
    <t>Бананы - 1362гр</t>
  </si>
  <si>
    <t>Апельсины - 3240гр</t>
  </si>
  <si>
    <t>Майолика 18 дол*3м2</t>
  </si>
  <si>
    <t>Клей - 10кг</t>
  </si>
  <si>
    <t>Фуга - 1кг</t>
  </si>
  <si>
    <t xml:space="preserve">Работа кафельщика </t>
  </si>
  <si>
    <t>Свет - 1310кВт</t>
  </si>
  <si>
    <t>Апельсины - 4010гр</t>
  </si>
  <si>
    <t>Мята - 4 пучка.</t>
  </si>
  <si>
    <t>Имбирь - 254гр</t>
  </si>
  <si>
    <t>Кофейные трубочки - 10упаковок</t>
  </si>
  <si>
    <t>Коктельные трубочки - 1 упаковка</t>
  </si>
  <si>
    <t>Чайные ложечки - 100шт</t>
  </si>
  <si>
    <t>Сироп клюква - 1931гр</t>
  </si>
  <si>
    <t>Сироп шоколад - 1919гр</t>
  </si>
  <si>
    <t>Итальянский какао - 2 банки</t>
  </si>
  <si>
    <t>Десерты - 12 шт</t>
  </si>
  <si>
    <t>Яблоки - 3070гр</t>
  </si>
  <si>
    <t>Сироп смородина - 1366гр</t>
  </si>
  <si>
    <t>Топинг голубика - 947гр</t>
  </si>
  <si>
    <t>08.11.2023</t>
  </si>
  <si>
    <t>Топинг ягодный - 2598гр</t>
  </si>
  <si>
    <t>Лимоны - 1406гр</t>
  </si>
  <si>
    <t>Сироп Манго - 1404гр</t>
  </si>
  <si>
    <t>Сироп карамель - 1419гр</t>
  </si>
  <si>
    <t>Сироп маракуйя - 1422гр</t>
  </si>
  <si>
    <t>Сироп ваниль - 1408гр</t>
  </si>
  <si>
    <t>Сироп кокос - 1407гр</t>
  </si>
  <si>
    <t>Химия для кофемашины - 1 шт</t>
  </si>
  <si>
    <t>Чай черный - 2 упаковки</t>
  </si>
  <si>
    <t>Средство для стекол - 1шт</t>
  </si>
  <si>
    <t>Мята - 3 шт</t>
  </si>
  <si>
    <t>Апельсины - 3180гр</t>
  </si>
  <si>
    <t>Лимоны - 1584гр</t>
  </si>
  <si>
    <t>Бумажное полотенце - 1шт</t>
  </si>
  <si>
    <t>Имбирь - 256гр</t>
  </si>
  <si>
    <t>Зарплата Кристине за 13 смен (- официально на карту 968000 сум)</t>
  </si>
  <si>
    <t>Доставка химии</t>
  </si>
  <si>
    <t>Топинг облепиха - 2038гр</t>
  </si>
  <si>
    <t>Зарплата Барчиной за 13 смен (- официально на карту 968000 сум)</t>
  </si>
  <si>
    <t>Стажер (5 смен)</t>
  </si>
  <si>
    <t>Яблоки - 3688гр</t>
  </si>
  <si>
    <t>Бананы - 1374гр</t>
  </si>
  <si>
    <t>Губки для посуды - 3шт</t>
  </si>
  <si>
    <t>Апельсины - 4124гр</t>
  </si>
  <si>
    <t>Имбирь - 306гр</t>
  </si>
  <si>
    <t>Шоколадное печенье - 24шт</t>
  </si>
  <si>
    <t>Сироп фундук - 1407гр</t>
  </si>
  <si>
    <t>Сироп роза - 1401гр</t>
  </si>
  <si>
    <t>18+ 250мл - 6шт</t>
  </si>
  <si>
    <t>Пакеты для мусора - 49шт</t>
  </si>
  <si>
    <t>Лимоны - 1700гр</t>
  </si>
  <si>
    <t>Топинг малина - 1044гр</t>
  </si>
  <si>
    <t>Топинг ягодный - 1024гр</t>
  </si>
  <si>
    <t>Сироп голубика - 1066гр</t>
  </si>
  <si>
    <t>Апельсины - 3750гр</t>
  </si>
  <si>
    <t>Чеки для R-keeper - 3шт</t>
  </si>
  <si>
    <t>Апельсины - 3862гр</t>
  </si>
  <si>
    <t>Выходный!</t>
  </si>
  <si>
    <t>Чеки для R-keeper - 8шт</t>
  </si>
  <si>
    <t>Кахолдеры - 150шт</t>
  </si>
  <si>
    <t>Кофейные трубочки - 5 упаковок</t>
  </si>
  <si>
    <t>Жидкие сливки - 6338гр</t>
  </si>
  <si>
    <t>Имбирь - 396гр</t>
  </si>
  <si>
    <t>Апельсины - 3740гр</t>
  </si>
  <si>
    <t>Лимоны - 1342гр</t>
  </si>
  <si>
    <t>Бананы - 976гр</t>
  </si>
  <si>
    <t>Зарплата Брачиной за 13 смен</t>
  </si>
  <si>
    <t>Мед - 350гр</t>
  </si>
  <si>
    <t>Зарплата Сивилией за 9 смен</t>
  </si>
  <si>
    <t>Сироп вишня - 1410гр</t>
  </si>
  <si>
    <t>Сироп манго - 1418гр</t>
  </si>
  <si>
    <t>Сироп смородина - 1432гр</t>
  </si>
  <si>
    <t>Сироп маракуйя - 1416гр</t>
  </si>
  <si>
    <t>Муравейники - 10шт</t>
  </si>
  <si>
    <t>Оплата за R-keeper за ноябрь</t>
  </si>
  <si>
    <t>Аренда за ноябрь</t>
  </si>
  <si>
    <t>от 07.12.2023</t>
  </si>
  <si>
    <t>Общая сумма инкассации ц14:  13 328 000 сум за ноябрь</t>
  </si>
  <si>
    <t>Прибыль нал: 41 102 000 сум  + 1 672 000 сум (доп сняла 05.12) = 42 774 000 сум</t>
  </si>
  <si>
    <t>курс на 01.11.2023 = 12 330 сум</t>
  </si>
  <si>
    <t>01\12\2023</t>
  </si>
  <si>
    <t>02\12\2023</t>
  </si>
  <si>
    <t>03\12\2023</t>
  </si>
  <si>
    <t>Сивилия</t>
  </si>
  <si>
    <t>04\12\2023</t>
  </si>
  <si>
    <t>Сироп ваниль - 1404гр</t>
  </si>
  <si>
    <t>Топинг ягодный - 1055гр</t>
  </si>
  <si>
    <t>Топинг облепиха - 1052гр</t>
  </si>
  <si>
    <t>Свет - 1268кВт</t>
  </si>
  <si>
    <t>05\12\2023</t>
  </si>
  <si>
    <t>Яблоки - 2288гр</t>
  </si>
  <si>
    <t>Апельсины - 2760гр</t>
  </si>
  <si>
    <t>Лимоны - 1108гр</t>
  </si>
  <si>
    <t>Сахар 8 кг</t>
  </si>
  <si>
    <t>06\12\2023</t>
  </si>
  <si>
    <t>Контейнеры для орешков - 50шт</t>
  </si>
  <si>
    <t>Топинг малина - 1089гр</t>
  </si>
  <si>
    <t>Топинг клубника - 1069гр</t>
  </si>
  <si>
    <t>Сироп карамель - 1412гр</t>
  </si>
  <si>
    <t>Сироп личи - 1407гр</t>
  </si>
  <si>
    <t>Сироп кокос - 1402гр</t>
  </si>
  <si>
    <t>07\12\2023</t>
  </si>
  <si>
    <t>Лимоны - 1098гр</t>
  </si>
  <si>
    <t>Апельсины - 2712гр</t>
  </si>
  <si>
    <t>08\12\2023</t>
  </si>
  <si>
    <t>чай</t>
  </si>
  <si>
    <t>овсянные печеньки - 25шт</t>
  </si>
  <si>
    <t>11\12\2023</t>
  </si>
  <si>
    <t xml:space="preserve">Силивия </t>
  </si>
  <si>
    <t>Напиток 18+ 250мл - 8шт</t>
  </si>
  <si>
    <t>Апельсины-2890 гр</t>
  </si>
  <si>
    <t>Имбирь - 350гр</t>
  </si>
  <si>
    <t>Мед -500гр</t>
  </si>
  <si>
    <t>Coca- cola 330 мл - 10шт</t>
  </si>
  <si>
    <t>топинг облепиха -1064гр</t>
  </si>
  <si>
    <t>топинг ягодный - 1055гр</t>
  </si>
  <si>
    <t>сироп манго - 1406гр</t>
  </si>
  <si>
    <t>сухие салфетки - 2уп</t>
  </si>
  <si>
    <t>лимоны - 1116гр</t>
  </si>
  <si>
    <t>соль 2кг</t>
  </si>
  <si>
    <t>салфетки - 1уп</t>
  </si>
  <si>
    <t>доставка карточек для R-keeper</t>
  </si>
  <si>
    <t>горячий шоколад - 2к</t>
  </si>
  <si>
    <t>чай черный - 30шт</t>
  </si>
  <si>
    <t>рисунки на стеклах</t>
  </si>
  <si>
    <t>веточка рябины - 4шт</t>
  </si>
  <si>
    <t>блестящие игрушки - 2уп</t>
  </si>
  <si>
    <t xml:space="preserve">день  </t>
  </si>
  <si>
    <t xml:space="preserve">Зарплата Сивилии за 13 смен </t>
  </si>
  <si>
    <t>еловая веточка - 1шт</t>
  </si>
  <si>
    <t>Зарплата Барчиной за 12 смен (- 968 000 сум офиц на карту)</t>
  </si>
  <si>
    <t>герлянда</t>
  </si>
  <si>
    <t>крючки - 1уп</t>
  </si>
  <si>
    <t>свечи на батарейках - 4шт</t>
  </si>
  <si>
    <t>Лимоны - 1396гр</t>
  </si>
  <si>
    <t>Имбирь - 372гр</t>
  </si>
  <si>
    <t>Сухие салфетки - 2 упаковки</t>
  </si>
  <si>
    <t>Средство для мытья посуды - 1л</t>
  </si>
  <si>
    <t>Кофейные трубочки - 10шт</t>
  </si>
  <si>
    <t>ягодный топинг - 2141гр</t>
  </si>
  <si>
    <t>сэндвичи - 16шт</t>
  </si>
  <si>
    <t>губки для посуды</t>
  </si>
  <si>
    <t>ВЫХОДНОЙ!!!!!</t>
  </si>
  <si>
    <t>апельсины - 2472гр</t>
  </si>
  <si>
    <t>имбирь - 382гр</t>
  </si>
  <si>
    <t>пакеты маленькие - 1уп</t>
  </si>
  <si>
    <t>тряпочки - 1 уп</t>
  </si>
  <si>
    <t>батарейки для свечей - 12шт</t>
  </si>
  <si>
    <t>топинг облепиха - 1067гр</t>
  </si>
  <si>
    <t>топинг малина - 1074гр</t>
  </si>
  <si>
    <t>топинг клубника - 1046гр</t>
  </si>
  <si>
    <t>сироп вишня - 1407гр</t>
  </si>
  <si>
    <t>сироп лесной орех - 1411гр</t>
  </si>
  <si>
    <t>сироп ваниль - 1406гр</t>
  </si>
  <si>
    <t>топинг голубика - 1079гр</t>
  </si>
  <si>
    <t>доставка крафт пакеты</t>
  </si>
  <si>
    <t>салфетки сухие - 24уп</t>
  </si>
  <si>
    <t>лимоны - 1700гр</t>
  </si>
  <si>
    <t>яблоки - 2230гр</t>
  </si>
  <si>
    <t>апельсины - 2655гр</t>
  </si>
  <si>
    <t>пакеты для мусора - 10уп</t>
  </si>
  <si>
    <t>red bull - 6шт</t>
  </si>
  <si>
    <t>брауни - 15шт</t>
  </si>
  <si>
    <t>шоколадне печеньки - 25шт</t>
  </si>
  <si>
    <t>апельсины - 2916гр</t>
  </si>
  <si>
    <t>яблоки - 1898гр</t>
  </si>
  <si>
    <t>бананы - 1212гр</t>
  </si>
  <si>
    <t>мед  - 801гр</t>
  </si>
  <si>
    <t>имбирь - 354гр</t>
  </si>
  <si>
    <t>топинг облепиха - 2131гр</t>
  </si>
  <si>
    <t>сироп кокос - 1346гр</t>
  </si>
  <si>
    <t>сироп  карамель - 1414гр</t>
  </si>
  <si>
    <t>сироп маракуйя - 1413гр</t>
  </si>
  <si>
    <t>лимоны - 1988гр</t>
  </si>
  <si>
    <t>яблоки- 2120гр</t>
  </si>
  <si>
    <t>яблоки - 2320гр</t>
  </si>
  <si>
    <t>апельсины - 3165гр</t>
  </si>
  <si>
    <t>трубочки цветные - 1000шт</t>
  </si>
  <si>
    <t>кофейные трубочки - 5уп</t>
  </si>
  <si>
    <t>топинг ягодный - 2135гр</t>
  </si>
  <si>
    <t>сироп  смородина - 1427гр</t>
  </si>
  <si>
    <t>сироп манго - 1399гр</t>
  </si>
  <si>
    <t>апельсины - 2255гр</t>
  </si>
  <si>
    <t>лимоны - 1920гр</t>
  </si>
  <si>
    <t>овсянные  печеньки - 20шт</t>
  </si>
  <si>
    <t>шоколадные печеньки - 24шт</t>
  </si>
  <si>
    <t>топинг малина - 2165гр</t>
  </si>
  <si>
    <t>кофейные орешки - 30шт</t>
  </si>
  <si>
    <t>имбирь - 360гр</t>
  </si>
  <si>
    <t>апельсины - 3402гр</t>
  </si>
  <si>
    <t>Зарплата Сивилии за 14 смен</t>
  </si>
  <si>
    <t xml:space="preserve">Зарплата Кристине за 3 смен + за пол месяца зп закуп и отчеты (- офиц. 968 000 сум) </t>
  </si>
  <si>
    <t xml:space="preserve">Подарки на Новый год </t>
  </si>
  <si>
    <t>от 03.01.2024</t>
  </si>
  <si>
    <t>Общая сумма инкассации ц14:  3 365 000 сум за декабрь</t>
  </si>
  <si>
    <t>Печать меню</t>
  </si>
  <si>
    <t xml:space="preserve">Дизайн  и разработка меню </t>
  </si>
  <si>
    <t>Зарплата бухгалтеру + премия</t>
  </si>
  <si>
    <t>Опалата за R-keeper за декабрь</t>
  </si>
  <si>
    <t>Американский какао (3 166 000  долг Дима на январь)</t>
  </si>
  <si>
    <t xml:space="preserve">Прибыль нал:  44 901 000 сум  + 16 635 000 сум (доп сняла 08.01) = 61 536 000 сум </t>
  </si>
  <si>
    <t>яблоки - 2176гр</t>
  </si>
  <si>
    <t>химия для машинки</t>
  </si>
  <si>
    <t>оасянные печеньки - 20шт</t>
  </si>
  <si>
    <t>шоколадные печеньки- 25шт</t>
  </si>
  <si>
    <t>весы</t>
  </si>
  <si>
    <t>сироп ваниль - 1418гр</t>
  </si>
  <si>
    <t>сухие салфетки - 32шт</t>
  </si>
  <si>
    <t>мед - 1032гр</t>
  </si>
  <si>
    <t>яблоки - 2520гр</t>
  </si>
  <si>
    <t>имбирь - 445гр</t>
  </si>
  <si>
    <t>тряпочки - 1уп</t>
  </si>
  <si>
    <t>coca cola - 10шт</t>
  </si>
  <si>
    <t>вода 0,5 - 4шт</t>
  </si>
  <si>
    <t>дессерты - 15шт</t>
  </si>
  <si>
    <t>топинг облепиха - 2116гр</t>
  </si>
  <si>
    <t>не оплатила Сивилия</t>
  </si>
  <si>
    <t>лимоны - 1802гр</t>
  </si>
  <si>
    <t>гель от засоров</t>
  </si>
  <si>
    <t>чековая лента мал - 32шт</t>
  </si>
  <si>
    <t>чековая лента бол - 12шт</t>
  </si>
  <si>
    <t>горячий шоколад - 3387гр</t>
  </si>
  <si>
    <t>доставка бэйджики</t>
  </si>
  <si>
    <t>яблоки - 2324гр</t>
  </si>
  <si>
    <t>апельсины - 3436гр</t>
  </si>
  <si>
    <t>бэйджики - 3шт</t>
  </si>
  <si>
    <t>ремонт блэндера</t>
  </si>
  <si>
    <t>сироп вишня - 1413гр</t>
  </si>
  <si>
    <t>сироп кокос - 1400гр</t>
  </si>
  <si>
    <t>сироп карамель - 1414гр</t>
  </si>
  <si>
    <t>замена резинки на кофемашине</t>
  </si>
  <si>
    <t>яблоки - 1942гр</t>
  </si>
  <si>
    <t>апельсины - 3кг</t>
  </si>
  <si>
    <t>муравейники -- 10уп</t>
  </si>
  <si>
    <t>Топинг клубника - 1048гр</t>
  </si>
  <si>
    <t>Топинг ягодный - 1057гр</t>
  </si>
  <si>
    <t>Выходной!!</t>
  </si>
  <si>
    <t xml:space="preserve">Зарплата Кристине за 8 смен </t>
  </si>
  <si>
    <t>Зарплата Барчиной за 12 смен (- офиц на карту 968 000 сум)</t>
  </si>
  <si>
    <t>Имбирь - 364гр</t>
  </si>
  <si>
    <t>Яблоки - 2122гр</t>
  </si>
  <si>
    <t>Апельсины - 2328гр</t>
  </si>
  <si>
    <t>Десерты - 15шт</t>
  </si>
  <si>
    <t>Лимоны - 1306гр</t>
  </si>
  <si>
    <t>Яблоки - 2062гр</t>
  </si>
  <si>
    <t>Итальянский какао - 2248гр (2 банки)</t>
  </si>
  <si>
    <t xml:space="preserve">Муравейники - 10 упаковок </t>
  </si>
  <si>
    <t>Ягодный топинг - 2128гр</t>
  </si>
  <si>
    <t>Сироп манго - 1404гр</t>
  </si>
  <si>
    <t>Сироп фундук - 1408гр</t>
  </si>
  <si>
    <t>Сироп гренадин - 1407гр</t>
  </si>
  <si>
    <t>Имбирь - 430гр</t>
  </si>
  <si>
    <t>Бананы - 1174гр</t>
  </si>
  <si>
    <t>Апельсины - 2910гр</t>
  </si>
  <si>
    <t>Шоколадное печенье- 25шт</t>
  </si>
  <si>
    <t>Мед - 1000гр</t>
  </si>
  <si>
    <t>Red Bull 250 мл - 12шт</t>
  </si>
  <si>
    <t>Яблоки - 3486гр</t>
  </si>
  <si>
    <t>Лимоны - 1284гр</t>
  </si>
  <si>
    <t>Апельсины - 3084гр</t>
  </si>
  <si>
    <t>Сироп маракуйя - 1418гр</t>
  </si>
  <si>
    <t>Сироп шоколадный - 1899гр</t>
  </si>
  <si>
    <t>Топинг шоколадный - 708гр</t>
  </si>
  <si>
    <t>Апельсины - 3708гр</t>
  </si>
  <si>
    <t>Топинг облепиха - 1042гр</t>
  </si>
  <si>
    <t xml:space="preserve"> Сироп клубника - 1039гр</t>
  </si>
  <si>
    <t>Сироп мохито - 1933гр</t>
  </si>
  <si>
    <t>Опатала за интернет</t>
  </si>
  <si>
    <t>Сироп клюква - 1942гр</t>
  </si>
  <si>
    <t>Сироп ваниль - 1411гр</t>
  </si>
  <si>
    <t>Сироп карамель - 1413гр</t>
  </si>
  <si>
    <t>Апельсины - 4028гр</t>
  </si>
  <si>
    <t>Имбирь - 466гр</t>
  </si>
  <si>
    <t>Лимоны - 1818гр</t>
  </si>
  <si>
    <t>Зарплата Кристине за 14 смен (- офиц зп 968 000 сум) + пол месяца отчеты и закуп</t>
  </si>
  <si>
    <t>Апельсины - 3184гр</t>
  </si>
  <si>
    <t>Зарплата стажер (Пакиза) за 4 смены</t>
  </si>
  <si>
    <t>Десерты - 13шт</t>
  </si>
  <si>
    <t>чай черный - 400шт</t>
  </si>
  <si>
    <t xml:space="preserve">Свет - 1944квт </t>
  </si>
  <si>
    <t>Общая сумма инкассации ц14: 11 653 000 сум за Январь</t>
  </si>
  <si>
    <t>курс на 01.01.2024 = 12 400сум</t>
  </si>
  <si>
    <t>Прибыль нал:  44 501 000 сум  + 8 347 000 сум (доп сняла 06.02) = 52 848 000 сум</t>
  </si>
  <si>
    <t>от 09.02.2024</t>
  </si>
  <si>
    <t xml:space="preserve">Опалата за R-keeper за январь </t>
  </si>
  <si>
    <t>Коктельные черные трубочки - 1 упаковка</t>
  </si>
  <si>
    <t>Лесные ягоды - 2138гр</t>
  </si>
  <si>
    <t xml:space="preserve">Шоколадное печенье - 25шт </t>
  </si>
  <si>
    <t>Кристина\Пакиза</t>
  </si>
  <si>
    <t>Чай черный - 100шт</t>
  </si>
  <si>
    <t>апельсины - 1730гр</t>
  </si>
  <si>
    <t>лимоны - 1872гр</t>
  </si>
  <si>
    <t>яблоки - 2334гр</t>
  </si>
  <si>
    <t>Пакиза</t>
  </si>
  <si>
    <t>имбирь - 464гр</t>
  </si>
  <si>
    <t>перчатки - 1шт</t>
  </si>
  <si>
    <t>бананы - 1266гр</t>
  </si>
  <si>
    <t>апельсины - 3536гр</t>
  </si>
  <si>
    <t>сироп малина - 1085гр</t>
  </si>
  <si>
    <t>топинг облепиха - 1026гр</t>
  </si>
  <si>
    <t>Кофе  - 15кг</t>
  </si>
  <si>
    <t>сироп смородина - 1430гр</t>
  </si>
  <si>
    <t>сухие салфетки - 24шт</t>
  </si>
  <si>
    <t>чай черный - 500шт</t>
  </si>
  <si>
    <t xml:space="preserve">тряпочки </t>
  </si>
  <si>
    <t>вода с газом - 4шт</t>
  </si>
  <si>
    <t>лимоны - 1390гр</t>
  </si>
  <si>
    <t>топинг облепиха - 1065гр</t>
  </si>
  <si>
    <t>топинг лесгые ягоды - 1069гр</t>
  </si>
  <si>
    <t xml:space="preserve">Зарплата Пакизе за 10 смен + 3 смены (стажер) </t>
  </si>
  <si>
    <t>апельсины - 4346гр</t>
  </si>
  <si>
    <t>Зарплата Барчиной за 13 смен (на карту 1050 000 сум)</t>
  </si>
  <si>
    <t>яблоки - 1692гр</t>
  </si>
  <si>
    <t>Зарплата Сардору за 4 смен (стажер) + 1 смена</t>
  </si>
  <si>
    <t>апельсины - 4692гр</t>
  </si>
  <si>
    <t>яблоки - 2718гр</t>
  </si>
  <si>
    <t>сироп банан - 1398гр</t>
  </si>
  <si>
    <t>топинг голубика - 1076гр</t>
  </si>
  <si>
    <t>апельсины - 2522гр</t>
  </si>
  <si>
    <t>лимоны - 2160гр</t>
  </si>
  <si>
    <t>сах.зам</t>
  </si>
  <si>
    <t>бананы - 970гр</t>
  </si>
  <si>
    <t>имбирь - 250гр</t>
  </si>
  <si>
    <t>Муравейники - 10 упаковки</t>
  </si>
  <si>
    <t>апельсины - 2202гр</t>
  </si>
  <si>
    <t>жидкие сливки - 12562гр</t>
  </si>
  <si>
    <t>топинг ягодный, малина, клубника - 3093гр</t>
  </si>
  <si>
    <t>апельсины - 4594гр</t>
  </si>
  <si>
    <t>яблоки - 2550гр</t>
  </si>
  <si>
    <t>доставка химия</t>
  </si>
  <si>
    <t>терминальные чеки- 48шт</t>
  </si>
  <si>
    <t>чеки для R keeper - 8шт</t>
  </si>
  <si>
    <t xml:space="preserve">доставка сингл стаканчиков </t>
  </si>
  <si>
    <t>капхолдер - 300шт</t>
  </si>
  <si>
    <t>облепиха топинг - 1062гр</t>
  </si>
  <si>
    <t>ягодный топинг - 1052гр</t>
  </si>
  <si>
    <t>мята - 6пуч</t>
  </si>
  <si>
    <t>имбирь - 314гр</t>
  </si>
  <si>
    <t>лимоны - 1522гр</t>
  </si>
  <si>
    <t>апельсины - 4512гр</t>
  </si>
  <si>
    <t>сироп роза - 1398гр</t>
  </si>
  <si>
    <t>сироп ваниль - 1408гр</t>
  </si>
  <si>
    <t>сироп лесной орех - 1406гр</t>
  </si>
  <si>
    <t>шоколадные печеньки - 22шт</t>
  </si>
  <si>
    <t>Зарплата Пакизе за 11 смен</t>
  </si>
  <si>
    <t>Зарплата Кристине за 1 смену (- офиц зп 1 050 000 сум) + месяц отчеты и закуп</t>
  </si>
  <si>
    <t>Напиток 18+ 250 мл - 12шт</t>
  </si>
  <si>
    <t>Свет - 1905 кВт</t>
  </si>
  <si>
    <t>Общая сумма инкассации ц14: 5 578 000 сум за февраль</t>
  </si>
  <si>
    <t>Оплата за R-keeper за февраль</t>
  </si>
  <si>
    <t xml:space="preserve">Наклейки на стаканчики </t>
  </si>
  <si>
    <t>Оплата за аренду за февраль</t>
  </si>
  <si>
    <t xml:space="preserve">Прибыль нал: 42 822 000 сум  + 9 422 000 сум (доп сняла 06.03) = 52 244 000 сум </t>
  </si>
  <si>
    <t>от 07.03.2024</t>
  </si>
  <si>
    <t>топинг клубника - 1037гр</t>
  </si>
  <si>
    <t>топинг малина - 1068гр</t>
  </si>
  <si>
    <t>апельсины - 3892гр</t>
  </si>
  <si>
    <t>яблоки - 2088гр</t>
  </si>
  <si>
    <t>топинг лесные ягоды - 2131гр</t>
  </si>
  <si>
    <t>Свет - 1678 кВт</t>
  </si>
  <si>
    <t>кофейные  орешки - 10шт</t>
  </si>
  <si>
    <t>мята - 5шт</t>
  </si>
  <si>
    <t>апельсины - 3202гр</t>
  </si>
  <si>
    <t>Стажер Лиля</t>
  </si>
  <si>
    <t>кофейные трубочки  - 10уп</t>
  </si>
  <si>
    <t>бумажные салфетки - 40шт</t>
  </si>
  <si>
    <t>Red bull - 10шт</t>
  </si>
  <si>
    <t>пакеты для мусора - 12уп</t>
  </si>
  <si>
    <t>вода с газом - 3шт</t>
  </si>
  <si>
    <t>сироп смородина - 1350гр</t>
  </si>
  <si>
    <t>сироп манго - 1412гр</t>
  </si>
  <si>
    <t>сироп маракуйя - 1417гр</t>
  </si>
  <si>
    <t>сироп кокос - 1399гр</t>
  </si>
  <si>
    <t>апельсины - 3438гр</t>
  </si>
  <si>
    <t>лимоны - 2050гр</t>
  </si>
  <si>
    <t>топинг малина - 1065гр</t>
  </si>
  <si>
    <t>топинг облепиха - 1064гр</t>
  </si>
  <si>
    <t>кофейные орешки  -- 25шт</t>
  </si>
  <si>
    <t>аванс Пакиза</t>
  </si>
  <si>
    <t>бананы - 996гр</t>
  </si>
  <si>
    <t>апельсины - 4292гр</t>
  </si>
  <si>
    <t>ремонт соковыжималки</t>
  </si>
  <si>
    <t>бананы - 1166гр</t>
  </si>
  <si>
    <t>апельсины - 5034гр</t>
  </si>
  <si>
    <t>десерт -- 13шт</t>
  </si>
  <si>
    <t>Зарплата Пакизе за 12 смен</t>
  </si>
  <si>
    <t xml:space="preserve">Зарплата Барчиной за 14 смен (офиц на карту 1050 000 сум) </t>
  </si>
  <si>
    <t xml:space="preserve">Зарплата Кристине за 3 смены </t>
  </si>
  <si>
    <t>Зарплата стажеру за 2 смен</t>
  </si>
  <si>
    <t>шоколадные печеньки - 30шт</t>
  </si>
  <si>
    <t>орешки со сгущенкой  - 180шт</t>
  </si>
  <si>
    <t>имбирь  - 560гр</t>
  </si>
  <si>
    <t>лимоны - 1846гр</t>
  </si>
  <si>
    <t>топинг облепиха - 1062гр</t>
  </si>
  <si>
    <t>топинг малина - 1072гр</t>
  </si>
  <si>
    <t>топинг клубника - 1047гр</t>
  </si>
  <si>
    <t>топинг ягодный - 1066гр</t>
  </si>
  <si>
    <t>резинки для денег - 3уп</t>
  </si>
  <si>
    <t>Red Bull - 10шт</t>
  </si>
  <si>
    <t>Барчиной  Салават</t>
  </si>
  <si>
    <t>апельсины - 2842гр</t>
  </si>
  <si>
    <t>яблоки - 1752гр</t>
  </si>
  <si>
    <t>бананы - 1438гр</t>
  </si>
  <si>
    <t>сироп карамель - 1419гр</t>
  </si>
  <si>
    <t>сироп ваниль - 1412гр</t>
  </si>
  <si>
    <t>Барчиной Салават</t>
  </si>
  <si>
    <t>яблоки - 3310гр</t>
  </si>
  <si>
    <t>лимоны - 2114гр</t>
  </si>
  <si>
    <t>апельсин - 3110гр</t>
  </si>
  <si>
    <t>овсянные печеньки  - 20шт</t>
  </si>
  <si>
    <t>Кристина Салават</t>
  </si>
  <si>
    <t>батарейки для весов</t>
  </si>
  <si>
    <t>сингл - 401шт</t>
  </si>
  <si>
    <t>капхолдноы - 150шт</t>
  </si>
  <si>
    <t>муровейники - 10шт</t>
  </si>
  <si>
    <t>яблоки - 2680гр</t>
  </si>
  <si>
    <t>апельсины - 4140гр</t>
  </si>
  <si>
    <t>десерты - 9шт</t>
  </si>
  <si>
    <t>апельсины - 4634гр</t>
  </si>
  <si>
    <t>яблоки - 2684гр</t>
  </si>
  <si>
    <t>сендвич - 10шт</t>
  </si>
  <si>
    <t>апельсины - 3844гр</t>
  </si>
  <si>
    <t>сироп кокос - 1402гр</t>
  </si>
  <si>
    <t>сироп гранат- 1378гр</t>
  </si>
  <si>
    <t>топинг смородина - 1068гр</t>
  </si>
  <si>
    <t>топинг ягодный - 2138гр</t>
  </si>
  <si>
    <t>топинг малина - 1069гр</t>
  </si>
  <si>
    <t>апельсины - 4776гр</t>
  </si>
  <si>
    <t>лимоны - 2358гр</t>
  </si>
  <si>
    <t>яблоки - 2804гр</t>
  </si>
  <si>
    <t>горячий шоколад - 2банки</t>
  </si>
  <si>
    <t>бумажные полотенцы</t>
  </si>
  <si>
    <t>Зарплата Пакизе за 13 смен</t>
  </si>
  <si>
    <t>Салават</t>
  </si>
  <si>
    <t>Зарплата Салавату за 13 смен</t>
  </si>
  <si>
    <t>Зарплата Кристине за 2 смены (- офиц зп 1 050 000 сум) + месяц отчеты и закуп</t>
  </si>
  <si>
    <t>имбирь - 302гр</t>
  </si>
  <si>
    <t>Общая сумма инкассации ц14: 5 186 000 сум за март</t>
  </si>
  <si>
    <t xml:space="preserve">Оплата за интернет и телефон </t>
  </si>
  <si>
    <t>Крафт пакеты - 500шт</t>
  </si>
  <si>
    <t>Прибыль нал:  35 853 000 сум  + 11 814 000 сум (доп сняла 05.04) = 47 667 000 сум</t>
  </si>
  <si>
    <t>от 09.04.2024</t>
  </si>
  <si>
    <t>конверты - 10шт</t>
  </si>
  <si>
    <t>Свет - 1354 кВт</t>
  </si>
  <si>
    <t>мята - 9пуч</t>
  </si>
  <si>
    <t>имбирь - 260гр</t>
  </si>
  <si>
    <t>бананы - 1056гр</t>
  </si>
  <si>
    <t>апельсины - 3868гр</t>
  </si>
  <si>
    <t>вода - 48шт</t>
  </si>
  <si>
    <t>Coca cola - 10шт</t>
  </si>
  <si>
    <t>яблоки - 2745гр</t>
  </si>
  <si>
    <t>яблоки - 3220гр</t>
  </si>
  <si>
    <t>апельсины - 5718гр</t>
  </si>
  <si>
    <t>апельсины - 4528гр</t>
  </si>
  <si>
    <t>топинг клубника</t>
  </si>
  <si>
    <t>топинг облепиха</t>
  </si>
  <si>
    <t>лимоны - 1796гр</t>
  </si>
  <si>
    <t>киви - 244гр</t>
  </si>
  <si>
    <t>сэндвияи - 14шт</t>
  </si>
  <si>
    <t>сироп лесной орех - 1409гр</t>
  </si>
  <si>
    <t>сироп банан - 1403гр</t>
  </si>
  <si>
    <t>черные трубочки - 2уп</t>
  </si>
  <si>
    <t>орешки со сгущенкой - 160шт</t>
  </si>
  <si>
    <t>бананы - 1078гр</t>
  </si>
  <si>
    <t>десерт - 15шт</t>
  </si>
  <si>
    <t>сироп личи - 1402гр</t>
  </si>
  <si>
    <t>сироп манго - 1396гр</t>
  </si>
  <si>
    <t>сироп карамель - 1417гр</t>
  </si>
  <si>
    <t>овсянные печеньки- 20шт</t>
  </si>
  <si>
    <t>апельсины - 5320гр</t>
  </si>
  <si>
    <t>яблоки - 2292гр</t>
  </si>
  <si>
    <t>доставка химия для машинки</t>
  </si>
  <si>
    <t>химия для машинки - 2шт</t>
  </si>
  <si>
    <t>бумажные полотенца - 4уп</t>
  </si>
  <si>
    <t>ср-во для стекол - 2шт</t>
  </si>
  <si>
    <t>лимоны - 2008гр</t>
  </si>
  <si>
    <t>яблоки - 2462гр</t>
  </si>
  <si>
    <t>апельсины - 4148гр</t>
  </si>
  <si>
    <t>стикеры - 2уп</t>
  </si>
  <si>
    <t>ручка</t>
  </si>
  <si>
    <t>топинг облепиха - 1048гр</t>
  </si>
  <si>
    <t>топинг ягодный - 2123гр</t>
  </si>
  <si>
    <t>сироп мохито -3850гр</t>
  </si>
  <si>
    <t>ср-во для стекл</t>
  </si>
  <si>
    <t>апельсины - 4466гр</t>
  </si>
  <si>
    <t>яблоки - 4104гр</t>
  </si>
  <si>
    <t>Саша</t>
  </si>
  <si>
    <t>апельсин  - 4096гр</t>
  </si>
  <si>
    <t>бананы - 1468гр</t>
  </si>
  <si>
    <t>лимоны - 2426гр</t>
  </si>
  <si>
    <t>салфетки - 24шт</t>
  </si>
  <si>
    <t>вода 0,5 - 33шт</t>
  </si>
  <si>
    <t>Зарплата Барчиной за 14 смен (- офиц зп 1 050 000 сум)</t>
  </si>
  <si>
    <t>Зарплата Салавату за 14 смен</t>
  </si>
  <si>
    <t>Зарплата Саше за 11 смен + 4 смены (стажер)</t>
  </si>
  <si>
    <t>18+ - 10шт</t>
  </si>
  <si>
    <t>Coca Cola - 10шт</t>
  </si>
  <si>
    <t>шоколалные печеньки - 25шт</t>
  </si>
  <si>
    <t>десерт - 14шт</t>
  </si>
  <si>
    <t>сироп смородина - 1433гр</t>
  </si>
  <si>
    <t>переделка меню</t>
  </si>
  <si>
    <t>апельсин - 5292гр</t>
  </si>
  <si>
    <t>сэндвиичи - 15шт</t>
  </si>
  <si>
    <t>яблоки - 2432гр</t>
  </si>
  <si>
    <t>имбирь - 304гр</t>
  </si>
  <si>
    <t>мята - 6шт</t>
  </si>
  <si>
    <t>яблоки - 2226гр</t>
  </si>
  <si>
    <t>сироп ваниль - 1415гр</t>
  </si>
  <si>
    <t>сироп гренадин - 1395гр</t>
  </si>
  <si>
    <t>бананы - 1432гр</t>
  </si>
  <si>
    <t>яблоки - 3430гр</t>
  </si>
  <si>
    <t>апельсины - 4526гр</t>
  </si>
  <si>
    <t>чеки для терминала - 32шт</t>
  </si>
  <si>
    <t>чеки для R - Keeper - 8шт</t>
  </si>
  <si>
    <t>ложки и вилки - 6шт</t>
  </si>
  <si>
    <t>лимоны - 1884гр</t>
  </si>
  <si>
    <t>апельсины - 4880гр</t>
  </si>
  <si>
    <t>такси Салават</t>
  </si>
  <si>
    <t>яблоки - 2686гр</t>
  </si>
  <si>
    <t>яблоки - 2214гр</t>
  </si>
  <si>
    <t>мята - 3шт</t>
  </si>
  <si>
    <t>апельсины - 4832гр</t>
  </si>
  <si>
    <t>топинг малина - 1066гр</t>
  </si>
  <si>
    <t>коврик для посуды - 2шт</t>
  </si>
  <si>
    <t>салфетки сухие - 24шт</t>
  </si>
  <si>
    <t>шоколадный топинг - 701гр</t>
  </si>
  <si>
    <t>шоколадный сироп - 1896гр</t>
  </si>
  <si>
    <t>апельсины - 3922гр</t>
  </si>
  <si>
    <t>бананы - 1458гр</t>
  </si>
  <si>
    <t>яблоки - 2460гр</t>
  </si>
  <si>
    <t>газ напиток сада</t>
  </si>
  <si>
    <t>напиток fresh</t>
  </si>
  <si>
    <t>горячий шоколад - 3банки</t>
  </si>
  <si>
    <t>сироп маракуйя - 1416гр</t>
  </si>
  <si>
    <t>сироп гренадин - 1424гр</t>
  </si>
  <si>
    <t>яблоки - 2734гр</t>
  </si>
  <si>
    <t>мед 350гр</t>
  </si>
  <si>
    <t>апельсины - 4906гр</t>
  </si>
  <si>
    <t xml:space="preserve">удобрение для цветов </t>
  </si>
  <si>
    <t>Зарплата Саше за 14 смен</t>
  </si>
  <si>
    <t>доставка цветов</t>
  </si>
  <si>
    <t>Зарплата Пакизе за 5 смен</t>
  </si>
  <si>
    <t xml:space="preserve">лопатка </t>
  </si>
  <si>
    <t>Зарплата Салавату за 5 смен</t>
  </si>
  <si>
    <t>Зарплата Кристине за отчеты и закуп (Ганга и Буз Базар) - 1 050 000 офиц зп</t>
  </si>
  <si>
    <t>топинг облепиха - 1050гр</t>
  </si>
  <si>
    <t>сироп соленая карамель - 1059гр</t>
  </si>
  <si>
    <t xml:space="preserve">Барчиной / Салават </t>
  </si>
  <si>
    <t>Барчиной / Салават</t>
  </si>
  <si>
    <t>Барчиной / Саша</t>
  </si>
  <si>
    <t>Пакиза / Салават</t>
  </si>
  <si>
    <t>Барчиной /  Саша</t>
  </si>
  <si>
    <t xml:space="preserve">Пакиза / Салават </t>
  </si>
  <si>
    <t xml:space="preserve">Барчинной / Саша </t>
  </si>
  <si>
    <t>Барчиной  /Саша</t>
  </si>
  <si>
    <t>Пакиза / Барчиной</t>
  </si>
  <si>
    <t>Салават / Саша</t>
  </si>
  <si>
    <t>Барчиной / Пакиза</t>
  </si>
  <si>
    <t>заправка баллона колд брю</t>
  </si>
  <si>
    <t>Саша / Салават</t>
  </si>
  <si>
    <t>мята - 3пучка</t>
  </si>
  <si>
    <t>Цветы - 4 корзины (100шт)</t>
  </si>
  <si>
    <t>Общая сумма инкассации ц14: 13 519 000 сум за апрель</t>
  </si>
  <si>
    <t xml:space="preserve">Оплата за R-keeper </t>
  </si>
  <si>
    <t>Аренда за апрель</t>
  </si>
  <si>
    <t xml:space="preserve">Прибыль нал: 34 311000 сум + 6 481 000 сум (доп сняла 03.05) = 40 792 000 сум </t>
  </si>
  <si>
    <t>от 13.05.2024</t>
  </si>
  <si>
    <t xml:space="preserve"> CLICK/PAY ME</t>
  </si>
  <si>
    <t>апельсины - 5084гр</t>
  </si>
  <si>
    <t>лимоны - 890гр</t>
  </si>
  <si>
    <t>чашка для кофе</t>
  </si>
  <si>
    <t>вода 0,5- 36шт</t>
  </si>
  <si>
    <t>лимоны - 1580гр</t>
  </si>
  <si>
    <t>бананы - 1784гр</t>
  </si>
  <si>
    <t>апельсины - 3662гр</t>
  </si>
  <si>
    <t>пакеты - 1уп</t>
  </si>
  <si>
    <t>яблоки - 2755гр</t>
  </si>
  <si>
    <t>лампочки - 4шт</t>
  </si>
  <si>
    <t>Свет - 1441 кВт</t>
  </si>
  <si>
    <t>имбирь - 372гр</t>
  </si>
  <si>
    <t>яблоки - 2054гр</t>
  </si>
  <si>
    <t>апельсины - 4330гр</t>
  </si>
  <si>
    <t>ягодный топинг - 2091гр</t>
  </si>
  <si>
    <t>сироп банан - 1400гр</t>
  </si>
  <si>
    <t>овсянные печеньки- 15шт</t>
  </si>
  <si>
    <t>муравейники - 5уп</t>
  </si>
  <si>
    <t>яблоки - 2282гр</t>
  </si>
  <si>
    <t>Coca - Cola - 10шт</t>
  </si>
  <si>
    <t>лимоны - 1965гр</t>
  </si>
  <si>
    <t>бананы - 1065гр</t>
  </si>
  <si>
    <t>топинг малина - 1057гр</t>
  </si>
  <si>
    <t>топинг клубника - 1044гр</t>
  </si>
  <si>
    <t>сироп ваниль - 1407гр</t>
  </si>
  <si>
    <t>десерты - 7шт</t>
  </si>
  <si>
    <t>Апельсины - 3272гр</t>
  </si>
  <si>
    <t>Сухие салфетки - 1 упаковка</t>
  </si>
  <si>
    <t>сироп фисташка</t>
  </si>
  <si>
    <t>сироп мохито</t>
  </si>
  <si>
    <t>бананы - 1276гр</t>
  </si>
  <si>
    <t>сироп вишня - 1411гр</t>
  </si>
  <si>
    <t>сироп карамель - 1418гр</t>
  </si>
  <si>
    <t xml:space="preserve">доставка молоко </t>
  </si>
  <si>
    <t xml:space="preserve">весы большие </t>
  </si>
  <si>
    <t>батаоейки - 4шт</t>
  </si>
  <si>
    <t>апельсины - 4096гр</t>
  </si>
  <si>
    <t>яблоки  - 2702гр</t>
  </si>
  <si>
    <t>трубочки черные - 2000шт</t>
  </si>
  <si>
    <t>контейнеры для орешкрв - 62шт</t>
  </si>
  <si>
    <t>лимоны - 1148гр</t>
  </si>
  <si>
    <t>печеньки - 30шт</t>
  </si>
  <si>
    <t>Зарплата Барчиной за 13 смен (- офиц зп 1 050 000 сум)</t>
  </si>
  <si>
    <t>апельсины - 4842гр</t>
  </si>
  <si>
    <t>Зарплата Саше за 12 смен</t>
  </si>
  <si>
    <t>бананы - 1500гр</t>
  </si>
  <si>
    <t xml:space="preserve">Зарплата Салавату за 3 смены </t>
  </si>
  <si>
    <t>сах заменитель - 1уп</t>
  </si>
  <si>
    <t>Зарплата Кристине за 1 смену</t>
  </si>
  <si>
    <t>яблоки - 3015гр</t>
  </si>
  <si>
    <t>вода с газом  - 12шт</t>
  </si>
  <si>
    <t>шоколадный топинг - 1410гр</t>
  </si>
  <si>
    <t>лимоны - 1204гр</t>
  </si>
  <si>
    <t>яблоки - 2498гр</t>
  </si>
  <si>
    <t>бананы - 1554гр</t>
  </si>
  <si>
    <t>апельсины - 5540гр</t>
  </si>
  <si>
    <t>имбирь - 180гр</t>
  </si>
  <si>
    <t>сироп банан - 1410гр</t>
  </si>
  <si>
    <t>сироп гренадин - 1425гр</t>
  </si>
  <si>
    <t>сироп кокос - 1400</t>
  </si>
  <si>
    <t>апельсины - 4936гр</t>
  </si>
  <si>
    <t>яблоки - 3148гр</t>
  </si>
  <si>
    <t>Кофе  - 10кг</t>
  </si>
  <si>
    <t>бананы - 1390гр</t>
  </si>
  <si>
    <t>взбитые сливки - 2шт</t>
  </si>
  <si>
    <t>салфетки сухие - 8шт</t>
  </si>
  <si>
    <t>топинг клубника - 1049гр</t>
  </si>
  <si>
    <t>топинг облепиха - 1055гр</t>
  </si>
  <si>
    <t>сгущенка</t>
  </si>
  <si>
    <t>кофейные  орешки - 25шт</t>
  </si>
  <si>
    <t xml:space="preserve">ложки одноразовые </t>
  </si>
  <si>
    <t>апельсины - 4016гр</t>
  </si>
  <si>
    <t>яблоки - 2790гр</t>
  </si>
  <si>
    <t xml:space="preserve">Салават </t>
  </si>
  <si>
    <t xml:space="preserve">Форма для сотрудников - 10 футболок </t>
  </si>
  <si>
    <t>Кофе - 9кг</t>
  </si>
  <si>
    <t>кап холдер - 300шт</t>
  </si>
  <si>
    <t>лимоны - 1666гр</t>
  </si>
  <si>
    <t>грейпфрукт -1466гр</t>
  </si>
  <si>
    <t>апельсины - 1042гр</t>
  </si>
  <si>
    <t>лимоны - 538гр</t>
  </si>
  <si>
    <t>бананы - 270гр</t>
  </si>
  <si>
    <t>лайм -2шт</t>
  </si>
  <si>
    <t>базилик</t>
  </si>
  <si>
    <t>лайм - 3шт</t>
  </si>
  <si>
    <t>апельсины - 4620гр</t>
  </si>
  <si>
    <t>сироп клюква - 1930гр</t>
  </si>
  <si>
    <t>сироп апельсин - 1930гр</t>
  </si>
  <si>
    <t>сироп бабл гам - 599гр</t>
  </si>
  <si>
    <t>сироп блю курасао - 590гр</t>
  </si>
  <si>
    <t>сироп лаванда - 1950гр</t>
  </si>
  <si>
    <t>бананы - 1224гр</t>
  </si>
  <si>
    <t>сэндвияи - 11шт</t>
  </si>
  <si>
    <t>апельсины - 4436гр</t>
  </si>
  <si>
    <t>яблоки - 1680гр</t>
  </si>
  <si>
    <t>Coca Cola - 12шт</t>
  </si>
  <si>
    <t>Red Bull - 12шт</t>
  </si>
  <si>
    <t>десерт - 2шт</t>
  </si>
  <si>
    <t>бананы - 1126гр</t>
  </si>
  <si>
    <t>апельсины - 4208гр</t>
  </si>
  <si>
    <t>мята 6пуч</t>
  </si>
  <si>
    <t>водонагреватель</t>
  </si>
  <si>
    <t>замена фильтра</t>
  </si>
  <si>
    <t>сироп гренадин - 1430гр</t>
  </si>
  <si>
    <t xml:space="preserve">Блэндер </t>
  </si>
  <si>
    <t>лимоны - 1906гр</t>
  </si>
  <si>
    <t>имбирь - 380гр</t>
  </si>
  <si>
    <t>Зарплата Дмитрию за 7 смен + 3 смены (стажер)</t>
  </si>
  <si>
    <t>апельсины - 3910гр</t>
  </si>
  <si>
    <t>Зарплата Саше за 13 смен (БУЗ БАЗАР - ДОЛГ!)</t>
  </si>
  <si>
    <t>яблоки - 2630гр</t>
  </si>
  <si>
    <t>Салават/ Дмитрий</t>
  </si>
  <si>
    <t>Кристина/ Дмитрий</t>
  </si>
  <si>
    <t>Салават /Дмитрий</t>
  </si>
  <si>
    <t>установка фильтров</t>
  </si>
  <si>
    <t>Оплата за R-keeper за май</t>
  </si>
  <si>
    <t>Общая сумма инкассации ц14: 25 073 000 сум за май</t>
  </si>
  <si>
    <t xml:space="preserve">Прибыль нал:  26 149 000 сум  + 14 927 000 сум (доп сняла 07.06) =  41 076 000 сум </t>
  </si>
  <si>
    <t>от 09.06.2024</t>
  </si>
  <si>
    <t>Апельсины - 4356гр</t>
  </si>
  <si>
    <t>Топинг лесные ягоды - 1065гр</t>
  </si>
  <si>
    <t>Топинг клубника - 1065гр</t>
  </si>
  <si>
    <t>Топинг облепиха - 1065гр</t>
  </si>
  <si>
    <t xml:space="preserve">Ремонт ледогенератора </t>
  </si>
  <si>
    <t>Апельсины - 3798гр</t>
  </si>
  <si>
    <t>Чизкейки - 25шт</t>
  </si>
  <si>
    <t>Яблоки - 2035гр</t>
  </si>
  <si>
    <t xml:space="preserve">Доставка крафт пакеты </t>
  </si>
  <si>
    <t>Орешки со сгущенкой - 160шт</t>
  </si>
  <si>
    <t>Апельсины - 4082гр</t>
  </si>
  <si>
    <t>Яблоки - 2412гр</t>
  </si>
  <si>
    <t>Бананы - 1266гр</t>
  </si>
  <si>
    <t>Вода с газом 0.5мл - 12шт</t>
  </si>
  <si>
    <t>сироп гренадин - 2794гр</t>
  </si>
  <si>
    <t>лайм - 5шт</t>
  </si>
  <si>
    <t>апельсины - 3962гр</t>
  </si>
  <si>
    <t>чизкейки - 25шт</t>
  </si>
  <si>
    <t>бананы - 984гр</t>
  </si>
  <si>
    <t>яблоки - 1368гр</t>
  </si>
  <si>
    <t>забрала налоговая</t>
  </si>
  <si>
    <t>тряпочки - 4шт</t>
  </si>
  <si>
    <t>апельсины - 4586гр</t>
  </si>
  <si>
    <t>морковь - 960гр</t>
  </si>
  <si>
    <t>лимоны - 3шт</t>
  </si>
  <si>
    <t>киви - 3шт</t>
  </si>
  <si>
    <t>райхон - 2шт</t>
  </si>
  <si>
    <t>одноразовые ложки</t>
  </si>
  <si>
    <t>апельсины - 4284гр</t>
  </si>
  <si>
    <t>ремонт свет</t>
  </si>
  <si>
    <t>яблоки - 2112гр</t>
  </si>
  <si>
    <t>бананы - 1114гр</t>
  </si>
  <si>
    <t>сироп банан - 1410</t>
  </si>
  <si>
    <t>сироп смородина - 1433</t>
  </si>
  <si>
    <t>сироп манго - 1396</t>
  </si>
  <si>
    <t>доставка штампики</t>
  </si>
  <si>
    <t>мороженое - 0,5гр</t>
  </si>
  <si>
    <t xml:space="preserve">шпинат </t>
  </si>
  <si>
    <t>морковь - 974гр</t>
  </si>
  <si>
    <t>яблоки - 2854гр</t>
  </si>
  <si>
    <t>лимоны - 724гр</t>
  </si>
  <si>
    <t>Зарплата Барчиной за 12 смен (- офиц зп 1 050 000 сум)</t>
  </si>
  <si>
    <t>Зарплата Салавату за 12смен</t>
  </si>
  <si>
    <t>Зарплата Кристине за 4смены</t>
  </si>
  <si>
    <t>Микрофоны для съемок</t>
  </si>
  <si>
    <t xml:space="preserve">Лампа для съемок </t>
  </si>
  <si>
    <t>апельсины - 4360гр</t>
  </si>
  <si>
    <t>Red bull - 12шт</t>
  </si>
  <si>
    <t>яблоки - 1995гр</t>
  </si>
  <si>
    <t>апельсины - 3458гр</t>
  </si>
  <si>
    <t>сингл - 200шт</t>
  </si>
  <si>
    <t>Апельсины - 3320гр</t>
  </si>
  <si>
    <t>Яблоки - 2898гргр</t>
  </si>
  <si>
    <t>Лимоны -  690гр</t>
  </si>
  <si>
    <t>Шоколадное печенье - 35шт</t>
  </si>
  <si>
    <t>Овсяное печенье - 23шт</t>
  </si>
  <si>
    <t>Вода 0.5 с газом - 1шт</t>
  </si>
  <si>
    <t>Вода 0.5 без газа - 24шт</t>
  </si>
  <si>
    <t>Вода 0.5 с газом - 12 шт</t>
  </si>
  <si>
    <t>Морковь - 1415гр</t>
  </si>
  <si>
    <t>Бананы - 920гр</t>
  </si>
  <si>
    <t>Яблоки - 2785гр</t>
  </si>
  <si>
    <t>Апельсины - 3035гр</t>
  </si>
  <si>
    <t>Имбирь - 290гр</t>
  </si>
  <si>
    <t>Шоколадный сироп - 1410гр</t>
  </si>
  <si>
    <t>Мята - 6шт</t>
  </si>
  <si>
    <t>Райхон - 2 пучка</t>
  </si>
  <si>
    <t>Яблоки - 3250гр</t>
  </si>
  <si>
    <t>Бананы - 1150гр</t>
  </si>
  <si>
    <t>Лайм - 5шт</t>
  </si>
  <si>
    <t>Апельсины - 6635гр</t>
  </si>
  <si>
    <t>Лимоны - 684гр</t>
  </si>
  <si>
    <t>сироп клубника - 1080гр</t>
  </si>
  <si>
    <t>сироп карамель - 1860гр</t>
  </si>
  <si>
    <t>вода 0,5 - 23шт</t>
  </si>
  <si>
    <t>вода с газом - 29шт</t>
  </si>
  <si>
    <t>яблоки - 3128гр</t>
  </si>
  <si>
    <t>апельсины - 3602гр</t>
  </si>
  <si>
    <t>бананы - 958гр</t>
  </si>
  <si>
    <t xml:space="preserve">Доставка </t>
  </si>
  <si>
    <t>Апельсины - 2855гр</t>
  </si>
  <si>
    <t>Лимоны - 1450гр</t>
  </si>
  <si>
    <t>Барчиной\Умида</t>
  </si>
  <si>
    <t>Трубочки коктельные - 1 упаков</t>
  </si>
  <si>
    <t>Кофейные трубочки - 10 упк</t>
  </si>
  <si>
    <t>Стаканчики 250мл - 200шт</t>
  </si>
  <si>
    <t>Разноцветные трубочки - 1 упк</t>
  </si>
  <si>
    <t>Апельсины - 5272гр</t>
  </si>
  <si>
    <t>Итальянский какао - 3 банки</t>
  </si>
  <si>
    <t>Барчиной/Умида</t>
  </si>
  <si>
    <t>сироп гренадин - 2835гр</t>
  </si>
  <si>
    <t>сироп ваниль - 1410гр</t>
  </si>
  <si>
    <t>Яблоки - 3348гр</t>
  </si>
  <si>
    <t>Лайм - 4шт</t>
  </si>
  <si>
    <t>Зарплата Салавату за 12 смен</t>
  </si>
  <si>
    <t>Бананы - 1146гр</t>
  </si>
  <si>
    <t>Зарплата Кристине за 1 смену + пол месяца отчеты и закуп - офиц зп</t>
  </si>
  <si>
    <t>Морковь - 1062гр</t>
  </si>
  <si>
    <t>Зарплата Умиде за 3 смены</t>
  </si>
  <si>
    <t>Крафт пакеты</t>
  </si>
  <si>
    <t>Наклейки</t>
  </si>
  <si>
    <t>Изготовление штампов</t>
  </si>
  <si>
    <t>R-Keeper за июнь</t>
  </si>
  <si>
    <t>Аренда за июнь</t>
  </si>
  <si>
    <t xml:space="preserve">Налоговая </t>
  </si>
  <si>
    <t xml:space="preserve">Прибыль нал: 31 492 000 сум  + 9 400 000 сум (доп сняла 05.07) = 40 892 000 сум </t>
  </si>
  <si>
    <t>Общая сумма инкассации ц14: 15 600 000 сум за июнь</t>
  </si>
  <si>
    <t>от 05.07.2024</t>
  </si>
  <si>
    <t>Вода 0.5мл - 36шт</t>
  </si>
  <si>
    <t>апельсины - 4604гр</t>
  </si>
  <si>
    <t>яблоки- 3442гр</t>
  </si>
  <si>
    <t>морковь - 1430гр</t>
  </si>
  <si>
    <t>бананы - 1376гр</t>
  </si>
  <si>
    <t>киви - 804гр</t>
  </si>
  <si>
    <t>сироп мохито - 3859гр</t>
  </si>
  <si>
    <t>шоколадный топинг - 1083гр</t>
  </si>
  <si>
    <t>цветы доя декора - 9шт</t>
  </si>
  <si>
    <t xml:space="preserve">овощечистка </t>
  </si>
  <si>
    <t>подставка для выпечки</t>
  </si>
  <si>
    <t>яблоки - 1940гр</t>
  </si>
  <si>
    <t>апельсины - 2496гр</t>
  </si>
  <si>
    <t>лимоны - 347гр</t>
  </si>
  <si>
    <t>морковь - 1040гр</t>
  </si>
  <si>
    <t>базилик - 2пуч</t>
  </si>
  <si>
    <t>топинг клубника - 1079гр</t>
  </si>
  <si>
    <t>топинг лесные ягоды - 1066гр</t>
  </si>
  <si>
    <t>брауни - 8шт</t>
  </si>
  <si>
    <t>морковь - 1144гр</t>
  </si>
  <si>
    <t>яблоки - 3028гр</t>
  </si>
  <si>
    <t>лимоны - 1126гр</t>
  </si>
  <si>
    <t>апельсины - 3876гр</t>
  </si>
  <si>
    <t>пакеты для мусора - 4уп</t>
  </si>
  <si>
    <t>бананы - 2054гр</t>
  </si>
  <si>
    <t xml:space="preserve">Шпинат </t>
  </si>
  <si>
    <t>апельсины - 4476гр</t>
  </si>
  <si>
    <t>вода с газом 1л - 8шт</t>
  </si>
  <si>
    <t>сироп лесной орех - 1407гр</t>
  </si>
  <si>
    <t>муравейники - 9уп</t>
  </si>
  <si>
    <t>апельсины - 7645гр</t>
  </si>
  <si>
    <t>яблоки - 3400</t>
  </si>
  <si>
    <t>морковь - 1702гр</t>
  </si>
  <si>
    <t xml:space="preserve">ср-во для пола </t>
  </si>
  <si>
    <t xml:space="preserve">мыло жидкое </t>
  </si>
  <si>
    <t>бананы - 1834гр</t>
  </si>
  <si>
    <t>лимоны - 946гр</t>
  </si>
  <si>
    <t>апельсины - 4920гр</t>
  </si>
  <si>
    <t>яблоки - 2880гр</t>
  </si>
  <si>
    <t>морковь - 1608гр</t>
  </si>
  <si>
    <t>сухие салфетки - 10шт</t>
  </si>
  <si>
    <t>лимоны - 868гр</t>
  </si>
  <si>
    <t>мусорные пакеты - 5шт</t>
  </si>
  <si>
    <t>апельсины - 4966гр</t>
  </si>
  <si>
    <t>яблоки - 3086гр</t>
  </si>
  <si>
    <t>орешки со сгущенкой - 160</t>
  </si>
  <si>
    <t>апельсины - 6055гр</t>
  </si>
  <si>
    <t>морковь - 930гр</t>
  </si>
  <si>
    <t>киви - 412гр</t>
  </si>
  <si>
    <t>бананы - 2586гр</t>
  </si>
  <si>
    <t>яблоки - 2890гр</t>
  </si>
  <si>
    <t>топинг клубничный - 2166гр</t>
  </si>
  <si>
    <t>доставка соль для фильтра</t>
  </si>
  <si>
    <t>яблоки - 1310гр</t>
  </si>
  <si>
    <t>лимоны - 350гр</t>
  </si>
  <si>
    <t>апельсины - 3684гр</t>
  </si>
  <si>
    <t>Кристина/Умида</t>
  </si>
  <si>
    <t>сироп гренадин - 2790гр</t>
  </si>
  <si>
    <t>яблоки - 2974гр</t>
  </si>
  <si>
    <t>морковь - 1186гр</t>
  </si>
  <si>
    <t>лайм - 6шт</t>
  </si>
  <si>
    <t>доставка сиропы</t>
  </si>
  <si>
    <t>сироп мохито - 3867гр</t>
  </si>
  <si>
    <t>Зарплата Умида за 1 смену</t>
  </si>
  <si>
    <t>вода с газом - 23шт</t>
  </si>
  <si>
    <t>Зарплата Салават за 13смен</t>
  </si>
  <si>
    <t>Red Bull - 15шт</t>
  </si>
  <si>
    <t>Зарплата Кристина за 11 смен</t>
  </si>
  <si>
    <t>морковь - 1100гр</t>
  </si>
  <si>
    <t>лимоны - 672гр</t>
  </si>
  <si>
    <t>яблоки - 3262гр</t>
  </si>
  <si>
    <t>апельсины - 5062гр</t>
  </si>
  <si>
    <t>бананы - 2016гр</t>
  </si>
  <si>
    <t>яблоки - 2428гр</t>
  </si>
  <si>
    <t>морковь - 1296гр</t>
  </si>
  <si>
    <t>апельсины - 5608гр</t>
  </si>
  <si>
    <t>имбирь - 228гр</t>
  </si>
  <si>
    <t>кофейные орешки - -5шт</t>
  </si>
  <si>
    <t>апельсины - 4546гр</t>
  </si>
  <si>
    <t>бананы - 2254гр</t>
  </si>
  <si>
    <t>морковь - 1624гр</t>
  </si>
  <si>
    <t>яблоки - 3300гр</t>
  </si>
  <si>
    <t>ноччь</t>
  </si>
  <si>
    <t>Кристина      Сабина</t>
  </si>
  <si>
    <t>шоколадные печеньки - 18шт</t>
  </si>
  <si>
    <t>овсянные печеньки - 14шт</t>
  </si>
  <si>
    <t>сироп клюква - 1935гр</t>
  </si>
  <si>
    <t>сироп мята - 1928гр</t>
  </si>
  <si>
    <t>сироп маракуйя - 1935гр</t>
  </si>
  <si>
    <t>морковь - 656гр</t>
  </si>
  <si>
    <t>яблоки - 2714гр</t>
  </si>
  <si>
    <t>лимоны - 978гр</t>
  </si>
  <si>
    <t>апельсины - 4136гр</t>
  </si>
  <si>
    <t>ледогенератор ремонт</t>
  </si>
  <si>
    <t>морковь - 1524гр</t>
  </si>
  <si>
    <t>яблоки - 2976гр</t>
  </si>
  <si>
    <t>бааны - 1624гр</t>
  </si>
  <si>
    <t>апельсины - 5884гр</t>
  </si>
  <si>
    <t>мусорное ведро</t>
  </si>
  <si>
    <t>лимоны - 1168гр</t>
  </si>
  <si>
    <t>морковь - 806гр</t>
  </si>
  <si>
    <t>морковь - 1132гр</t>
  </si>
  <si>
    <t>апельсины - 2290гр</t>
  </si>
  <si>
    <t>яблоки - 1650гр</t>
  </si>
  <si>
    <t>апельсины - 4088гр</t>
  </si>
  <si>
    <t>морковь - 1582гр</t>
  </si>
  <si>
    <t>бананы - 2874гр</t>
  </si>
  <si>
    <t>Red Bull - 20шт</t>
  </si>
  <si>
    <t>доставка закуп</t>
  </si>
  <si>
    <t>орешки со сгущенкой - 10шт</t>
  </si>
  <si>
    <t>трубочки черные - 3уп</t>
  </si>
  <si>
    <t>трубочки бумажные - 1уп</t>
  </si>
  <si>
    <t>сироп банан - 1395гр</t>
  </si>
  <si>
    <t>сироп манго - 1435гр</t>
  </si>
  <si>
    <t>сироп кокос - 1407гр</t>
  </si>
  <si>
    <t>яблоки - 3422гр</t>
  </si>
  <si>
    <t>апельсины - 4438гр</t>
  </si>
  <si>
    <t>бананы - 1020гр</t>
  </si>
  <si>
    <t>апельсины - 4288гр</t>
  </si>
  <si>
    <t>окна</t>
  </si>
  <si>
    <t>Зарплата Салавату за 14 смен (- офиц зп 1 050 000 сум)</t>
  </si>
  <si>
    <t xml:space="preserve">Зарплата Сабине за 2 смены </t>
  </si>
  <si>
    <t>Зарплата Кристине за 13 смен (-офц зп    1 050 000 сум) + отчеты и закуп</t>
  </si>
  <si>
    <t>R-Keeper за июль</t>
  </si>
  <si>
    <t xml:space="preserve">Оплата за аренду </t>
  </si>
  <si>
    <t>Общая сумма инкассации ц14: 8 333 000 сум за июль</t>
  </si>
  <si>
    <t>от 06.08.2024</t>
  </si>
  <si>
    <t xml:space="preserve">Прибыль нал: 31 051 000 сум + 1 667 000 сум (доп сняла 05.08) =  32 718 000 сум </t>
  </si>
  <si>
    <t>Лимоны - 926гр</t>
  </si>
  <si>
    <t>Яблоки - 3120гр</t>
  </si>
  <si>
    <t>Морковь - 1366гр</t>
  </si>
  <si>
    <t>Салават\Мадина</t>
  </si>
  <si>
    <t>Яблоки - 2860гр</t>
  </si>
  <si>
    <t>Морковь - 1854гр</t>
  </si>
  <si>
    <t>Сироп мохито - 3869гр</t>
  </si>
  <si>
    <t>Бананы - 1490гр</t>
  </si>
  <si>
    <t>Топинг облепиха - 1059</t>
  </si>
  <si>
    <t>Сироп карамель - 1860гр</t>
  </si>
  <si>
    <t>Сироп шоколад - 1865гр</t>
  </si>
  <si>
    <t>Доставка закупа</t>
  </si>
  <si>
    <t>Вода без газа 0,5мл - 48шт</t>
  </si>
  <si>
    <t>Coca-Cola 350мл - 10шт</t>
  </si>
  <si>
    <t>Напиток 18+ - 10шт</t>
  </si>
  <si>
    <t>Апельсины - 5252гр</t>
  </si>
  <si>
    <t>Кристина\Алекса</t>
  </si>
  <si>
    <t>Фартуки - 5шт</t>
  </si>
  <si>
    <t>Мадлер - 1шт</t>
  </si>
  <si>
    <t>Салават\Мадина\Суннат</t>
  </si>
  <si>
    <t>Питчер - 1шт</t>
  </si>
  <si>
    <t>Лимоны - 1040гр</t>
  </si>
  <si>
    <t>Бананы - 1882гр</t>
  </si>
  <si>
    <t>Базилик - 1шт</t>
  </si>
  <si>
    <t>Морковь - 1298  гр</t>
  </si>
  <si>
    <t>Пакеты для мусора - 6 упк</t>
  </si>
  <si>
    <t>Яблоки - 2820гр</t>
  </si>
  <si>
    <t>Апельсины - 4350гр</t>
  </si>
  <si>
    <t>Тряпоки для кофе - 4шт</t>
  </si>
  <si>
    <t xml:space="preserve">Калькультор </t>
  </si>
  <si>
    <t>Сабина\Алекса</t>
  </si>
  <si>
    <t xml:space="preserve">Зарплата Сабине за 03.08 </t>
  </si>
  <si>
    <t>Яблоки - 2440гр</t>
  </si>
  <si>
    <t>Морковь - 1676гр</t>
  </si>
  <si>
    <t>Шпинат - 2 пучка</t>
  </si>
  <si>
    <t xml:space="preserve">Чистка кондиционера </t>
  </si>
  <si>
    <t>Суннат/Алексия</t>
  </si>
  <si>
    <t>Зарплата Салавату за 9 смен (- 1 050 000 сум на карту)</t>
  </si>
  <si>
    <t>калькулятор</t>
  </si>
  <si>
    <t>резинки для дене</t>
  </si>
  <si>
    <t>чеки для R Keeper - 8шт</t>
  </si>
  <si>
    <t>синг стаканчики - 400шт</t>
  </si>
  <si>
    <t>апельсины - 5642гр</t>
  </si>
  <si>
    <t>Вода с газом 0,5мл - 24шт</t>
  </si>
  <si>
    <t>Вода без газа 0,5мл - 12шт</t>
  </si>
  <si>
    <t xml:space="preserve">Гель для мытья </t>
  </si>
  <si>
    <t>Лимоны - 1018гр</t>
  </si>
  <si>
    <t>Сухие салфетки - 8упк</t>
  </si>
  <si>
    <t>морковь - 1242гр</t>
  </si>
  <si>
    <t xml:space="preserve">топинг ягодный </t>
  </si>
  <si>
    <t>кофейные орешки  - 25шт</t>
  </si>
  <si>
    <t>яблоки - 2614гр</t>
  </si>
  <si>
    <t>Суннат</t>
  </si>
  <si>
    <t>аренда буз базар</t>
  </si>
  <si>
    <t>апельсины - 5484гр</t>
  </si>
  <si>
    <t>мороженое - кг</t>
  </si>
  <si>
    <t>дотавка тиин</t>
  </si>
  <si>
    <t>Зарплата Кристине за 7 смен</t>
  </si>
  <si>
    <t>Щетка для пола</t>
  </si>
  <si>
    <t>Зарплата Суннату за 8 смен</t>
  </si>
  <si>
    <t xml:space="preserve">Зарплата Алексе за 7 смен </t>
  </si>
  <si>
    <t>яблоки - 1196гр</t>
  </si>
  <si>
    <t>Зарплата Мадине за 12 смен</t>
  </si>
  <si>
    <t>морковь - 958гр</t>
  </si>
  <si>
    <t>химия для машинки - 2уп</t>
  </si>
  <si>
    <t>доставка химии</t>
  </si>
  <si>
    <t>зп Сабине за 9.08.2024</t>
  </si>
  <si>
    <t>яблоки - 3106гр</t>
  </si>
  <si>
    <t>бананы - 1290гр</t>
  </si>
  <si>
    <t>ремонт соковыжималка</t>
  </si>
  <si>
    <t>лимоны - 830гр</t>
  </si>
  <si>
    <t>морожнгое - 2кг</t>
  </si>
  <si>
    <t>Алексия</t>
  </si>
  <si>
    <t>доставка молоко</t>
  </si>
  <si>
    <t>Молоко (доп плата)</t>
  </si>
  <si>
    <t>сироп вишня - 1369гр</t>
  </si>
  <si>
    <t>овсяггые печеньки - 20шт</t>
  </si>
  <si>
    <t>бананы - 1838гр</t>
  </si>
  <si>
    <t>морковь - 1310гр</t>
  </si>
  <si>
    <t>яблоки - 1216гр</t>
  </si>
  <si>
    <t>апельсины - 4898гр</t>
  </si>
  <si>
    <t>Мадина/Алексия</t>
  </si>
  <si>
    <t>сухие салфетки</t>
  </si>
  <si>
    <t>губки для посуды  - 10шт</t>
  </si>
  <si>
    <t>пакеты мал - 1уп</t>
  </si>
  <si>
    <t>кисть - 1шт</t>
  </si>
  <si>
    <t>чернила для печати</t>
  </si>
  <si>
    <t>муровейники - 10уп</t>
  </si>
  <si>
    <t>нночь</t>
  </si>
  <si>
    <t>Coca Cola - 9шт</t>
  </si>
  <si>
    <t>пакеты для мусора - 8уп</t>
  </si>
  <si>
    <t>доставка кофе</t>
  </si>
  <si>
    <t>бананы - 1674гр</t>
  </si>
  <si>
    <t>морковь - 1208гр</t>
  </si>
  <si>
    <t>лимоны - 1138гр</t>
  </si>
  <si>
    <t>апельсины - 3558гр</t>
  </si>
  <si>
    <t>киви - 2шт</t>
  </si>
  <si>
    <t>лайм - 4шт</t>
  </si>
  <si>
    <t>яблоки - 2150гр</t>
  </si>
  <si>
    <t>зп Сабина за 16.08.2024</t>
  </si>
  <si>
    <t>апельсины - 6110гр</t>
  </si>
  <si>
    <t>яблоки - 2290гр</t>
  </si>
  <si>
    <t>морковь - 1489гр</t>
  </si>
  <si>
    <t>лимоны - 924гр</t>
  </si>
  <si>
    <t>муравейники - 8шт</t>
  </si>
  <si>
    <t>свет за сверхлемит</t>
  </si>
  <si>
    <t>оплата за раб телефон</t>
  </si>
  <si>
    <t>Дизайн стаканчиков</t>
  </si>
  <si>
    <t>апельсины - 3998гр</t>
  </si>
  <si>
    <t>имбирь - 296гр</t>
  </si>
  <si>
    <t>распечатка дизайн стаканчиков</t>
  </si>
  <si>
    <t>сироп ваниль - 1495гр</t>
  </si>
  <si>
    <t>бананы - 2080гр</t>
  </si>
  <si>
    <t>яблоки - 1836гр</t>
  </si>
  <si>
    <t>апельсины - 4428гр</t>
  </si>
  <si>
    <t>зп Сабина за 24.08.2024  и 31.08.2024</t>
  </si>
  <si>
    <t>чай черный - 1уп</t>
  </si>
  <si>
    <t>салфетки сухие - 2уп</t>
  </si>
  <si>
    <t xml:space="preserve">Зарплата Мадине за 10 смен </t>
  </si>
  <si>
    <t>Зарплата Суннату за 13 смен</t>
  </si>
  <si>
    <t>Зарплата Алексе за 12 смен</t>
  </si>
  <si>
    <t>Трубочки черные коктельные - 1упк</t>
  </si>
  <si>
    <t xml:space="preserve">Зарплата Кристине за отчеты и закуп (- офиц зп 1 050 000 сум) </t>
  </si>
  <si>
    <t>ремонт блэндра</t>
  </si>
  <si>
    <t xml:space="preserve">R-Keeper  за  август </t>
  </si>
  <si>
    <t>Общая сумма инкассации ц14:  5 199 000 сум за август</t>
  </si>
  <si>
    <t>Инкассация за август</t>
  </si>
  <si>
    <t xml:space="preserve">Прибыль нал:  29 655 000 сум  </t>
  </si>
  <si>
    <t>от 13.09.2024</t>
  </si>
  <si>
    <t>Умида</t>
  </si>
  <si>
    <t>лимоны - 888гр</t>
  </si>
  <si>
    <t>овсяннын печеньки - 20шт</t>
  </si>
  <si>
    <t>брауни  - 16шт</t>
  </si>
  <si>
    <t>Зарплата Мадине за 2 смены</t>
  </si>
  <si>
    <t>морковь - 1450гр</t>
  </si>
  <si>
    <t>яблоки - 1134гр</t>
  </si>
  <si>
    <t>апельсины - 2352гр</t>
  </si>
  <si>
    <t>салфетки - 8шт</t>
  </si>
  <si>
    <t>18+ - 8шт</t>
  </si>
  <si>
    <t>муравейники Сабина - 3уп</t>
  </si>
  <si>
    <t>Топинг малина - 1075гр</t>
  </si>
  <si>
    <t>Топинг ягодный - 1035гр</t>
  </si>
  <si>
    <t>Сироп лесной орех - 1385гр</t>
  </si>
  <si>
    <t>Сироп карамель - 1385гр</t>
  </si>
  <si>
    <t>Алекса</t>
  </si>
  <si>
    <t>Оплата за интернет и хумо</t>
  </si>
  <si>
    <t>Апельсины - 3680гр</t>
  </si>
  <si>
    <t>Лимоны - 746гр</t>
  </si>
  <si>
    <t>Шоколадное печенье - 30шт</t>
  </si>
  <si>
    <t>Овсяное печенье - 25шт</t>
  </si>
  <si>
    <t>Топинг шоколадный - 1080гр</t>
  </si>
  <si>
    <t>Сироп мохито - 1930гр</t>
  </si>
  <si>
    <t xml:space="preserve">Кофейные орешки - 25шт </t>
  </si>
  <si>
    <t>Весы маленькие - 1шт</t>
  </si>
  <si>
    <t>Влажные салфетки - 1 упаковка</t>
  </si>
  <si>
    <t>Яблоки - 2376гр</t>
  </si>
  <si>
    <t xml:space="preserve">Овсяное печенье - 20шт </t>
  </si>
  <si>
    <t>Фитнес батончики - 110шт</t>
  </si>
  <si>
    <t>Бананы - 1268гр</t>
  </si>
  <si>
    <t>Лимоны - 822гр</t>
  </si>
  <si>
    <t>Мята - 5шт</t>
  </si>
  <si>
    <t>Яблоки - 2218гр</t>
  </si>
  <si>
    <t>Морковь - 1970гр</t>
  </si>
  <si>
    <t>Апельсины - 4396гр</t>
  </si>
  <si>
    <t>Кофейные орешки - 5шт</t>
  </si>
  <si>
    <t xml:space="preserve">Суннат </t>
  </si>
  <si>
    <t>Муравейники - 4 упк</t>
  </si>
  <si>
    <t>Апельсины - 3350гр</t>
  </si>
  <si>
    <t>Бананы - 1350гр</t>
  </si>
  <si>
    <t>Лимоны - 530гр</t>
  </si>
  <si>
    <t>Зарплата Сабине за 05 и 15.09</t>
  </si>
  <si>
    <t>Зарплата  Алексе за 12 смен</t>
  </si>
  <si>
    <t xml:space="preserve">Зарплата Суннату за 11 смен </t>
  </si>
  <si>
    <t>Зарплата Мадине за 1 смену</t>
  </si>
  <si>
    <t>апельсины - 4860гр</t>
  </si>
  <si>
    <t>Red Bull - 6шт</t>
  </si>
  <si>
    <t>Coca Cola - 2шт</t>
  </si>
  <si>
    <t>пакеты для мусора - 7уп</t>
  </si>
  <si>
    <t>сухие салфетки - 8уп</t>
  </si>
  <si>
    <t>апельсины - 4206гр</t>
  </si>
  <si>
    <t>имбирь - 432гр</t>
  </si>
  <si>
    <t>морковь - 1054гр</t>
  </si>
  <si>
    <t>яблоки - 2408гр</t>
  </si>
  <si>
    <t>топинг ягодный - 1046гр</t>
  </si>
  <si>
    <t>топинг облепиха - 1060гр</t>
  </si>
  <si>
    <t>пакеты маленькие</t>
  </si>
  <si>
    <t xml:space="preserve">подложка для посуды </t>
  </si>
  <si>
    <t>замена резинки</t>
  </si>
  <si>
    <t>черные трубочки - 1уп</t>
  </si>
  <si>
    <t>апельсины - 2664нр</t>
  </si>
  <si>
    <t>яблоки - 2108гр</t>
  </si>
  <si>
    <t>терм. Чеки R Keeper - 12шт</t>
  </si>
  <si>
    <t>терм чеки мал - 48шт</t>
  </si>
  <si>
    <t>стул</t>
  </si>
  <si>
    <t>яблоки - 2086гр</t>
  </si>
  <si>
    <t>морковь - 1534гр</t>
  </si>
  <si>
    <t>бананы - 1446гр</t>
  </si>
  <si>
    <t>лимоны - 1134гр</t>
  </si>
  <si>
    <t>тлпинг  соленая карамель - 1055гр</t>
  </si>
  <si>
    <t>топинг клубника - 1045гр</t>
  </si>
  <si>
    <t>сироп карамель - 1432гр</t>
  </si>
  <si>
    <t>сироа банан - 1402гр</t>
  </si>
  <si>
    <t>сироп  гренадин - 1320гр</t>
  </si>
  <si>
    <t>сироп кокос - 1161гр</t>
  </si>
  <si>
    <t>доставка тиин</t>
  </si>
  <si>
    <t>зп Сабина за 22.09.2024</t>
  </si>
  <si>
    <t>доставка</t>
  </si>
  <si>
    <t>яблоки - 2374гр</t>
  </si>
  <si>
    <t>апельсины - 4570гр</t>
  </si>
  <si>
    <t>Оплата за телефон</t>
  </si>
  <si>
    <t>бананы -  1238гр</t>
  </si>
  <si>
    <t>Зарплата Умиде за 1 смену</t>
  </si>
  <si>
    <t>лимоны - 1196гр</t>
  </si>
  <si>
    <t xml:space="preserve">Зарплата Алексе за 12 смен </t>
  </si>
  <si>
    <t>Зарплата Сабине за 28.09</t>
  </si>
  <si>
    <t xml:space="preserve">заменитель сахара </t>
  </si>
  <si>
    <t>стевия сах.зам</t>
  </si>
  <si>
    <t>Зарплата Кристине за закуп и отчеты (- офиц зп 1.050 000 сум) + дор. расходы</t>
  </si>
  <si>
    <t>сироп ваниль - 1429гр</t>
  </si>
  <si>
    <t>шоколадное печенье  - 20шт</t>
  </si>
  <si>
    <t>апельсины - 2516гр</t>
  </si>
  <si>
    <t>салфетки сухие - 2шт</t>
  </si>
  <si>
    <t>имбирь - 234гр</t>
  </si>
  <si>
    <t>Наклейки на стаканчики - 41612шт</t>
  </si>
  <si>
    <t xml:space="preserve">Крафт пакеты </t>
  </si>
  <si>
    <t xml:space="preserve">Аренда за сентябрь </t>
  </si>
  <si>
    <t xml:space="preserve">Общая сумма инкассации ц14: 17 830 000 сум за сентябрь </t>
  </si>
  <si>
    <t>Установка локации на Яндекс и Гугл</t>
  </si>
  <si>
    <t>Американский какао (долг 390 дол)</t>
  </si>
  <si>
    <t>Прибыль нал: 40 030 000 сум  + 2 170 000 сум (доп сняла  04.10) = 42 200 000 сум</t>
  </si>
  <si>
    <t>от 03.10.2024</t>
  </si>
  <si>
    <t>сухие салфетки - 12шт</t>
  </si>
  <si>
    <t>топинг лесные ягоды - 1055гр</t>
  </si>
  <si>
    <t>батарейки - 2шт</t>
  </si>
  <si>
    <t>яблоки - 2170гр</t>
  </si>
  <si>
    <t>апельсины - 3726гр</t>
  </si>
  <si>
    <t xml:space="preserve">доставка муравейников </t>
  </si>
  <si>
    <t>интернет модем</t>
  </si>
  <si>
    <t>интернет телефон</t>
  </si>
  <si>
    <t>мороженое- 1кг</t>
  </si>
  <si>
    <t>апельсины - 4308гр</t>
  </si>
  <si>
    <t>имбирь - 298гр</t>
  </si>
  <si>
    <t>лимоны - 1222гр</t>
  </si>
  <si>
    <t>яблоки - 2482гр</t>
  </si>
  <si>
    <t>сэгдвичи - 5шт</t>
  </si>
  <si>
    <t>апельсины - 3656гр</t>
  </si>
  <si>
    <t>Суннат/  Дамир</t>
  </si>
  <si>
    <t>топинг облепиха - 2120гр</t>
  </si>
  <si>
    <t>Обед для рабочих</t>
  </si>
  <si>
    <t>бананы - 2244гр</t>
  </si>
  <si>
    <t>апельсины - 4578гр</t>
  </si>
  <si>
    <t>Молоко - 58л</t>
  </si>
  <si>
    <t>апельсины - 4596гр</t>
  </si>
  <si>
    <t>пепельницы - 2шт</t>
  </si>
  <si>
    <t>зп Сабина за 06.10.2024</t>
  </si>
  <si>
    <t>Суннат/ Дамир</t>
  </si>
  <si>
    <t>Дамир дорожные за 3 смены</t>
  </si>
  <si>
    <t xml:space="preserve">Обед для рабочих </t>
  </si>
  <si>
    <t xml:space="preserve">обед для рабочих </t>
  </si>
  <si>
    <t>доствка чизкейк</t>
  </si>
  <si>
    <t>Мадина/ Дамир</t>
  </si>
  <si>
    <t>горячий шоколад - 3 банки</t>
  </si>
  <si>
    <t>Топинг голубика - 1082гр</t>
  </si>
  <si>
    <t>Зарплата Алексии за 13 смен</t>
  </si>
  <si>
    <t>яблоки - 2776гр</t>
  </si>
  <si>
    <t>лимоны - 1442гр</t>
  </si>
  <si>
    <t xml:space="preserve">Зарплата Мадине за 2 смены </t>
  </si>
  <si>
    <t>Зарплата Дамиру за 1 смену</t>
  </si>
  <si>
    <t>Топинг ягодный - 2122гр</t>
  </si>
  <si>
    <t>Сироп шоколадный - 1420гр</t>
  </si>
  <si>
    <t>Сироп карамель - 1420гр</t>
  </si>
  <si>
    <t>Алекса\Дамир</t>
  </si>
  <si>
    <t>Апельсины - 3940гр</t>
  </si>
  <si>
    <t>зп Сабина за 12.10.2024</t>
  </si>
  <si>
    <t>Дамир</t>
  </si>
  <si>
    <t>топинг клубника - 1042гр</t>
  </si>
  <si>
    <t>топинг малина - 1047гр</t>
  </si>
  <si>
    <t>яблоки - 2358гр</t>
  </si>
  <si>
    <t>апельсины - 3616гр</t>
  </si>
  <si>
    <t>лимоны- 1072гр</t>
  </si>
  <si>
    <t>имбирь - 240гр</t>
  </si>
  <si>
    <t>морковь - 698гр</t>
  </si>
  <si>
    <t>Coca Cola - 8шт</t>
  </si>
  <si>
    <t>корица - 5уп</t>
  </si>
  <si>
    <t>сироп роза - 1404</t>
  </si>
  <si>
    <t>сироп смордина - 1415гр</t>
  </si>
  <si>
    <t>сухие салфетки - 10уп</t>
  </si>
  <si>
    <t>апельсины - 4158гр</t>
  </si>
  <si>
    <t xml:space="preserve">Мытье окон </t>
  </si>
  <si>
    <t>мята-2 пучка</t>
  </si>
  <si>
    <t>зп Сабина за 19.10.2024</t>
  </si>
  <si>
    <t>яблоки - 2956гр</t>
  </si>
  <si>
    <t>имбирь - 390гр</t>
  </si>
  <si>
    <t>морковь - 1800гр</t>
  </si>
  <si>
    <t>апельсины - 3406гр</t>
  </si>
  <si>
    <t>лимоны - 552гр</t>
  </si>
  <si>
    <t>чизкейки - 18шт не оплатили</t>
  </si>
  <si>
    <t>вода - 12шт</t>
  </si>
  <si>
    <t>пакеты для мусора - 6уп</t>
  </si>
  <si>
    <t>Red Bull - 8шт</t>
  </si>
  <si>
    <t>мята - 7пуч</t>
  </si>
  <si>
    <t>замена резинок</t>
  </si>
  <si>
    <t>батарейка</t>
  </si>
  <si>
    <t>топинг ягодный - 1040гр</t>
  </si>
  <si>
    <t>топинг облепиха - 1035гр</t>
  </si>
  <si>
    <t>сироа ваниль - 1406гр</t>
  </si>
  <si>
    <t>сироп кокос - 1410гр</t>
  </si>
  <si>
    <t>сироа вишня - 1404гр</t>
  </si>
  <si>
    <t>печеньки овсяные - 20шт</t>
  </si>
  <si>
    <t>Зарплата Алексии за 11 смен</t>
  </si>
  <si>
    <t xml:space="preserve">Зарплата Умиде за 4 смены </t>
  </si>
  <si>
    <t>салфетки сухие - 16уп</t>
  </si>
  <si>
    <t>Зарплата Суннату за 4 смены</t>
  </si>
  <si>
    <t>Зарплата Мадине за 4 смены</t>
  </si>
  <si>
    <t>Зарплата Салавату за 2 смены</t>
  </si>
  <si>
    <t>Зарплата Кристине за закуп и отчеты (- офиц зп 1.155.000 сум) + дор. Расходы</t>
  </si>
  <si>
    <t>химия для машинки - 2банки</t>
  </si>
  <si>
    <t>декоративная лампа</t>
  </si>
  <si>
    <t>Зарплата Дамиру за 7 смен</t>
  </si>
  <si>
    <t xml:space="preserve">Оплата за R-Keeper за октябрь </t>
  </si>
  <si>
    <t xml:space="preserve">Аренда за октябрь </t>
  </si>
  <si>
    <t>Покраска фасада и стройматериалы (1000 дол)</t>
  </si>
  <si>
    <t xml:space="preserve">Премии сотрудникам за работу </t>
  </si>
  <si>
    <t xml:space="preserve">Ожидаем возврат из-за мошенечества </t>
  </si>
  <si>
    <t xml:space="preserve">Общая сумма инкассации ц14: 13 513 000 сум за октябрь </t>
  </si>
  <si>
    <t>Американский какао (долг закрыт)</t>
  </si>
  <si>
    <t>Прибыль нал: 35 244 000 сум  + 2 487 000 сум (доп. Сняла 06.11) = 37 731 000 сум</t>
  </si>
  <si>
    <t>от 10.11.2024</t>
  </si>
  <si>
    <t>апельсины - 3130гр</t>
  </si>
  <si>
    <t>лимоны - 2310гр</t>
  </si>
  <si>
    <t>сироп карамель - 1936гр</t>
  </si>
  <si>
    <t>сироп манго - 1425гр</t>
  </si>
  <si>
    <t>контейнер для круассанов</t>
  </si>
  <si>
    <t>Coca Cola - 5шт</t>
  </si>
  <si>
    <t xml:space="preserve">доставка вода </t>
  </si>
  <si>
    <t>яблоки - 1612гр</t>
  </si>
  <si>
    <t>апельсины - 2694гр</t>
  </si>
  <si>
    <t>имбирь - 306гр</t>
  </si>
  <si>
    <t>чековая лента для R-Keeper - 12шт</t>
  </si>
  <si>
    <t>полотенца - 3шт</t>
  </si>
  <si>
    <t>кофейные трубрчки - 10уп</t>
  </si>
  <si>
    <t xml:space="preserve">доставка стаканчики </t>
  </si>
  <si>
    <t>мусорные пакеты - 7уп</t>
  </si>
  <si>
    <t>яблоки - 1864гр</t>
  </si>
  <si>
    <t>доставка стаканчики</t>
  </si>
  <si>
    <t>апельсины - 4760гр</t>
  </si>
  <si>
    <t>лимоны - 1310гр</t>
  </si>
  <si>
    <t>яблоки - 1934гр</t>
  </si>
  <si>
    <t>доставка терминал</t>
  </si>
  <si>
    <t>топинг  лесные ягоды - 1040гр</t>
  </si>
  <si>
    <t>топинг клубника - 1025гр</t>
  </si>
  <si>
    <t>топинг малина - 1055гр</t>
  </si>
  <si>
    <t>сироп соленая карамель - 1055гр</t>
  </si>
  <si>
    <t>Зарплата Мадине за 5 смен</t>
  </si>
  <si>
    <t>Зарплата Умиде за 2 смены</t>
  </si>
  <si>
    <t>Зарплата Дамиру за 5 смен</t>
  </si>
  <si>
    <t>шоколадное печеньки  - 25шт</t>
  </si>
  <si>
    <t>Зарплата Суннату за 5 смен</t>
  </si>
  <si>
    <t>Умида/ Виктория</t>
  </si>
  <si>
    <t>яблоки - 2082гр</t>
  </si>
  <si>
    <t>имбирь - 274гр</t>
  </si>
  <si>
    <t>Алексия/ Виктория</t>
  </si>
  <si>
    <t>сироп кокос - 1307гр</t>
  </si>
  <si>
    <t>сироп личи - 1362гр</t>
  </si>
  <si>
    <t>апельсины - 2194гр</t>
  </si>
  <si>
    <t>вода 0,5 - 72шт</t>
  </si>
  <si>
    <t>топинг голубика - 1081гр</t>
  </si>
  <si>
    <t>топинг облепиха - 1057гр</t>
  </si>
  <si>
    <t>яблоки - 1642гр</t>
  </si>
  <si>
    <t>морковь - 1194гр</t>
  </si>
  <si>
    <t>имбирь - 350гр</t>
  </si>
  <si>
    <t>мед - 300гр</t>
  </si>
  <si>
    <t>лимоны - 1184гр</t>
  </si>
  <si>
    <t>доставка круассаны</t>
  </si>
  <si>
    <t>Молоко - 60л</t>
  </si>
  <si>
    <t>топинг малина - 1040гр</t>
  </si>
  <si>
    <t>апельсины - 3274гр</t>
  </si>
  <si>
    <t>яблоки - 2702гр</t>
  </si>
  <si>
    <t>кофейные орешки - 5шт</t>
  </si>
  <si>
    <t>муравейники - 15уп</t>
  </si>
  <si>
    <t>сироп миндаль - 1418гр</t>
  </si>
  <si>
    <t>сироп кокос - 1403гр</t>
  </si>
  <si>
    <t>сироп шоколад - 1310гр</t>
  </si>
  <si>
    <t>лимоны - 1888гр</t>
  </si>
  <si>
    <t>сироп маракуйя - 1422гр</t>
  </si>
  <si>
    <t xml:space="preserve">влажные салфетки - </t>
  </si>
  <si>
    <t>имбирь - 522гр</t>
  </si>
  <si>
    <t>апельсины - 2924гр</t>
  </si>
  <si>
    <t>Умида/Вика</t>
  </si>
  <si>
    <t>кофейные трубочки - 15уп</t>
  </si>
  <si>
    <t>яблоки - 1798гр</t>
  </si>
  <si>
    <t>морковь - 1124гр</t>
  </si>
  <si>
    <t>Зарплата Умиде за 4 смены</t>
  </si>
  <si>
    <t>Зарплата Дамиру за 8 смен</t>
  </si>
  <si>
    <t>Зарплата Суннату за 3 смены</t>
  </si>
  <si>
    <t>Зарплата Вике за 4 смены</t>
  </si>
  <si>
    <t>сироп лесной орех - 1391гр</t>
  </si>
  <si>
    <t>мята - 5 пучков</t>
  </si>
  <si>
    <t xml:space="preserve">Оплата за R-Keeper за ноябрь </t>
  </si>
  <si>
    <t>Общая сумма инкассации ц14: 3 732 000 сум за ноябрь</t>
  </si>
  <si>
    <t xml:space="preserve">Прибыль нал: 56 180 000 сум  + 1 268 000 сум (доп сняла со счета 06.12) = 57 448 000 сум </t>
  </si>
  <si>
    <t>от 09.12.2024</t>
  </si>
  <si>
    <t>брауни - 20шт</t>
  </si>
  <si>
    <t>вода - 0,5 - 48шт</t>
  </si>
  <si>
    <t>Coca Cola - 6шт</t>
  </si>
  <si>
    <t>ср-во для пола</t>
  </si>
  <si>
    <t>чергый чай - 400шт</t>
  </si>
  <si>
    <t xml:space="preserve">топинг ягодный - </t>
  </si>
  <si>
    <t xml:space="preserve">топинг облепиха - </t>
  </si>
  <si>
    <t>ткань для подушек</t>
  </si>
  <si>
    <t>украшение дерево - 2шт</t>
  </si>
  <si>
    <t>топинг голубика - 1065гр</t>
  </si>
  <si>
    <t>сироп смородина - 1415гр</t>
  </si>
  <si>
    <t>вызов мастера кофемашина</t>
  </si>
  <si>
    <t>сингл  стаканчики - 400шт</t>
  </si>
  <si>
    <t>сахао - 6кг</t>
  </si>
  <si>
    <t>яблоки - 2096гр</t>
  </si>
  <si>
    <t>лимоны - 1508гр</t>
  </si>
  <si>
    <t>морковь - 1052гр</t>
  </si>
  <si>
    <t>апельсины - 2710гр</t>
  </si>
  <si>
    <t>сухие салфетки - 15шт</t>
  </si>
  <si>
    <t>герлянды - 2шт</t>
  </si>
  <si>
    <t>игрушки</t>
  </si>
  <si>
    <t>украшения на стол цветы - 2шт</t>
  </si>
  <si>
    <t xml:space="preserve">горячий шоколад - 3банки </t>
  </si>
  <si>
    <t>шоколадный топинг - 1055гр</t>
  </si>
  <si>
    <t>топинг клубника - 1040гр</t>
  </si>
  <si>
    <t>сироп соленая карамель - 1030гр</t>
  </si>
  <si>
    <t>гель для посуды</t>
  </si>
  <si>
    <t>двустороний скотч</t>
  </si>
  <si>
    <t>крючки для герлянды - 30шт</t>
  </si>
  <si>
    <t>тройник</t>
  </si>
  <si>
    <t>чеки для R-Keeper - 16шт</t>
  </si>
  <si>
    <t>Вика</t>
  </si>
  <si>
    <t>зп Сабина за 8.12.2024</t>
  </si>
  <si>
    <t>топинг ягодный - 1062гр</t>
  </si>
  <si>
    <t>топинг облепиха - 1054гр</t>
  </si>
  <si>
    <t>топингмалина - 1050гр</t>
  </si>
  <si>
    <t>Зарплата Вике за 14.12</t>
  </si>
  <si>
    <t>вода 0,5 - 60шт</t>
  </si>
  <si>
    <t>Зарплата Алексии за 12 смен (- офиц часть 1 155 000 сум)</t>
  </si>
  <si>
    <t>лимоны - 1926гр</t>
  </si>
  <si>
    <t>Зарплата Дамиру за 8 смен (- офиц часть 1 155 000 сум)</t>
  </si>
  <si>
    <t>чайные ложки - 2уп</t>
  </si>
  <si>
    <t>Зарплата Суннату за 1 смену</t>
  </si>
  <si>
    <t>апельсины - 2948гр</t>
  </si>
  <si>
    <t>мед - 250гр</t>
  </si>
  <si>
    <t>сахар - 7кг</t>
  </si>
  <si>
    <t>ремонт сантехники</t>
  </si>
  <si>
    <t>яблоки - 2554гр</t>
  </si>
  <si>
    <t>апельсины - 3326гр</t>
  </si>
  <si>
    <t>кофейные трубочки -- 10уп</t>
  </si>
  <si>
    <t>шоколадные печеньки - 17шт</t>
  </si>
  <si>
    <t>сироп лесной орех - 1435гр</t>
  </si>
  <si>
    <t>сироп ваниль - 1440гр</t>
  </si>
  <si>
    <t>сироп вишня - 1390гр</t>
  </si>
  <si>
    <t>топинг  облепиха - 1046гр</t>
  </si>
  <si>
    <t>топинг ягодный - 1047гр</t>
  </si>
  <si>
    <t>Вика/Аслан</t>
  </si>
  <si>
    <t>морковь - 1206гр</t>
  </si>
  <si>
    <t>апельсины - 3538гр</t>
  </si>
  <si>
    <t>лимоны - 1652гр</t>
  </si>
  <si>
    <t>мята - 8руч</t>
  </si>
  <si>
    <t>мед - 500гр</t>
  </si>
  <si>
    <t>корица - 6уп</t>
  </si>
  <si>
    <t>мусорные пакеты - 10уп</t>
  </si>
  <si>
    <t xml:space="preserve">влажные салфетки </t>
  </si>
  <si>
    <t xml:space="preserve">сэндвичи - 8шт </t>
  </si>
  <si>
    <t>26..12.2024</t>
  </si>
  <si>
    <t>Алексия/ Аслан</t>
  </si>
  <si>
    <t>ремонт блэндер</t>
  </si>
  <si>
    <t xml:space="preserve">сэндвичи - 7шт </t>
  </si>
  <si>
    <t>сироп карамель - 1445гр</t>
  </si>
  <si>
    <t>Red Bull- 10шт</t>
  </si>
  <si>
    <t>Coca cola - 12шт</t>
  </si>
  <si>
    <t>морковь - 1284гр</t>
  </si>
  <si>
    <t>пакеты</t>
  </si>
  <si>
    <t>Зарплата Дамиру за 9 смен</t>
  </si>
  <si>
    <t>лимоны - 1326гр</t>
  </si>
  <si>
    <t>Зарплата Мадине за 6 смен</t>
  </si>
  <si>
    <t>Зарплата Вике за 2 смены</t>
  </si>
  <si>
    <t>Зарплата Аслану за 6 смен</t>
  </si>
  <si>
    <t>Налоговая</t>
  </si>
  <si>
    <t>Подарки сотрудникам на Новый год</t>
  </si>
  <si>
    <t xml:space="preserve">Оплата за R-Keeper за декабрь </t>
  </si>
  <si>
    <t>Аренда за декабрь</t>
  </si>
  <si>
    <t>Общая сумма инкассации ц14: 8 280 000 сум за декабрь</t>
  </si>
  <si>
    <t xml:space="preserve">Прибыль нал: 48 640 000 сум  </t>
  </si>
  <si>
    <t>от 17.01.2025</t>
  </si>
  <si>
    <t>сироп греннадин - 1400гр</t>
  </si>
  <si>
    <t>имбирь - 660гр</t>
  </si>
  <si>
    <t>химия для машинки - 3шт</t>
  </si>
  <si>
    <t>топинг малина - 1056гр</t>
  </si>
  <si>
    <t>шоколадные пееченьки - 25шт</t>
  </si>
  <si>
    <t>Аслан</t>
  </si>
  <si>
    <t>апельсины - 2870гр</t>
  </si>
  <si>
    <t>мед - 700гр</t>
  </si>
  <si>
    <t>Интернет и телефон</t>
  </si>
  <si>
    <t>сахар - 10кг</t>
  </si>
  <si>
    <t>морковь - 776гр</t>
  </si>
  <si>
    <t>яблоки - 2136гр</t>
  </si>
  <si>
    <t>лимоны  - 2350гр</t>
  </si>
  <si>
    <t>апельсины - 3028гр</t>
  </si>
  <si>
    <t>сироп клюква - 1940гр</t>
  </si>
  <si>
    <t>сироп шоколад - 1935гр</t>
  </si>
  <si>
    <t>сироп мохито- 1935гр</t>
  </si>
  <si>
    <t>сироп мята - 1935гр</t>
  </si>
  <si>
    <t>топинг ягодный - 11060гр</t>
  </si>
  <si>
    <t>топинг облепиха - 1045гр</t>
  </si>
  <si>
    <t>сироп соленая карамель - 1045гр</t>
  </si>
  <si>
    <t xml:space="preserve">сэндвичи - 11шт </t>
  </si>
  <si>
    <t xml:space="preserve">бипантен </t>
  </si>
  <si>
    <t>яблоки - 1802гр</t>
  </si>
  <si>
    <t>имбирь - 542гр</t>
  </si>
  <si>
    <t>корица - 5шт</t>
  </si>
  <si>
    <t>мед - 600гр</t>
  </si>
  <si>
    <t xml:space="preserve">сэндвичи - 8 шт </t>
  </si>
  <si>
    <t>Алексия/Аслан</t>
  </si>
  <si>
    <t>сингл стаканчики -- 400шт</t>
  </si>
  <si>
    <t>Зарплата Алексии за 11 смен (- офиц часть 1 155 000 сум)</t>
  </si>
  <si>
    <t>сироп роза - 1400гр</t>
  </si>
  <si>
    <t>Зарплата Аслану за 9 смен</t>
  </si>
  <si>
    <t>сироп смородина - 1425гр</t>
  </si>
  <si>
    <t>Зарплата Дамиру за 5 смен (- офиц часть 1 155 000 сум)</t>
  </si>
  <si>
    <t>Зарплата Мадине за 8 смен</t>
  </si>
  <si>
    <t xml:space="preserve">сэндвичи - 10шт </t>
  </si>
  <si>
    <t>топинг ягодный - 1060гр</t>
  </si>
  <si>
    <t>топинг клубника - 1050гр</t>
  </si>
  <si>
    <t>лимоны - 2364гр</t>
  </si>
  <si>
    <t>яблоки - 2044гр</t>
  </si>
  <si>
    <t>морковь - 1304гр</t>
  </si>
  <si>
    <t>имбирь - 436гр</t>
  </si>
  <si>
    <t>сахао - 5кг</t>
  </si>
  <si>
    <t xml:space="preserve">сэгдвичи - 6шт </t>
  </si>
  <si>
    <t>бумага для терминала - 32шт</t>
  </si>
  <si>
    <t>бумага для R Keeper - 4шт</t>
  </si>
  <si>
    <t>ножницы</t>
  </si>
  <si>
    <t>сах. Заменитель</t>
  </si>
  <si>
    <t>апельсины - 2912гр</t>
  </si>
  <si>
    <t>моркоь - 696гр</t>
  </si>
  <si>
    <t>яблоки - 2208гр</t>
  </si>
  <si>
    <t>сироп личи - 1405гр</t>
  </si>
  <si>
    <t>сироп банан - 1425гр</t>
  </si>
  <si>
    <t>лимоны - 2156гр</t>
  </si>
  <si>
    <t xml:space="preserve">сэндвичи - 6шт </t>
  </si>
  <si>
    <t>топинг ягодный - 1035гр</t>
  </si>
  <si>
    <t>имбирь - 422гр</t>
  </si>
  <si>
    <t xml:space="preserve">тряпка для пола </t>
  </si>
  <si>
    <t>морковь - 1кг</t>
  </si>
  <si>
    <t>доставка сингл</t>
  </si>
  <si>
    <t>орешки со сгущенкой - 160гр</t>
  </si>
  <si>
    <t>Red Bull - 4шт</t>
  </si>
  <si>
    <t>яблоки - 2732гр</t>
  </si>
  <si>
    <t>апельсины - 3302гр</t>
  </si>
  <si>
    <t>Зарплата Аслану за 10 смен</t>
  </si>
  <si>
    <t>Общая сумма инкассации ц14:  18 529 000 сум за январь</t>
  </si>
  <si>
    <t>от 16.02.2025</t>
  </si>
  <si>
    <t>Американский какао - 10 банок</t>
  </si>
  <si>
    <t xml:space="preserve">Прибыль нал: 33 439 000 сум  + 1 471 000 сум (доп сняла 10.02) = 34 910 000 сум </t>
  </si>
  <si>
    <t>установка рекламы</t>
  </si>
  <si>
    <t>лимоны - 2030гр</t>
  </si>
  <si>
    <t>апельсины - 3882гр</t>
  </si>
  <si>
    <t>замена огнетушители - 2шт</t>
  </si>
  <si>
    <t>апельсины - 4930гр</t>
  </si>
  <si>
    <t>морковь - 1030гр</t>
  </si>
  <si>
    <t>имбирь - 472гр</t>
  </si>
  <si>
    <t>яблоки - 2322гр</t>
  </si>
  <si>
    <t>апельсины - 3790гр</t>
  </si>
  <si>
    <t>интернет</t>
  </si>
  <si>
    <t>кисть</t>
  </si>
  <si>
    <t>телефон</t>
  </si>
  <si>
    <t xml:space="preserve">сэндвичи - 5шт </t>
  </si>
  <si>
    <t>ремонт трубы</t>
  </si>
  <si>
    <t>аренда Ганга</t>
  </si>
  <si>
    <t>яблоки - 2384гр</t>
  </si>
  <si>
    <t>лимоны - 1428гр</t>
  </si>
  <si>
    <t>апельсины - 5104гр</t>
  </si>
  <si>
    <t>топинг малина - 1050гр</t>
  </si>
  <si>
    <t>сироп карамель - 1440гр</t>
  </si>
  <si>
    <t>сироп вишня - 1430гр</t>
  </si>
  <si>
    <t>ремонт холодильник</t>
  </si>
  <si>
    <t>брауни - 25шт</t>
  </si>
  <si>
    <t>сингл стаканчики - 200шт</t>
  </si>
  <si>
    <t>черные трубочки -1уп</t>
  </si>
  <si>
    <t>апельсины - 4572гр</t>
  </si>
  <si>
    <t>яблоки - 3070гр</t>
  </si>
  <si>
    <t>чай зеленый - 25шт</t>
  </si>
  <si>
    <t>Зарплата Виктории за 12 смен</t>
  </si>
  <si>
    <t xml:space="preserve">Зарплата Аслану за 11 смен </t>
  </si>
  <si>
    <t>лимоны - 2712гр</t>
  </si>
  <si>
    <t>Зарплата Алексии за 3 смены</t>
  </si>
  <si>
    <t>имбирь -416гр</t>
  </si>
  <si>
    <t xml:space="preserve">Зарплата Мадине за 4 смены </t>
  </si>
  <si>
    <t>морковь - 712гр</t>
  </si>
  <si>
    <t xml:space="preserve">сэндвичи - 3шт </t>
  </si>
  <si>
    <t>Red  Bull - 4шт</t>
  </si>
  <si>
    <t>яблоки - 3006гр</t>
  </si>
  <si>
    <t>скобки для степлера - 3уп</t>
  </si>
  <si>
    <t>корица - 8уп</t>
  </si>
  <si>
    <t>апельсины - 4550гр</t>
  </si>
  <si>
    <t>лимоны - 2290гр</t>
  </si>
  <si>
    <t>имбирь - 740гр</t>
  </si>
  <si>
    <t>влажные салфетки -1уп</t>
  </si>
  <si>
    <t>топинг облепиха - 1032гр</t>
  </si>
  <si>
    <t>сироп шоколад - 1865гр</t>
  </si>
  <si>
    <t>печеньки оасяные - 20шт</t>
  </si>
  <si>
    <t>печеньки шоколадные - 10шт</t>
  </si>
  <si>
    <t>апельсины - 4666гр</t>
  </si>
  <si>
    <t>яблоки - 2210гр</t>
  </si>
  <si>
    <t>морковь - 1612гр</t>
  </si>
  <si>
    <t>бананы - 1256гр</t>
  </si>
  <si>
    <t>сироп кокос - 1405гр</t>
  </si>
  <si>
    <t xml:space="preserve">Сэндвичи - 10шт </t>
  </si>
  <si>
    <t xml:space="preserve">Орешки со сгущенкой - 160шт </t>
  </si>
  <si>
    <t>Виктория</t>
  </si>
  <si>
    <t>Лимоны - 646гр</t>
  </si>
  <si>
    <t>Апельсины - 4402гр</t>
  </si>
  <si>
    <t>Морковь - 1230гр</t>
  </si>
  <si>
    <t>Мед - 250гр</t>
  </si>
  <si>
    <t>Топинг клубника - 1035гр</t>
  </si>
  <si>
    <t>Топинг малина - 1045 гр</t>
  </si>
  <si>
    <t>Соленая карамель - 1050гр</t>
  </si>
  <si>
    <t>Печенье шоколадное - 45шт</t>
  </si>
  <si>
    <t>дооставка</t>
  </si>
  <si>
    <t>Зарплата Алексии за 9 смен</t>
  </si>
  <si>
    <t>Зарплата Аслану за 11 смен</t>
  </si>
  <si>
    <t>Зарплата Виктории за 4 смены</t>
  </si>
  <si>
    <t>Зарплата Дамиру за 3 смены</t>
  </si>
  <si>
    <t>Общая сумма инкассации ц14: 7 201 000 сум за февраль</t>
  </si>
  <si>
    <t xml:space="preserve">Прибыль нал: 36 153 000 сум  </t>
  </si>
  <si>
    <t>от 12.03.2025</t>
  </si>
  <si>
    <t>Оплата за R-Keeper за март (2 кофейни)</t>
  </si>
  <si>
    <t>Сэндвичи - 3 шт</t>
  </si>
  <si>
    <t>Печенье овсяное - 30шт</t>
  </si>
  <si>
    <t>Сироп ваниль - 1415гр</t>
  </si>
  <si>
    <t>Топинг облепиха - 1055гр</t>
  </si>
  <si>
    <t>Топинг лесные ягоды - 1050гр</t>
  </si>
  <si>
    <t>Муравейники - 5 упк</t>
  </si>
  <si>
    <t>Кофейные орешки - 5 упк</t>
  </si>
  <si>
    <t>яблоки - 2876гр</t>
  </si>
  <si>
    <t>апельсины - 3428гр</t>
  </si>
  <si>
    <t>лимоны - 1928гр</t>
  </si>
  <si>
    <t>имбирь - 488гр</t>
  </si>
  <si>
    <t>мята -4пуч</t>
  </si>
  <si>
    <t xml:space="preserve">сэндвичи - 4шт </t>
  </si>
  <si>
    <t>сироп роза - 1405гр</t>
  </si>
  <si>
    <t>сироп гренадин - 1365гр</t>
  </si>
  <si>
    <t>сироп манго - 1440гр</t>
  </si>
  <si>
    <t xml:space="preserve">Аслан </t>
  </si>
  <si>
    <t>Муравейники - 10 упк</t>
  </si>
  <si>
    <t>Алексия\Мехри</t>
  </si>
  <si>
    <t>Алексия/Мехри</t>
  </si>
  <si>
    <t>яблоки - 2654гр</t>
  </si>
  <si>
    <t>морковь - 886гр</t>
  </si>
  <si>
    <t>овсяные печьки - 20шт</t>
  </si>
  <si>
    <t>Зарплата Алексии за 12 смен (-офиц зп 1 155 000 сум)</t>
  </si>
  <si>
    <t xml:space="preserve">Зарплата Вике за 4 смены </t>
  </si>
  <si>
    <t>чеки для R Keeper - 12шт</t>
  </si>
  <si>
    <t>Зарплата Аслану за 8 смен</t>
  </si>
  <si>
    <t>апельсины - 4406гр</t>
  </si>
  <si>
    <t>Зарплата Мехри за 4 смены</t>
  </si>
  <si>
    <t>яблоки - т2348гр</t>
  </si>
  <si>
    <t>стикеры - 3уп</t>
  </si>
  <si>
    <t>топинг ягодный - 1050гр</t>
  </si>
  <si>
    <t>топинг голубика - 1070гр</t>
  </si>
  <si>
    <t>имбирь - 480гр</t>
  </si>
  <si>
    <t>яблоки - 3188гр</t>
  </si>
  <si>
    <t>лимоны - 1852гр</t>
  </si>
  <si>
    <t>морковь - 1542гр</t>
  </si>
  <si>
    <t>бананы - 1184гр</t>
  </si>
  <si>
    <t>мята  - 10пуч</t>
  </si>
  <si>
    <t>апельсины - 4592гр</t>
  </si>
  <si>
    <t>вода с газом - 12 шт</t>
  </si>
  <si>
    <t>Зарплата Алексии за 5 смен</t>
  </si>
  <si>
    <t>сироп ваниль - 1397гр</t>
  </si>
  <si>
    <t>апельсины - 3392гр</t>
  </si>
  <si>
    <t>лимоны - 1960гр</t>
  </si>
  <si>
    <t>ср-во от засоров</t>
  </si>
  <si>
    <t>полотенце  для рук - 2шт</t>
  </si>
  <si>
    <t>апельсины - 3786гр</t>
  </si>
  <si>
    <t xml:space="preserve">сах. Зам </t>
  </si>
  <si>
    <t>морковь - 1016гр</t>
  </si>
  <si>
    <t>Вика/Джахонгир</t>
  </si>
  <si>
    <t>муравейники - 4уп</t>
  </si>
  <si>
    <t>Мехри</t>
  </si>
  <si>
    <t>Зарплата Виктории за 7 смен +  1 смена Сайрам</t>
  </si>
  <si>
    <t xml:space="preserve">Зарплата Джахонгиру за 2 смены </t>
  </si>
  <si>
    <t xml:space="preserve">Зарплата Аслану за 9 смен </t>
  </si>
  <si>
    <t>мороженое -1кг</t>
  </si>
  <si>
    <t>Зарплата Дамиру за 12 смен (- офиц зп 1155 000 сум)</t>
  </si>
  <si>
    <t>бананы - 1526гр</t>
  </si>
  <si>
    <t>имбирь - 348гр</t>
  </si>
  <si>
    <t>Зарплата Мадине за 3 смены</t>
  </si>
  <si>
    <t>Сэндвичи -10шт</t>
  </si>
  <si>
    <t>Топинг облепиха - 1043гр</t>
  </si>
  <si>
    <t>Топинг лесные ягоды - 1040гр</t>
  </si>
  <si>
    <t xml:space="preserve">Аренда Ганга </t>
  </si>
  <si>
    <t>Общая сумма инкассации ц14: 11 577 000 сум за март</t>
  </si>
  <si>
    <t>Американский какао (долг 366 дол)</t>
  </si>
  <si>
    <t xml:space="preserve">Прибыль нал:  29 521 000 сум  </t>
  </si>
  <si>
    <t>от 12.04.2025</t>
  </si>
  <si>
    <t>трубочки</t>
  </si>
  <si>
    <t>Red Bull - 7шт</t>
  </si>
  <si>
    <t>Coca Cola - 10in</t>
  </si>
  <si>
    <t>сахар 5кг</t>
  </si>
  <si>
    <t>морковь - 904гр</t>
  </si>
  <si>
    <t>яблоки - 2271гр</t>
  </si>
  <si>
    <t>сироп соленая карамель - 1065гр</t>
  </si>
  <si>
    <t>топинг малиина - 1075гр</t>
  </si>
  <si>
    <t>сироп шоколад - 1415гр</t>
  </si>
  <si>
    <t>Мадина/Джахонгир</t>
  </si>
  <si>
    <t>сироп гренадин - 1925гр</t>
  </si>
  <si>
    <t>хумо оплата сим</t>
  </si>
  <si>
    <t>сахарница</t>
  </si>
  <si>
    <t>морковь - 1704гр</t>
  </si>
  <si>
    <t>апельсины - 5486гр</t>
  </si>
  <si>
    <t>яблоки - 3506гр</t>
  </si>
  <si>
    <t>бананы - 1498гр</t>
  </si>
  <si>
    <t>капхолдер -150шт</t>
  </si>
  <si>
    <t>Дамир/Джахонгир</t>
  </si>
  <si>
    <t>доставка сэндвичи</t>
  </si>
  <si>
    <t>Оплата телефон и интернет</t>
  </si>
  <si>
    <t>лимоны - 1848гр</t>
  </si>
  <si>
    <t>апельсины - 4962гр</t>
  </si>
  <si>
    <t>имбирь - 340гр</t>
  </si>
  <si>
    <t>яблоки - 3046гр</t>
  </si>
  <si>
    <t>сахар -- 4кг</t>
  </si>
  <si>
    <t>морковь -1640гр</t>
  </si>
  <si>
    <t>мелок от насекомых</t>
  </si>
  <si>
    <t>сироп карамель - 1435гр</t>
  </si>
  <si>
    <t>сироп мохито - 3865гр</t>
  </si>
  <si>
    <t>топинг клубника - 1075гр</t>
  </si>
  <si>
    <t>топинг ягодный - 1010гр</t>
  </si>
  <si>
    <t>морковь - 2418гр</t>
  </si>
  <si>
    <t>апельсины - 5128гр</t>
  </si>
  <si>
    <t>яблоки - 3242гр</t>
  </si>
  <si>
    <t>бананы - 2410гр</t>
  </si>
  <si>
    <t>зеленый чай - 25шт</t>
  </si>
  <si>
    <t>распечатка отченых листов - 30шт</t>
  </si>
  <si>
    <t>лимоны - 1754гр</t>
  </si>
  <si>
    <t>шоколадные печеньки  - 25шт</t>
  </si>
  <si>
    <t>апельсины - 2510</t>
  </si>
  <si>
    <t>Зарплата Джахониру за 10 смен</t>
  </si>
  <si>
    <t>Мадина/Мехри</t>
  </si>
  <si>
    <t>Зарплата Мадине за 9 смен</t>
  </si>
  <si>
    <t xml:space="preserve">Зарплата Виктории за 11 смен ( - офиц зп 1 026 000 сум) </t>
  </si>
  <si>
    <t>имбирь - 409гр</t>
  </si>
  <si>
    <t>ср-во для помуды</t>
  </si>
  <si>
    <t>черный чай- 300шт</t>
  </si>
  <si>
    <t>Брауни - 20шт</t>
  </si>
  <si>
    <t>Сироп ваниль  - 1415гр</t>
  </si>
  <si>
    <t>Сироп вишня - 1415гр</t>
  </si>
  <si>
    <t>топинг облепиха - 2180гр</t>
  </si>
  <si>
    <t>Мехри/Мадина</t>
  </si>
  <si>
    <t>мороженое -2кг</t>
  </si>
  <si>
    <t>лимоны - 1416гр</t>
  </si>
  <si>
    <t>бананы - 2628гр</t>
  </si>
  <si>
    <t>апельсины - 4350гр</t>
  </si>
  <si>
    <t>Покупка картин - 2шт</t>
  </si>
  <si>
    <t>мята -3пуч</t>
  </si>
  <si>
    <t>сэндвичи - 10ш</t>
  </si>
  <si>
    <t>апельсины - 4334гр</t>
  </si>
  <si>
    <t>яблоки - 2378гр</t>
  </si>
  <si>
    <t>морковь - 1762гр</t>
  </si>
  <si>
    <t>имбирь - 342гр</t>
  </si>
  <si>
    <t>чеки для R-Keeper - 12шт</t>
  </si>
  <si>
    <t xml:space="preserve">За цементирование дырок </t>
  </si>
  <si>
    <t>лимоны - 1982гр</t>
  </si>
  <si>
    <t>бананы  - 2318гр</t>
  </si>
  <si>
    <t>апельсины - 6095гр</t>
  </si>
  <si>
    <t xml:space="preserve">Джахонгир </t>
  </si>
  <si>
    <t>Зарплата Джахонгиру за 10 смен</t>
  </si>
  <si>
    <t>Зарплата Мехри за 8 смен</t>
  </si>
  <si>
    <t xml:space="preserve">Зарплата Дамиру за 9 смен (- офиц зп 1 155 000 сум)  </t>
  </si>
  <si>
    <t xml:space="preserve">Зарплата Вике за 1 смену </t>
  </si>
  <si>
    <t>шоты - 4шт</t>
  </si>
  <si>
    <t>апельсины - 5446гр</t>
  </si>
  <si>
    <t>морковь - 2кг</t>
  </si>
  <si>
    <t>яблоки - 2542гр</t>
  </si>
  <si>
    <t>апельсины - 6860гр</t>
  </si>
  <si>
    <t>бананы - 2344гр</t>
  </si>
  <si>
    <t>лимоны - 2112гр</t>
  </si>
  <si>
    <t>Сироп гранат - 1450гр</t>
  </si>
  <si>
    <t>Сироп шоколад - 1420гр</t>
  </si>
  <si>
    <t>Сироп карамель - 1440гр</t>
  </si>
  <si>
    <t>Ягодный топинг - 2170гр</t>
  </si>
  <si>
    <t>Оплата за R-Keeper за апрель (2 кофейни)</t>
  </si>
  <si>
    <t>Разработка меню и логотипа</t>
  </si>
  <si>
    <t>Американский какао (266 дол долг)</t>
  </si>
  <si>
    <t>Общая сумма инкассации ц14: 10 469 000 сум за апрель</t>
  </si>
  <si>
    <t xml:space="preserve">Прибыль нал:  28 829 000 сум  </t>
  </si>
  <si>
    <t>от 14.05.2025</t>
  </si>
  <si>
    <t>бананы - 1902гр</t>
  </si>
  <si>
    <t>яблоки - 3200гр</t>
  </si>
  <si>
    <t>доставка стаканчиков</t>
  </si>
  <si>
    <t>сингл стаканчика - 400шт</t>
  </si>
  <si>
    <t>апельсины - 6875гр</t>
  </si>
  <si>
    <t>бананы - 1810гр</t>
  </si>
  <si>
    <t xml:space="preserve">сироп ваниль - </t>
  </si>
  <si>
    <t xml:space="preserve">сироп гренадин - </t>
  </si>
  <si>
    <t xml:space="preserve">сироп банан - </t>
  </si>
  <si>
    <t>черный чай - 3уп</t>
  </si>
  <si>
    <t>ремонт  холодильника</t>
  </si>
  <si>
    <t>апельсины - 7155гр</t>
  </si>
  <si>
    <t>яблоки - 3720гр</t>
  </si>
  <si>
    <t>химия для машинки - 4шт</t>
  </si>
  <si>
    <t>Coca Cola - 8 шт</t>
  </si>
  <si>
    <t>пакеты рулон</t>
  </si>
  <si>
    <t>сухие салфетки - 16шт</t>
  </si>
  <si>
    <t>Яблоки - 2026гр</t>
  </si>
  <si>
    <t>Апельсины - 2714гр</t>
  </si>
  <si>
    <t xml:space="preserve">Мороженое - 1кг </t>
  </si>
  <si>
    <t>Морковь - 1кг</t>
  </si>
  <si>
    <t>имята - 3пуч</t>
  </si>
  <si>
    <t>апельсины - 6390гр</t>
  </si>
  <si>
    <t>бананы - 2128гр</t>
  </si>
  <si>
    <t>сэндвичи - 1шт</t>
  </si>
  <si>
    <t>Сабина/Юлдуз</t>
  </si>
  <si>
    <t>сироп мохито - 1930гр</t>
  </si>
  <si>
    <t>яблоки - 4392гр</t>
  </si>
  <si>
    <t>мыло жидкое</t>
  </si>
  <si>
    <t>морковь - 1090гр</t>
  </si>
  <si>
    <t>Мехри/Юлдуз</t>
  </si>
  <si>
    <t>долг с буз базар</t>
  </si>
  <si>
    <t>бананы - 3132гр</t>
  </si>
  <si>
    <t>кексы - 6шт</t>
  </si>
  <si>
    <t>Зарплата Сабина за 12.05.2025</t>
  </si>
  <si>
    <t>Зарплата Мехри за 12 смен</t>
  </si>
  <si>
    <t>Зарплата Мадине за 10 смен</t>
  </si>
  <si>
    <t>имбирь - 415гр</t>
  </si>
  <si>
    <t xml:space="preserve">Зарплата Вике за 2 смены </t>
  </si>
  <si>
    <t>Зарплата Юлдуз за 4 смены</t>
  </si>
  <si>
    <t>вода с зазом 1,5л</t>
  </si>
  <si>
    <t>вода - 2шт 1,5л</t>
  </si>
  <si>
    <t>лимоны - 1636гр</t>
  </si>
  <si>
    <t>днь</t>
  </si>
  <si>
    <t>бананы - 3866гр</t>
  </si>
  <si>
    <t>апельсины - 6310гр</t>
  </si>
  <si>
    <t>сироп маракуйя - 1430гр</t>
  </si>
  <si>
    <t>сироп соленая карамель - 1060гр</t>
  </si>
  <si>
    <t>топинг облепиха - 1140гр</t>
  </si>
  <si>
    <t>топинг малина - 1145гр</t>
  </si>
  <si>
    <t>морковь -1610гр</t>
  </si>
  <si>
    <t>яблоки - 2192гр</t>
  </si>
  <si>
    <t>мед - 200гр</t>
  </si>
  <si>
    <t>яблоки - 2813гр</t>
  </si>
  <si>
    <t>муравейни ки - 10шт</t>
  </si>
  <si>
    <t>сироп вани ль - 1440гр</t>
  </si>
  <si>
    <t>апельсины - 6985гр</t>
  </si>
  <si>
    <t>сингл стаканчики - 450шт</t>
  </si>
  <si>
    <t>бананы - 2680гр</t>
  </si>
  <si>
    <t>лимоны - 1648гр</t>
  </si>
  <si>
    <t>морковь - 964гр</t>
  </si>
  <si>
    <t>апельсины -  6205гр</t>
  </si>
  <si>
    <t>сироа гренадин - 1445гр</t>
  </si>
  <si>
    <t>сироп банан - 1420гр</t>
  </si>
  <si>
    <t xml:space="preserve">сэндвичи - 9шт </t>
  </si>
  <si>
    <t>пакеты для мусора - 8шт</t>
  </si>
  <si>
    <t>стажер</t>
  </si>
  <si>
    <t>яблоки - 3074гр</t>
  </si>
  <si>
    <t>апельсины - 3924гр</t>
  </si>
  <si>
    <t>лайм - 2шт</t>
  </si>
  <si>
    <t>апельсины - 5078гр</t>
  </si>
  <si>
    <t>имбирь - 398гр</t>
  </si>
  <si>
    <t>морковь - 1640гр</t>
  </si>
  <si>
    <t>яблоки - 3081гр</t>
  </si>
  <si>
    <t>Мехри/Мадина 2</t>
  </si>
  <si>
    <t>батарепйки</t>
  </si>
  <si>
    <t xml:space="preserve">Зарплата Дамиру за 14 смен (- офиц зп 1 155 000 сум) </t>
  </si>
  <si>
    <t>сироп манго - 1430гр</t>
  </si>
  <si>
    <t>Зарплата Мехри за 10 смен</t>
  </si>
  <si>
    <t>Зарплата Юлдуз 1 смена</t>
  </si>
  <si>
    <t>Зарплата Мадине (стажер) за 2 смены</t>
  </si>
  <si>
    <t xml:space="preserve">Зарплата Мадине за 8 смен </t>
  </si>
  <si>
    <t>Зарплата Кристине за закуп и отчеты (- офиц зп 1.155.000 сум) + дор. Расход</t>
  </si>
  <si>
    <t>Зарплата Виктории за  4смены</t>
  </si>
  <si>
    <t>Общая сумма инкассации ц14:  6 653 000 сум за май</t>
  </si>
  <si>
    <t xml:space="preserve">Прибыль нал: 33 492 000 сум  </t>
  </si>
  <si>
    <t>от 09.06.2025</t>
  </si>
  <si>
    <t>яблоки - 3776гр</t>
  </si>
  <si>
    <t>лимоны - 1424гр</t>
  </si>
  <si>
    <t>бананы - 3002гр</t>
  </si>
  <si>
    <t>мед - 50гр</t>
  </si>
  <si>
    <t>апельсины - 7530гр</t>
  </si>
  <si>
    <t>заправка балона газом</t>
  </si>
  <si>
    <t>морковь - 1802гр</t>
  </si>
  <si>
    <t>апельсины - 5172гр</t>
  </si>
  <si>
    <t>яблоки - 3344гр</t>
  </si>
  <si>
    <t>лимоны  - 1040гр</t>
  </si>
  <si>
    <t>бананы - 2104гр</t>
  </si>
  <si>
    <t>бананы - 2170гр</t>
  </si>
  <si>
    <t>яблоки - 3766гр</t>
  </si>
  <si>
    <t>апельсины - 6115гр</t>
  </si>
  <si>
    <t>контейнеры для орешков  - 100шт</t>
  </si>
  <si>
    <t>шоколадные печеньки -40т</t>
  </si>
  <si>
    <t>овсяные печеньки - 30шт</t>
  </si>
  <si>
    <t xml:space="preserve">Муравейники - 10 упк </t>
  </si>
  <si>
    <t xml:space="preserve">Вода 0,3 мл - 24 шт </t>
  </si>
  <si>
    <t>модем</t>
  </si>
  <si>
    <t>сироп ваниль - 1450гр</t>
  </si>
  <si>
    <t>сироп гренадин - 1445гр</t>
  </si>
  <si>
    <t>сироп вишня - 1445гр</t>
  </si>
  <si>
    <t>кофейные орешки -5уп</t>
  </si>
  <si>
    <t>Red Bull - 10in</t>
  </si>
  <si>
    <t>пакеты для мусора -10уп</t>
  </si>
  <si>
    <t>яблоки - 3272 гр</t>
  </si>
  <si>
    <t>бананы - 1676гр</t>
  </si>
  <si>
    <t>лимоны - 1528гр</t>
  </si>
  <si>
    <t>Юлдуз</t>
  </si>
  <si>
    <t xml:space="preserve">топинг клубника - </t>
  </si>
  <si>
    <t>Мадина 2</t>
  </si>
  <si>
    <t xml:space="preserve">Установка кондиционера </t>
  </si>
  <si>
    <t>Зарплата Мехри за 11 смен</t>
  </si>
  <si>
    <t>морковь - 2010гр</t>
  </si>
  <si>
    <t xml:space="preserve">Зарплата Юлдуз за 1 смену </t>
  </si>
  <si>
    <t>бананы - 3186гр</t>
  </si>
  <si>
    <t xml:space="preserve">Зарплата Мадине 2 за 8 смен + 2 смен (Буз Базар)  </t>
  </si>
  <si>
    <t>яблоки - 3442гр</t>
  </si>
  <si>
    <t>апельсины - 7755гр</t>
  </si>
  <si>
    <t>апельсины - 2584гр</t>
  </si>
  <si>
    <t>сироп личи - 1410гр</t>
  </si>
  <si>
    <t>лимоны - 2060гр</t>
  </si>
  <si>
    <t>бананы - 2036гр</t>
  </si>
  <si>
    <t>терм чеки - 12шт</t>
  </si>
  <si>
    <t>терм чеки мал - 32шт</t>
  </si>
  <si>
    <t>коныерты - 10шт</t>
  </si>
  <si>
    <t>бананы - 3204гр</t>
  </si>
  <si>
    <t>морковь -2218гр</t>
  </si>
  <si>
    <t>яблоки - 2668гр</t>
  </si>
  <si>
    <t>сироп ваниль - 1435гр</t>
  </si>
  <si>
    <t>топинг шоколад - 1075гр</t>
  </si>
  <si>
    <t>яблоки - 3254гр</t>
  </si>
  <si>
    <t>топинг облепиха - 5шт</t>
  </si>
  <si>
    <t>топинг малина - 5шт</t>
  </si>
  <si>
    <t>торинг клубника - 5шт</t>
  </si>
  <si>
    <t>топинг ягодный - 5шт</t>
  </si>
  <si>
    <t>мороженое</t>
  </si>
  <si>
    <t>апельсины - 5116гр</t>
  </si>
  <si>
    <t>яблоки - 3712гр</t>
  </si>
  <si>
    <t>морковь - 1854гр</t>
  </si>
  <si>
    <t>сахао - 4кг</t>
  </si>
  <si>
    <t>имбирь - 410гр</t>
  </si>
  <si>
    <t>доставка сироп</t>
  </si>
  <si>
    <t>оасяное печенье  - и15щт</t>
  </si>
  <si>
    <t>коктельные трубочки - 2уп</t>
  </si>
  <si>
    <t>вода с газом 0,5 -12шт</t>
  </si>
  <si>
    <t>лайм  - 4шт</t>
  </si>
  <si>
    <t>яблоки -3566гр</t>
  </si>
  <si>
    <t>морковь - 17108гр</t>
  </si>
  <si>
    <t>долг буз базар зп Мадина 2</t>
  </si>
  <si>
    <t>бананы - 2386гр</t>
  </si>
  <si>
    <t>Зарплата Мехри за 13 смен</t>
  </si>
  <si>
    <t>Зарплата Мадине за 7 смен</t>
  </si>
  <si>
    <t>Зарплата Дамиру за 17 смен (-офиц зп 1 155 000 сум)</t>
  </si>
  <si>
    <t>лимоны - 1378гр</t>
  </si>
  <si>
    <t>апельсины - 5156гр</t>
  </si>
  <si>
    <t>Кондиционер</t>
  </si>
  <si>
    <t>от 09.07.2025</t>
  </si>
  <si>
    <t>Общая сумма инкассации ц14: 4 179 000 сум за июнь</t>
  </si>
  <si>
    <t xml:space="preserve">Прибыль нал:  24 027 000 сум  </t>
  </si>
  <si>
    <t xml:space="preserve">сэндвичи - 2шт </t>
  </si>
  <si>
    <t>апельсины - 5862гр</t>
  </si>
  <si>
    <t>морковь -2268гр</t>
  </si>
  <si>
    <t>яблоки -4908гр</t>
  </si>
  <si>
    <t>бананы - 2804гр</t>
  </si>
  <si>
    <t>Мехри/Мурад</t>
  </si>
  <si>
    <t>сироп лесной орех - 1415гр</t>
  </si>
  <si>
    <t>сироп карамель - 1450гр</t>
  </si>
  <si>
    <t>бананы - 1772гр</t>
  </si>
  <si>
    <t>апельсины - 4176гр</t>
  </si>
  <si>
    <t>газ вода</t>
  </si>
  <si>
    <t>брауни  - 18шт</t>
  </si>
  <si>
    <t>Red Bull -  10шт</t>
  </si>
  <si>
    <t>морковь - 2192гр</t>
  </si>
  <si>
    <t>лимон - 1480гр</t>
  </si>
  <si>
    <t>апельсины - 8000гр</t>
  </si>
  <si>
    <t>яблоки - 4772гр</t>
  </si>
  <si>
    <t>бананы - 3436гр</t>
  </si>
  <si>
    <t>батарейки для таймера</t>
  </si>
  <si>
    <t>апельсины - 6940гр</t>
  </si>
  <si>
    <t>лайм  - 3шт</t>
  </si>
  <si>
    <t>морковь  - 1492гр</t>
  </si>
  <si>
    <t>Мадина/Мурад</t>
  </si>
  <si>
    <t>сироп мята - 1945гр</t>
  </si>
  <si>
    <t>сироп гренадин - 1935гр</t>
  </si>
  <si>
    <t>сироп шоколад -1935гр</t>
  </si>
  <si>
    <t>Мурад</t>
  </si>
  <si>
    <t>морковь - 2518гр</t>
  </si>
  <si>
    <t>бананы - 2388гр</t>
  </si>
  <si>
    <t>яблоки - 3978гр</t>
  </si>
  <si>
    <t>апельсины - 5812гр</t>
  </si>
  <si>
    <t>вода с газом</t>
  </si>
  <si>
    <t>Зарплата Мадине за 13 смен</t>
  </si>
  <si>
    <t>Зарплата Мураду за 11 смен</t>
  </si>
  <si>
    <t>бананы - 3704гр</t>
  </si>
  <si>
    <t>яблоки - 2430гр</t>
  </si>
  <si>
    <t>лимоны - 1402гр</t>
  </si>
  <si>
    <t>апельсины - 5426гр</t>
  </si>
  <si>
    <t>морковь - 2624гр</t>
  </si>
  <si>
    <t>яблоки - 4762гр</t>
  </si>
  <si>
    <t>муравейники - 2шт</t>
  </si>
  <si>
    <t>Red Bull - 5шт</t>
  </si>
  <si>
    <t>сироп мохито - 3900гр</t>
  </si>
  <si>
    <t>скрепка</t>
  </si>
  <si>
    <t>скобы для степлера</t>
  </si>
  <si>
    <t>имбирь - 498гр</t>
  </si>
  <si>
    <t>яблоки - 3854гр</t>
  </si>
  <si>
    <t>апельсины - 5682гр</t>
  </si>
  <si>
    <t>брауни - 18шт</t>
  </si>
  <si>
    <t>морковь - 2850гр</t>
  </si>
  <si>
    <t>яблоки - 4682гр</t>
  </si>
  <si>
    <t>апельсины - 7795гр</t>
  </si>
  <si>
    <t>Сироп маракуйя - 1425гр</t>
  </si>
  <si>
    <t>Сироп манго - 1440гр</t>
  </si>
  <si>
    <t>Отчетные листы - 50шт</t>
  </si>
  <si>
    <t>ночь0</t>
  </si>
  <si>
    <t>лимоны - 1414гр</t>
  </si>
  <si>
    <t>морковь - 1884гр</t>
  </si>
  <si>
    <t>ябллки - 3606гр</t>
  </si>
  <si>
    <t>сах. Зам</t>
  </si>
  <si>
    <t>кофейные орешки  - 5уп</t>
  </si>
  <si>
    <t>батончики -  63шт</t>
  </si>
  <si>
    <t>профилактика кофемашины</t>
  </si>
  <si>
    <t xml:space="preserve">мед - </t>
  </si>
  <si>
    <t>трубочки - 3уп</t>
  </si>
  <si>
    <t>контейнеры для орешков - 1уп</t>
  </si>
  <si>
    <t>ср-во от засоров - 3уп</t>
  </si>
  <si>
    <t>ср-во от засоров  гель</t>
  </si>
  <si>
    <t>сироп гренадин - 3895гр</t>
  </si>
  <si>
    <t>сироп соленая карамель - 1955гр</t>
  </si>
  <si>
    <t>морковь - 3026гр</t>
  </si>
  <si>
    <t>яблоки - 3718гр</t>
  </si>
  <si>
    <t>бананы - 3618гр</t>
  </si>
  <si>
    <t>апельсины - 6015гр</t>
  </si>
  <si>
    <t>мусорные пакеты</t>
  </si>
  <si>
    <t>морковь - 2496гр</t>
  </si>
  <si>
    <t>яблоки - 4050гр</t>
  </si>
  <si>
    <t xml:space="preserve">Зарплата Мадине за 11 смен </t>
  </si>
  <si>
    <t>Зарплата Мадине 2 за 1 смену</t>
  </si>
  <si>
    <t>сироп кокос - 1435 гр</t>
  </si>
  <si>
    <t>сироп банан - 1420 гр</t>
  </si>
  <si>
    <t xml:space="preserve">Зарплата Умиде за 8 смен  </t>
  </si>
  <si>
    <t>Зарплата Мадине 2 за 2 смены + зп на Сайраме</t>
  </si>
  <si>
    <t>Общая сумма инкассации ц14: 3 614 000 сум за июль</t>
  </si>
  <si>
    <t>Оплата за R-Keeper за июнь (2 кофейни)</t>
  </si>
  <si>
    <t>Оплата за R-Keeper за июль (2 кофейни)</t>
  </si>
  <si>
    <t>Аренда за июль</t>
  </si>
  <si>
    <t>Блок питание для R-Keeper</t>
  </si>
  <si>
    <t>от 11.08.2025</t>
  </si>
  <si>
    <t>Прибыль нал:  28 149 000 сум  + 2 386 000 сум (доп сняла 08.08) = 30 535 000 сум</t>
  </si>
  <si>
    <t>Зарплата Мехри за 10 смен (- офиц зп       346 000 сум)</t>
  </si>
  <si>
    <t xml:space="preserve">Умида </t>
  </si>
  <si>
    <t>Кофейные орешки - 5 упаковок</t>
  </si>
  <si>
    <t xml:space="preserve">За провод элекстричества </t>
  </si>
  <si>
    <t>Мытье окон</t>
  </si>
  <si>
    <t>Яблоки - 4635 гр</t>
  </si>
  <si>
    <t>Лимоны - 1560 гр</t>
  </si>
  <si>
    <t>Морковь - 2065 гр</t>
  </si>
  <si>
    <t>Апельсины - 5310 гр</t>
  </si>
  <si>
    <t>Имбирь - 312гр</t>
  </si>
  <si>
    <t>Мехри/Мадина2</t>
  </si>
  <si>
    <t>бананы - 4740гр</t>
  </si>
  <si>
    <t>морковь - 2618гр</t>
  </si>
  <si>
    <t>черный чай - 100</t>
  </si>
  <si>
    <t>яблоки - 4808гр</t>
  </si>
  <si>
    <t>апельсины - 6335гр</t>
  </si>
  <si>
    <t>яблоки - 4898гр</t>
  </si>
  <si>
    <t>морковь - 2954гр</t>
  </si>
  <si>
    <t>черные трубочки - 3уп</t>
  </si>
  <si>
    <t>морковь - 2378гр</t>
  </si>
  <si>
    <t>яблоки -3450гр</t>
  </si>
  <si>
    <t>Ремонт моноблока на R-Keeper</t>
  </si>
  <si>
    <t>Мадина2</t>
  </si>
  <si>
    <t>морковь - 2164гр</t>
  </si>
  <si>
    <t>яблоки - 4730гр</t>
  </si>
  <si>
    <t>апельсины - 6355гр</t>
  </si>
  <si>
    <t>сухие салфетки -1уп</t>
  </si>
  <si>
    <t>лимоны - 1596гр</t>
  </si>
  <si>
    <t>яблоки - 4698гр</t>
  </si>
  <si>
    <t>морковь - 2892гр</t>
  </si>
  <si>
    <t>апельсины - 6235гр</t>
  </si>
  <si>
    <t>дорога Фаррух</t>
  </si>
  <si>
    <t>Зп Мадина 2 за 3 смены</t>
  </si>
  <si>
    <t>доставка терминала</t>
  </si>
  <si>
    <t>яблоки - 4580гр</t>
  </si>
  <si>
    <t>бананы -и 2268гр</t>
  </si>
  <si>
    <t xml:space="preserve">Зарплата Мадине (ночь) за 13 смен </t>
  </si>
  <si>
    <t>имбирь - 482гр</t>
  </si>
  <si>
    <t xml:space="preserve">Зарплата Мехри за 11 смен (- офиц зп 1 155 000 сум) </t>
  </si>
  <si>
    <t>чистка канализации</t>
  </si>
  <si>
    <t>апельсины - 4380гр</t>
  </si>
  <si>
    <t>морожное -2кг</t>
  </si>
  <si>
    <t>бумага для R Keeper - 6шт</t>
  </si>
  <si>
    <t>апельсины - 5700гр</t>
  </si>
  <si>
    <t>лимоны - 1600гр</t>
  </si>
  <si>
    <t>яблоки - 2340гр</t>
  </si>
  <si>
    <t>морковь - 2404гр</t>
  </si>
  <si>
    <t>сахар</t>
  </si>
  <si>
    <t>мята - 4шт</t>
  </si>
  <si>
    <t>яблоки - 2968гр</t>
  </si>
  <si>
    <t>сироп банан</t>
  </si>
  <si>
    <t>шоколадные печеньки - 40шт</t>
  </si>
  <si>
    <t>овсянные печеньки - 40шт</t>
  </si>
  <si>
    <t>дорожные Азамат</t>
  </si>
  <si>
    <t>апельсины - 5734гр</t>
  </si>
  <si>
    <t>дорожные Яна</t>
  </si>
  <si>
    <t>сэндвичи  - 9шт</t>
  </si>
  <si>
    <t>яблоки - 4122гр</t>
  </si>
  <si>
    <t>лайм - 7шт</t>
  </si>
  <si>
    <t>бананы - 2140гр</t>
  </si>
  <si>
    <t>апельсины - 5922гр</t>
  </si>
  <si>
    <t>Мадина/Азамат</t>
  </si>
  <si>
    <t>контейнеры для орешек - 50шт</t>
  </si>
  <si>
    <t>морковь - 2298гр</t>
  </si>
  <si>
    <t>горячий шоколад - 3шт</t>
  </si>
  <si>
    <t>печеньки шоколадные - 20шт</t>
  </si>
  <si>
    <t>брауни - 14шт</t>
  </si>
  <si>
    <t>лимоны - 1750гр</t>
  </si>
  <si>
    <t>яблоки - 4490гр</t>
  </si>
  <si>
    <t>апельсины - 6205</t>
  </si>
  <si>
    <t>Умида/Азамат</t>
  </si>
  <si>
    <t>морковь - 2060гр</t>
  </si>
  <si>
    <t>пакеты для мучора</t>
  </si>
  <si>
    <t>апельсины - 5880гр</t>
  </si>
  <si>
    <t>яблоки - 3318гр</t>
  </si>
  <si>
    <t>Зарплата Мехри за 15 смен</t>
  </si>
  <si>
    <t xml:space="preserve">Зарплата Азамат за 6 смен </t>
  </si>
  <si>
    <t>Оплата за телефон и интернет</t>
  </si>
  <si>
    <t>Общая сумма инкассации ц14:  3 509 000 сум за август</t>
  </si>
  <si>
    <t>Прибыль нал:  36 209 000 сум  + 3 491 000 сум (доп сняла со счета 08.09) = 39 700 000 сум</t>
  </si>
  <si>
    <t>от 10.09.2025</t>
  </si>
  <si>
    <t>сироп карамель - 1287</t>
  </si>
  <si>
    <t>мед - 1000гр</t>
  </si>
  <si>
    <t>морковь - 2970гр</t>
  </si>
  <si>
    <t>имбирь - 326гр</t>
  </si>
  <si>
    <t>яблоки - 5338гр</t>
  </si>
  <si>
    <t>апельсины - 6030гр</t>
  </si>
  <si>
    <t>лимоны - 1420гр</t>
  </si>
  <si>
    <t>бананы - 2564гр</t>
  </si>
  <si>
    <t>сироп мохито- 1925гр</t>
  </si>
  <si>
    <t>сироп гранат - 1940гр</t>
  </si>
  <si>
    <t>апельсины - 6245гр</t>
  </si>
  <si>
    <t>Яблоки - 2360гр</t>
  </si>
  <si>
    <t>Пакеты для мусора - 5упк</t>
  </si>
  <si>
    <t>Взбитые сливки - 1 шт</t>
  </si>
  <si>
    <t>Вода с газом - 12шт</t>
  </si>
  <si>
    <t>Апельсины - 5402гр</t>
  </si>
  <si>
    <t>налоговая</t>
  </si>
  <si>
    <t>терминальные чеки - 16шт</t>
  </si>
  <si>
    <t>яблоки - 5158гр</t>
  </si>
  <si>
    <t>морковь - 3336гр</t>
  </si>
  <si>
    <t>апельсины - 8065гр</t>
  </si>
  <si>
    <t>Сэндвичи - 6 шт</t>
  </si>
  <si>
    <t>лимоны - 1578гр</t>
  </si>
  <si>
    <t>имбирь - 272гр</t>
  </si>
  <si>
    <t>муравейники  - 10шт</t>
  </si>
  <si>
    <t>бананы - 2466гр</t>
  </si>
  <si>
    <t>апельсины - 6360гр</t>
  </si>
  <si>
    <t>Зарплата Мехри за 12 смен (- офиц зп 1 155 000 сум)</t>
  </si>
  <si>
    <t>яблоки - 4334гр</t>
  </si>
  <si>
    <t xml:space="preserve">Зарплата Умиде за 3 смены </t>
  </si>
  <si>
    <t>апельсины - 5270гр</t>
  </si>
  <si>
    <t>сироп карамель - 1420гр</t>
  </si>
  <si>
    <t>черный чай - 300шт</t>
  </si>
  <si>
    <t>одноразовые перчатки - 4ур</t>
  </si>
  <si>
    <t>пакеты для мусора - 12шт</t>
  </si>
  <si>
    <t>корица</t>
  </si>
  <si>
    <t>морковь - 1616гр</t>
  </si>
  <si>
    <t>лимоны - 1544гр</t>
  </si>
  <si>
    <t>имбирь - 418гр</t>
  </si>
  <si>
    <t>врда с газом</t>
  </si>
  <si>
    <t>апельсины - 4742гр</t>
  </si>
  <si>
    <t>Мехри\Исмаил</t>
  </si>
  <si>
    <t>Апельсины - 7242гр</t>
  </si>
  <si>
    <t>Яблоки - 4352гр</t>
  </si>
  <si>
    <t>Мороженое - 3 кг</t>
  </si>
  <si>
    <t>Вода без газа 0,5мл - 24 шт</t>
  </si>
  <si>
    <t>Средство Сиф 500мл - 1шт</t>
  </si>
  <si>
    <t>Coca-Cola 500xмл - 10шт</t>
  </si>
  <si>
    <t>Половая тряпка - 1шт</t>
  </si>
  <si>
    <t>лимоны - 920гр</t>
  </si>
  <si>
    <t>капхолдеры - 10шт</t>
  </si>
  <si>
    <t>дорожные</t>
  </si>
  <si>
    <t>сироп манго - 1445гр</t>
  </si>
  <si>
    <t>сироп смородина - 1300гр</t>
  </si>
  <si>
    <t>сроп банан - 1405гр</t>
  </si>
  <si>
    <t>Исмаил</t>
  </si>
  <si>
    <t>бананы - 1702гр</t>
  </si>
  <si>
    <t>апельсины - 8270гр</t>
  </si>
  <si>
    <t>Мехри\Алина</t>
  </si>
  <si>
    <t>Морковь - 1906гр</t>
  </si>
  <si>
    <t>Умида\Алина</t>
  </si>
  <si>
    <t>Яблоки - 2408гр</t>
  </si>
  <si>
    <t>Лимоны - 740гр</t>
  </si>
  <si>
    <t>Апельсины - 5410гр</t>
  </si>
  <si>
    <t>Мехри/Алина</t>
  </si>
  <si>
    <t>чай зеленый</t>
  </si>
  <si>
    <t>апельсины - 4300гр</t>
  </si>
  <si>
    <t>Зарплата Мехри за 12 смен + бонус</t>
  </si>
  <si>
    <t>Зарплата Умиде за 5 смен</t>
  </si>
  <si>
    <t>Зарплата Исмаилу за 7 смен</t>
  </si>
  <si>
    <t>Зарплата Алине за 3 смены</t>
  </si>
  <si>
    <t>Общая сумма инкассации ц14: 3 063 000 сум за сентябрь</t>
  </si>
  <si>
    <t>от 12.10.2025</t>
  </si>
  <si>
    <t>Прибыль нал:  40 456 000 сум  + 1 937 000 сум (доп сняла со счета 07.10) = 42 393 000 сум</t>
  </si>
  <si>
    <t>кофейные орешки - 10уп</t>
  </si>
  <si>
    <t xml:space="preserve">сэндвичи - 14шт </t>
  </si>
  <si>
    <t>Мехри/Джахонгир</t>
  </si>
  <si>
    <t>Алина/Исмаил</t>
  </si>
  <si>
    <t>распечатка отчетных листов - 50шт</t>
  </si>
  <si>
    <t>сироп кокос - 3750гр</t>
  </si>
  <si>
    <t>сироп соленая карамель - 1875гр</t>
  </si>
  <si>
    <t>сироп ваниль - 1880гр</t>
  </si>
  <si>
    <t>Зарплата Мехри за 1 смену за сентябрь сайрам</t>
  </si>
  <si>
    <t>сэндичи - 8шт</t>
  </si>
  <si>
    <t>лимоны -  1642гр</t>
  </si>
  <si>
    <t>бананы - 1774гр</t>
  </si>
  <si>
    <t>имбирь - 406гр</t>
  </si>
  <si>
    <t>апельсины - 7185гр</t>
  </si>
  <si>
    <t>шейкер</t>
  </si>
  <si>
    <t>гейзеры - 5шт</t>
  </si>
  <si>
    <t>барная ложка</t>
  </si>
  <si>
    <t>подстилка на стол</t>
  </si>
  <si>
    <t>щипцы</t>
  </si>
  <si>
    <t>подставка для ножей</t>
  </si>
  <si>
    <t>щетка для пола</t>
  </si>
  <si>
    <t xml:space="preserve">коктельные трубочки </t>
  </si>
  <si>
    <t>веник с софком</t>
  </si>
  <si>
    <t>разделочная доска</t>
  </si>
  <si>
    <t>мусорный бак</t>
  </si>
  <si>
    <t>Умида/Алина</t>
  </si>
  <si>
    <t>доставка мусорного бака</t>
  </si>
  <si>
    <t>мусорные пакеты  - 10шт</t>
  </si>
  <si>
    <t>морковь - 1974гр</t>
  </si>
  <si>
    <t>яблоки - 2кг</t>
  </si>
  <si>
    <t>сироп карамель - 2875гр</t>
  </si>
  <si>
    <t>брауни - 24шт</t>
  </si>
  <si>
    <t>овсяные печеньки - 10шт</t>
  </si>
  <si>
    <t>Алина</t>
  </si>
  <si>
    <t>вода с газом - 7шт</t>
  </si>
  <si>
    <t>апельсинны - 7130гр</t>
  </si>
  <si>
    <t>яблоки - 4310гр</t>
  </si>
  <si>
    <t>морковь - 2952гр</t>
  </si>
  <si>
    <t>лимоны - 2090гр</t>
  </si>
  <si>
    <t>торинг малина - 2155гр</t>
  </si>
  <si>
    <t>топинг ягодный - 1080гр</t>
  </si>
  <si>
    <t>топинг облепиха - 1065</t>
  </si>
  <si>
    <t>доставка какао</t>
  </si>
  <si>
    <t>муравейник - 10уп</t>
  </si>
  <si>
    <t>Зарплата Мехри за 11 смен ( - офиц зп 1 155 000 сум)</t>
  </si>
  <si>
    <t xml:space="preserve">сироп лесной орех - </t>
  </si>
  <si>
    <t xml:space="preserve">Зарплата Исмаилу за 4 смены </t>
  </si>
  <si>
    <t>Зарплата Джахонгиру за 11 смен</t>
  </si>
  <si>
    <t xml:space="preserve">Зарплата Алине за 7 смен </t>
  </si>
  <si>
    <t>Зарплата Умиде за 2 смены +бонус</t>
  </si>
  <si>
    <t>апельсины - 7955гр</t>
  </si>
  <si>
    <t>яблоки - 4058гр</t>
  </si>
  <si>
    <t>имбирь - 558гр</t>
  </si>
  <si>
    <t>мед - 1кг</t>
  </si>
  <si>
    <t>сироп гренадин - 1945гр</t>
  </si>
  <si>
    <t>топинг клубника - и107гр</t>
  </si>
  <si>
    <t>апельсины - 6705гр</t>
  </si>
  <si>
    <t>пищевая пленка</t>
  </si>
  <si>
    <t>кофейные печеньки - 5шт</t>
  </si>
  <si>
    <t>морковь - 2826гр</t>
  </si>
  <si>
    <t>топинг облепиха - 2200гр</t>
  </si>
  <si>
    <t>доставка топинга</t>
  </si>
  <si>
    <t>2 ручки</t>
  </si>
  <si>
    <t>чековая лента для R Keeper - 6шт</t>
  </si>
  <si>
    <t>Алина/Мехри</t>
  </si>
  <si>
    <t>лимоны - 2108гр</t>
  </si>
  <si>
    <t xml:space="preserve">доставка стаканчиков </t>
  </si>
  <si>
    <t>бананы - 2546гр</t>
  </si>
  <si>
    <t>ията - 3пуч</t>
  </si>
  <si>
    <t>булочки с маком - 3шт</t>
  </si>
  <si>
    <t>булочки с вишней - 3шт</t>
  </si>
  <si>
    <t>парамач - 3шт</t>
  </si>
  <si>
    <t>мясная лепешка - 3шт</t>
  </si>
  <si>
    <t>сомса с курицей - 3шт</t>
  </si>
  <si>
    <t>яблоки - 3770гр</t>
  </si>
  <si>
    <t>булочка с вишней - 3шт</t>
  </si>
  <si>
    <t>булочка с яблоком - 3шт</t>
  </si>
  <si>
    <t>растягай с яйцом - 3шт</t>
  </si>
  <si>
    <t>омса с курицей - 3шт</t>
  </si>
  <si>
    <t>доставка апельсины</t>
  </si>
  <si>
    <t>апельсины - 6480гр</t>
  </si>
  <si>
    <t>топинг ягодный - 1085гр</t>
  </si>
  <si>
    <t>Зарплата Джахонгир за 6 смен + бонус за 28.10.2025</t>
  </si>
  <si>
    <t>корица -3шт</t>
  </si>
  <si>
    <t>хачапури с колбасой - 2шт</t>
  </si>
  <si>
    <t>хачапури с сыром - 2шт</t>
  </si>
  <si>
    <t>Зарплата Исмаилу за 9 смен</t>
  </si>
  <si>
    <t>круассан с шоколадом - 2шт</t>
  </si>
  <si>
    <t>Зарплата Алине за 6 смен</t>
  </si>
  <si>
    <t>булочка с вишней - 2шт</t>
  </si>
  <si>
    <t>растягай с яйцом - 2шт</t>
  </si>
  <si>
    <t>кофейные орешки - 4шт</t>
  </si>
  <si>
    <t>брауни - 22шт</t>
  </si>
  <si>
    <t>перчатки -1уп</t>
  </si>
  <si>
    <t>перчатки иаленькие</t>
  </si>
  <si>
    <t xml:space="preserve">Клише на стаканчики </t>
  </si>
  <si>
    <t>Дополнительное клише</t>
  </si>
  <si>
    <t>Стаканчики Сингл - 420шт</t>
  </si>
  <si>
    <t>Стаканчики Дабл - 400шт</t>
  </si>
  <si>
    <t>Ремонт фасада (травертин)</t>
  </si>
  <si>
    <t>Общая сумма инкассации ц14: 2 863 000 сум за октябрь</t>
  </si>
  <si>
    <t>Прибыль нал: 21 936 000 сум  + 7 137 000 сум (доп сняла со счета 04.11) = 29 073 000 сум</t>
  </si>
  <si>
    <t>от 17.11.2025</t>
  </si>
  <si>
    <t>лимоны - 808гр</t>
  </si>
  <si>
    <t>чай черный  - 200шт</t>
  </si>
  <si>
    <t>апельсины - 6870гр</t>
  </si>
  <si>
    <t>имбирь - 778гр</t>
  </si>
  <si>
    <t>яблоки - 4544гр</t>
  </si>
  <si>
    <t>морковь - 2240гр</t>
  </si>
  <si>
    <t>лимоны - 1676гр</t>
  </si>
  <si>
    <t>балиш со шпинатом - 3шт</t>
  </si>
  <si>
    <t>балиш с пюре -3шт</t>
  </si>
  <si>
    <t>хачапури с колбасой - 3шт</t>
  </si>
  <si>
    <t>булочка творожный банан - 3шт</t>
  </si>
  <si>
    <t>маленькие пакеты</t>
  </si>
  <si>
    <t>доставка топингов</t>
  </si>
  <si>
    <t>топинг облепиха - 1085гр</t>
  </si>
  <si>
    <t>топинг  ягодный - 1075гр</t>
  </si>
  <si>
    <t>топинг малина - 1075гр</t>
  </si>
  <si>
    <t>сироп вишня - 1440гр</t>
  </si>
  <si>
    <t>сироп маракуйя -1455гр</t>
  </si>
  <si>
    <t>брауни  - 20шт</t>
  </si>
  <si>
    <t>лимоны - 1056гр</t>
  </si>
  <si>
    <t>дорожные Сабина</t>
  </si>
  <si>
    <t>доставка ключи</t>
  </si>
  <si>
    <t>мята  - 5шт</t>
  </si>
  <si>
    <t>доставка трубрчки</t>
  </si>
  <si>
    <t>кофейные трубочки - 15шт</t>
  </si>
  <si>
    <t>ложки одноразовые</t>
  </si>
  <si>
    <t>апельсины - 2444гр</t>
  </si>
  <si>
    <t>вода с газом -6шт</t>
  </si>
  <si>
    <t>апельсины - 6612гр</t>
  </si>
  <si>
    <t>имбирь - 852гр</t>
  </si>
  <si>
    <t xml:space="preserve">сироп клюква - </t>
  </si>
  <si>
    <t xml:space="preserve">облепиха топинг - </t>
  </si>
  <si>
    <t>лимоны -948гр</t>
  </si>
  <si>
    <t>Зарплата Мехри за 13 смен (-офиц зп 1 155 000 сум)</t>
  </si>
  <si>
    <t>Зарплата Исмаилу за 13 смен</t>
  </si>
  <si>
    <t>бананы - 2318гр</t>
  </si>
  <si>
    <t>Зарплата Сабине за 1 смену</t>
  </si>
  <si>
    <t>ден</t>
  </si>
  <si>
    <t>сироп кокос - 1870гр</t>
  </si>
  <si>
    <t>сироп земляника - 1880гр</t>
  </si>
  <si>
    <t>апельсины - 1610гр</t>
  </si>
  <si>
    <t>мед -300гр</t>
  </si>
  <si>
    <t>мусорные пакеты - 4уп</t>
  </si>
  <si>
    <t>лимоны - 1462гр</t>
  </si>
  <si>
    <t>апельсины - 2634гр</t>
  </si>
  <si>
    <t>Red Bull -  8шт</t>
  </si>
  <si>
    <t>булочка с вишней -  3шт</t>
  </si>
  <si>
    <t>булочка творог банан - 3шт</t>
  </si>
  <si>
    <t>пармуда мясо курица - 3шт</t>
  </si>
  <si>
    <t>апельсины - 2626гр</t>
  </si>
  <si>
    <t>морковь - 1294гр</t>
  </si>
  <si>
    <t>топинг ягодный - 2160гр</t>
  </si>
  <si>
    <t>мята - 2шт</t>
  </si>
  <si>
    <t>сироп банан -  1425гр</t>
  </si>
  <si>
    <t>сироп смородина - 1435гр</t>
  </si>
  <si>
    <t>парамач - 4шт</t>
  </si>
  <si>
    <t>булочка с вишней - 4шт</t>
  </si>
  <si>
    <t>булочка с маком - 3шт</t>
  </si>
  <si>
    <t>булочка с орехом - 3шт</t>
  </si>
  <si>
    <t>апельсины - 4110гр</t>
  </si>
  <si>
    <t>Мехри/ Джахонгир</t>
  </si>
  <si>
    <t>Чеки для R Keeper - 18шт</t>
  </si>
  <si>
    <t>парамач - 2шт</t>
  </si>
  <si>
    <t>Зарплата Исмаилу за 11 смен</t>
  </si>
  <si>
    <t>Оплата интернет и телефон</t>
  </si>
  <si>
    <t>Оплата за подключение света</t>
  </si>
  <si>
    <t>Оплата за аренду за ноябрь</t>
  </si>
  <si>
    <t>Американский какао - 6кг</t>
  </si>
  <si>
    <t>Стаканчики дабл - 3750шт</t>
  </si>
  <si>
    <t>от 11.12.2025</t>
  </si>
  <si>
    <t xml:space="preserve">Общая сумма инкассации ц14:  2 642 000 сум за ноябрь </t>
  </si>
  <si>
    <t>Прибыль нал:  39 686 500 сум +  7 358 000 сум (доп сняла 04.12) = 47 044 500 сум</t>
  </si>
  <si>
    <t>апельсины - 3960гр</t>
  </si>
  <si>
    <t>имбирь - 300гр</t>
  </si>
  <si>
    <t>косичка с маком - 2шт</t>
  </si>
  <si>
    <t>хачапури сколбасой - 2шт</t>
  </si>
  <si>
    <t>лимоны - 1806гр</t>
  </si>
  <si>
    <t>апельсины - 3572гр</t>
  </si>
  <si>
    <t>косичка с маком - 4шт</t>
  </si>
  <si>
    <t>растегай с картошкой - 5шт</t>
  </si>
  <si>
    <t>парамач - 5шт</t>
  </si>
  <si>
    <t>банты - 2шт</t>
  </si>
  <si>
    <t>сапожки - 6шт</t>
  </si>
  <si>
    <t>герлянда - 1шт</t>
  </si>
  <si>
    <t xml:space="preserve">олень и подарки </t>
  </si>
  <si>
    <t>большие шары и бантики - 12шт</t>
  </si>
  <si>
    <t>парковка</t>
  </si>
  <si>
    <t>сироп малина  - 1283гр</t>
  </si>
  <si>
    <t>сироп облепиха - 1283гр</t>
  </si>
  <si>
    <t>апельсины - 4038гр</t>
  </si>
  <si>
    <t>имбирь  -250гр</t>
  </si>
  <si>
    <t>перчатки - 2уп</t>
  </si>
  <si>
    <t>мусорные пакеты - 4шт</t>
  </si>
  <si>
    <t>крючки - 18шт</t>
  </si>
  <si>
    <t>имбирь - 666гр</t>
  </si>
  <si>
    <t>апельсины - 4422гр</t>
  </si>
  <si>
    <t>лимоны - 1722гр</t>
  </si>
  <si>
    <t>булочка со сгущенкой - 2шт</t>
  </si>
  <si>
    <t>булочка с орехом - 2шт</t>
  </si>
  <si>
    <t>мясная лепешка - 2шт</t>
  </si>
  <si>
    <t>балиш пюре сыр - 2шт</t>
  </si>
  <si>
    <t>сахар -2кг</t>
  </si>
  <si>
    <t>сироп манго -</t>
  </si>
  <si>
    <t xml:space="preserve">сироп маракуйя - </t>
  </si>
  <si>
    <t xml:space="preserve">сироп капамель - </t>
  </si>
  <si>
    <t>хачапури с сыром - 4шт</t>
  </si>
  <si>
    <t>булочка с маком - 4шт</t>
  </si>
  <si>
    <t>булочка с орехом - 4шт</t>
  </si>
  <si>
    <t>растягай с мясом - 4шт</t>
  </si>
  <si>
    <t>Зарплата Мехри за 11 смен (-офиц зп 1 271 000 сум)</t>
  </si>
  <si>
    <t>яблоки - 3216гр</t>
  </si>
  <si>
    <t>Зарплата Исмаилу за 10 смен</t>
  </si>
  <si>
    <t>чай черный - 2уп</t>
  </si>
  <si>
    <t>морковь - 1786гр</t>
  </si>
  <si>
    <t>контейнеры для орешков - 4уп</t>
  </si>
  <si>
    <t>топинг облепиха - 1405гр</t>
  </si>
  <si>
    <t>топинг ягодный - 1415гр</t>
  </si>
  <si>
    <t>овсяные печенбьки -15шт</t>
  </si>
  <si>
    <t>чай черный - 4уп</t>
  </si>
  <si>
    <t>пакеты для мусора - 6шт</t>
  </si>
  <si>
    <t>хачапури с сыром - 3шт</t>
  </si>
  <si>
    <t>косички с орехом - 2шт</t>
  </si>
  <si>
    <t>косички с маком - 2шт</t>
  </si>
  <si>
    <t>ватрушки - 2шт</t>
  </si>
  <si>
    <t>растягай с кортошкой - 2шт</t>
  </si>
  <si>
    <t>орешки  со сгущенкой - 160шт</t>
  </si>
  <si>
    <t>лимоны - 1588гр</t>
  </si>
  <si>
    <t>сироп роза - 1403гр</t>
  </si>
  <si>
    <t>сироп личи - 1414гр</t>
  </si>
  <si>
    <t>доставка стаканы</t>
  </si>
  <si>
    <t>вода 0,5 - 38шт</t>
  </si>
  <si>
    <t>сухие салфетки - 8шт</t>
  </si>
  <si>
    <t>апельсины - 5286гр</t>
  </si>
  <si>
    <t>имбирь - 448гр</t>
  </si>
  <si>
    <t>сэндвичи  - 4шт</t>
  </si>
  <si>
    <t>щетки для чистки групп - 2шт</t>
  </si>
  <si>
    <t>сироп ваниль - 1430гр</t>
  </si>
  <si>
    <t>сироп лесной орех        - 1406гр</t>
  </si>
  <si>
    <t>химия для кофемашины - 3шт</t>
  </si>
  <si>
    <t>топинг лесные ягоды -  3525гр</t>
  </si>
  <si>
    <t>булочка с сосиской - 2шт</t>
  </si>
  <si>
    <t>морковь - 1902гр</t>
  </si>
  <si>
    <t>лимоны - 1480гр</t>
  </si>
  <si>
    <t>яблоки - 2634гр</t>
  </si>
  <si>
    <t>мусорные пакеты - 16шт</t>
  </si>
  <si>
    <t>ср-во для посуды -3шт</t>
  </si>
  <si>
    <t>сухие салфетки - 14шт</t>
  </si>
  <si>
    <t>сэндвичи -  5шт</t>
  </si>
  <si>
    <t>брауни - 40шт</t>
  </si>
  <si>
    <t>шоколадные орешки - 5шт</t>
  </si>
  <si>
    <t>имбирь - 366гр</t>
  </si>
  <si>
    <t>топинг облепиха - 2110гр</t>
  </si>
  <si>
    <t>яблоки - 2590гр</t>
  </si>
  <si>
    <t>апельсины - 3950гр</t>
  </si>
  <si>
    <t>апельсины -3342гр</t>
  </si>
  <si>
    <t>Зарплатам Джахонгиру за 12 смен</t>
  </si>
  <si>
    <t>Зарплата Мехри за 9 смен</t>
  </si>
  <si>
    <t>Зарплата Исмаилу за 12 смен</t>
  </si>
  <si>
    <t>Зарплата Кристине за закуп и отчеты (- офиц зп 1.271.000 сум) + дор. Расход</t>
  </si>
  <si>
    <t>Оплата за R-Keeper за декабрь (2 кофейни)</t>
  </si>
  <si>
    <t>Оплата за R-Keeper за ноябрь (2 кофейни)</t>
  </si>
  <si>
    <t>Оплата за R-Keeper за октябрь (2 кофейни)</t>
  </si>
  <si>
    <t>Оплата за R-Keeper за сентябрь (2 кофейни)</t>
  </si>
  <si>
    <t>Оплата за R-Keeper за август (2 кофейни)</t>
  </si>
  <si>
    <t>Замена фильтра</t>
  </si>
  <si>
    <t>Общая сумма инкассации ц14:  6 233 000 сум за декабрь</t>
  </si>
  <si>
    <t xml:space="preserve">Подарки сотрудникам на нг </t>
  </si>
  <si>
    <t xml:space="preserve">Прибыль нал: 22 535 000 сум + 3 767 000 (доп сняла 13.01) = 26 302 000 сум   </t>
  </si>
  <si>
    <t>от 14.01.2026</t>
  </si>
  <si>
    <t>сироп маракуйя - 1428гр</t>
  </si>
  <si>
    <t>морковь - 1742гр</t>
  </si>
  <si>
    <t>сахар -6кг</t>
  </si>
  <si>
    <t>лимоны - 2076гр</t>
  </si>
  <si>
    <t>овсяное печенье - 15шт</t>
  </si>
  <si>
    <t>балишь с пюре с сыром - 2шт</t>
  </si>
  <si>
    <t>топинг малина - 1405гр</t>
  </si>
  <si>
    <t>топинг клубника - 695гр</t>
  </si>
  <si>
    <t>чай черны</t>
  </si>
  <si>
    <t>апельсины - 4446гр</t>
  </si>
  <si>
    <t>черный чай - 400шт</t>
  </si>
  <si>
    <t>сироп манго - 1444гр</t>
  </si>
  <si>
    <t>сироп шоколад -1397гр</t>
  </si>
  <si>
    <t xml:space="preserve">доставка сиропы </t>
  </si>
  <si>
    <t>апельсины - 4108гр</t>
  </si>
  <si>
    <t>косичка с орехом - 2шт</t>
  </si>
  <si>
    <t>булочка с вишней -3шт</t>
  </si>
  <si>
    <t>булочка с сосиской - 3шт</t>
  </si>
  <si>
    <t>имбирь - 512гр</t>
  </si>
  <si>
    <t>пакеты прозрачные</t>
  </si>
  <si>
    <t>апельсины - 7026гр</t>
  </si>
  <si>
    <t>лимогы - 1982гр</t>
  </si>
  <si>
    <t>Зарплата Джахонгиру за 9 смен</t>
  </si>
  <si>
    <t>топинг облепиха - 1400гр</t>
  </si>
  <si>
    <t>Зарплата Мехри за 8 смен (-офиц зп 1 271 000 сум)</t>
  </si>
  <si>
    <t>топинг ягодный - 1400гр</t>
  </si>
  <si>
    <t>хачапури с колбасой - 2ш</t>
  </si>
  <si>
    <t>пицца - 2шт</t>
  </si>
  <si>
    <t>оплата за телефон</t>
  </si>
  <si>
    <t>сироп смородина - 1431гр</t>
  </si>
  <si>
    <t>сироп ваниль - 1445гр</t>
  </si>
  <si>
    <t>сироп вишня - 1429гр</t>
  </si>
  <si>
    <t>кофнйгые орешки - 5шт</t>
  </si>
  <si>
    <t>шоколадный печеньки - 20шт</t>
  </si>
  <si>
    <t>бананы - 1750гр</t>
  </si>
  <si>
    <t>яблоки - 3576гр</t>
  </si>
  <si>
    <t>мыло</t>
  </si>
  <si>
    <t>лимоны - 296гр</t>
  </si>
  <si>
    <t>мусорные пакеты - 10шт</t>
  </si>
  <si>
    <t>ср-во для раковины</t>
  </si>
  <si>
    <t>апельсины - 4520гр</t>
  </si>
  <si>
    <t>лимоны - 1842гр</t>
  </si>
  <si>
    <t xml:space="preserve">Сэндвичи - 8шт </t>
  </si>
  <si>
    <t>пицца - 3шт</t>
  </si>
  <si>
    <t>апельсины - 3110гр</t>
  </si>
  <si>
    <t>топинг облепиха - 690гр</t>
  </si>
  <si>
    <t>топинг малина - 1350гр</t>
  </si>
  <si>
    <t>топинг клубника - 1400гр</t>
  </si>
  <si>
    <t>ягодный топинг - 1400гр</t>
  </si>
  <si>
    <t>лимоны - 2338гр</t>
  </si>
  <si>
    <t>морковь - 1438гр</t>
  </si>
  <si>
    <t>ремонт щитка</t>
  </si>
  <si>
    <t>имбирь - 396гр</t>
  </si>
  <si>
    <t>ремон витринного холодильника</t>
  </si>
  <si>
    <t>доставка сендвичи</t>
  </si>
  <si>
    <t>апельсины - 2248гр</t>
  </si>
  <si>
    <t>апельсины - 7194гр</t>
  </si>
  <si>
    <t>трубочки кофейные</t>
  </si>
  <si>
    <t>доставка трубочек</t>
  </si>
  <si>
    <t>доставка сиропов</t>
  </si>
  <si>
    <t>овсяные печеньеи - 10шт</t>
  </si>
  <si>
    <t>сироп манго - 1930гр</t>
  </si>
  <si>
    <t>сироп маракуйя - 1925гр</t>
  </si>
  <si>
    <t>сироп соленая карамель -1915гр</t>
  </si>
  <si>
    <t>полотенца - 8шт</t>
  </si>
  <si>
    <t>конверты - 50шт</t>
  </si>
  <si>
    <t>бумага для R Keeper - 12шт</t>
  </si>
  <si>
    <t>половая тряпка</t>
  </si>
  <si>
    <t>дорога стажор</t>
  </si>
  <si>
    <t>косичка с маком - 3шт</t>
  </si>
  <si>
    <t>булочка с маком -  2шт</t>
  </si>
  <si>
    <t>итальянский какао - 3шт</t>
  </si>
  <si>
    <t>дорожные стажор</t>
  </si>
  <si>
    <t xml:space="preserve">Зарплата Джахонгиру за 11 смен </t>
  </si>
  <si>
    <t xml:space="preserve">сапожек НГ - 8шт </t>
  </si>
  <si>
    <t xml:space="preserve">корзиночки - 4шт </t>
  </si>
  <si>
    <t xml:space="preserve">конвертики НГ - 3шт </t>
  </si>
  <si>
    <t xml:space="preserve">Зарплата Бухгалтеру </t>
  </si>
  <si>
    <t>Общая сумма инкассации ц14:  4 189 000 сум за январь</t>
  </si>
  <si>
    <t>от 16.02.2026</t>
  </si>
  <si>
    <t xml:space="preserve">Прибыль нал: 37 056 000 сум + 10 811 000 (доп сняла 09.02) = 47 867 000 сум  </t>
  </si>
  <si>
    <t>лимоны - 1660гр</t>
  </si>
  <si>
    <t>яблоки - 2960гр</t>
  </si>
  <si>
    <t>скотч</t>
  </si>
  <si>
    <t>булочка с яблоком - 2шт</t>
  </si>
  <si>
    <t xml:space="preserve">стажор </t>
  </si>
  <si>
    <t>Мехри/ Абдулхамид</t>
  </si>
  <si>
    <t>сироп кокос - 1930гр</t>
  </si>
  <si>
    <t>сироп клюква - 1970гр</t>
  </si>
  <si>
    <t>топинг облепиха - 1000гр</t>
  </si>
  <si>
    <t>топинг ягодный - -  1030гр</t>
  </si>
  <si>
    <t>топинг малина - 1045гр</t>
  </si>
  <si>
    <t>органайзер для полотенец</t>
  </si>
  <si>
    <t>оплата за хумо</t>
  </si>
  <si>
    <t>лимоны - 1598гр</t>
  </si>
  <si>
    <t>апельсины - 4278гр</t>
  </si>
  <si>
    <t>Исмаил/ Абдулхамид</t>
  </si>
  <si>
    <t>морковь - 1992гр</t>
  </si>
  <si>
    <t>имбирь - 796гр</t>
  </si>
  <si>
    <t>Джахонгир/ Абдулхамид</t>
  </si>
  <si>
    <t>косички с мамком - 2шт</t>
  </si>
  <si>
    <t>булочка с вишней  - 4шт</t>
  </si>
  <si>
    <t>булочка с маком - 2шт</t>
  </si>
  <si>
    <t xml:space="preserve">пицца - 4шт </t>
  </si>
  <si>
    <t>Аренда за февраль</t>
  </si>
  <si>
    <t>шоколадная печенька - 20шт</t>
  </si>
  <si>
    <t>брауни -15шт</t>
  </si>
  <si>
    <t>топинг малина - 1400гр</t>
  </si>
  <si>
    <t>топинг ягодный - 1420гр</t>
  </si>
  <si>
    <t>топинг облепиха - 1440гр</t>
  </si>
  <si>
    <t>лимоны - 2316гр</t>
  </si>
  <si>
    <t>сироп махито - 1950гр</t>
  </si>
  <si>
    <t>сироп ваниль - 1935гр</t>
  </si>
  <si>
    <t>сироп карамель - 1920гр</t>
  </si>
  <si>
    <t>ватружки - 2шт</t>
  </si>
  <si>
    <t>балиш пюре сыр -3шт</t>
  </si>
  <si>
    <t>доставка выпечки</t>
  </si>
  <si>
    <t>оплата телефон</t>
  </si>
  <si>
    <t>Зарплата Мехри за 10 смен (- офиц зп 1 271 000)</t>
  </si>
  <si>
    <t>апельсины - 3154гр</t>
  </si>
  <si>
    <t>яблоки - 2442гр</t>
  </si>
  <si>
    <t>Зарплата Адбулхамиду за 7 смен</t>
  </si>
  <si>
    <t>морковь - 2356гр</t>
  </si>
  <si>
    <t>апельсины - 4036гр</t>
  </si>
  <si>
    <t>бананы - 1480гр</t>
  </si>
  <si>
    <t>апельсины - 3380гр</t>
  </si>
  <si>
    <t>имбирь - 726гр</t>
  </si>
  <si>
    <t>Абдулхамид</t>
  </si>
  <si>
    <t>корица - 4шт</t>
  </si>
  <si>
    <t>апельсины - 4138гр</t>
  </si>
  <si>
    <t>яблоки - 3210гр</t>
  </si>
  <si>
    <t>Зп Джахонгир за 2 смены</t>
  </si>
  <si>
    <t>батончики Bounty - 72шт</t>
  </si>
  <si>
    <t>батончики Twix - 48шт</t>
  </si>
  <si>
    <t>зах. Зам</t>
  </si>
  <si>
    <t>сахар -  6кг</t>
  </si>
  <si>
    <t>топинг облепиха - 725гр</t>
  </si>
  <si>
    <t>топинг клубника - 715гр</t>
  </si>
  <si>
    <t>апельсины - 5052гр</t>
  </si>
  <si>
    <t>косичка с мвком - 2шт</t>
  </si>
  <si>
    <t>апельсины - 5130гр</t>
  </si>
  <si>
    <t>сироп роза - 1930гр</t>
  </si>
  <si>
    <t>сироп личи - 1935гр</t>
  </si>
  <si>
    <t>сироп шоколад - 1930гр</t>
  </si>
  <si>
    <t>сироп вишня - 1925гр</t>
  </si>
  <si>
    <t>коврик декор - 2шт</t>
  </si>
  <si>
    <t>лимоны - 800гр</t>
  </si>
  <si>
    <t>Зарплата Абдулхамиду за 9 смен</t>
  </si>
  <si>
    <t>от 17.03.2026</t>
  </si>
  <si>
    <t>Общая сумма инкассации ц14:  6 575 000 сум за февраль</t>
  </si>
  <si>
    <t xml:space="preserve">Прибыль нал: 25 238 000 сум + 5 425 000 сум (доп сняла 06.03) = 30 663 000 сум </t>
  </si>
  <si>
    <t>дорожные стажору</t>
  </si>
  <si>
    <t>апельсины - 2638гр</t>
  </si>
  <si>
    <t>коврик для столика</t>
  </si>
  <si>
    <t>контейнер</t>
  </si>
  <si>
    <t>сахар  - 4кг</t>
  </si>
  <si>
    <t>апельсины - 3480гр</t>
  </si>
  <si>
    <t>лимоны - 1088гр</t>
  </si>
  <si>
    <t>бананы - 1280гр</t>
  </si>
  <si>
    <t>заправка балона</t>
  </si>
  <si>
    <t>шоколадные ченьки - 40шт</t>
  </si>
  <si>
    <t>топинг облепиха - 1005гр</t>
  </si>
  <si>
    <t>лимоны - 788гр</t>
  </si>
  <si>
    <t>апельсины - 2560гр</t>
  </si>
  <si>
    <t>морковь - 1128гр</t>
  </si>
  <si>
    <t>яблоки - 1578гр</t>
  </si>
  <si>
    <t>бананы - 1422гр</t>
  </si>
  <si>
    <t>лимоны - 1090гр</t>
  </si>
  <si>
    <t>вода с газом 0,5 - 7шт</t>
  </si>
  <si>
    <t>яблоки - 1052гр</t>
  </si>
  <si>
    <t>морковь - 876гр</t>
  </si>
  <si>
    <t>ср-во для окон</t>
  </si>
  <si>
    <t>апельсины - 2308гр</t>
  </si>
  <si>
    <t>яблоки - 2084гр</t>
  </si>
  <si>
    <t>морковь - 1084гр</t>
  </si>
  <si>
    <t>яблоки - 1988гр</t>
  </si>
  <si>
    <t>бананы - 1794гр</t>
  </si>
  <si>
    <t>лимоны - 1570гр</t>
  </si>
  <si>
    <t xml:space="preserve">Зарплата Исмаилу за 11 смен </t>
  </si>
  <si>
    <t>Зарплата Абдулхамиду за 10 смен</t>
  </si>
  <si>
    <t>яблоки - 3400гр</t>
  </si>
  <si>
    <t>морковь - 1950гр</t>
  </si>
  <si>
    <t>апельсины - 6655гр</t>
  </si>
  <si>
    <t>сухие салфетки - 19шт</t>
  </si>
  <si>
    <t>мусорные пакеты - 2шт</t>
  </si>
  <si>
    <t>ср-во от засора</t>
  </si>
  <si>
    <t>салфетки рулон</t>
  </si>
  <si>
    <t>яблоки - 3466гр</t>
  </si>
  <si>
    <t>морковь - 1464гр</t>
  </si>
  <si>
    <t>бананы - 3094гр</t>
  </si>
  <si>
    <t>яблоки - 3214гр</t>
  </si>
  <si>
    <t>морковь - 2002гр</t>
  </si>
  <si>
    <t>топинг ягодный - 2075гр</t>
  </si>
  <si>
    <t>топинг облепиха - 2000гр</t>
  </si>
  <si>
    <t>апельсины - 6600гр</t>
  </si>
  <si>
    <t>лимоны - 2164гр</t>
  </si>
  <si>
    <t>лайм -4шт</t>
  </si>
  <si>
    <t>бананы - 2200гр</t>
  </si>
  <si>
    <t>молнупиравир и линекс</t>
  </si>
  <si>
    <t>косички с маком - 3шт</t>
  </si>
  <si>
    <t>тарталетки - 3шт</t>
  </si>
  <si>
    <t>пицца открытая - 3шт</t>
  </si>
  <si>
    <t>пицца закрытая - 2шт</t>
  </si>
  <si>
    <t>лед -3кг</t>
  </si>
  <si>
    <t>апельсины - 7960гр</t>
  </si>
  <si>
    <t>морковь - 2124гр</t>
  </si>
  <si>
    <t>яблоки - 2708гр</t>
  </si>
  <si>
    <t>яблоки - 2178гр</t>
  </si>
  <si>
    <t>вольтер мини - 3шт</t>
  </si>
  <si>
    <t xml:space="preserve">Зарплата Мехри за 11 смен </t>
  </si>
  <si>
    <t>хачапуцри с колбасой - 3шт</t>
  </si>
  <si>
    <t>Зарплата Абдулхамид за 10 смен</t>
  </si>
  <si>
    <t>пицца  закрытая - 3шт</t>
  </si>
  <si>
    <t>апельсины - 5150гр</t>
  </si>
  <si>
    <t>бананы - 2066гр</t>
  </si>
  <si>
    <t>яблоки - 3112гр</t>
  </si>
  <si>
    <t>коктельные трубочки - 1уп</t>
  </si>
  <si>
    <t>доставка трубочки</t>
  </si>
  <si>
    <t xml:space="preserve">Аренда за март </t>
  </si>
  <si>
    <t>сироп банановый - 1405гр</t>
  </si>
  <si>
    <t>Общая сумма инкассации ц14: 4 732 000 сум за март</t>
  </si>
  <si>
    <t xml:space="preserve">имбирь </t>
  </si>
  <si>
    <t xml:space="preserve">большой цветок </t>
  </si>
  <si>
    <t>Стаканчики дабл и сингл</t>
  </si>
  <si>
    <t>Стаканчики дабл и сингл (остаток 16 381 000 сум)</t>
  </si>
  <si>
    <t>Прибыль нал:  23 361 000 сум  + 11 268 000 сум (доп сняла 07.04) = 34 629 000 сум</t>
  </si>
  <si>
    <t>от 13.04.2026</t>
  </si>
  <si>
    <t>цветок</t>
  </si>
  <si>
    <t>лимоны - 342гр</t>
  </si>
  <si>
    <t>рулон салфетки</t>
  </si>
  <si>
    <t>морковь - 1470гр</t>
  </si>
  <si>
    <t>апельсины - 4628гр</t>
  </si>
  <si>
    <t>апельсины - 4616гр</t>
  </si>
  <si>
    <t>яблоки - 4516гр</t>
  </si>
  <si>
    <t>марля</t>
  </si>
  <si>
    <t>сироп кокос - 1395гр</t>
  </si>
  <si>
    <t>сироп гренадин - 1415гр</t>
  </si>
  <si>
    <t>сиропы  маракуйя - 1455гр</t>
  </si>
  <si>
    <t>брызгалка</t>
  </si>
  <si>
    <t>морковь - 1150гр</t>
  </si>
  <si>
    <t>тарталетки - 4шт</t>
  </si>
  <si>
    <t>сироп махито - 3920гр</t>
  </si>
  <si>
    <t>сироп клубни ка - 1330гр</t>
  </si>
  <si>
    <t>лимоны - 648гр</t>
  </si>
  <si>
    <t>косички с орехом - 3шт</t>
  </si>
  <si>
    <t>булочка с творогом - 2шт</t>
  </si>
  <si>
    <t>пицца закрытая - 3шт</t>
  </si>
  <si>
    <t>пармуда с мясом и курицей - 2шт</t>
  </si>
  <si>
    <t>бананы - 3180гр</t>
  </si>
  <si>
    <t>апельсины - 50904гр</t>
  </si>
  <si>
    <t>лимоны - 1212гр</t>
  </si>
  <si>
    <t>вода с газом - 10шт</t>
  </si>
  <si>
    <t>морковь - 1436гр</t>
  </si>
  <si>
    <t>Зарплата Мехри за 10 смен (- офиц зп 1 271 000 сум)</t>
  </si>
  <si>
    <t>яблоки - 2024гр</t>
  </si>
  <si>
    <t>апельсины - 3818гр</t>
  </si>
  <si>
    <t>оплата телефона</t>
  </si>
  <si>
    <t>Шоколадные печенье - 20шт</t>
  </si>
  <si>
    <t>Брауни - 23шт</t>
  </si>
  <si>
    <t>яблоки  - 3482гр</t>
  </si>
  <si>
    <t>морковь - 1852гр</t>
  </si>
  <si>
    <t>апельсины - 3566гр</t>
  </si>
  <si>
    <t>Щетка - 1шт</t>
  </si>
  <si>
    <t>Доместос - 1шт</t>
  </si>
  <si>
    <t>Средство для пола - 1л</t>
  </si>
  <si>
    <t>Гель для посуды - 750мл</t>
  </si>
  <si>
    <t>Тряпка для пола - 1шт</t>
  </si>
  <si>
    <t>Имбирь - 428гр</t>
  </si>
  <si>
    <t>Лимоны - 1832гр</t>
  </si>
  <si>
    <t>Орешки со сгущенкой -10упк</t>
  </si>
  <si>
    <t>Вода без газа 0.5мл - 14шт</t>
  </si>
  <si>
    <t>Red Bull 250мл - 5шт</t>
  </si>
  <si>
    <t>Сухие салфетки - 4упк</t>
  </si>
  <si>
    <t>Вода с газом 0.5мл - 5шт</t>
  </si>
  <si>
    <t>Мусорные пакеты - 5упк</t>
  </si>
  <si>
    <t>ватружки - 3шт</t>
  </si>
  <si>
    <t>булочка с ортехом - 3шт</t>
  </si>
  <si>
    <t>пицца закрытая - 4шт</t>
  </si>
  <si>
    <t>пармуда мясо/курица - 2шт</t>
  </si>
  <si>
    <t>сироп банан - т</t>
  </si>
  <si>
    <t>сироп лесной орех -1410гр</t>
  </si>
  <si>
    <t>апельсины - 4290гр</t>
  </si>
  <si>
    <t>яблоки - 3100гр</t>
  </si>
  <si>
    <t>морковь - 1282гр</t>
  </si>
  <si>
    <t>вода 0,3 - 24шт</t>
  </si>
  <si>
    <t>вода 0,5 - 11шт</t>
  </si>
  <si>
    <t>бананы - 2348гр</t>
  </si>
  <si>
    <t>апельсины - 7590гр</t>
  </si>
  <si>
    <t>корица - 6шт</t>
  </si>
  <si>
    <t>яблоки - 2198гр</t>
  </si>
  <si>
    <t>морковь - 1420гр</t>
  </si>
  <si>
    <t>имбирь - 730гр</t>
  </si>
  <si>
    <t>сироп маракуйя - 1455гр</t>
  </si>
  <si>
    <t>ватружка - 3шт</t>
  </si>
  <si>
    <t>пармуда с мясом/курицей -3шт</t>
  </si>
  <si>
    <t>сироп мята - 1910гр</t>
  </si>
  <si>
    <t>сироп облепиха - 1010гр</t>
  </si>
  <si>
    <t>сироп малина - 1940гр</t>
  </si>
  <si>
    <t>Зарплата Исмаилу за 14 смен</t>
  </si>
  <si>
    <t>яблоки - 3662гр</t>
  </si>
  <si>
    <t>Стаканчики дабл и сингл (остаток    6 381 000 сум)</t>
  </si>
  <si>
    <t>от 14.05.2026</t>
  </si>
  <si>
    <t>Общая сумма инкассации ц14:  3 224 000 сум за апрель</t>
  </si>
  <si>
    <t xml:space="preserve">Прибыль нал: 27 678 000 сум + 13 776 000 сум (доп сняла 06.05) = 41 454 000 сум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</si>
</sst>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* #,##0\ &quot;soʻm&quot;_-;\-* #,##0\ &quot;soʻm&quot;_-;_-* &quot;-&quot;\ &quot;soʻm&quot;_-;_-@_-"/>
    <numFmt numFmtId="44" formatCode="_-* #,##0.00\ &quot;soʻm&quot;_-;\-* #,##0.00\ &quot;soʻm&quot;_-;_-* &quot;-&quot;??\ &quot;soʻm&quot;_-;_-@_-"/>
    <numFmt numFmtId="164" formatCode="_-* #,##0.00\ _₽_-;\-* #,##0.00\ _₽_-;_-* &quot;-&quot;??\ _₽_-;_-@_-"/>
    <numFmt numFmtId="165" formatCode="_-[$$-409]* #,##0.00_ ;_-[$$-409]* \-#,##0.00\ ;_-[$$-409]* &quot;-&quot;??_ ;_-@_ "/>
    <numFmt numFmtId="166" formatCode="_-* #,##0\ _s_o_ʻ_m_-;\-* #,##0\ _s_o_ʻ_m_-;_-* &quot;-&quot;\ _s_o_ʻ_m_-;_-@_-"/>
    <numFmt numFmtId="167" formatCode="_-* #,##0.00\ _s_o_ʻ_m_-;\-* #,##0.00\ _s_o_ʻ_m_-;_-* &quot;-&quot;??\ _s_o_ʻ_m_-;_-@_-"/>
    <numFmt numFmtId="168" formatCode="#,##0.00\ "/>
    <numFmt numFmtId="169" formatCode="#,##0.00\ &quot;₽&quot;"/>
    <numFmt numFmtId="170" formatCode="_-* #,##0.00\ &quot;₽&quot;_-;\-* #,##0.00\ &quot;₽&quot;_-;_-* &quot;-&quot;??\ &quot;₽&quot;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4"/>
      <color theme="1" tint="4.9989318521683403E-2"/>
      <name val="Calibri"/>
      <family val="2"/>
      <charset val="204"/>
      <scheme val="minor"/>
    </font>
    <font>
      <sz val="14"/>
      <color theme="1" tint="4.9989318521683403E-2"/>
      <name val="Calibri"/>
      <family val="2"/>
      <charset val="204"/>
      <scheme val="minor"/>
    </font>
    <font>
      <b/>
      <i/>
      <u/>
      <sz val="14"/>
      <color theme="1" tint="4.9989318521683403E-2"/>
      <name val="Calibri"/>
      <family val="2"/>
      <charset val="20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i/>
      <u/>
      <sz val="14"/>
      <color theme="1"/>
      <name val="Calibri"/>
      <family val="2"/>
      <charset val="204"/>
      <scheme val="minor"/>
    </font>
    <font>
      <sz val="6"/>
      <name val="Yu Gothic"/>
      <family val="2"/>
      <charset val="128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  <charset val="204"/>
      <scheme val="minor"/>
    </font>
    <font>
      <b/>
      <sz val="14"/>
      <color theme="1" tint="4.9989318521683403E-2"/>
      <name val="Calibri"/>
      <family val="2"/>
      <scheme val="minor"/>
    </font>
    <font>
      <b/>
      <i/>
      <u/>
      <sz val="14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DEBF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2" fillId="11" borderId="0" applyNumberFormat="0" applyBorder="0" applyAlignment="0" applyProtection="0"/>
    <xf numFmtId="164" fontId="5" fillId="12" borderId="1" applyFont="0" applyBorder="0" applyAlignment="0">
      <alignment horizontal="center" vertical="center"/>
    </xf>
    <xf numFmtId="164" fontId="2" fillId="11" borderId="1" applyBorder="0" applyAlignment="0">
      <alignment horizontal="center" vertical="center"/>
    </xf>
    <xf numFmtId="164" fontId="20" fillId="11" borderId="1" applyFont="0" applyBorder="0" applyAlignment="0">
      <alignment horizontal="center" vertical="center"/>
    </xf>
    <xf numFmtId="44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166" fontId="5" fillId="9" borderId="1">
      <alignment horizontal="center" vertical="center"/>
    </xf>
    <xf numFmtId="166" fontId="5" fillId="9" borderId="1">
      <alignment horizontal="center" vertical="center"/>
    </xf>
    <xf numFmtId="166" fontId="5" fillId="9" borderId="1">
      <alignment horizontal="center" vertical="center"/>
    </xf>
    <xf numFmtId="168" fontId="5" fillId="9" borderId="1">
      <alignment horizontal="center" vertical="center"/>
    </xf>
    <xf numFmtId="164" fontId="5" fillId="9" borderId="1" applyFont="0" applyBorder="0">
      <alignment horizontal="center" vertical="center"/>
    </xf>
  </cellStyleXfs>
  <cellXfs count="30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164" fontId="8" fillId="2" borderId="6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/>
    </xf>
    <xf numFmtId="0" fontId="11" fillId="0" borderId="0" xfId="0" applyFont="1"/>
    <xf numFmtId="164" fontId="5" fillId="3" borderId="10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64" fontId="5" fillId="3" borderId="10" xfId="0" applyNumberFormat="1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12" fillId="4" borderId="1" xfId="0" applyNumberFormat="1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164" fontId="20" fillId="3" borderId="1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164" fontId="26" fillId="7" borderId="11" xfId="0" applyNumberFormat="1" applyFont="1" applyFill="1" applyBorder="1" applyAlignment="1">
      <alignment horizontal="center" vertical="center"/>
    </xf>
    <xf numFmtId="164" fontId="26" fillId="7" borderId="8" xfId="0" applyNumberFormat="1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28" fillId="0" borderId="0" xfId="0" applyFont="1"/>
    <xf numFmtId="164" fontId="0" fillId="3" borderId="1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12" fillId="4" borderId="6" xfId="0" applyNumberFormat="1" applyFont="1" applyFill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164" fontId="29" fillId="7" borderId="11" xfId="0" applyNumberFormat="1" applyFont="1" applyFill="1" applyBorder="1" applyAlignment="1">
      <alignment horizontal="center" vertical="center"/>
    </xf>
    <xf numFmtId="164" fontId="29" fillId="7" borderId="8" xfId="0" applyNumberFormat="1" applyFont="1" applyFill="1" applyBorder="1" applyAlignment="1">
      <alignment horizontal="center" vertical="center"/>
    </xf>
    <xf numFmtId="164" fontId="29" fillId="7" borderId="9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2" fillId="3" borderId="10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14" fontId="0" fillId="9" borderId="10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 wrapText="1"/>
    </xf>
    <xf numFmtId="164" fontId="23" fillId="9" borderId="1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22" fillId="9" borderId="1" xfId="0" applyNumberFormat="1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24" fillId="9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23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2" fillId="11" borderId="1" xfId="1" applyNumberFormat="1" applyBorder="1" applyAlignment="1">
      <alignment horizontal="center" vertical="center"/>
    </xf>
    <xf numFmtId="14" fontId="2" fillId="11" borderId="1" xfId="1" applyNumberFormat="1" applyBorder="1" applyAlignment="1">
      <alignment horizontal="center" vertical="center"/>
    </xf>
    <xf numFmtId="0" fontId="2" fillId="11" borderId="1" xfId="1" applyBorder="1" applyAlignment="1">
      <alignment horizontal="center" vertical="center"/>
    </xf>
    <xf numFmtId="14" fontId="2" fillId="11" borderId="10" xfId="1" applyNumberFormat="1" applyBorder="1" applyAlignment="1">
      <alignment horizontal="center" vertical="center"/>
    </xf>
    <xf numFmtId="0" fontId="2" fillId="11" borderId="10" xfId="1" applyBorder="1" applyAlignment="1">
      <alignment horizontal="center" vertical="center"/>
    </xf>
    <xf numFmtId="14" fontId="2" fillId="11" borderId="5" xfId="1" applyNumberFormat="1" applyBorder="1" applyAlignment="1">
      <alignment horizontal="center" vertical="center"/>
    </xf>
    <xf numFmtId="164" fontId="20" fillId="11" borderId="1" xfId="1" applyNumberFormat="1" applyFont="1" applyBorder="1" applyAlignment="1">
      <alignment horizontal="center" vertical="center"/>
    </xf>
    <xf numFmtId="14" fontId="34" fillId="11" borderId="1" xfId="1" applyNumberFormat="1" applyFont="1" applyBorder="1" applyAlignment="1">
      <alignment horizontal="center" vertical="center"/>
    </xf>
    <xf numFmtId="0" fontId="34" fillId="11" borderId="1" xfId="1" applyFont="1" applyBorder="1" applyAlignment="1">
      <alignment horizontal="center" vertical="center"/>
    </xf>
    <xf numFmtId="0" fontId="21" fillId="11" borderId="1" xfId="1" applyFont="1" applyBorder="1" applyAlignment="1">
      <alignment horizontal="center" vertical="center"/>
    </xf>
    <xf numFmtId="164" fontId="3" fillId="11" borderId="1" xfId="1" applyNumberFormat="1" applyFont="1" applyBorder="1" applyAlignment="1">
      <alignment horizontal="center" vertical="center"/>
    </xf>
    <xf numFmtId="164" fontId="3" fillId="11" borderId="5" xfId="1" applyNumberFormat="1" applyFont="1" applyBorder="1" applyAlignment="1">
      <alignment horizontal="center" vertical="center"/>
    </xf>
    <xf numFmtId="164" fontId="3" fillId="11" borderId="1" xfId="1" applyNumberFormat="1" applyFont="1" applyBorder="1" applyAlignment="1">
      <alignment horizontal="center" vertical="center" wrapText="1"/>
    </xf>
    <xf numFmtId="164" fontId="20" fillId="3" borderId="1" xfId="1" applyNumberFormat="1" applyFont="1" applyFill="1" applyBorder="1" applyAlignment="1">
      <alignment horizontal="center" vertical="center"/>
    </xf>
    <xf numFmtId="14" fontId="34" fillId="3" borderId="1" xfId="1" applyNumberFormat="1" applyFont="1" applyFill="1" applyBorder="1" applyAlignment="1">
      <alignment horizontal="center" vertical="center"/>
    </xf>
    <xf numFmtId="14" fontId="2" fillId="3" borderId="10" xfId="1" applyNumberFormat="1" applyFill="1" applyBorder="1" applyAlignment="1">
      <alignment horizontal="center" vertical="center"/>
    </xf>
    <xf numFmtId="0" fontId="21" fillId="3" borderId="1" xfId="1" applyFont="1" applyFill="1" applyBorder="1" applyAlignment="1">
      <alignment horizontal="center" vertical="center"/>
    </xf>
    <xf numFmtId="164" fontId="3" fillId="3" borderId="5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 vertical="center"/>
    </xf>
    <xf numFmtId="0" fontId="2" fillId="3" borderId="10" xfId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34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14" fontId="2" fillId="3" borderId="1" xfId="1" applyNumberForma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4" fontId="35" fillId="1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14" fontId="0" fillId="3" borderId="10" xfId="0" applyNumberForma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8" fillId="2" borderId="6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20" fillId="3" borderId="1" xfId="0" applyNumberFormat="1" applyFont="1" applyFill="1" applyBorder="1" applyAlignment="1">
      <alignment horizontal="center" vertical="center" wrapText="1"/>
    </xf>
    <xf numFmtId="164" fontId="20" fillId="9" borderId="1" xfId="0" applyNumberFormat="1" applyFont="1" applyFill="1" applyBorder="1" applyAlignment="1">
      <alignment horizontal="center" vertical="center" wrapText="1"/>
    </xf>
    <xf numFmtId="14" fontId="0" fillId="9" borderId="10" xfId="0" applyNumberFormat="1" applyFill="1" applyBorder="1" applyAlignment="1">
      <alignment horizontal="center" vertical="center" wrapText="1"/>
    </xf>
    <xf numFmtId="164" fontId="0" fillId="9" borderId="5" xfId="0" applyNumberForma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164" fontId="0" fillId="3" borderId="5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164" fontId="23" fillId="3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23" fillId="9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12" fillId="9" borderId="1" xfId="0" applyNumberFormat="1" applyFont="1" applyFill="1" applyBorder="1" applyAlignment="1">
      <alignment horizontal="center" vertical="center" wrapText="1"/>
    </xf>
    <xf numFmtId="164" fontId="35" fillId="13" borderId="1" xfId="0" applyNumberFormat="1" applyFont="1" applyFill="1" applyBorder="1" applyAlignment="1">
      <alignment horizontal="center" vertical="center" wrapText="1"/>
    </xf>
    <xf numFmtId="164" fontId="0" fillId="9" borderId="11" xfId="0" applyNumberForma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4" fontId="24" fillId="9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0" fillId="9" borderId="11" xfId="0" applyNumberForma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4" fontId="4" fillId="14" borderId="1" xfId="0" applyNumberFormat="1" applyFont="1" applyFill="1" applyBorder="1" applyAlignment="1">
      <alignment horizontal="center" vertical="center"/>
    </xf>
    <xf numFmtId="14" fontId="0" fillId="14" borderId="10" xfId="0" applyNumberForma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4" fontId="0" fillId="14" borderId="5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center" vertical="center"/>
    </xf>
    <xf numFmtId="0" fontId="37" fillId="7" borderId="11" xfId="0" applyFont="1" applyFill="1" applyBorder="1" applyAlignment="1">
      <alignment horizontal="center" vertical="center"/>
    </xf>
    <xf numFmtId="164" fontId="36" fillId="7" borderId="11" xfId="0" applyNumberFormat="1" applyFont="1" applyFill="1" applyBorder="1" applyAlignment="1">
      <alignment horizontal="center" vertical="center"/>
    </xf>
    <xf numFmtId="164" fontId="36" fillId="7" borderId="8" xfId="0" applyNumberFormat="1" applyFont="1" applyFill="1" applyBorder="1" applyAlignment="1">
      <alignment horizontal="center" vertical="center"/>
    </xf>
    <xf numFmtId="164" fontId="5" fillId="9" borderId="1" xfId="5" applyNumberFormat="1" applyFont="1" applyFill="1" applyBorder="1" applyAlignment="1">
      <alignment horizontal="center" vertical="center"/>
    </xf>
    <xf numFmtId="164" fontId="39" fillId="0" borderId="1" xfId="0" applyNumberFormat="1" applyFont="1" applyBorder="1" applyAlignment="1">
      <alignment horizontal="center" vertical="center"/>
    </xf>
    <xf numFmtId="164" fontId="39" fillId="9" borderId="1" xfId="0" applyNumberFormat="1" applyFont="1" applyFill="1" applyBorder="1" applyAlignment="1">
      <alignment horizontal="center" vertical="center"/>
    </xf>
    <xf numFmtId="164" fontId="39" fillId="3" borderId="1" xfId="0" applyNumberFormat="1" applyFont="1" applyFill="1" applyBorder="1" applyAlignment="1">
      <alignment horizontal="center" vertical="center"/>
    </xf>
    <xf numFmtId="167" fontId="5" fillId="9" borderId="1" xfId="6" applyNumberFormat="1" applyFont="1" applyFill="1" applyBorder="1" applyAlignment="1">
      <alignment horizontal="center" vertical="center"/>
    </xf>
    <xf numFmtId="167" fontId="5" fillId="9" borderId="1" xfId="5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vertical="center"/>
    </xf>
    <xf numFmtId="169" fontId="5" fillId="9" borderId="1" xfId="5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vertical="center"/>
    </xf>
    <xf numFmtId="14" fontId="4" fillId="9" borderId="1" xfId="0" applyNumberFormat="1" applyFont="1" applyFill="1" applyBorder="1" applyAlignment="1">
      <alignment vertical="center"/>
    </xf>
    <xf numFmtId="164" fontId="0" fillId="9" borderId="5" xfId="0" applyNumberFormat="1" applyFill="1" applyBorder="1" applyAlignment="1">
      <alignment vertical="center"/>
    </xf>
    <xf numFmtId="164" fontId="0" fillId="9" borderId="1" xfId="0" applyNumberFormat="1" applyFill="1" applyBorder="1" applyAlignment="1">
      <alignment vertical="center"/>
    </xf>
    <xf numFmtId="164" fontId="35" fillId="15" borderId="1" xfId="0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64" fontId="40" fillId="3" borderId="1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164" fontId="35" fillId="16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23" fillId="9" borderId="1" xfId="0" applyNumberFormat="1" applyFont="1" applyFill="1" applyBorder="1" applyAlignment="1">
      <alignment horizontal="right" vertical="center"/>
    </xf>
    <xf numFmtId="170" fontId="5" fillId="9" borderId="0" xfId="0" applyNumberFormat="1" applyFont="1" applyFill="1" applyAlignment="1">
      <alignment horizontal="center" vertical="center"/>
    </xf>
    <xf numFmtId="164" fontId="40" fillId="9" borderId="1" xfId="0" applyNumberFormat="1" applyFont="1" applyFill="1" applyBorder="1" applyAlignment="1">
      <alignment horizontal="center" vertical="center"/>
    </xf>
    <xf numFmtId="164" fontId="5" fillId="3" borderId="0" xfId="5" applyNumberFormat="1" applyFont="1" applyFill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 wrapText="1"/>
    </xf>
    <xf numFmtId="164" fontId="8" fillId="2" borderId="24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</cellXfs>
  <cellStyles count="12">
    <cellStyle name="20% — акцент1" xfId="1" builtinId="30"/>
    <cellStyle name="Денежный" xfId="5" builtinId="4"/>
    <cellStyle name="Денежный [0]" xfId="6" builtinId="7"/>
    <cellStyle name="Начертание 1" xfId="2" xr:uid="{00000000-0005-0000-0000-000003000000}"/>
    <cellStyle name="Начертание 2" xfId="3" xr:uid="{00000000-0005-0000-0000-000004000000}"/>
    <cellStyle name="Начертание 3" xfId="4" xr:uid="{00000000-0005-0000-0000-000005000000}"/>
    <cellStyle name="Начертание 4" xfId="7" xr:uid="{00000000-0005-0000-0000-000006000000}"/>
    <cellStyle name="Начертание 5" xfId="8" xr:uid="{00000000-0005-0000-0000-000007000000}"/>
    <cellStyle name="Начертание 6" xfId="9" xr:uid="{00000000-0005-0000-0000-000008000000}"/>
    <cellStyle name="Начертание 7" xfId="10" xr:uid="{00000000-0005-0000-0000-000009000000}"/>
    <cellStyle name="Начертание 8" xfId="11" xr:uid="{00000000-0005-0000-0000-00000A000000}"/>
    <cellStyle name="Обычный" xfId="0" builtinId="0"/>
  </cellStyles>
  <dxfs count="347"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-* #,##0.00\ _₽_-;\-* #,##0.00\ _₽_-;_-* &quot;-&quot;??\ _₽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color theme="1"/>
        <name val="Calibri"/>
        <scheme val="minor"/>
      </font>
      <numFmt numFmtId="164" formatCode="_-* #,##0.00\ _₽_-;\-* #,##0.00\ _₽_-;_-* &quot;-&quot;??\ _₽_-;_-@_-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.00\ _₽_-;\-* #,##0.00\ _₽_-;_-* &quot;-&quot;??\ _₽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mobile/Containers/Data/Application/1690B661-28AC-4674-9484-DD69A3B3D034/Library/Caches/SideLoading/&#1048;&#1102;&#1083;&#1100;%20&#1062;14%20&#1091;&#1095;&#1077;&#1090;))))))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ктябрь"/>
      <sheetName val="ноябрь"/>
      <sheetName val="декабрь"/>
      <sheetName val="Январь"/>
      <sheetName val="Февраль"/>
      <sheetName val="Март"/>
      <sheetName val="Апрель"/>
      <sheetName val="Май"/>
      <sheetName val="Июнь"/>
      <sheetName val="Июль"/>
      <sheetName val="Июль Ц14 учет))))))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2:L92" totalsRowShown="0" headerRowDxfId="346" dataDxfId="344" headerRowBorderDxfId="345" tableBorderDxfId="343" totalsRowBorderDxfId="342">
  <autoFilter ref="A12:L92" xr:uid="{00000000-0009-0000-0100-000001000000}"/>
  <tableColumns count="12">
    <tableColumn id="1" xr3:uid="{00000000-0010-0000-0000-000001000000}" name="Месяц" dataDxfId="341"/>
    <tableColumn id="2" xr3:uid="{00000000-0010-0000-0000-000002000000}" name="Дата" dataDxfId="340"/>
    <tableColumn id="23" xr3:uid="{00000000-0010-0000-0000-000017000000}" name="Время суток" dataDxfId="339"/>
    <tableColumn id="3" xr3:uid="{00000000-0010-0000-0000-000003000000}" name="Смена" dataDxfId="338"/>
    <tableColumn id="4" xr3:uid="{00000000-0010-0000-0000-000004000000}" name="Нал" dataDxfId="337"/>
    <tableColumn id="5" xr3:uid="{00000000-0010-0000-0000-000005000000}" name="Терминал" dataDxfId="336"/>
    <tableColumn id="19" xr3:uid="{00000000-0010-0000-0000-000013000000}" name="Расход" dataDxfId="335"/>
    <tableColumn id="24" xr3:uid="{00000000-0010-0000-0000-000018000000}" name="Коментарии" dataDxfId="334"/>
    <tableColumn id="20" xr3:uid="{00000000-0010-0000-0000-000014000000}" name="Закуп" dataDxfId="333"/>
    <tableColumn id="26" xr3:uid="{00000000-0010-0000-0000-00001A000000}" name="Коментарии2" dataDxfId="332"/>
    <tableColumn id="21" xr3:uid="{00000000-0010-0000-0000-000015000000}" name="Расход со счета" dataDxfId="331"/>
    <tableColumn id="6" xr3:uid="{00000000-0010-0000-0000-000006000000}" name="Итого расход нал" dataDxfId="330">
      <calculatedColumnFormula>Таблица1[[#This Row],[Нал]]+Таблица1[[#This Row],[Терминал]]-Таблица1[[#This Row],[Расход]]-Таблица1[[#This Row],[Закуп]]-Таблица1[[#This Row],[Расход со счета]]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13" displayName="Таблица13" ref="B8:M166" totalsRowShown="0" headerRowDxfId="329" dataDxfId="327" headerRowBorderDxfId="328" tableBorderDxfId="326" totalsRowBorderDxfId="325">
  <autoFilter ref="B8:M166" xr:uid="{00000000-0009-0000-0100-000002000000}"/>
  <tableColumns count="12">
    <tableColumn id="1" xr3:uid="{00000000-0010-0000-0100-000001000000}" name="Месяц" dataDxfId="324"/>
    <tableColumn id="2" xr3:uid="{00000000-0010-0000-0100-000002000000}" name="Дата" dataDxfId="323"/>
    <tableColumn id="23" xr3:uid="{00000000-0010-0000-0100-000017000000}" name="Время суток" dataDxfId="322"/>
    <tableColumn id="3" xr3:uid="{00000000-0010-0000-0100-000003000000}" name="Смена" dataDxfId="321"/>
    <tableColumn id="4" xr3:uid="{00000000-0010-0000-0100-000004000000}" name="Нал" dataDxfId="320"/>
    <tableColumn id="5" xr3:uid="{00000000-0010-0000-0100-000005000000}" name="Терминал" dataDxfId="319"/>
    <tableColumn id="19" xr3:uid="{00000000-0010-0000-0100-000013000000}" name="Расход" dataDxfId="318"/>
    <tableColumn id="24" xr3:uid="{00000000-0010-0000-0100-000018000000}" name="Коментарии" dataDxfId="317"/>
    <tableColumn id="20" xr3:uid="{00000000-0010-0000-0100-000014000000}" name="Закуп" dataDxfId="316"/>
    <tableColumn id="26" xr3:uid="{00000000-0010-0000-0100-00001A000000}" name="Коментарии2" dataDxfId="315"/>
    <tableColumn id="21" xr3:uid="{00000000-0010-0000-0100-000015000000}" name="Расход со счета" dataDxfId="314">
      <calculatedColumnFormula>SUBTOTAL(109,L11:L162)</calculatedColumnFormula>
    </tableColumn>
    <tableColumn id="6" xr3:uid="{00000000-0010-0000-0100-000006000000}" name="Итого расход нал" dataDxfId="313">
      <calculatedColumnFormula>Таблица13[[#This Row],[Нал]]+Таблица13[[#This Row],[Терминал]]-Таблица13[[#This Row],[Расход]]-Таблица13[[#This Row],[Закуп]]-Таблица13[[#This Row],[Расход со счета]]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34" displayName="Таблица134" ref="A10:L167" totalsRowShown="0" headerRowDxfId="312" dataDxfId="310" headerRowBorderDxfId="311" tableBorderDxfId="309" totalsRowBorderDxfId="308">
  <autoFilter ref="A10:L167" xr:uid="{00000000-0009-0000-0100-000003000000}"/>
  <tableColumns count="12">
    <tableColumn id="1" xr3:uid="{00000000-0010-0000-0200-000001000000}" name="Месяц" dataDxfId="307"/>
    <tableColumn id="2" xr3:uid="{00000000-0010-0000-0200-000002000000}" name="Дата" dataDxfId="306"/>
    <tableColumn id="23" xr3:uid="{00000000-0010-0000-0200-000017000000}" name="Время суток" dataDxfId="305"/>
    <tableColumn id="3" xr3:uid="{00000000-0010-0000-0200-000003000000}" name="Смена" dataDxfId="304"/>
    <tableColumn id="4" xr3:uid="{00000000-0010-0000-0200-000004000000}" name="Нал" dataDxfId="303"/>
    <tableColumn id="5" xr3:uid="{00000000-0010-0000-0200-000005000000}" name="Терминал" dataDxfId="302"/>
    <tableColumn id="19" xr3:uid="{00000000-0010-0000-0200-000013000000}" name="Расход" dataDxfId="301">
      <calculatedColumnFormula>SUM(G12:G163)</calculatedColumnFormula>
    </tableColumn>
    <tableColumn id="24" xr3:uid="{00000000-0010-0000-0200-000018000000}" name="Коментарии" dataDxfId="300"/>
    <tableColumn id="20" xr3:uid="{00000000-0010-0000-0200-000014000000}" name="Закуп" dataDxfId="299">
      <calculatedColumnFormula>SUBTOTAL(109,I10)</calculatedColumnFormula>
    </tableColumn>
    <tableColumn id="26" xr3:uid="{00000000-0010-0000-0200-00001A000000}" name="Коментарии2" dataDxfId="298"/>
    <tableColumn id="21" xr3:uid="{00000000-0010-0000-0200-000015000000}" name="Расход со счета" dataDxfId="297">
      <calculatedColumnFormula>SUBTOTAL(109,K13:K162)</calculatedColumnFormula>
    </tableColumn>
    <tableColumn id="6" xr3:uid="{00000000-0010-0000-0200-000006000000}" name="Итого расход нал" dataDxfId="296">
      <calculatedColumnFormula>Таблица134[[#This Row],[Нал]]+Таблица134[[#This Row],[Терминал]]-Таблица134[[#This Row],[Расход]]-Таблица134[[#This Row],[Закуп]]-Таблица134[[#This Row],[Расход со счета]]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1345" displayName="Таблица1345" ref="A9:L136" totalsRowShown="0" headerRowDxfId="295" dataDxfId="293" headerRowBorderDxfId="294" tableBorderDxfId="292" totalsRowBorderDxfId="291">
  <autoFilter ref="A9:L136" xr:uid="{00000000-0009-0000-0100-000004000000}"/>
  <tableColumns count="12">
    <tableColumn id="1" xr3:uid="{00000000-0010-0000-0300-000001000000}" name="Месяц" dataDxfId="290"/>
    <tableColumn id="2" xr3:uid="{00000000-0010-0000-0300-000002000000}" name="Дата" dataDxfId="289"/>
    <tableColumn id="23" xr3:uid="{00000000-0010-0000-0300-000017000000}" name="Время суток" dataDxfId="288"/>
    <tableColumn id="3" xr3:uid="{00000000-0010-0000-0300-000003000000}" name="Смена" dataDxfId="287"/>
    <tableColumn id="4" xr3:uid="{00000000-0010-0000-0300-000004000000}" name="Нал" dataDxfId="286"/>
    <tableColumn id="5" xr3:uid="{00000000-0010-0000-0300-000005000000}" name="Терминал" dataDxfId="285"/>
    <tableColumn id="19" xr3:uid="{00000000-0010-0000-0300-000013000000}" name="Расход" dataDxfId="284">
      <calculatedColumnFormula>SUM(G11:G131)</calculatedColumnFormula>
    </tableColumn>
    <tableColumn id="24" xr3:uid="{00000000-0010-0000-0300-000018000000}" name="Коментарии" dataDxfId="283"/>
    <tableColumn id="20" xr3:uid="{00000000-0010-0000-0300-000014000000}" name="Закуп" dataDxfId="282">
      <calculatedColumnFormula>SUBTOTAL(109,I9)</calculatedColumnFormula>
    </tableColumn>
    <tableColumn id="26" xr3:uid="{00000000-0010-0000-0300-00001A000000}" name="Коментарии2" dataDxfId="281"/>
    <tableColumn id="21" xr3:uid="{00000000-0010-0000-0300-000015000000}" name="Расход со счета" dataDxfId="280">
      <calculatedColumnFormula>SUBTOTAL(109,K12:K130)</calculatedColumnFormula>
    </tableColumn>
    <tableColumn id="6" xr3:uid="{00000000-0010-0000-0300-000006000000}" name="Итого расход нал" dataDxfId="279">
      <calculatedColumnFormula>Таблица1345[[#This Row],[Нал]]+Таблица1345[[#This Row],[Терминал]]-Таблица1345[[#This Row],[Расход]]-Таблица1345[[#This Row],[Закуп]]-Таблица1345[[#This Row],[Расход со счета]]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Таблица13456" displayName="Таблица13456" ref="A9:N139" totalsRowShown="0" headerRowDxfId="278" dataDxfId="276" headerRowBorderDxfId="277" tableBorderDxfId="275" totalsRowBorderDxfId="274">
  <autoFilter ref="A9:N139" xr:uid="{00000000-0009-0000-0100-000005000000}"/>
  <tableColumns count="14">
    <tableColumn id="1" xr3:uid="{00000000-0010-0000-0400-000001000000}" name="Месяц" dataDxfId="273"/>
    <tableColumn id="2" xr3:uid="{00000000-0010-0000-0400-000002000000}" name="Дата" dataDxfId="272"/>
    <tableColumn id="23" xr3:uid="{00000000-0010-0000-0400-000017000000}" name="Время суток" dataDxfId="271"/>
    <tableColumn id="3" xr3:uid="{00000000-0010-0000-0400-000003000000}" name="Смена" dataDxfId="270"/>
    <tableColumn id="4" xr3:uid="{00000000-0010-0000-0400-000004000000}" name="Нал" dataDxfId="269"/>
    <tableColumn id="5" xr3:uid="{00000000-0010-0000-0400-000005000000}" name="Терминал" dataDxfId="268"/>
    <tableColumn id="19" xr3:uid="{00000000-0010-0000-0400-000013000000}" name="Расход" dataDxfId="267">
      <calculatedColumnFormula>SUM(G11:G134)</calculatedColumnFormula>
    </tableColumn>
    <tableColumn id="24" xr3:uid="{00000000-0010-0000-0400-000018000000}" name="Коментарии" dataDxfId="266"/>
    <tableColumn id="20" xr3:uid="{00000000-0010-0000-0400-000014000000}" name="Закуп" dataDxfId="265">
      <calculatedColumnFormula>SUBTOTAL(109,I9)</calculatedColumnFormula>
    </tableColumn>
    <tableColumn id="26" xr3:uid="{00000000-0010-0000-0400-00001A000000}" name="Коментарии2" dataDxfId="264"/>
    <tableColumn id="21" xr3:uid="{00000000-0010-0000-0400-000015000000}" name="Расход со счета" dataDxfId="263">
      <calculatedColumnFormula>SUBTOTAL(109,K12:K134)</calculatedColumnFormula>
    </tableColumn>
    <tableColumn id="6" xr3:uid="{00000000-0010-0000-0400-000006000000}" name="Итого расход нал" dataDxfId="262">
      <calculatedColumnFormula>Таблица13456[[#This Row],[Нал]]+Таблица13456[[#This Row],[Терминал]]-Таблица13456[[#This Row],[Расход]]-Таблица13456[[#This Row],[Закуп]]-Таблица13456[[#This Row],[Расход со счета]]</calculatedColumnFormula>
    </tableColumn>
    <tableColumn id="7" xr3:uid="{00000000-0010-0000-0400-000007000000}" name="Столбец1" dataDxfId="261"/>
    <tableColumn id="8" xr3:uid="{00000000-0010-0000-0400-000008000000}" name="Столбец2" dataDxfId="2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Таблица134567" displayName="Таблица134567" ref="A9:N151" totalsRowShown="0" headerRowDxfId="259" dataDxfId="257" headerRowBorderDxfId="258" tableBorderDxfId="256" totalsRowBorderDxfId="255">
  <autoFilter ref="A9:N151" xr:uid="{00000000-0009-0000-0100-000006000000}"/>
  <tableColumns count="14">
    <tableColumn id="1" xr3:uid="{00000000-0010-0000-0500-000001000000}" name="Месяц" dataDxfId="254"/>
    <tableColumn id="2" xr3:uid="{00000000-0010-0000-0500-000002000000}" name="Дата" dataDxfId="253"/>
    <tableColumn id="23" xr3:uid="{00000000-0010-0000-0500-000017000000}" name="Время суток" dataDxfId="252"/>
    <tableColumn id="3" xr3:uid="{00000000-0010-0000-0500-000003000000}" name="Смена" dataDxfId="251"/>
    <tableColumn id="4" xr3:uid="{00000000-0010-0000-0500-000004000000}" name="Нал" dataDxfId="250"/>
    <tableColumn id="5" xr3:uid="{00000000-0010-0000-0500-000005000000}" name="Терминал" dataDxfId="249"/>
    <tableColumn id="19" xr3:uid="{00000000-0010-0000-0500-000013000000}" name="Расход" dataDxfId="248">
      <calculatedColumnFormula>SUM(G11:G139)</calculatedColumnFormula>
    </tableColumn>
    <tableColumn id="24" xr3:uid="{00000000-0010-0000-0500-000018000000}" name="Коментарии" dataDxfId="247"/>
    <tableColumn id="20" xr3:uid="{00000000-0010-0000-0500-000014000000}" name="Закуп" dataDxfId="246">
      <calculatedColumnFormula>SUBTOTAL(109,I9)</calculatedColumnFormula>
    </tableColumn>
    <tableColumn id="26" xr3:uid="{00000000-0010-0000-0500-00001A000000}" name="Коментарии2" dataDxfId="245"/>
    <tableColumn id="21" xr3:uid="{00000000-0010-0000-0500-000015000000}" name="Расход со счета" dataDxfId="244">
      <calculatedColumnFormula>SUBTOTAL(109,K12:K139)</calculatedColumnFormula>
    </tableColumn>
    <tableColumn id="6" xr3:uid="{00000000-0010-0000-0500-000006000000}" name="Итого расход нал" dataDxfId="243">
      <calculatedColumnFormula>Таблица134567[[#This Row],[Нал]]+Таблица134567[[#This Row],[Терминал]]-Таблица134567[[#This Row],[Расход]]-Таблица134567[[#This Row],[Закуп]]-Таблица134567[[#This Row],[Расход со счета]]</calculatedColumnFormula>
    </tableColumn>
    <tableColumn id="7" xr3:uid="{00000000-0010-0000-0500-000007000000}" name="Столбец1" dataDxfId="242"/>
    <tableColumn id="8" xr3:uid="{00000000-0010-0000-0500-000008000000}" name="Столбец2" dataDxfId="2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Таблица1345678" displayName="Таблица1345678" ref="A9:N179" totalsRowShown="0" headerRowDxfId="240" dataDxfId="238" headerRowBorderDxfId="239" tableBorderDxfId="237" totalsRowBorderDxfId="236">
  <autoFilter ref="A9:N179" xr:uid="{00000000-0009-0000-0100-000007000000}"/>
  <tableColumns count="14">
    <tableColumn id="1" xr3:uid="{00000000-0010-0000-0600-000001000000}" name="Месяц" dataDxfId="235"/>
    <tableColumn id="2" xr3:uid="{00000000-0010-0000-0600-000002000000}" name="Дата" dataDxfId="234"/>
    <tableColumn id="23" xr3:uid="{00000000-0010-0000-0600-000017000000}" name="Время суток" dataDxfId="233"/>
    <tableColumn id="3" xr3:uid="{00000000-0010-0000-0600-000003000000}" name="Смена" dataDxfId="232"/>
    <tableColumn id="4" xr3:uid="{00000000-0010-0000-0600-000004000000}" name="Нал" dataDxfId="231"/>
    <tableColumn id="5" xr3:uid="{00000000-0010-0000-0600-000005000000}" name="Терминал" dataDxfId="230"/>
    <tableColumn id="19" xr3:uid="{00000000-0010-0000-0600-000013000000}" name="Расход" dataDxfId="229">
      <calculatedColumnFormula>SUM(G11:G167)</calculatedColumnFormula>
    </tableColumn>
    <tableColumn id="24" xr3:uid="{00000000-0010-0000-0600-000018000000}" name="Коментарии" dataDxfId="228"/>
    <tableColumn id="20" xr3:uid="{00000000-0010-0000-0600-000014000000}" name="Закуп" dataDxfId="227">
      <calculatedColumnFormula>SUBTOTAL(109,I9)</calculatedColumnFormula>
    </tableColumn>
    <tableColumn id="26" xr3:uid="{00000000-0010-0000-0600-00001A000000}" name="Коментарии2" dataDxfId="226"/>
    <tableColumn id="21" xr3:uid="{00000000-0010-0000-0600-000015000000}" name="Расход со счета" dataDxfId="225">
      <calculatedColumnFormula>SUBTOTAL(109,K16:K167)</calculatedColumnFormula>
    </tableColumn>
    <tableColumn id="6" xr3:uid="{00000000-0010-0000-0600-000006000000}" name="Итого расход нал" dataDxfId="224">
      <calculatedColumnFormula>Таблица1345678[[#This Row],[Нал]]+Таблица1345678[[#This Row],[Терминал]]-Таблица1345678[[#This Row],[Расход]]-Таблица1345678[[#This Row],[Закуп]]-Таблица1345678[[#This Row],[Расход со счета]]</calculatedColumnFormula>
    </tableColumn>
    <tableColumn id="7" xr3:uid="{00000000-0010-0000-0600-000007000000}" name="Столбец1" dataDxfId="223"/>
    <tableColumn id="8" xr3:uid="{00000000-0010-0000-0600-000008000000}" name="Столбец2" dataDxfId="2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Таблица13456789" displayName="Таблица13456789" ref="A9:N215" totalsRowShown="0" headerRowDxfId="221" dataDxfId="219" headerRowBorderDxfId="220" tableBorderDxfId="218" totalsRowBorderDxfId="217">
  <autoFilter ref="A9:N215" xr:uid="{00000000-0009-0000-0100-000008000000}"/>
  <tableColumns count="14">
    <tableColumn id="1" xr3:uid="{00000000-0010-0000-0700-000001000000}" name="Месяц" dataDxfId="216"/>
    <tableColumn id="2" xr3:uid="{00000000-0010-0000-0700-000002000000}" name="Дата" dataDxfId="215"/>
    <tableColumn id="23" xr3:uid="{00000000-0010-0000-0700-000017000000}" name="Время суток" dataDxfId="214"/>
    <tableColumn id="3" xr3:uid="{00000000-0010-0000-0700-000003000000}" name="Смена" dataDxfId="213"/>
    <tableColumn id="4" xr3:uid="{00000000-0010-0000-0700-000004000000}" name="Нал" dataDxfId="212"/>
    <tableColumn id="5" xr3:uid="{00000000-0010-0000-0700-000005000000}" name="Терминал" dataDxfId="211"/>
    <tableColumn id="19" xr3:uid="{00000000-0010-0000-0700-000013000000}" name="Расход" dataDxfId="210">
      <calculatedColumnFormula>SUM(G11:G202)</calculatedColumnFormula>
    </tableColumn>
    <tableColumn id="24" xr3:uid="{00000000-0010-0000-0700-000018000000}" name="Коментарии" dataDxfId="209"/>
    <tableColumn id="20" xr3:uid="{00000000-0010-0000-0700-000014000000}" name="Закуп" dataDxfId="208">
      <calculatedColumnFormula>SUBTOTAL(109,I9)</calculatedColumnFormula>
    </tableColumn>
    <tableColumn id="26" xr3:uid="{00000000-0010-0000-0700-00001A000000}" name="Коментарии2" dataDxfId="207"/>
    <tableColumn id="21" xr3:uid="{00000000-0010-0000-0700-000015000000}" name="Расход со счета" dataDxfId="206">
      <calculatedColumnFormula>SUBTOTAL(109,K14:K202)</calculatedColumnFormula>
    </tableColumn>
    <tableColumn id="6" xr3:uid="{00000000-0010-0000-0700-000006000000}" name="Итого расход нал" dataDxfId="205">
      <calculatedColumnFormula>Таблица13456789[[#This Row],[Нал]]+Таблица13456789[[#This Row],[Терминал]]-Таблица13456789[[#This Row],[Расход]]-Таблица13456789[[#This Row],[Закуп]]-Таблица13456789[[#This Row],[Расход со счета]]</calculatedColumnFormula>
    </tableColumn>
    <tableColumn id="7" xr3:uid="{00000000-0010-0000-0700-000007000000}" name="Столбец1" dataDxfId="204"/>
    <tableColumn id="8" xr3:uid="{00000000-0010-0000-0700-000008000000}" name="Столбец2" dataDxfId="20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Таблица1345678912" displayName="Таблица1345678912" ref="A9:N199" totalsRowShown="0" headerRowDxfId="202" dataDxfId="200" headerRowBorderDxfId="201" tableBorderDxfId="199" totalsRowBorderDxfId="198">
  <autoFilter ref="A9:N199" xr:uid="{00000000-0009-0000-0100-00000B000000}"/>
  <tableColumns count="14">
    <tableColumn id="1" xr3:uid="{00000000-0010-0000-0800-000001000000}" name="Месяц" dataDxfId="197"/>
    <tableColumn id="2" xr3:uid="{00000000-0010-0000-0800-000002000000}" name="Дата" dataDxfId="196"/>
    <tableColumn id="23" xr3:uid="{00000000-0010-0000-0800-000017000000}" name="Время суток" dataDxfId="195"/>
    <tableColumn id="3" xr3:uid="{00000000-0010-0000-0800-000003000000}" name="Смена" dataDxfId="194"/>
    <tableColumn id="4" xr3:uid="{00000000-0010-0000-0800-000004000000}" name="Нал" dataDxfId="193"/>
    <tableColumn id="5" xr3:uid="{00000000-0010-0000-0800-000005000000}" name="Терминал" dataDxfId="192"/>
    <tableColumn id="19" xr3:uid="{00000000-0010-0000-0800-000013000000}" name="Расход" dataDxfId="191">
      <calculatedColumnFormula>SUM(G11:G186)</calculatedColumnFormula>
    </tableColumn>
    <tableColumn id="24" xr3:uid="{00000000-0010-0000-0800-000018000000}" name="Коментарии" dataDxfId="190"/>
    <tableColumn id="20" xr3:uid="{00000000-0010-0000-0800-000014000000}" name="Закуп" dataDxfId="189">
      <calculatedColumnFormula>SUBTOTAL(109,I9)</calculatedColumnFormula>
    </tableColumn>
    <tableColumn id="26" xr3:uid="{00000000-0010-0000-0800-00001A000000}" name="Коментарии2" dataDxfId="188"/>
    <tableColumn id="21" xr3:uid="{00000000-0010-0000-0800-000015000000}" name="Расход со счета" dataDxfId="187">
      <calculatedColumnFormula>SUBTOTAL(109,K19:K186)</calculatedColumnFormula>
    </tableColumn>
    <tableColumn id="6" xr3:uid="{00000000-0010-0000-0800-000006000000}" name="Итого расход нал" dataDxfId="186">
      <calculatedColumnFormula>Таблица1345678912[[#This Row],[Нал]]+Таблица1345678912[[#This Row],[Терминал]]-Таблица1345678912[[#This Row],[Расход]]-Таблица1345678912[[#This Row],[Закуп]]-Таблица1345678912[[#This Row],[Расход со счета]]</calculatedColumnFormula>
    </tableColumn>
    <tableColumn id="7" xr3:uid="{00000000-0010-0000-0800-000007000000}" name="Столбец1" dataDxfId="185"/>
    <tableColumn id="8" xr3:uid="{00000000-0010-0000-0800-000008000000}" name="Столбец2" dataDxfId="18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Таблица16" displayName="Таблица16" ref="A9:J213" totalsRowShown="0" headerRowDxfId="183" dataDxfId="182" tableBorderDxfId="181">
  <autoFilter ref="A9:J213" xr:uid="{00000000-0009-0000-0100-000010000000}"/>
  <tableColumns count="10">
    <tableColumn id="1" xr3:uid="{00000000-0010-0000-0900-000001000000}" name="Месяц" dataDxfId="180"/>
    <tableColumn id="2" xr3:uid="{00000000-0010-0000-0900-000002000000}" name="Дата" dataDxfId="179"/>
    <tableColumn id="3" xr3:uid="{00000000-0010-0000-0900-000003000000}" name="Время суток" dataDxfId="178"/>
    <tableColumn id="4" xr3:uid="{00000000-0010-0000-0900-000004000000}" name="Смена" dataDxfId="177"/>
    <tableColumn id="5" xr3:uid="{00000000-0010-0000-0900-000005000000}" name="Нал" dataDxfId="176"/>
    <tableColumn id="6" xr3:uid="{00000000-0010-0000-0900-000006000000}" name="Терминал" dataDxfId="175"/>
    <tableColumn id="7" xr3:uid="{00000000-0010-0000-0900-000007000000}" name="Расход" dataDxfId="174"/>
    <tableColumn id="8" xr3:uid="{00000000-0010-0000-0900-000008000000}" name="Коментарии" dataDxfId="173"/>
    <tableColumn id="9" xr3:uid="{00000000-0010-0000-0900-000009000000}" name="Закуп" dataDxfId="172"/>
    <tableColumn id="10" xr3:uid="{00000000-0010-0000-0900-00000A000000}" name="Коментарии2" dataDxfId="171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Таблица13456789121011" displayName="Таблица13456789121011" ref="A9:N216" totalsRowShown="0" headerRowDxfId="170" dataDxfId="168" headerRowBorderDxfId="169" tableBorderDxfId="167" totalsRowBorderDxfId="166">
  <autoFilter ref="A9:N216" xr:uid="{00000000-0009-0000-0100-00000A000000}"/>
  <tableColumns count="14">
    <tableColumn id="1" xr3:uid="{00000000-0010-0000-0A00-000001000000}" name="Месяц" dataDxfId="165"/>
    <tableColumn id="2" xr3:uid="{00000000-0010-0000-0A00-000002000000}" name="Дата" dataDxfId="164"/>
    <tableColumn id="23" xr3:uid="{00000000-0010-0000-0A00-000017000000}" name="Время суток" dataDxfId="163"/>
    <tableColumn id="3" xr3:uid="{00000000-0010-0000-0A00-000003000000}" name="Смена" dataDxfId="162"/>
    <tableColumn id="4" xr3:uid="{00000000-0010-0000-0A00-000004000000}" name="Нал" dataDxfId="161"/>
    <tableColumn id="5" xr3:uid="{00000000-0010-0000-0A00-000005000000}" name="Терминал" dataDxfId="160"/>
    <tableColumn id="19" xr3:uid="{00000000-0010-0000-0A00-000013000000}" name="Расход" dataDxfId="159">
      <calculatedColumnFormula>SUM(G11:G203)</calculatedColumnFormula>
    </tableColumn>
    <tableColumn id="24" xr3:uid="{00000000-0010-0000-0A00-000018000000}" name="Коментарии" dataDxfId="158"/>
    <tableColumn id="20" xr3:uid="{00000000-0010-0000-0A00-000014000000}" name="Закуп" dataDxfId="157">
      <calculatedColumnFormula>SUBTOTAL(109,I9)</calculatedColumnFormula>
    </tableColumn>
    <tableColumn id="26" xr3:uid="{00000000-0010-0000-0A00-00001A000000}" name="Коментарии2" dataDxfId="156"/>
    <tableColumn id="21" xr3:uid="{00000000-0010-0000-0A00-000015000000}" name="Расход со счета" dataDxfId="155">
      <calculatedColumnFormula>SUBTOTAL(109,K24:K203)</calculatedColumnFormula>
    </tableColumn>
    <tableColumn id="6" xr3:uid="{00000000-0010-0000-0A00-000006000000}" name="Итого расход нал" dataDxfId="154">
      <calculatedColumnFormula>Таблица13456789121011[[#This Row],[Нал]]+Таблица13456789121011[[#This Row],[Терминал]]-Таблица13456789121011[[#This Row],[Расход]]-Таблица13456789121011[[#This Row],[Закуп]]-Таблица13456789121011[[#This Row],[Расход со счета]]</calculatedColumnFormula>
    </tableColumn>
    <tableColumn id="7" xr3:uid="{00000000-0010-0000-0A00-000007000000}" name="Столбец1" dataDxfId="153"/>
    <tableColumn id="8" xr3:uid="{00000000-0010-0000-0A00-000008000000}" name="Столбец2" dataDxfId="1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Таблица1345678912101113" displayName="Таблица1345678912101113" ref="A9:N228" totalsRowShown="0" headerRowDxfId="151" dataDxfId="149" headerRowBorderDxfId="150" tableBorderDxfId="148" totalsRowBorderDxfId="147">
  <autoFilter ref="A9:N228" xr:uid="{00000000-0009-0000-0100-00000C000000}"/>
  <tableColumns count="14">
    <tableColumn id="1" xr3:uid="{00000000-0010-0000-0B00-000001000000}" name="Месяц" dataDxfId="146"/>
    <tableColumn id="2" xr3:uid="{00000000-0010-0000-0B00-000002000000}" name="Дата" dataDxfId="145"/>
    <tableColumn id="23" xr3:uid="{00000000-0010-0000-0B00-000017000000}" name="Время суток" dataDxfId="144"/>
    <tableColumn id="3" xr3:uid="{00000000-0010-0000-0B00-000003000000}" name="Смена" dataDxfId="143"/>
    <tableColumn id="4" xr3:uid="{00000000-0010-0000-0B00-000004000000}" name="Нал" dataDxfId="142"/>
    <tableColumn id="5" xr3:uid="{00000000-0010-0000-0B00-000005000000}" name="Терминал" dataDxfId="141"/>
    <tableColumn id="19" xr3:uid="{00000000-0010-0000-0B00-000013000000}" name="Расход" dataDxfId="140">
      <calculatedColumnFormula>SUM(G11:G215)</calculatedColumnFormula>
    </tableColumn>
    <tableColumn id="24" xr3:uid="{00000000-0010-0000-0B00-000018000000}" name="Коментарии" dataDxfId="139"/>
    <tableColumn id="20" xr3:uid="{00000000-0010-0000-0B00-000014000000}" name="Закуп" dataDxfId="138">
      <calculatedColumnFormula>SUBTOTAL(109,I9)</calculatedColumnFormula>
    </tableColumn>
    <tableColumn id="26" xr3:uid="{00000000-0010-0000-0B00-00001A000000}" name="Коментарии2" dataDxfId="137"/>
    <tableColumn id="21" xr3:uid="{00000000-0010-0000-0B00-000015000000}" name="Расход со счета" dataDxfId="136">
      <calculatedColumnFormula>SUBTOTAL(109,K15:K215)</calculatedColumnFormula>
    </tableColumn>
    <tableColumn id="6" xr3:uid="{00000000-0010-0000-0B00-000006000000}" name="Итого расход нал" dataDxfId="135">
      <calculatedColumnFormula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calculatedColumnFormula>
    </tableColumn>
    <tableColumn id="7" xr3:uid="{00000000-0010-0000-0B00-000007000000}" name="Столбец1" dataDxfId="134"/>
    <tableColumn id="8" xr3:uid="{00000000-0010-0000-0B00-000008000000}" name="Столбец2" dataDxfId="1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Таблица134567891210111314" displayName="Таблица134567891210111314" ref="A9:N228" totalsRowShown="0" headerRowDxfId="132" dataDxfId="130" headerRowBorderDxfId="131" tableBorderDxfId="129" totalsRowBorderDxfId="128">
  <autoFilter ref="A9:N228" xr:uid="{00000000-0009-0000-0100-00000D000000}"/>
  <tableColumns count="14">
    <tableColumn id="1" xr3:uid="{00000000-0010-0000-0C00-000001000000}" name="Месяц" dataDxfId="127"/>
    <tableColumn id="2" xr3:uid="{00000000-0010-0000-0C00-000002000000}" name="Дата" dataDxfId="126"/>
    <tableColumn id="23" xr3:uid="{00000000-0010-0000-0C00-000017000000}" name="Время суток" dataDxfId="125"/>
    <tableColumn id="3" xr3:uid="{00000000-0010-0000-0C00-000003000000}" name="Смена" dataDxfId="124"/>
    <tableColumn id="4" xr3:uid="{00000000-0010-0000-0C00-000004000000}" name="Нал" dataDxfId="123"/>
    <tableColumn id="5" xr3:uid="{00000000-0010-0000-0C00-000005000000}" name="Терминал" dataDxfId="122"/>
    <tableColumn id="19" xr3:uid="{00000000-0010-0000-0C00-000013000000}" name="Расход" dataDxfId="121">
      <calculatedColumnFormula>SUM(G11:G215)</calculatedColumnFormula>
    </tableColumn>
    <tableColumn id="24" xr3:uid="{00000000-0010-0000-0C00-000018000000}" name="Коментарии" dataDxfId="120"/>
    <tableColumn id="20" xr3:uid="{00000000-0010-0000-0C00-000014000000}" name="Закуп" dataDxfId="119">
      <calculatedColumnFormula>SUBTOTAL(109,I9)</calculatedColumnFormula>
    </tableColumn>
    <tableColumn id="26" xr3:uid="{00000000-0010-0000-0C00-00001A000000}" name="Коментарии2" dataDxfId="118"/>
    <tableColumn id="21" xr3:uid="{00000000-0010-0000-0C00-000015000000}" name="Расход со счета" dataDxfId="117">
      <calculatedColumnFormula>SUBTOTAL(109,K20:K215)</calculatedColumnFormula>
    </tableColumn>
    <tableColumn id="6" xr3:uid="{00000000-0010-0000-0C00-000006000000}" name="Итого расход нал" dataDxfId="116">
      <calculatedColumnFormula>Таблица134567891210111314[[#This Row],[Нал]]+Таблица134567891210111314[[#This Row],[Терминал]]-Таблица134567891210111314[[#This Row],[Расход]]-Таблица134567891210111314[[#This Row],[Закуп]]-Таблица134567891210111314[[#This Row],[Расход со счета]]</calculatedColumnFormula>
    </tableColumn>
    <tableColumn id="7" xr3:uid="{00000000-0010-0000-0C00-000007000000}" name="Столбец1" dataDxfId="115"/>
    <tableColumn id="8" xr3:uid="{00000000-0010-0000-0C00-000008000000}" name="Столбец2" dataDxfId="1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D000000}" name="Таблица13456789121011131410" displayName="Таблица13456789121011131410" ref="A9:N248" totalsRowShown="0" headerRowDxfId="113" dataDxfId="111" headerRowBorderDxfId="112" tableBorderDxfId="110" totalsRowBorderDxfId="109">
  <autoFilter ref="A9:N248" xr:uid="{00000000-0009-0000-0100-000009000000}"/>
  <tableColumns count="14">
    <tableColumn id="1" xr3:uid="{00000000-0010-0000-0D00-000001000000}" name="Месяц" dataDxfId="108"/>
    <tableColumn id="2" xr3:uid="{00000000-0010-0000-0D00-000002000000}" name="Дата" dataDxfId="107"/>
    <tableColumn id="23" xr3:uid="{00000000-0010-0000-0D00-000017000000}" name="Время суток" dataDxfId="106"/>
    <tableColumn id="3" xr3:uid="{00000000-0010-0000-0D00-000003000000}" name="Смена" dataDxfId="105"/>
    <tableColumn id="4" xr3:uid="{00000000-0010-0000-0D00-000004000000}" name="Нал" dataDxfId="104"/>
    <tableColumn id="5" xr3:uid="{00000000-0010-0000-0D00-000005000000}" name="Терминал" dataDxfId="103"/>
    <tableColumn id="19" xr3:uid="{00000000-0010-0000-0D00-000013000000}" name="Расход" dataDxfId="102">
      <calculatedColumnFormula>SUM(G11:G235)</calculatedColumnFormula>
    </tableColumn>
    <tableColumn id="24" xr3:uid="{00000000-0010-0000-0D00-000018000000}" name="Коментарии" dataDxfId="101"/>
    <tableColumn id="20" xr3:uid="{00000000-0010-0000-0D00-000014000000}" name="Закуп" dataDxfId="100">
      <calculatedColumnFormula>SUBTOTAL(109,I9)</calculatedColumnFormula>
    </tableColumn>
    <tableColumn id="26" xr3:uid="{00000000-0010-0000-0D00-00001A000000}" name="Коментарии2" dataDxfId="99"/>
    <tableColumn id="21" xr3:uid="{00000000-0010-0000-0D00-000015000000}" name="Расход со счета" dataDxfId="98">
      <calculatedColumnFormula>SUBTOTAL(109,K18:K235)</calculatedColumnFormula>
    </tableColumn>
    <tableColumn id="6" xr3:uid="{00000000-0010-0000-0D00-000006000000}" name="Итого расход нал" dataDxfId="97">
      <calculatedColumnFormula>Таблица13456789121011131410[[#This Row],[Нал]]+Таблица13456789121011131410[[#This Row],[Терминал]]-Таблица13456789121011131410[[#This Row],[Расход]]-Таблица13456789121011131410[[#This Row],[Закуп]]-Таблица13456789121011131410[[#This Row],[Расход со счета]]</calculatedColumnFormula>
    </tableColumn>
    <tableColumn id="7" xr3:uid="{00000000-0010-0000-0D00-000007000000}" name="Столбец1" dataDxfId="96"/>
    <tableColumn id="8" xr3:uid="{00000000-0010-0000-0D00-000008000000}" name="Столбец2" dataDxfId="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Таблица1345678912101113141015" displayName="Таблица1345678912101113141015" ref="A9:N263" totalsRowShown="0" headerRowDxfId="94" dataDxfId="92" headerRowBorderDxfId="93" tableBorderDxfId="91" totalsRowBorderDxfId="90">
  <autoFilter ref="A9:N263" xr:uid="{00000000-0009-0000-0100-00000E000000}"/>
  <tableColumns count="14">
    <tableColumn id="1" xr3:uid="{00000000-0010-0000-0E00-000001000000}" name="Месяц" dataDxfId="89"/>
    <tableColumn id="2" xr3:uid="{00000000-0010-0000-0E00-000002000000}" name="Дата" dataDxfId="88"/>
    <tableColumn id="23" xr3:uid="{00000000-0010-0000-0E00-000017000000}" name="Время суток" dataDxfId="87"/>
    <tableColumn id="3" xr3:uid="{00000000-0010-0000-0E00-000003000000}" name="Смена" dataDxfId="86"/>
    <tableColumn id="4" xr3:uid="{00000000-0010-0000-0E00-000004000000}" name="Нал" dataDxfId="85"/>
    <tableColumn id="5" xr3:uid="{00000000-0010-0000-0E00-000005000000}" name="Терминал" dataDxfId="84"/>
    <tableColumn id="19" xr3:uid="{00000000-0010-0000-0E00-000013000000}" name="Расход" dataDxfId="83">
      <calculatedColumnFormula>SUM(G11:G250)</calculatedColumnFormula>
    </tableColumn>
    <tableColumn id="24" xr3:uid="{00000000-0010-0000-0E00-000018000000}" name="Коментарии" dataDxfId="82"/>
    <tableColumn id="20" xr3:uid="{00000000-0010-0000-0E00-000014000000}" name="Закуп" dataDxfId="81">
      <calculatedColumnFormula>SUBTOTAL(109,I9)</calculatedColumnFormula>
    </tableColumn>
    <tableColumn id="26" xr3:uid="{00000000-0010-0000-0E00-00001A000000}" name="Коментарии2" dataDxfId="80"/>
    <tableColumn id="21" xr3:uid="{00000000-0010-0000-0E00-000015000000}" name="Расход со счета" dataDxfId="79">
      <calculatedColumnFormula>SUBTOTAL(109,K18:K250)</calculatedColumnFormula>
    </tableColumn>
    <tableColumn id="6" xr3:uid="{00000000-0010-0000-0E00-000006000000}" name="Итого расход нал" dataDxfId="78">
      <calculatedColumnFormula>Таблица1345678912101113141015[[#This Row],[Нал]]+Таблица1345678912101113141015[[#This Row],[Терминал]]-Таблица1345678912101113141015[[#This Row],[Расход]]-Таблица1345678912101113141015[[#This Row],[Закуп]]-Таблица1345678912101113141015[[#This Row],[Расход со счета]]</calculatedColumnFormula>
    </tableColumn>
    <tableColumn id="7" xr3:uid="{00000000-0010-0000-0E00-000007000000}" name="Столбец1" dataDxfId="77"/>
    <tableColumn id="8" xr3:uid="{00000000-0010-0000-0E00-000008000000}" name="Столбец2" dataDxfId="7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Таблица134567891210111314101516" displayName="Таблица134567891210111314101516" ref="A10:N256" totalsRowShown="0" headerRowDxfId="75" dataDxfId="73" headerRowBorderDxfId="74" tableBorderDxfId="72" totalsRowBorderDxfId="71">
  <autoFilter ref="A10:N256" xr:uid="{00000000-0009-0000-0100-00000F000000}"/>
  <tableColumns count="14">
    <tableColumn id="1" xr3:uid="{00000000-0010-0000-0F00-000001000000}" name="Месяц" dataDxfId="70"/>
    <tableColumn id="2" xr3:uid="{00000000-0010-0000-0F00-000002000000}" name="Дата" dataDxfId="69"/>
    <tableColumn id="23" xr3:uid="{00000000-0010-0000-0F00-000017000000}" name="Время суток" dataDxfId="68"/>
    <tableColumn id="3" xr3:uid="{00000000-0010-0000-0F00-000003000000}" name="Смена" dataDxfId="67"/>
    <tableColumn id="4" xr3:uid="{00000000-0010-0000-0F00-000004000000}" name="Нал" dataDxfId="66"/>
    <tableColumn id="5" xr3:uid="{00000000-0010-0000-0F00-000005000000}" name="Терминал" dataDxfId="65"/>
    <tableColumn id="19" xr3:uid="{00000000-0010-0000-0F00-000013000000}" name="Расход" dataDxfId="64">
      <calculatedColumnFormula>SUM(G12:G243)</calculatedColumnFormula>
    </tableColumn>
    <tableColumn id="24" xr3:uid="{00000000-0010-0000-0F00-000018000000}" name="Коментарии" dataDxfId="63"/>
    <tableColumn id="20" xr3:uid="{00000000-0010-0000-0F00-000014000000}" name="Закуп" dataDxfId="62">
      <calculatedColumnFormula>SUBTOTAL(109,I10)</calculatedColumnFormula>
    </tableColumn>
    <tableColumn id="26" xr3:uid="{00000000-0010-0000-0F00-00001A000000}" name="Коментарии2" dataDxfId="61"/>
    <tableColumn id="21" xr3:uid="{00000000-0010-0000-0F00-000015000000}" name="Расход со счета" dataDxfId="60">
      <calculatedColumnFormula>SUBTOTAL(109,K13:K243)</calculatedColumnFormula>
    </tableColumn>
    <tableColumn id="6" xr3:uid="{00000000-0010-0000-0F00-000006000000}" name="Итого расход нал" dataDxfId="59">
      <calculatedColumnFormula>Таблица134567891210111314101516[[#This Row],[Нал]]+Таблица134567891210111314101516[[#This Row],[Терминал]]-Таблица134567891210111314101516[[#This Row],[Расход]]-Таблица134567891210111314101516[[#This Row],[Закуп]]-Таблица134567891210111314101516[[#This Row],[Расход со счета]]</calculatedColumnFormula>
    </tableColumn>
    <tableColumn id="7" xr3:uid="{00000000-0010-0000-0F00-000007000000}" name="Столбец1" dataDxfId="58"/>
    <tableColumn id="8" xr3:uid="{00000000-0010-0000-0F00-000008000000}" name="Столбец2" dataDxfId="57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Таблица13456789121011131410151619" displayName="Таблица13456789121011131410151619" ref="A9:N254" totalsRowShown="0" headerRowDxfId="56" dataDxfId="54" headerRowBorderDxfId="55" tableBorderDxfId="53" totalsRowBorderDxfId="52">
  <autoFilter ref="A9:N254" xr:uid="{00000000-0009-0000-0100-000012000000}"/>
  <tableColumns count="14">
    <tableColumn id="1" xr3:uid="{00000000-0010-0000-1000-000001000000}" name="Месяц" dataDxfId="51"/>
    <tableColumn id="2" xr3:uid="{00000000-0010-0000-1000-000002000000}" name="Дата" dataDxfId="50"/>
    <tableColumn id="23" xr3:uid="{00000000-0010-0000-1000-000017000000}" name="Время суток" dataDxfId="49"/>
    <tableColumn id="3" xr3:uid="{00000000-0010-0000-1000-000003000000}" name="Смена" dataDxfId="48"/>
    <tableColumn id="4" xr3:uid="{00000000-0010-0000-1000-000004000000}" name="Нал" dataDxfId="47"/>
    <tableColumn id="5" xr3:uid="{00000000-0010-0000-1000-000005000000}" name="Терминал" dataDxfId="46"/>
    <tableColumn id="19" xr3:uid="{00000000-0010-0000-1000-000013000000}" name="Расход" dataDxfId="45">
      <calculatedColumnFormula>SUM(G11:G254)</calculatedColumnFormula>
    </tableColumn>
    <tableColumn id="24" xr3:uid="{00000000-0010-0000-1000-000018000000}" name="Коментарии" dataDxfId="44"/>
    <tableColumn id="20" xr3:uid="{00000000-0010-0000-1000-000014000000}" name="Закуп" dataDxfId="43">
      <calculatedColumnFormula>SUBTOTAL(109,I9)</calculatedColumnFormula>
    </tableColumn>
    <tableColumn id="26" xr3:uid="{00000000-0010-0000-1000-00001A000000}" name="Коментарии2" dataDxfId="42"/>
    <tableColumn id="21" xr3:uid="{00000000-0010-0000-1000-000015000000}" name="Расход со счета" dataDxfId="41">
      <calculatedColumnFormula>SUBTOTAL(109,K18:K254)</calculatedColumnFormula>
    </tableColumn>
    <tableColumn id="6" xr3:uid="{00000000-0010-0000-1000-000006000000}" name="Итого расход нал" dataDxfId="40">
      <calculatedColumnFormula>Таблица13456789121011131410151619[[#This Row],[Нал]]+Таблица13456789121011131410151619[[#This Row],[Терминал]]-Таблица13456789121011131410151619[[#This Row],[Расход]]-Таблица13456789121011131410151619[[#This Row],[Закуп]]-Таблица13456789121011131410151619[[#This Row],[Расход со счета]]</calculatedColumnFormula>
    </tableColumn>
    <tableColumn id="7" xr3:uid="{00000000-0010-0000-1000-000007000000}" name="Столбец1" dataDxfId="39"/>
    <tableColumn id="8" xr3:uid="{00000000-0010-0000-1000-000008000000}" name="Столбец2" dataDxfId="38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Таблица1345678912101113141015161918" displayName="Таблица1345678912101113141015161918" ref="A9:N262" totalsRowShown="0" headerRowDxfId="37" dataDxfId="35" headerRowBorderDxfId="36" tableBorderDxfId="34" totalsRowBorderDxfId="33">
  <autoFilter ref="A9:N262" xr:uid="{00000000-0009-0000-0100-000011000000}"/>
  <tableColumns count="14">
    <tableColumn id="1" xr3:uid="{00000000-0010-0000-1100-000001000000}" name="Месяц" dataDxfId="32"/>
    <tableColumn id="2" xr3:uid="{00000000-0010-0000-1100-000002000000}" name="Дата" dataDxfId="31"/>
    <tableColumn id="23" xr3:uid="{00000000-0010-0000-1100-000017000000}" name="Время суток" dataDxfId="30"/>
    <tableColumn id="3" xr3:uid="{00000000-0010-0000-1100-000003000000}" name="Смена" dataDxfId="29"/>
    <tableColumn id="4" xr3:uid="{00000000-0010-0000-1100-000004000000}" name="Нал" dataDxfId="28"/>
    <tableColumn id="5" xr3:uid="{00000000-0010-0000-1100-000005000000}" name="Терминал" dataDxfId="27"/>
    <tableColumn id="19" xr3:uid="{00000000-0010-0000-1100-000013000000}" name="Расход" dataDxfId="26">
      <calculatedColumnFormula>SUM(G11:G262)</calculatedColumnFormula>
    </tableColumn>
    <tableColumn id="24" xr3:uid="{00000000-0010-0000-1100-000018000000}" name="Коментарии" dataDxfId="25"/>
    <tableColumn id="20" xr3:uid="{00000000-0010-0000-1100-000014000000}" name="Закуп" dataDxfId="24">
      <calculatedColumnFormula>SUBTOTAL(109,I9)</calculatedColumnFormula>
    </tableColumn>
    <tableColumn id="26" xr3:uid="{00000000-0010-0000-1100-00001A000000}" name="Коментарии2" dataDxfId="23"/>
    <tableColumn id="21" xr3:uid="{00000000-0010-0000-1100-000015000000}" name="Расход со счета" dataDxfId="22">
      <calculatedColumnFormula>SUBTOTAL(109,K15:K262)</calculatedColumnFormula>
    </tableColumn>
    <tableColumn id="6" xr3:uid="{00000000-0010-0000-1100-000006000000}" name="Итого расход нал" dataDxfId="21">
      <calculatedColumnFormula>Таблица1345678912101113141015161918[[#This Row],[Нал]]+Таблица1345678912101113141015161918[[#This Row],[Терминал]]-Таблица1345678912101113141015161918[[#This Row],[Расход]]-Таблица1345678912101113141015161918[[#This Row],[Закуп]]-Таблица1345678912101113141015161918[[#This Row],[Расход со счета]]</calculatedColumnFormula>
    </tableColumn>
    <tableColumn id="7" xr3:uid="{00000000-0010-0000-1100-000007000000}" name="Столбец1" dataDxfId="20"/>
    <tableColumn id="8" xr3:uid="{00000000-0010-0000-1100-000008000000}" name="Столбец2" dataDxfId="19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Таблица134567891210111314101516191820" displayName="Таблица134567891210111314101516191820" ref="A8:N234" totalsRowShown="0" headerRowDxfId="18" dataDxfId="16" headerRowBorderDxfId="17" tableBorderDxfId="15" totalsRowBorderDxfId="14">
  <autoFilter ref="A8:N234" xr:uid="{00000000-0009-0000-0100-000013000000}"/>
  <tableColumns count="14">
    <tableColumn id="1" xr3:uid="{00000000-0010-0000-1200-000001000000}" name="Месяц" dataDxfId="13"/>
    <tableColumn id="2" xr3:uid="{00000000-0010-0000-1200-000002000000}" name="Дата" dataDxfId="12"/>
    <tableColumn id="23" xr3:uid="{00000000-0010-0000-1200-000017000000}" name="Время суток" dataDxfId="11"/>
    <tableColumn id="3" xr3:uid="{00000000-0010-0000-1200-000003000000}" name="Смена" dataDxfId="10"/>
    <tableColumn id="4" xr3:uid="{00000000-0010-0000-1200-000004000000}" name="Нал" dataDxfId="9"/>
    <tableColumn id="5" xr3:uid="{00000000-0010-0000-1200-000005000000}" name="Терминал" dataDxfId="8"/>
    <tableColumn id="19" xr3:uid="{00000000-0010-0000-1200-000013000000}" name="Расход" dataDxfId="7">
      <calculatedColumnFormula>SUM(G10:G234)</calculatedColumnFormula>
    </tableColumn>
    <tableColumn id="24" xr3:uid="{00000000-0010-0000-1200-000018000000}" name="Коментарии" dataDxfId="6"/>
    <tableColumn id="20" xr3:uid="{00000000-0010-0000-1200-000014000000}" name="Закуп" dataDxfId="5">
      <calculatedColumnFormula>SUBTOTAL(109,I8)</calculatedColumnFormula>
    </tableColumn>
    <tableColumn id="26" xr3:uid="{00000000-0010-0000-1200-00001A000000}" name="Коментарии2" dataDxfId="4"/>
    <tableColumn id="21" xr3:uid="{00000000-0010-0000-1200-000015000000}" name="Расход со счета" dataDxfId="3">
      <calculatedColumnFormula>SUBTOTAL(109,K14:K234)</calculatedColumnFormula>
    </tableColumn>
    <tableColumn id="6" xr3:uid="{00000000-0010-0000-1200-000006000000}" name="Итого расход нал" dataDxfId="2">
      <calculatedColumnFormula>Таблица134567891210111314101516191820[[#This Row],[Нал]]+Таблица134567891210111314101516191820[[#This Row],[Терминал]]-Таблица134567891210111314101516191820[[#This Row],[Расход]]-Таблица134567891210111314101516191820[[#This Row],[Закуп]]-Таблица134567891210111314101516191820[[#This Row],[Расход со счета]]</calculatedColumnFormula>
    </tableColumn>
    <tableColumn id="7" xr3:uid="{00000000-0010-0000-1200-000007000000}" name="Столбец1" dataDxfId="1"/>
    <tableColumn id="8" xr3:uid="{00000000-0010-0000-1200-000008000000}" name="Столбец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N92"/>
  <sheetViews>
    <sheetView zoomScale="90" zoomScaleNormal="90" workbookViewId="0">
      <selection activeCell="B33" sqref="B33"/>
    </sheetView>
  </sheetViews>
  <sheetFormatPr baseColWidth="10" defaultColWidth="9.1640625" defaultRowHeight="19" x14ac:dyDescent="0.2"/>
  <cols>
    <col min="1" max="1" width="16.33203125" style="7" customWidth="1"/>
    <col min="2" max="2" width="11.83203125" style="4" customWidth="1"/>
    <col min="3" max="3" width="13.33203125" style="1" customWidth="1"/>
    <col min="4" max="4" width="21.33203125" style="14" bestFit="1" customWidth="1"/>
    <col min="5" max="5" width="17" style="11" customWidth="1"/>
    <col min="6" max="6" width="22.5" style="11" customWidth="1"/>
    <col min="7" max="7" width="25.5" style="11" customWidth="1"/>
    <col min="8" max="8" width="26.83203125" style="11" customWidth="1"/>
    <col min="9" max="9" width="18.33203125" style="11" customWidth="1"/>
    <col min="10" max="10" width="25.33203125" style="11" customWidth="1"/>
    <col min="11" max="11" width="19.83203125" style="11" customWidth="1"/>
    <col min="12" max="12" width="23.5" style="1" customWidth="1"/>
    <col min="13" max="13" width="9.1640625" style="1"/>
    <col min="14" max="14" width="15.6640625" style="1" bestFit="1" customWidth="1"/>
    <col min="15" max="16384" width="9.1640625" style="1"/>
  </cols>
  <sheetData>
    <row r="4" spans="1:12" ht="21" x14ac:dyDescent="0.2">
      <c r="E4"/>
      <c r="F4" s="73"/>
      <c r="G4" s="71" t="s">
        <v>174</v>
      </c>
      <c r="H4" s="71">
        <v>0.43</v>
      </c>
      <c r="I4"/>
    </row>
    <row r="5" spans="1:12" ht="21" customHeight="1" x14ac:dyDescent="0.2">
      <c r="D5" s="302" t="s">
        <v>180</v>
      </c>
      <c r="E5" s="302"/>
      <c r="F5" s="303"/>
      <c r="G5" s="71" t="s">
        <v>175</v>
      </c>
      <c r="H5" s="71">
        <v>5012000</v>
      </c>
      <c r="I5" s="72">
        <f>H5/10690</f>
        <v>468.84939195509821</v>
      </c>
    </row>
    <row r="6" spans="1:12" ht="21" x14ac:dyDescent="0.2">
      <c r="E6"/>
      <c r="F6" s="73"/>
      <c r="G6" s="71" t="s">
        <v>176</v>
      </c>
      <c r="H6" s="71">
        <v>2148000</v>
      </c>
      <c r="I6" s="72">
        <f>H6/10690</f>
        <v>200.9354536950421</v>
      </c>
    </row>
    <row r="7" spans="1:12" ht="21" x14ac:dyDescent="0.2">
      <c r="E7"/>
      <c r="F7" s="73"/>
      <c r="G7" s="71" t="s">
        <v>178</v>
      </c>
      <c r="H7" s="71"/>
      <c r="I7" s="72"/>
    </row>
    <row r="12" spans="1:12" ht="20" thickBot="1" x14ac:dyDescent="0.25">
      <c r="A12" s="5" t="s">
        <v>0</v>
      </c>
      <c r="B12" s="36" t="s">
        <v>6</v>
      </c>
      <c r="C12" s="22" t="s">
        <v>5</v>
      </c>
      <c r="D12" s="23" t="s">
        <v>7</v>
      </c>
      <c r="E12" s="24" t="s">
        <v>4</v>
      </c>
      <c r="F12" s="10" t="s">
        <v>2</v>
      </c>
      <c r="G12" s="10" t="s">
        <v>8</v>
      </c>
      <c r="H12" s="10" t="s">
        <v>11</v>
      </c>
      <c r="I12" s="10" t="s">
        <v>3</v>
      </c>
      <c r="J12" s="10" t="s">
        <v>12</v>
      </c>
      <c r="K12" s="10" t="s">
        <v>1</v>
      </c>
      <c r="L12" s="10" t="s">
        <v>15</v>
      </c>
    </row>
    <row r="13" spans="1:12" x14ac:dyDescent="0.2">
      <c r="A13" s="41" t="s">
        <v>19</v>
      </c>
      <c r="B13" s="37">
        <v>44470</v>
      </c>
      <c r="C13" s="26" t="s">
        <v>9</v>
      </c>
      <c r="D13" s="27"/>
      <c r="E13" s="28"/>
      <c r="F13" s="28"/>
      <c r="G13" s="28"/>
      <c r="H13" s="28"/>
      <c r="I13" s="28"/>
      <c r="J13" s="28"/>
      <c r="K13" s="28"/>
      <c r="L13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14" spans="1:12" ht="20" thickBot="1" x14ac:dyDescent="0.25">
      <c r="A14" s="21"/>
      <c r="B14" s="38"/>
      <c r="C14" s="29" t="s">
        <v>10</v>
      </c>
      <c r="D14" s="30"/>
      <c r="E14" s="31"/>
      <c r="F14" s="31"/>
      <c r="G14" s="31"/>
      <c r="H14" s="31"/>
      <c r="I14" s="31"/>
      <c r="J14" s="31"/>
      <c r="K14" s="31"/>
      <c r="L14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15" spans="1:12" x14ac:dyDescent="0.2">
      <c r="A15" s="21"/>
      <c r="B15" s="37">
        <v>44471</v>
      </c>
      <c r="C15" s="26" t="s">
        <v>9</v>
      </c>
      <c r="D15" s="27"/>
      <c r="E15" s="28"/>
      <c r="F15" s="28"/>
      <c r="G15" s="28"/>
      <c r="H15" s="28"/>
      <c r="I15" s="28"/>
      <c r="J15" s="28"/>
      <c r="K15" s="28"/>
      <c r="L15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16" spans="1:12" ht="20" thickBot="1" x14ac:dyDescent="0.25">
      <c r="A16" s="21"/>
      <c r="B16" s="38"/>
      <c r="C16" s="29" t="s">
        <v>10</v>
      </c>
      <c r="D16" s="30"/>
      <c r="E16" s="31"/>
      <c r="F16" s="31"/>
      <c r="G16" s="31"/>
      <c r="H16" s="31"/>
      <c r="I16" s="31"/>
      <c r="J16" s="31"/>
      <c r="K16" s="31"/>
      <c r="L16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17" spans="1:14" x14ac:dyDescent="0.2">
      <c r="A17" s="21"/>
      <c r="B17" s="37">
        <v>44472</v>
      </c>
      <c r="C17" s="26" t="s">
        <v>9</v>
      </c>
      <c r="D17" s="27"/>
      <c r="E17" s="28"/>
      <c r="F17" s="28"/>
      <c r="G17" s="28"/>
      <c r="H17" s="28"/>
      <c r="I17" s="28"/>
      <c r="J17" s="28"/>
      <c r="K17" s="28"/>
      <c r="L17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  <c r="N17" s="48"/>
    </row>
    <row r="18" spans="1:14" ht="20" thickBot="1" x14ac:dyDescent="0.25">
      <c r="A18" s="21"/>
      <c r="B18" s="38"/>
      <c r="C18" s="29" t="s">
        <v>10</v>
      </c>
      <c r="D18" s="30"/>
      <c r="E18" s="31"/>
      <c r="F18" s="31"/>
      <c r="G18" s="31"/>
      <c r="H18" s="31"/>
      <c r="I18" s="31"/>
      <c r="J18" s="31"/>
      <c r="K18" s="31"/>
      <c r="L18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19" spans="1:14" x14ac:dyDescent="0.2">
      <c r="A19" s="21"/>
      <c r="B19" s="37">
        <v>44473</v>
      </c>
      <c r="C19" s="26" t="s">
        <v>9</v>
      </c>
      <c r="D19" s="27"/>
      <c r="E19" s="28"/>
      <c r="F19" s="28"/>
      <c r="G19" s="28"/>
      <c r="H19" s="28"/>
      <c r="I19" s="28"/>
      <c r="J19" s="28"/>
      <c r="K19" s="28"/>
      <c r="L19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0" spans="1:14" ht="20" thickBot="1" x14ac:dyDescent="0.25">
      <c r="A20" s="21"/>
      <c r="B20" s="39"/>
      <c r="C20" s="2" t="s">
        <v>10</v>
      </c>
      <c r="D20" s="13"/>
      <c r="E20" s="9"/>
      <c r="F20" s="9"/>
      <c r="G20" s="9"/>
      <c r="H20" s="9"/>
      <c r="I20" s="9"/>
      <c r="J20" s="9"/>
      <c r="K20" s="9"/>
      <c r="L20" s="44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1" spans="1:14" x14ac:dyDescent="0.2">
      <c r="A21" s="21"/>
      <c r="B21" s="37">
        <v>44474</v>
      </c>
      <c r="C21" s="26" t="s">
        <v>9</v>
      </c>
      <c r="D21" s="27"/>
      <c r="E21" s="28"/>
      <c r="F21" s="28"/>
      <c r="G21" s="28"/>
      <c r="H21" s="28"/>
      <c r="I21" s="28"/>
      <c r="J21" s="28"/>
      <c r="K21" s="28"/>
      <c r="L21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2" spans="1:14" ht="20" thickBot="1" x14ac:dyDescent="0.25">
      <c r="A22" s="21"/>
      <c r="B22" s="38"/>
      <c r="C22" s="29" t="s">
        <v>10</v>
      </c>
      <c r="D22" s="30"/>
      <c r="E22" s="31"/>
      <c r="F22" s="31"/>
      <c r="G22" s="31"/>
      <c r="H22" s="31"/>
      <c r="I22" s="31"/>
      <c r="J22" s="31"/>
      <c r="K22" s="31"/>
      <c r="L22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3" spans="1:14" x14ac:dyDescent="0.2">
      <c r="A23" s="21"/>
      <c r="B23" s="37">
        <v>44475</v>
      </c>
      <c r="C23" s="26" t="s">
        <v>9</v>
      </c>
      <c r="D23" s="27"/>
      <c r="E23" s="28"/>
      <c r="F23" s="28"/>
      <c r="G23" s="28"/>
      <c r="H23" s="28"/>
      <c r="I23" s="28"/>
      <c r="J23" s="28"/>
      <c r="K23" s="28"/>
      <c r="L23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4" spans="1:14" ht="20" thickBot="1" x14ac:dyDescent="0.25">
      <c r="A24" s="21"/>
      <c r="B24" s="38"/>
      <c r="C24" s="2" t="s">
        <v>10</v>
      </c>
      <c r="D24" s="13"/>
      <c r="E24" s="9"/>
      <c r="F24" s="9"/>
      <c r="G24" s="9"/>
      <c r="H24" s="9"/>
      <c r="I24" s="9"/>
      <c r="J24" s="9"/>
      <c r="K24" s="9"/>
      <c r="L24" s="44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5" spans="1:14" x14ac:dyDescent="0.2">
      <c r="A25" s="21"/>
      <c r="B25" s="37">
        <v>44476</v>
      </c>
      <c r="C25" s="26" t="s">
        <v>9</v>
      </c>
      <c r="D25" s="27"/>
      <c r="E25" s="28"/>
      <c r="F25" s="28"/>
      <c r="G25" s="28"/>
      <c r="H25" s="28"/>
      <c r="I25" s="28"/>
      <c r="J25" s="28"/>
      <c r="K25" s="28"/>
      <c r="L25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6" spans="1:14" ht="20" thickBot="1" x14ac:dyDescent="0.25">
      <c r="A26" s="21"/>
      <c r="B26" s="38"/>
      <c r="C26" s="29" t="s">
        <v>10</v>
      </c>
      <c r="D26" s="30"/>
      <c r="E26" s="31"/>
      <c r="F26" s="31"/>
      <c r="G26" s="31"/>
      <c r="H26" s="31"/>
      <c r="I26" s="31"/>
      <c r="J26" s="31"/>
      <c r="K26" s="31"/>
      <c r="L26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7" spans="1:14" x14ac:dyDescent="0.2">
      <c r="A27" s="21"/>
      <c r="B27" s="37">
        <v>44477</v>
      </c>
      <c r="C27" s="26" t="s">
        <v>9</v>
      </c>
      <c r="D27" s="27"/>
      <c r="E27" s="28"/>
      <c r="F27" s="28"/>
      <c r="G27" s="28"/>
      <c r="H27" s="28"/>
      <c r="I27" s="28"/>
      <c r="J27" s="28"/>
      <c r="K27" s="28"/>
      <c r="L27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8" spans="1:14" ht="20" thickBot="1" x14ac:dyDescent="0.25">
      <c r="A28" s="21"/>
      <c r="B28" s="39"/>
      <c r="C28" s="29" t="s">
        <v>10</v>
      </c>
      <c r="D28" s="30"/>
      <c r="E28" s="31"/>
      <c r="F28" s="31"/>
      <c r="G28" s="31"/>
      <c r="H28" s="31"/>
      <c r="I28" s="31"/>
      <c r="J28" s="31"/>
      <c r="K28" s="31"/>
      <c r="L28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29" spans="1:14" x14ac:dyDescent="0.2">
      <c r="A29" s="21"/>
      <c r="B29" s="37">
        <v>44478</v>
      </c>
      <c r="C29" s="26" t="s">
        <v>9</v>
      </c>
      <c r="D29" s="27"/>
      <c r="E29" s="28"/>
      <c r="F29" s="28"/>
      <c r="G29" s="28"/>
      <c r="H29" s="28"/>
      <c r="I29" s="28"/>
      <c r="J29" s="28"/>
      <c r="K29" s="28"/>
      <c r="L29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30" spans="1:14" ht="20" thickBot="1" x14ac:dyDescent="0.25">
      <c r="A30" s="21"/>
      <c r="B30" s="38"/>
      <c r="C30" s="2" t="s">
        <v>10</v>
      </c>
      <c r="D30" s="13"/>
      <c r="E30" s="9"/>
      <c r="F30" s="9"/>
      <c r="G30" s="9"/>
      <c r="H30" s="9"/>
      <c r="I30" s="9"/>
      <c r="J30" s="9"/>
      <c r="K30" s="9"/>
      <c r="L30" s="44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31" spans="1:14" x14ac:dyDescent="0.2">
      <c r="A31" s="21"/>
      <c r="B31" s="37">
        <v>44479</v>
      </c>
      <c r="C31" s="26" t="s">
        <v>9</v>
      </c>
      <c r="D31" s="27"/>
      <c r="E31" s="28"/>
      <c r="F31" s="28"/>
      <c r="G31" s="28"/>
      <c r="H31" s="28"/>
      <c r="I31" s="28"/>
      <c r="J31" s="28"/>
      <c r="K31" s="28"/>
      <c r="L31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32" spans="1:14" ht="20" thickBot="1" x14ac:dyDescent="0.25">
      <c r="A32" s="21"/>
      <c r="B32" s="38"/>
      <c r="C32" s="29" t="s">
        <v>10</v>
      </c>
      <c r="D32" s="30"/>
      <c r="E32" s="31"/>
      <c r="F32" s="31"/>
      <c r="G32" s="31"/>
      <c r="H32" s="31"/>
      <c r="I32" s="31"/>
      <c r="J32" s="31"/>
      <c r="K32" s="31"/>
      <c r="L32" s="43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33" spans="1:12" x14ac:dyDescent="0.2">
      <c r="A33" s="21"/>
      <c r="B33" s="37">
        <v>44480</v>
      </c>
      <c r="C33" s="26" t="s">
        <v>9</v>
      </c>
      <c r="D33" s="27" t="s">
        <v>20</v>
      </c>
      <c r="E33" s="28">
        <v>0</v>
      </c>
      <c r="F33" s="28">
        <v>0</v>
      </c>
      <c r="G33" s="28"/>
      <c r="H33" s="28"/>
      <c r="I33" s="28"/>
      <c r="J33" s="28"/>
      <c r="K33" s="28"/>
      <c r="L33" s="42">
        <f>Таблица1[[#This Row],[Нал]]+Таблица1[[#This Row],[Терминал]]-Таблица1[[#This Row],[Расход]]-Таблица1[[#This Row],[Закуп]]-Таблица1[[#This Row],[Расход со счета]]</f>
        <v>0</v>
      </c>
    </row>
    <row r="34" spans="1:12" ht="20" thickBot="1" x14ac:dyDescent="0.25">
      <c r="A34" s="21"/>
      <c r="B34" s="38"/>
      <c r="C34" s="29" t="s">
        <v>10</v>
      </c>
      <c r="D34" s="13" t="s">
        <v>28</v>
      </c>
      <c r="E34" s="31">
        <v>167000</v>
      </c>
      <c r="F34" s="31">
        <v>0</v>
      </c>
      <c r="G34" s="31"/>
      <c r="H34" s="31"/>
      <c r="I34" s="31"/>
      <c r="J34" s="31"/>
      <c r="K34" s="31"/>
      <c r="L34" s="43">
        <f>Таблица1[[#This Row],[Нал]]+Таблица1[[#This Row],[Терминал]]-Таблица1[[#This Row],[Расход]]-Таблица1[[#This Row],[Закуп]]-Таблица1[[#This Row],[Расход со счета]]</f>
        <v>167000</v>
      </c>
    </row>
    <row r="35" spans="1:12" x14ac:dyDescent="0.2">
      <c r="A35" s="21"/>
      <c r="B35" s="37">
        <v>44481</v>
      </c>
      <c r="C35" s="26" t="s">
        <v>9</v>
      </c>
      <c r="D35" s="27" t="s">
        <v>20</v>
      </c>
      <c r="E35" s="28">
        <v>415000</v>
      </c>
      <c r="F35" s="28">
        <v>0</v>
      </c>
      <c r="G35" s="28"/>
      <c r="H35" s="28"/>
      <c r="I35" s="28">
        <v>260000</v>
      </c>
      <c r="J35" s="28" t="s">
        <v>17</v>
      </c>
      <c r="K35" s="28"/>
      <c r="L35" s="42">
        <f>Таблица1[[#This Row],[Нал]]+Таблица1[[#This Row],[Терминал]]-Таблица1[[#This Row],[Расход]]-Таблица1[[#This Row],[Закуп]]-Таблица1[[#This Row],[Расход со счета]]</f>
        <v>155000</v>
      </c>
    </row>
    <row r="36" spans="1:12" ht="20" thickBot="1" x14ac:dyDescent="0.25">
      <c r="A36" s="21"/>
      <c r="B36" s="39"/>
      <c r="C36" s="29" t="s">
        <v>10</v>
      </c>
      <c r="D36" s="13" t="s">
        <v>28</v>
      </c>
      <c r="E36" s="31">
        <v>369000</v>
      </c>
      <c r="F36" s="31">
        <v>0</v>
      </c>
      <c r="G36" s="31"/>
      <c r="H36" s="31"/>
      <c r="I36" s="31">
        <v>210000</v>
      </c>
      <c r="J36" s="31" t="s">
        <v>24</v>
      </c>
      <c r="K36" s="31"/>
      <c r="L36" s="43">
        <f>Таблица1[[#This Row],[Нал]]+Таблица1[[#This Row],[Терминал]]-Таблица1[[#This Row],[Расход]]-Таблица1[[#This Row],[Закуп]]-Таблица1[[#This Row],[Расход со счета]]</f>
        <v>159000</v>
      </c>
    </row>
    <row r="37" spans="1:12" x14ac:dyDescent="0.2">
      <c r="A37" s="21"/>
      <c r="B37" s="37">
        <v>44482</v>
      </c>
      <c r="C37" s="26" t="s">
        <v>9</v>
      </c>
      <c r="D37" s="27" t="s">
        <v>20</v>
      </c>
      <c r="E37" s="28">
        <v>630000</v>
      </c>
      <c r="F37" s="28">
        <v>0</v>
      </c>
      <c r="G37" s="28"/>
      <c r="H37" s="28"/>
      <c r="I37" s="28">
        <v>400000</v>
      </c>
      <c r="J37" s="28"/>
      <c r="K37" s="28"/>
      <c r="L37" s="42">
        <f>Таблица1[[#This Row],[Нал]]+Таблица1[[#This Row],[Терминал]]-Таблица1[[#This Row],[Расход]]-Таблица1[[#This Row],[Закуп]]-Таблица1[[#This Row],[Расход со счета]]</f>
        <v>230000</v>
      </c>
    </row>
    <row r="38" spans="1:12" ht="20" thickBot="1" x14ac:dyDescent="0.25">
      <c r="A38" s="21"/>
      <c r="B38" s="38"/>
      <c r="C38" s="29" t="s">
        <v>10</v>
      </c>
      <c r="D38" s="13" t="s">
        <v>28</v>
      </c>
      <c r="E38" s="31">
        <v>84000</v>
      </c>
      <c r="F38" s="31">
        <v>0</v>
      </c>
      <c r="G38" s="31"/>
      <c r="H38" s="31"/>
      <c r="I38" s="31"/>
      <c r="J38" s="31"/>
      <c r="K38" s="31"/>
      <c r="L38" s="43">
        <f>Таблица1[[#This Row],[Нал]]+Таблица1[[#This Row],[Терминал]]-Таблица1[[#This Row],[Расход]]-Таблица1[[#This Row],[Закуп]]-Таблица1[[#This Row],[Расход со счета]]</f>
        <v>84000</v>
      </c>
    </row>
    <row r="39" spans="1:12" x14ac:dyDescent="0.2">
      <c r="A39" s="21"/>
      <c r="B39" s="37">
        <v>44483</v>
      </c>
      <c r="C39" s="26" t="s">
        <v>9</v>
      </c>
      <c r="D39" s="27" t="s">
        <v>20</v>
      </c>
      <c r="E39" s="28">
        <v>225000</v>
      </c>
      <c r="F39" s="28">
        <v>0</v>
      </c>
      <c r="G39" s="28"/>
      <c r="H39" s="28"/>
      <c r="I39" s="28">
        <v>224000</v>
      </c>
      <c r="J39" s="28" t="s">
        <v>23</v>
      </c>
      <c r="K39" s="28"/>
      <c r="L39" s="42">
        <f>Таблица1[[#This Row],[Нал]]+Таблица1[[#This Row],[Терминал]]-Таблица1[[#This Row],[Расход]]-Таблица1[[#This Row],[Закуп]]-Таблица1[[#This Row],[Расход со счета]]</f>
        <v>1000</v>
      </c>
    </row>
    <row r="40" spans="1:12" ht="20" thickBot="1" x14ac:dyDescent="0.25">
      <c r="A40" s="21"/>
      <c r="B40" s="38"/>
      <c r="C40" s="29" t="s">
        <v>10</v>
      </c>
      <c r="D40" s="13" t="s">
        <v>28</v>
      </c>
      <c r="E40" s="31">
        <v>233000</v>
      </c>
      <c r="F40" s="31">
        <v>0</v>
      </c>
      <c r="G40" s="31"/>
      <c r="H40" s="31"/>
      <c r="I40" s="31"/>
      <c r="J40" s="31"/>
      <c r="K40" s="31"/>
      <c r="L40" s="43">
        <f>Таблица1[[#This Row],[Нал]]+Таблица1[[#This Row],[Терминал]]-Таблица1[[#This Row],[Расход]]-Таблица1[[#This Row],[Закуп]]-Таблица1[[#This Row],[Расход со счета]]</f>
        <v>233000</v>
      </c>
    </row>
    <row r="41" spans="1:12" x14ac:dyDescent="0.2">
      <c r="A41" s="21"/>
      <c r="B41" s="37">
        <v>44484</v>
      </c>
      <c r="C41" s="25" t="s">
        <v>9</v>
      </c>
      <c r="D41" s="12" t="s">
        <v>20</v>
      </c>
      <c r="E41" s="8">
        <v>553000</v>
      </c>
      <c r="F41" s="8">
        <v>0</v>
      </c>
      <c r="G41" s="8">
        <v>200000</v>
      </c>
      <c r="H41" s="8" t="s">
        <v>22</v>
      </c>
      <c r="I41" s="8"/>
      <c r="J41" s="8"/>
      <c r="K41" s="8"/>
      <c r="L41" s="45">
        <f>Таблица1[[#This Row],[Нал]]+Таблица1[[#This Row],[Терминал]]-Таблица1[[#This Row],[Расход]]-Таблица1[[#This Row],[Закуп]]-Таблица1[[#This Row],[Расход со счета]]</f>
        <v>353000</v>
      </c>
    </row>
    <row r="42" spans="1:12" ht="20" thickBot="1" x14ac:dyDescent="0.25">
      <c r="A42" s="21"/>
      <c r="B42" s="38"/>
      <c r="C42" s="29" t="s">
        <v>10</v>
      </c>
      <c r="D42" s="13" t="s">
        <v>28</v>
      </c>
      <c r="E42" s="31">
        <v>272000</v>
      </c>
      <c r="F42" s="31">
        <v>0</v>
      </c>
      <c r="G42" s="31"/>
      <c r="H42" s="31"/>
      <c r="I42" s="31"/>
      <c r="J42" s="31"/>
      <c r="K42" s="31"/>
      <c r="L42" s="43">
        <f>Таблица1[[#This Row],[Нал]]+Таблица1[[#This Row],[Терминал]]-Таблица1[[#This Row],[Расход]]-Таблица1[[#This Row],[Закуп]]-Таблица1[[#This Row],[Расход со счета]]</f>
        <v>272000</v>
      </c>
    </row>
    <row r="43" spans="1:12" x14ac:dyDescent="0.2">
      <c r="A43" s="21"/>
      <c r="B43" s="37">
        <v>44485</v>
      </c>
      <c r="C43" s="26" t="s">
        <v>9</v>
      </c>
      <c r="D43" s="27" t="s">
        <v>21</v>
      </c>
      <c r="E43" s="28">
        <v>429000</v>
      </c>
      <c r="F43" s="28">
        <v>0</v>
      </c>
      <c r="G43" s="28"/>
      <c r="H43" s="28"/>
      <c r="I43" s="28">
        <v>560000</v>
      </c>
      <c r="J43" s="28" t="s">
        <v>39</v>
      </c>
      <c r="K43" s="28"/>
      <c r="L43" s="42">
        <f>Таблица1[[#This Row],[Нал]]+Таблица1[[#This Row],[Терминал]]-Таблица1[[#This Row],[Расход]]-Таблица1[[#This Row],[Закуп]]-Таблица1[[#This Row],[Расход со счета]]</f>
        <v>-131000</v>
      </c>
    </row>
    <row r="44" spans="1:12" ht="20" thickBot="1" x14ac:dyDescent="0.25">
      <c r="A44" s="21"/>
      <c r="B44" s="39"/>
      <c r="C44" s="29" t="s">
        <v>10</v>
      </c>
      <c r="D44" s="13" t="s">
        <v>28</v>
      </c>
      <c r="E44" s="31">
        <v>469000</v>
      </c>
      <c r="F44" s="31">
        <v>0</v>
      </c>
      <c r="G44" s="31"/>
      <c r="H44" s="31"/>
      <c r="I44" s="31">
        <v>200000</v>
      </c>
      <c r="J44" s="31" t="s">
        <v>17</v>
      </c>
      <c r="K44" s="31"/>
      <c r="L44" s="43">
        <f>Таблица1[[#This Row],[Нал]]+Таблица1[[#This Row],[Терминал]]-Таблица1[[#This Row],[Расход]]-Таблица1[[#This Row],[Закуп]]-Таблица1[[#This Row],[Расход со счета]]</f>
        <v>269000</v>
      </c>
    </row>
    <row r="45" spans="1:12" x14ac:dyDescent="0.2">
      <c r="A45" s="21"/>
      <c r="B45" s="37">
        <v>44486</v>
      </c>
      <c r="C45" s="26" t="s">
        <v>9</v>
      </c>
      <c r="D45" s="27" t="s">
        <v>20</v>
      </c>
      <c r="E45" s="28">
        <v>149000</v>
      </c>
      <c r="F45" s="28">
        <v>62000</v>
      </c>
      <c r="G45" s="28"/>
      <c r="H45" s="28"/>
      <c r="I45" s="28"/>
      <c r="J45" s="28"/>
      <c r="K45" s="28"/>
      <c r="L45" s="42">
        <f>Таблица1[[#This Row],[Нал]]+Таблица1[[#This Row],[Терминал]]-Таблица1[[#This Row],[Расход]]-Таблица1[[#This Row],[Закуп]]-Таблица1[[#This Row],[Расход со счета]]</f>
        <v>211000</v>
      </c>
    </row>
    <row r="46" spans="1:12" ht="20" thickBot="1" x14ac:dyDescent="0.25">
      <c r="A46" s="21"/>
      <c r="B46" s="38"/>
      <c r="C46" s="2" t="s">
        <v>10</v>
      </c>
      <c r="D46" s="13" t="s">
        <v>28</v>
      </c>
      <c r="E46" s="9">
        <v>132000</v>
      </c>
      <c r="F46" s="9">
        <v>0</v>
      </c>
      <c r="G46" s="9"/>
      <c r="H46" s="9"/>
      <c r="I46" s="9"/>
      <c r="J46" s="9"/>
      <c r="K46" s="9"/>
      <c r="L46" s="44">
        <f>Таблица1[[#This Row],[Нал]]+Таблица1[[#This Row],[Терминал]]-Таблица1[[#This Row],[Расход]]-Таблица1[[#This Row],[Закуп]]-Таблица1[[#This Row],[Расход со счета]]</f>
        <v>132000</v>
      </c>
    </row>
    <row r="47" spans="1:12" x14ac:dyDescent="0.2">
      <c r="A47" s="21"/>
      <c r="B47" s="37">
        <v>44487</v>
      </c>
      <c r="C47" s="26" t="s">
        <v>9</v>
      </c>
      <c r="D47" s="27" t="s">
        <v>20</v>
      </c>
      <c r="E47" s="28">
        <v>683000</v>
      </c>
      <c r="F47" s="28">
        <v>0</v>
      </c>
      <c r="G47" s="28"/>
      <c r="H47" s="28"/>
      <c r="I47" s="28">
        <v>50000</v>
      </c>
      <c r="J47" s="28"/>
      <c r="K47" s="28"/>
      <c r="L47" s="42">
        <f>Таблица1[[#This Row],[Нал]]+Таблица1[[#This Row],[Терминал]]-Таблица1[[#This Row],[Расход]]-Таблица1[[#This Row],[Закуп]]-Таблица1[[#This Row],[Расход со счета]]</f>
        <v>633000</v>
      </c>
    </row>
    <row r="48" spans="1:12" ht="20" thickBot="1" x14ac:dyDescent="0.25">
      <c r="A48" s="21"/>
      <c r="B48" s="38"/>
      <c r="C48" s="29" t="s">
        <v>10</v>
      </c>
      <c r="D48" s="13" t="s">
        <v>28</v>
      </c>
      <c r="E48" s="31">
        <v>216000</v>
      </c>
      <c r="F48" s="31">
        <v>0</v>
      </c>
      <c r="G48" s="31"/>
      <c r="H48" s="31"/>
      <c r="I48" s="31"/>
      <c r="J48" s="31"/>
      <c r="K48" s="31"/>
      <c r="L48" s="43">
        <f>Таблица1[[#This Row],[Нал]]+Таблица1[[#This Row],[Терминал]]-Таблица1[[#This Row],[Расход]]-Таблица1[[#This Row],[Закуп]]-Таблица1[[#This Row],[Расход со счета]]</f>
        <v>216000</v>
      </c>
    </row>
    <row r="49" spans="1:12" ht="20" thickBot="1" x14ac:dyDescent="0.25">
      <c r="A49" s="21"/>
      <c r="B49" s="50">
        <v>44488</v>
      </c>
      <c r="C49" s="26" t="s">
        <v>9</v>
      </c>
      <c r="D49" s="27" t="s">
        <v>20</v>
      </c>
      <c r="E49" s="28">
        <v>639000</v>
      </c>
      <c r="F49" s="28">
        <v>0</v>
      </c>
      <c r="G49" s="28"/>
      <c r="H49" s="28"/>
      <c r="I49" s="28">
        <v>67000</v>
      </c>
      <c r="J49" s="28" t="s">
        <v>25</v>
      </c>
      <c r="K49" s="28"/>
      <c r="L49" s="42">
        <f>Таблица1[[#This Row],[Нал]]+Таблица1[[#This Row],[Терминал]]-Таблица1[[#This Row],[Расход]]-Таблица1[[#This Row],[Закуп]]-Таблица1[[#This Row],[Расход со счета]]</f>
        <v>572000</v>
      </c>
    </row>
    <row r="50" spans="1:12" ht="33" thickBot="1" x14ac:dyDescent="0.25">
      <c r="A50" s="21"/>
      <c r="B50" s="52"/>
      <c r="C50" s="49"/>
      <c r="D50" s="13"/>
      <c r="E50" s="15">
        <v>0</v>
      </c>
      <c r="F50" s="9">
        <v>0</v>
      </c>
      <c r="G50" s="9"/>
      <c r="H50" s="9"/>
      <c r="I50" s="9">
        <v>39000</v>
      </c>
      <c r="J50" s="47" t="s">
        <v>27</v>
      </c>
      <c r="K50" s="9"/>
      <c r="L50" s="9">
        <f>Таблица1[[#This Row],[Нал]]+Таблица1[[#This Row],[Терминал]]-Таблица1[[#This Row],[Расход]]-Таблица1[[#This Row],[Закуп]]-Таблица1[[#This Row],[Расход со счета]]</f>
        <v>-39000</v>
      </c>
    </row>
    <row r="51" spans="1:12" ht="20" thickBot="1" x14ac:dyDescent="0.25">
      <c r="A51" s="21"/>
      <c r="B51" s="51"/>
      <c r="C51" s="29" t="s">
        <v>10</v>
      </c>
      <c r="D51" s="13" t="s">
        <v>28</v>
      </c>
      <c r="E51" s="31">
        <v>338000</v>
      </c>
      <c r="F51" s="31">
        <v>0</v>
      </c>
      <c r="G51" s="31"/>
      <c r="H51" s="31"/>
      <c r="I51" s="31">
        <v>35000</v>
      </c>
      <c r="J51" s="31" t="s">
        <v>26</v>
      </c>
      <c r="K51" s="31"/>
      <c r="L51" s="43">
        <f>Таблица1[[#This Row],[Нал]]+Таблица1[[#This Row],[Терминал]]-Таблица1[[#This Row],[Расход]]-Таблица1[[#This Row],[Закуп]]-Таблица1[[#This Row],[Расход со счета]]</f>
        <v>303000</v>
      </c>
    </row>
    <row r="52" spans="1:12" x14ac:dyDescent="0.2">
      <c r="A52" s="21"/>
      <c r="B52" s="37">
        <v>44489</v>
      </c>
      <c r="C52" s="26" t="s">
        <v>9</v>
      </c>
      <c r="D52" s="27" t="s">
        <v>20</v>
      </c>
      <c r="E52" s="28">
        <v>649000</v>
      </c>
      <c r="F52" s="28">
        <v>0</v>
      </c>
      <c r="G52" s="28"/>
      <c r="H52" s="28"/>
      <c r="I52" s="28">
        <v>140000</v>
      </c>
      <c r="J52" s="28" t="s">
        <v>40</v>
      </c>
      <c r="K52" s="28"/>
      <c r="L52" s="42">
        <f>Таблица1[[#This Row],[Нал]]+Таблица1[[#This Row],[Терминал]]-Таблица1[[#This Row],[Расход]]-Таблица1[[#This Row],[Закуп]]-Таблица1[[#This Row],[Расход со счета]]</f>
        <v>509000</v>
      </c>
    </row>
    <row r="53" spans="1:12" ht="20" thickBot="1" x14ac:dyDescent="0.25">
      <c r="A53" s="21"/>
      <c r="B53" s="39"/>
      <c r="C53" s="2" t="s">
        <v>10</v>
      </c>
      <c r="D53" s="13" t="s">
        <v>28</v>
      </c>
      <c r="E53" s="9">
        <v>332000</v>
      </c>
      <c r="F53" s="9">
        <v>24000</v>
      </c>
      <c r="G53" s="9"/>
      <c r="H53" s="9"/>
      <c r="I53" s="9">
        <v>247000</v>
      </c>
      <c r="J53" s="9" t="s">
        <v>24</v>
      </c>
      <c r="K53" s="9"/>
      <c r="L53" s="44">
        <f>Таблица1[[#This Row],[Нал]]+Таблица1[[#This Row],[Терминал]]-Таблица1[[#This Row],[Расход]]-Таблица1[[#This Row],[Закуп]]-Таблица1[[#This Row],[Расход со счета]]</f>
        <v>109000</v>
      </c>
    </row>
    <row r="54" spans="1:12" x14ac:dyDescent="0.2">
      <c r="A54" s="21"/>
      <c r="B54" s="37">
        <v>44490</v>
      </c>
      <c r="C54" s="26" t="s">
        <v>9</v>
      </c>
      <c r="D54" s="27" t="s">
        <v>20</v>
      </c>
      <c r="E54" s="28">
        <v>505000</v>
      </c>
      <c r="F54" s="28">
        <v>36000</v>
      </c>
      <c r="G54" s="28"/>
      <c r="H54" s="28"/>
      <c r="I54" s="28">
        <v>300000</v>
      </c>
      <c r="J54" s="28" t="s">
        <v>17</v>
      </c>
      <c r="K54" s="28"/>
      <c r="L54" s="42">
        <f>Таблица1[[#This Row],[Нал]]+Таблица1[[#This Row],[Терминал]]-Таблица1[[#This Row],[Расход]]-Таблица1[[#This Row],[Закуп]]-Таблица1[[#This Row],[Расход со счета]]</f>
        <v>241000</v>
      </c>
    </row>
    <row r="55" spans="1:12" ht="20" thickBot="1" x14ac:dyDescent="0.25">
      <c r="A55" s="21"/>
      <c r="B55" s="38"/>
      <c r="C55" s="29" t="s">
        <v>10</v>
      </c>
      <c r="D55" s="13" t="s">
        <v>28</v>
      </c>
      <c r="E55" s="31">
        <v>296000</v>
      </c>
      <c r="F55" s="31">
        <v>0</v>
      </c>
      <c r="G55" s="31"/>
      <c r="H55" s="31"/>
      <c r="I55" s="31">
        <v>200000</v>
      </c>
      <c r="J55" s="31"/>
      <c r="K55" s="31"/>
      <c r="L55" s="43">
        <f>Таблица1[[#This Row],[Нал]]+Таблица1[[#This Row],[Терминал]]-Таблица1[[#This Row],[Расход]]-Таблица1[[#This Row],[Закуп]]-Таблица1[[#This Row],[Расход со счета]]</f>
        <v>96000</v>
      </c>
    </row>
    <row r="56" spans="1:12" x14ac:dyDescent="0.2">
      <c r="A56" s="21"/>
      <c r="B56" s="37">
        <v>44491</v>
      </c>
      <c r="C56" s="26" t="s">
        <v>9</v>
      </c>
      <c r="D56" s="27" t="s">
        <v>20</v>
      </c>
      <c r="E56" s="28">
        <v>573000</v>
      </c>
      <c r="F56" s="28">
        <v>0</v>
      </c>
      <c r="G56" s="28">
        <v>1000000</v>
      </c>
      <c r="H56" s="28" t="s">
        <v>22</v>
      </c>
      <c r="I56" s="28">
        <v>30000</v>
      </c>
      <c r="J56" s="28" t="s">
        <v>31</v>
      </c>
      <c r="K56" s="28"/>
      <c r="L56" s="42">
        <f>Таблица1[[#This Row],[Нал]]+Таблица1[[#This Row],[Терминал]]-Таблица1[[#This Row],[Расход]]-Таблица1[[#This Row],[Закуп]]-Таблица1[[#This Row],[Расход со счета]]</f>
        <v>-457000</v>
      </c>
    </row>
    <row r="57" spans="1:12" ht="20" thickBot="1" x14ac:dyDescent="0.25">
      <c r="A57" s="21"/>
      <c r="B57" s="38"/>
      <c r="C57" s="2" t="s">
        <v>10</v>
      </c>
      <c r="D57" s="13" t="s">
        <v>28</v>
      </c>
      <c r="E57" s="9">
        <v>263000</v>
      </c>
      <c r="F57" s="9">
        <v>0</v>
      </c>
      <c r="G57" s="9">
        <v>200000</v>
      </c>
      <c r="H57" s="9" t="s">
        <v>38</v>
      </c>
      <c r="I57" s="9"/>
      <c r="J57" s="9"/>
      <c r="K57" s="9"/>
      <c r="L57" s="44">
        <f>Таблица1[[#This Row],[Нал]]+Таблица1[[#This Row],[Терминал]]-Таблица1[[#This Row],[Расход]]-Таблица1[[#This Row],[Закуп]]-Таблица1[[#This Row],[Расход со счета]]</f>
        <v>63000</v>
      </c>
    </row>
    <row r="58" spans="1:12" x14ac:dyDescent="0.2">
      <c r="A58" s="21"/>
      <c r="B58" s="37">
        <v>44492</v>
      </c>
      <c r="C58" s="26" t="s">
        <v>9</v>
      </c>
      <c r="D58" s="27" t="s">
        <v>29</v>
      </c>
      <c r="E58" s="28">
        <v>727000</v>
      </c>
      <c r="F58" s="28">
        <v>0</v>
      </c>
      <c r="G58" s="28"/>
      <c r="H58" s="28"/>
      <c r="I58" s="28">
        <v>55000</v>
      </c>
      <c r="J58" s="28"/>
      <c r="K58" s="28"/>
      <c r="L58" s="42">
        <f>Таблица1[[#This Row],[Нал]]+Таблица1[[#This Row],[Терминал]]-Таблица1[[#This Row],[Расход]]-Таблица1[[#This Row],[Закуп]]-Таблица1[[#This Row],[Расход со счета]]</f>
        <v>672000</v>
      </c>
    </row>
    <row r="59" spans="1:12" ht="20" thickBot="1" x14ac:dyDescent="0.25">
      <c r="A59" s="21"/>
      <c r="B59" s="38"/>
      <c r="C59" s="2" t="s">
        <v>10</v>
      </c>
      <c r="D59" s="13" t="s">
        <v>28</v>
      </c>
      <c r="E59" s="9">
        <v>187000</v>
      </c>
      <c r="F59" s="9">
        <v>0</v>
      </c>
      <c r="G59" s="9"/>
      <c r="H59" s="9"/>
      <c r="I59" s="9"/>
      <c r="J59" s="9"/>
      <c r="K59" s="9"/>
      <c r="L59" s="44">
        <f>Таблица1[[#This Row],[Нал]]+Таблица1[[#This Row],[Терминал]]-Таблица1[[#This Row],[Расход]]-Таблица1[[#This Row],[Закуп]]-Таблица1[[#This Row],[Расход со счета]]</f>
        <v>187000</v>
      </c>
    </row>
    <row r="60" spans="1:12" x14ac:dyDescent="0.2">
      <c r="A60" s="21"/>
      <c r="B60" s="37">
        <v>44493</v>
      </c>
      <c r="C60" s="26" t="s">
        <v>9</v>
      </c>
      <c r="D60" s="27" t="s">
        <v>29</v>
      </c>
      <c r="E60" s="28">
        <v>246000</v>
      </c>
      <c r="F60" s="28">
        <v>0</v>
      </c>
      <c r="G60" s="28"/>
      <c r="H60" s="28"/>
      <c r="I60" s="28"/>
      <c r="J60" s="28"/>
      <c r="K60" s="28"/>
      <c r="L60" s="42">
        <f>Таблица1[[#This Row],[Нал]]+Таблица1[[#This Row],[Терминал]]-Таблица1[[#This Row],[Расход]]-Таблица1[[#This Row],[Закуп]]-Таблица1[[#This Row],[Расход со счета]]</f>
        <v>246000</v>
      </c>
    </row>
    <row r="61" spans="1:12" ht="20" thickBot="1" x14ac:dyDescent="0.25">
      <c r="A61" s="21"/>
      <c r="B61" s="39"/>
      <c r="C61" s="2" t="s">
        <v>10</v>
      </c>
      <c r="D61" s="13" t="s">
        <v>28</v>
      </c>
      <c r="E61" s="9">
        <v>459000</v>
      </c>
      <c r="F61" s="9">
        <v>0</v>
      </c>
      <c r="G61" s="9"/>
      <c r="H61" s="9"/>
      <c r="I61" s="9"/>
      <c r="J61" s="9"/>
      <c r="K61" s="9"/>
      <c r="L61" s="44">
        <f>Таблица1[[#This Row],[Нал]]+Таблица1[[#This Row],[Терминал]]-Таблица1[[#This Row],[Расход]]-Таблица1[[#This Row],[Закуп]]-Таблица1[[#This Row],[Расход со счета]]</f>
        <v>459000</v>
      </c>
    </row>
    <row r="62" spans="1:12" x14ac:dyDescent="0.2">
      <c r="A62" s="21"/>
      <c r="B62" s="37">
        <v>44494</v>
      </c>
      <c r="C62" s="26" t="s">
        <v>9</v>
      </c>
      <c r="D62" s="27" t="s">
        <v>20</v>
      </c>
      <c r="E62" s="28">
        <v>330000</v>
      </c>
      <c r="F62" s="28">
        <v>60000</v>
      </c>
      <c r="G62" s="28"/>
      <c r="H62" s="28"/>
      <c r="I62" s="28">
        <v>80000</v>
      </c>
      <c r="J62" s="40"/>
      <c r="K62" s="28"/>
      <c r="L62" s="42">
        <f>Таблица1[[#This Row],[Нал]]+Таблица1[[#This Row],[Терминал]]-Таблица1[[#This Row],[Расход]]-Таблица1[[#This Row],[Закуп]]-Таблица1[[#This Row],[Расход со счета]]</f>
        <v>310000</v>
      </c>
    </row>
    <row r="63" spans="1:12" ht="33" thickBot="1" x14ac:dyDescent="0.25">
      <c r="A63" s="21"/>
      <c r="B63" s="38"/>
      <c r="C63" s="2" t="s">
        <v>10</v>
      </c>
      <c r="D63" s="13" t="s">
        <v>28</v>
      </c>
      <c r="E63" s="9">
        <v>316000</v>
      </c>
      <c r="F63" s="9">
        <v>0</v>
      </c>
      <c r="G63" s="9"/>
      <c r="H63" s="9"/>
      <c r="I63" s="9">
        <v>15000</v>
      </c>
      <c r="J63" s="47" t="s">
        <v>30</v>
      </c>
      <c r="K63" s="9"/>
      <c r="L63" s="44">
        <f>Таблица1[[#This Row],[Нал]]+Таблица1[[#This Row],[Терминал]]-Таблица1[[#This Row],[Расход]]-Таблица1[[#This Row],[Закуп]]-Таблица1[[#This Row],[Расход со счета]]</f>
        <v>301000</v>
      </c>
    </row>
    <row r="64" spans="1:12" x14ac:dyDescent="0.2">
      <c r="A64" s="21"/>
      <c r="B64" s="37">
        <v>44495</v>
      </c>
      <c r="C64" s="26" t="s">
        <v>9</v>
      </c>
      <c r="D64" s="27" t="s">
        <v>20</v>
      </c>
      <c r="E64" s="28">
        <v>462000</v>
      </c>
      <c r="F64" s="28">
        <v>14000</v>
      </c>
      <c r="G64" s="28"/>
      <c r="H64" s="28"/>
      <c r="I64" s="28">
        <v>108000</v>
      </c>
      <c r="J64" s="28" t="s">
        <v>32</v>
      </c>
      <c r="K64" s="28"/>
      <c r="L64" s="42">
        <f>Таблица1[[#This Row],[Нал]]+Таблица1[[#This Row],[Терминал]]-Таблица1[[#This Row],[Расход]]-Таблица1[[#This Row],[Закуп]]-Таблица1[[#This Row],[Расход со счета]]</f>
        <v>368000</v>
      </c>
    </row>
    <row r="65" spans="1:12" ht="20" thickBot="1" x14ac:dyDescent="0.25">
      <c r="A65" s="21"/>
      <c r="B65" s="38"/>
      <c r="C65" s="29" t="s">
        <v>10</v>
      </c>
      <c r="D65" s="13" t="s">
        <v>28</v>
      </c>
      <c r="E65" s="31">
        <v>256000</v>
      </c>
      <c r="F65" s="31">
        <v>0</v>
      </c>
      <c r="G65" s="31"/>
      <c r="H65" s="31"/>
      <c r="I65" s="31">
        <v>270000</v>
      </c>
      <c r="J65" s="31" t="s">
        <v>17</v>
      </c>
      <c r="K65" s="31"/>
      <c r="L65" s="43">
        <f>Таблица1[[#This Row],[Нал]]+Таблица1[[#This Row],[Терминал]]-Таблица1[[#This Row],[Расход]]-Таблица1[[#This Row],[Закуп]]-Таблица1[[#This Row],[Расход со счета]]</f>
        <v>-14000</v>
      </c>
    </row>
    <row r="66" spans="1:12" x14ac:dyDescent="0.2">
      <c r="A66" s="21"/>
      <c r="B66" s="54"/>
      <c r="C66" s="22"/>
      <c r="D66" s="12"/>
      <c r="E66" s="24"/>
      <c r="F66" s="24"/>
      <c r="G66" s="24"/>
      <c r="H66" s="24"/>
      <c r="I66" s="24">
        <v>17000</v>
      </c>
      <c r="J66" s="24" t="s">
        <v>33</v>
      </c>
      <c r="K66" s="24"/>
      <c r="L66" s="53">
        <f>Таблица1[[#This Row],[Нал]]+Таблица1[[#This Row],[Терминал]]-Таблица1[[#This Row],[Расход]]-Таблица1[[#This Row],[Закуп]]-Таблица1[[#This Row],[Расход со счета]]</f>
        <v>-17000</v>
      </c>
    </row>
    <row r="67" spans="1:12" x14ac:dyDescent="0.2">
      <c r="A67" s="21"/>
      <c r="B67" s="54"/>
      <c r="C67" s="22"/>
      <c r="D67" s="12"/>
      <c r="E67" s="24"/>
      <c r="F67" s="24"/>
      <c r="G67" s="24"/>
      <c r="H67" s="24"/>
      <c r="I67" s="24">
        <v>4000</v>
      </c>
      <c r="J67" s="24" t="s">
        <v>34</v>
      </c>
      <c r="K67" s="24"/>
      <c r="L67" s="53">
        <f>Таблица1[[#This Row],[Нал]]+Таблица1[[#This Row],[Терминал]]-Таблица1[[#This Row],[Расход]]-Таблица1[[#This Row],[Закуп]]-Таблица1[[#This Row],[Расход со счета]]</f>
        <v>-4000</v>
      </c>
    </row>
    <row r="68" spans="1:12" ht="20" thickBot="1" x14ac:dyDescent="0.25">
      <c r="A68" s="21"/>
      <c r="B68" s="54"/>
      <c r="C68" s="22"/>
      <c r="D68" s="12"/>
      <c r="E68" s="24"/>
      <c r="F68" s="24"/>
      <c r="G68" s="24"/>
      <c r="H68" s="24"/>
      <c r="I68" s="24">
        <v>22000</v>
      </c>
      <c r="J68" s="24" t="s">
        <v>37</v>
      </c>
      <c r="K68" s="24"/>
      <c r="L68" s="53">
        <f>Таблица1[[#This Row],[Нал]]+Таблица1[[#This Row],[Терминал]]-Таблица1[[#This Row],[Расход]]-Таблица1[[#This Row],[Закуп]]-Таблица1[[#This Row],[Расход со счета]]</f>
        <v>-22000</v>
      </c>
    </row>
    <row r="69" spans="1:12" x14ac:dyDescent="0.2">
      <c r="A69" s="21"/>
      <c r="B69" s="37">
        <v>44496</v>
      </c>
      <c r="C69" s="26" t="s">
        <v>9</v>
      </c>
      <c r="D69" s="27" t="s">
        <v>20</v>
      </c>
      <c r="E69" s="28">
        <v>1075000</v>
      </c>
      <c r="F69" s="28"/>
      <c r="G69" s="28"/>
      <c r="H69" s="28"/>
      <c r="I69" s="28">
        <v>10000</v>
      </c>
      <c r="J69" s="28" t="s">
        <v>35</v>
      </c>
      <c r="K69" s="28"/>
      <c r="L69" s="42">
        <f>Таблица1[[#This Row],[Нал]]+Таблица1[[#This Row],[Терминал]]-Таблица1[[#This Row],[Расход]]-Таблица1[[#This Row],[Закуп]]-Таблица1[[#This Row],[Расход со счета]]</f>
        <v>1065000</v>
      </c>
    </row>
    <row r="70" spans="1:12" ht="20" thickBot="1" x14ac:dyDescent="0.25">
      <c r="A70" s="21"/>
      <c r="B70" s="38"/>
      <c r="C70" s="2" t="s">
        <v>10</v>
      </c>
      <c r="D70" s="13" t="s">
        <v>28</v>
      </c>
      <c r="E70" s="9">
        <v>338000</v>
      </c>
      <c r="F70" s="9"/>
      <c r="G70" s="9"/>
      <c r="H70" s="9"/>
      <c r="I70" s="9">
        <v>124000</v>
      </c>
      <c r="J70" s="9" t="s">
        <v>36</v>
      </c>
      <c r="K70" s="9"/>
      <c r="L70" s="44">
        <f>Таблица1[[#This Row],[Нал]]+Таблица1[[#This Row],[Терминал]]-Таблица1[[#This Row],[Расход]]-Таблица1[[#This Row],[Закуп]]-Таблица1[[#This Row],[Расход со счета]]</f>
        <v>214000</v>
      </c>
    </row>
    <row r="71" spans="1:12" ht="20" thickBot="1" x14ac:dyDescent="0.25">
      <c r="A71" s="21"/>
      <c r="B71" s="54"/>
      <c r="C71" s="55"/>
      <c r="D71" s="12"/>
      <c r="E71" s="8"/>
      <c r="F71" s="8"/>
      <c r="G71" s="8"/>
      <c r="H71" s="8"/>
      <c r="I71" s="8">
        <v>20000</v>
      </c>
      <c r="J71" s="8" t="s">
        <v>37</v>
      </c>
      <c r="K71" s="8"/>
      <c r="L71" s="45">
        <f>Таблица1[[#This Row],[Нал]]+Таблица1[[#This Row],[Терминал]]-Таблица1[[#This Row],[Расход]]-Таблица1[[#This Row],[Закуп]]-Таблица1[[#This Row],[Расход со счета]]</f>
        <v>-20000</v>
      </c>
    </row>
    <row r="72" spans="1:12" x14ac:dyDescent="0.2">
      <c r="A72" s="21"/>
      <c r="B72" s="37">
        <v>44497</v>
      </c>
      <c r="C72" s="26" t="s">
        <v>9</v>
      </c>
      <c r="D72" s="27" t="s">
        <v>20</v>
      </c>
      <c r="E72" s="28">
        <v>623000</v>
      </c>
      <c r="F72" s="28"/>
      <c r="G72" s="28"/>
      <c r="H72" s="28"/>
      <c r="I72" s="28">
        <v>45000</v>
      </c>
      <c r="J72" s="28"/>
      <c r="K72" s="28"/>
      <c r="L72" s="42">
        <f>Таблица1[[#This Row],[Нал]]+Таблица1[[#This Row],[Терминал]]-Таблица1[[#This Row],[Расход]]-Таблица1[[#This Row],[Закуп]]-Таблица1[[#This Row],[Расход со счета]]</f>
        <v>578000</v>
      </c>
    </row>
    <row r="73" spans="1:12" ht="20" thickBot="1" x14ac:dyDescent="0.25">
      <c r="A73" s="21"/>
      <c r="B73" s="39"/>
      <c r="C73" s="29" t="s">
        <v>10</v>
      </c>
      <c r="D73" s="13" t="s">
        <v>28</v>
      </c>
      <c r="E73" s="31">
        <v>690000</v>
      </c>
      <c r="F73" s="31">
        <v>107000</v>
      </c>
      <c r="G73" s="31"/>
      <c r="H73" s="31"/>
      <c r="I73" s="31"/>
      <c r="J73" s="31"/>
      <c r="K73" s="31"/>
      <c r="L73" s="43">
        <f>Таблица1[[#This Row],[Нал]]+Таблица1[[#This Row],[Терминал]]-Таблица1[[#This Row],[Расход]]-Таблица1[[#This Row],[Закуп]]-Таблица1[[#This Row],[Расход со счета]]</f>
        <v>797000</v>
      </c>
    </row>
    <row r="74" spans="1:12" x14ac:dyDescent="0.2">
      <c r="A74" s="6"/>
      <c r="B74" s="37">
        <v>44498</v>
      </c>
      <c r="C74" s="25" t="s">
        <v>9</v>
      </c>
      <c r="D74" s="12" t="s">
        <v>20</v>
      </c>
      <c r="E74" s="8">
        <v>252000</v>
      </c>
      <c r="F74" s="8">
        <v>36000</v>
      </c>
      <c r="G74" s="8"/>
      <c r="H74" s="8"/>
      <c r="I74" s="8">
        <v>200000</v>
      </c>
      <c r="J74" s="8" t="s">
        <v>58</v>
      </c>
      <c r="K74" s="8"/>
      <c r="L74" s="45">
        <f>Таблица1[[#This Row],[Нал]]+Таблица1[[#This Row],[Терминал]]-Таблица1[[#This Row],[Расход]]-Таблица1[[#This Row],[Закуп]]-Таблица1[[#This Row],[Расход со счета]]</f>
        <v>88000</v>
      </c>
    </row>
    <row r="75" spans="1:12" ht="33" thickBot="1" x14ac:dyDescent="0.25">
      <c r="A75" s="6"/>
      <c r="B75" s="38"/>
      <c r="C75" s="2" t="s">
        <v>10</v>
      </c>
      <c r="D75" s="13" t="s">
        <v>29</v>
      </c>
      <c r="E75" s="9">
        <v>270000</v>
      </c>
      <c r="F75" s="9"/>
      <c r="G75" s="9"/>
      <c r="H75" s="9"/>
      <c r="I75" s="9">
        <v>82000</v>
      </c>
      <c r="J75" s="47" t="s">
        <v>42</v>
      </c>
      <c r="K75" s="9"/>
      <c r="L75" s="44">
        <f>Таблица1[[#This Row],[Нал]]+Таблица1[[#This Row],[Терминал]]-Таблица1[[#This Row],[Расход]]-Таблица1[[#This Row],[Закуп]]-Таблица1[[#This Row],[Расход со счета]]</f>
        <v>188000</v>
      </c>
    </row>
    <row r="76" spans="1:12" x14ac:dyDescent="0.2">
      <c r="A76" s="6"/>
      <c r="B76" s="37">
        <v>44499</v>
      </c>
      <c r="C76" s="3" t="s">
        <v>9</v>
      </c>
      <c r="D76" s="13" t="s">
        <v>20</v>
      </c>
      <c r="E76" s="9">
        <v>788000</v>
      </c>
      <c r="F76" s="9"/>
      <c r="G76" s="9">
        <v>720000</v>
      </c>
      <c r="H76" s="9" t="s">
        <v>41</v>
      </c>
      <c r="I76" s="9"/>
      <c r="J76" s="47"/>
      <c r="K76" s="9"/>
      <c r="L76" s="44">
        <f>Таблица1[[#This Row],[Нал]]+Таблица1[[#This Row],[Терминал]]-Таблица1[[#This Row],[Расход]]-Таблица1[[#This Row],[Закуп]]-Таблица1[[#This Row],[Расход со счета]]</f>
        <v>68000</v>
      </c>
    </row>
    <row r="77" spans="1:12" ht="33" thickBot="1" x14ac:dyDescent="0.25">
      <c r="A77" s="21"/>
      <c r="B77" s="38"/>
      <c r="C77" s="2" t="s">
        <v>10</v>
      </c>
      <c r="D77" s="13" t="s">
        <v>28</v>
      </c>
      <c r="E77" s="9">
        <v>488000</v>
      </c>
      <c r="F77" s="9"/>
      <c r="G77" s="9"/>
      <c r="H77" s="9"/>
      <c r="I77" s="9">
        <v>235000</v>
      </c>
      <c r="J77" s="47" t="s">
        <v>43</v>
      </c>
      <c r="K77" s="9"/>
      <c r="L77" s="44">
        <f>Таблица1[[#This Row],[Нал]]+Таблица1[[#This Row],[Терминал]]-Таблица1[[#This Row],[Расход]]-Таблица1[[#This Row],[Закуп]]-Таблица1[[#This Row],[Расход со счета]]</f>
        <v>253000</v>
      </c>
    </row>
    <row r="78" spans="1:12" x14ac:dyDescent="0.2">
      <c r="A78" s="21"/>
      <c r="B78" s="54"/>
      <c r="C78" s="2"/>
      <c r="D78" s="13"/>
      <c r="E78" s="9"/>
      <c r="F78" s="9"/>
      <c r="G78" s="9"/>
      <c r="H78" s="9"/>
      <c r="I78" s="9">
        <v>14000</v>
      </c>
      <c r="J78" s="47" t="s">
        <v>44</v>
      </c>
      <c r="K78" s="9"/>
      <c r="L78" s="44">
        <f>Таблица1[[#This Row],[Нал]]+Таблица1[[#This Row],[Терминал]]-Таблица1[[#This Row],[Расход]]-Таблица1[[#This Row],[Закуп]]-Таблица1[[#This Row],[Расход со счета]]</f>
        <v>-14000</v>
      </c>
    </row>
    <row r="79" spans="1:12" x14ac:dyDescent="0.2">
      <c r="A79" s="21"/>
      <c r="B79" s="54"/>
      <c r="C79" s="2"/>
      <c r="D79" s="13"/>
      <c r="E79" s="9"/>
      <c r="F79" s="9"/>
      <c r="G79" s="9"/>
      <c r="H79" s="9"/>
      <c r="I79" s="9">
        <v>3500</v>
      </c>
      <c r="J79" s="47" t="s">
        <v>45</v>
      </c>
      <c r="K79" s="9"/>
      <c r="L79" s="44">
        <f>Таблица1[[#This Row],[Нал]]+Таблица1[[#This Row],[Терминал]]-Таблица1[[#This Row],[Расход]]-Таблица1[[#This Row],[Закуп]]-Таблица1[[#This Row],[Расход со счета]]</f>
        <v>-3500</v>
      </c>
    </row>
    <row r="80" spans="1:12" x14ac:dyDescent="0.2">
      <c r="A80" s="21"/>
      <c r="B80" s="54"/>
      <c r="C80" s="2"/>
      <c r="D80" s="13"/>
      <c r="E80" s="9"/>
      <c r="F80" s="9"/>
      <c r="G80" s="9"/>
      <c r="H80" s="9"/>
      <c r="I80" s="9">
        <v>77000</v>
      </c>
      <c r="J80" s="47" t="s">
        <v>16</v>
      </c>
      <c r="K80" s="9"/>
      <c r="L80" s="44">
        <f>Таблица1[[#This Row],[Нал]]+Таблица1[[#This Row],[Терминал]]-Таблица1[[#This Row],[Расход]]-Таблица1[[#This Row],[Закуп]]-Таблица1[[#This Row],[Расход со счета]]</f>
        <v>-77000</v>
      </c>
    </row>
    <row r="81" spans="1:12" x14ac:dyDescent="0.2">
      <c r="A81" s="21"/>
      <c r="B81" s="54"/>
      <c r="C81" s="2"/>
      <c r="D81" s="13"/>
      <c r="E81" s="9"/>
      <c r="F81" s="9"/>
      <c r="G81" s="9"/>
      <c r="H81" s="9"/>
      <c r="I81" s="9">
        <v>9500</v>
      </c>
      <c r="J81" s="47" t="s">
        <v>46</v>
      </c>
      <c r="K81" s="9"/>
      <c r="L81" s="44">
        <f>Таблица1[[#This Row],[Нал]]+Таблица1[[#This Row],[Терминал]]-Таблица1[[#This Row],[Расход]]-Таблица1[[#This Row],[Закуп]]-Таблица1[[#This Row],[Расход со счета]]</f>
        <v>-9500</v>
      </c>
    </row>
    <row r="82" spans="1:12" x14ac:dyDescent="0.2">
      <c r="A82" s="21"/>
      <c r="B82" s="54"/>
      <c r="C82" s="2"/>
      <c r="D82" s="13"/>
      <c r="E82" s="9"/>
      <c r="F82" s="9"/>
      <c r="G82" s="9"/>
      <c r="H82" s="9"/>
      <c r="I82" s="9">
        <v>42000</v>
      </c>
      <c r="J82" s="47" t="s">
        <v>18</v>
      </c>
      <c r="K82" s="9"/>
      <c r="L82" s="44">
        <f>Таблица1[[#This Row],[Нал]]+Таблица1[[#This Row],[Терминал]]-Таблица1[[#This Row],[Расход]]-Таблица1[[#This Row],[Закуп]]-Таблица1[[#This Row],[Расход со счета]]</f>
        <v>-42000</v>
      </c>
    </row>
    <row r="83" spans="1:12" x14ac:dyDescent="0.2">
      <c r="A83" s="21"/>
      <c r="B83" s="54"/>
      <c r="C83" s="2"/>
      <c r="D83" s="13"/>
      <c r="E83" s="9"/>
      <c r="F83" s="9"/>
      <c r="G83" s="9"/>
      <c r="H83" s="9"/>
      <c r="I83" s="9">
        <v>15000</v>
      </c>
      <c r="J83" s="47" t="s">
        <v>47</v>
      </c>
      <c r="K83" s="9"/>
      <c r="L83" s="44">
        <f>Таблица1[[#This Row],[Нал]]+Таблица1[[#This Row],[Терминал]]-Таблица1[[#This Row],[Расход]]-Таблица1[[#This Row],[Закуп]]-Таблица1[[#This Row],[Расход со счета]]</f>
        <v>-15000</v>
      </c>
    </row>
    <row r="84" spans="1:12" ht="20" thickBot="1" x14ac:dyDescent="0.25">
      <c r="A84" s="21"/>
      <c r="B84" s="54"/>
      <c r="C84" s="2"/>
      <c r="D84" s="13"/>
      <c r="E84" s="9"/>
      <c r="F84" s="9"/>
      <c r="G84" s="9"/>
      <c r="H84" s="9"/>
      <c r="I84" s="9">
        <v>54000</v>
      </c>
      <c r="J84" s="47" t="s">
        <v>48</v>
      </c>
      <c r="K84" s="9"/>
      <c r="L84" s="44">
        <f>Таблица1[[#This Row],[Нал]]+Таблица1[[#This Row],[Терминал]]-Таблица1[[#This Row],[Расход]]-Таблица1[[#This Row],[Закуп]]-Таблица1[[#This Row],[Расход со счета]]</f>
        <v>-54000</v>
      </c>
    </row>
    <row r="85" spans="1:12" x14ac:dyDescent="0.2">
      <c r="A85" s="6"/>
      <c r="B85" s="37">
        <v>44500</v>
      </c>
      <c r="C85" s="3" t="s">
        <v>9</v>
      </c>
      <c r="D85" s="13" t="s">
        <v>29</v>
      </c>
      <c r="E85" s="9">
        <v>642000</v>
      </c>
      <c r="F85" s="9"/>
      <c r="G85" s="9">
        <v>400000</v>
      </c>
      <c r="H85" s="9" t="s">
        <v>41</v>
      </c>
      <c r="I85" s="9">
        <v>216000</v>
      </c>
      <c r="J85" s="9" t="s">
        <v>24</v>
      </c>
      <c r="K85" s="9"/>
      <c r="L85" s="44">
        <f>Таблица1[[#This Row],[Нал]]+Таблица1[[#This Row],[Терминал]]-Таблица1[[#This Row],[Расход]]-Таблица1[[#This Row],[Закуп]]-Таблица1[[#This Row],[Расход со счета]]</f>
        <v>26000</v>
      </c>
    </row>
    <row r="86" spans="1:12" x14ac:dyDescent="0.2">
      <c r="A86" s="6"/>
      <c r="B86" s="56"/>
      <c r="C86" s="3"/>
      <c r="D86" s="13"/>
      <c r="E86" s="9"/>
      <c r="F86" s="9"/>
      <c r="G86" s="9"/>
      <c r="H86" s="9"/>
      <c r="I86" s="9">
        <v>40000</v>
      </c>
      <c r="J86" s="9" t="s">
        <v>49</v>
      </c>
      <c r="K86" s="9"/>
      <c r="L86" s="44">
        <f>Таблица1[[#This Row],[Нал]]+Таблица1[[#This Row],[Терминал]]-Таблица1[[#This Row],[Расход]]-Таблица1[[#This Row],[Закуп]]-Таблица1[[#This Row],[Расход со счета]]</f>
        <v>-40000</v>
      </c>
    </row>
    <row r="87" spans="1:12" x14ac:dyDescent="0.2">
      <c r="A87" s="6"/>
      <c r="B87" s="56"/>
      <c r="C87" s="3"/>
      <c r="D87" s="13"/>
      <c r="E87" s="9"/>
      <c r="F87" s="9"/>
      <c r="G87" s="9"/>
      <c r="H87" s="9"/>
      <c r="I87" s="9">
        <v>10000</v>
      </c>
      <c r="J87" s="9" t="s">
        <v>50</v>
      </c>
      <c r="K87" s="9"/>
      <c r="L87" s="44">
        <f>Таблица1[[#This Row],[Нал]]+Таблица1[[#This Row],[Терминал]]-Таблица1[[#This Row],[Расход]]-Таблица1[[#This Row],[Закуп]]-Таблица1[[#This Row],[Расход со счета]]</f>
        <v>-10000</v>
      </c>
    </row>
    <row r="88" spans="1:12" x14ac:dyDescent="0.2">
      <c r="A88" s="6"/>
      <c r="B88" s="56"/>
      <c r="C88" s="3"/>
      <c r="D88" s="13"/>
      <c r="E88" s="9"/>
      <c r="F88" s="9"/>
      <c r="G88" s="9"/>
      <c r="H88" s="9"/>
      <c r="I88" s="9">
        <v>45000</v>
      </c>
      <c r="J88" s="9" t="s">
        <v>51</v>
      </c>
      <c r="K88" s="9"/>
      <c r="L88" s="44">
        <f>Таблица1[[#This Row],[Нал]]+Таблица1[[#This Row],[Терминал]]-Таблица1[[#This Row],[Расход]]-Таблица1[[#This Row],[Закуп]]-Таблица1[[#This Row],[Расход со счета]]</f>
        <v>-45000</v>
      </c>
    </row>
    <row r="89" spans="1:12" x14ac:dyDescent="0.2">
      <c r="A89" s="6"/>
      <c r="B89" s="56"/>
      <c r="C89" s="3"/>
      <c r="D89" s="13"/>
      <c r="E89" s="9"/>
      <c r="F89" s="9"/>
      <c r="G89" s="9"/>
      <c r="H89" s="9"/>
      <c r="I89" s="9">
        <v>5000</v>
      </c>
      <c r="J89" s="9" t="s">
        <v>52</v>
      </c>
      <c r="K89" s="9"/>
      <c r="L89" s="44">
        <f>Таблица1[[#This Row],[Нал]]+Таблица1[[#This Row],[Терминал]]-Таблица1[[#This Row],[Расход]]-Таблица1[[#This Row],[Закуп]]-Таблица1[[#This Row],[Расход со счета]]</f>
        <v>-5000</v>
      </c>
    </row>
    <row r="90" spans="1:12" x14ac:dyDescent="0.2">
      <c r="A90" s="6"/>
      <c r="B90" s="56"/>
      <c r="C90" s="3"/>
      <c r="D90" s="13"/>
      <c r="E90" s="9"/>
      <c r="F90" s="9"/>
      <c r="G90" s="9">
        <v>474000</v>
      </c>
      <c r="H90" s="9" t="s">
        <v>63</v>
      </c>
      <c r="I90" s="9"/>
      <c r="J90" s="9"/>
      <c r="K90" s="9"/>
      <c r="L90" s="44">
        <f>Таблица1[[#This Row],[Нал]]+Таблица1[[#This Row],[Терминал]]-Таблица1[[#This Row],[Расход]]-Таблица1[[#This Row],[Закуп]]-Таблица1[[#This Row],[Расход со счета]]</f>
        <v>-474000</v>
      </c>
    </row>
    <row r="91" spans="1:12" ht="20" thickBot="1" x14ac:dyDescent="0.25">
      <c r="A91" s="6"/>
      <c r="B91" s="38"/>
      <c r="C91" s="2" t="s">
        <v>10</v>
      </c>
      <c r="D91" s="13" t="s">
        <v>28</v>
      </c>
      <c r="E91" s="9">
        <v>364000</v>
      </c>
      <c r="F91" s="9"/>
      <c r="G91" s="9">
        <v>2200000</v>
      </c>
      <c r="H91" s="9" t="s">
        <v>41</v>
      </c>
      <c r="I91" s="9"/>
      <c r="J91" s="9"/>
      <c r="K91" s="9"/>
      <c r="L91" s="44">
        <f>Таблица1[[#This Row],[Нал]]+Таблица1[[#This Row],[Терминал]]-Таблица1[[#This Row],[Расход]]-Таблица1[[#This Row],[Закуп]]-Таблица1[[#This Row],[Расход со счета]]</f>
        <v>-1836000</v>
      </c>
    </row>
    <row r="92" spans="1:12" x14ac:dyDescent="0.2">
      <c r="A92" s="16" t="s">
        <v>13</v>
      </c>
      <c r="B92" s="34"/>
      <c r="C92" s="17"/>
      <c r="D92" s="18"/>
      <c r="E92" s="19">
        <f>SUBTOTAL(109,E13:E91)</f>
        <v>17134000</v>
      </c>
      <c r="F92" s="20">
        <f>SUBTOTAL(109,F13:F91)</f>
        <v>339000</v>
      </c>
      <c r="G92" s="20">
        <f>SUM(G13:G91)</f>
        <v>5194000</v>
      </c>
      <c r="H92" s="20"/>
      <c r="I92" s="20">
        <f>SUBTOTAL(109,I13:I91)</f>
        <v>4780000</v>
      </c>
      <c r="J92" s="20" t="s">
        <v>14</v>
      </c>
      <c r="K92" s="20">
        <f>SUBTOTAL(109,K13:K91)</f>
        <v>0</v>
      </c>
      <c r="L92" s="46">
        <f>SUBTOTAL(109,L13:L91)</f>
        <v>7499000</v>
      </c>
    </row>
  </sheetData>
  <mergeCells count="1">
    <mergeCell ref="D5:F5"/>
  </mergeCells>
  <pageMargins left="0" right="0" top="0" bottom="0" header="0" footer="0"/>
  <pageSetup paperSize="9" scale="5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66"/>
  <sheetViews>
    <sheetView zoomScale="90" zoomScaleNormal="90" workbookViewId="0">
      <selection activeCell="K183" sqref="K183"/>
    </sheetView>
  </sheetViews>
  <sheetFormatPr baseColWidth="10" defaultColWidth="8.83203125" defaultRowHeight="15" x14ac:dyDescent="0.2"/>
  <cols>
    <col min="1" max="1" width="1.33203125" customWidth="1"/>
    <col min="2" max="2" width="24" customWidth="1"/>
    <col min="3" max="3" width="12.6640625" customWidth="1"/>
    <col min="4" max="4" width="16.83203125" bestFit="1" customWidth="1"/>
    <col min="5" max="5" width="12.1640625" bestFit="1" customWidth="1"/>
    <col min="6" max="6" width="23.6640625" customWidth="1"/>
    <col min="7" max="7" width="22.83203125" customWidth="1"/>
    <col min="8" max="8" width="31.33203125" customWidth="1"/>
    <col min="9" max="9" width="27.5" bestFit="1" customWidth="1"/>
    <col min="10" max="10" width="23.5" bestFit="1" customWidth="1"/>
    <col min="11" max="11" width="28.1640625" bestFit="1" customWidth="1"/>
    <col min="12" max="12" width="9.6640625" customWidth="1"/>
    <col min="13" max="13" width="23.33203125" bestFit="1" customWidth="1"/>
  </cols>
  <sheetData>
    <row r="2" spans="2:13" ht="21" x14ac:dyDescent="0.2">
      <c r="H2" s="73"/>
      <c r="I2" s="71" t="s">
        <v>174</v>
      </c>
      <c r="J2" s="71">
        <v>0.2</v>
      </c>
    </row>
    <row r="3" spans="2:13" ht="28.5" customHeight="1" x14ac:dyDescent="0.2">
      <c r="G3" s="304" t="s">
        <v>177</v>
      </c>
      <c r="H3" s="305"/>
      <c r="I3" s="71" t="s">
        <v>175</v>
      </c>
      <c r="J3" s="71">
        <v>3588200</v>
      </c>
      <c r="K3" s="72">
        <f>J3/10820</f>
        <v>331.62661737523104</v>
      </c>
    </row>
    <row r="4" spans="2:13" ht="29.25" customHeight="1" x14ac:dyDescent="0.2">
      <c r="H4" s="73"/>
      <c r="I4" s="71" t="s">
        <v>176</v>
      </c>
      <c r="J4" s="71">
        <v>1537800</v>
      </c>
      <c r="K4" s="72">
        <f>J4/10820</f>
        <v>142.12569316081331</v>
      </c>
    </row>
    <row r="5" spans="2:13" ht="21" x14ac:dyDescent="0.2">
      <c r="H5" s="73"/>
      <c r="I5" s="71" t="s">
        <v>178</v>
      </c>
      <c r="J5" s="71"/>
      <c r="K5" s="72"/>
    </row>
    <row r="8" spans="2:13" ht="20" thickBot="1" x14ac:dyDescent="0.25">
      <c r="B8" s="5" t="s">
        <v>0</v>
      </c>
      <c r="C8" s="36" t="s">
        <v>6</v>
      </c>
      <c r="D8" s="22" t="s">
        <v>5</v>
      </c>
      <c r="E8" s="23" t="s">
        <v>7</v>
      </c>
      <c r="F8" s="24" t="s">
        <v>4</v>
      </c>
      <c r="G8" s="10" t="s">
        <v>2</v>
      </c>
      <c r="H8" s="10" t="s">
        <v>8</v>
      </c>
      <c r="I8" s="10" t="s">
        <v>11</v>
      </c>
      <c r="J8" s="10" t="s">
        <v>3</v>
      </c>
      <c r="K8" s="10" t="s">
        <v>12</v>
      </c>
      <c r="L8" s="10" t="s">
        <v>1</v>
      </c>
      <c r="M8" s="10" t="s">
        <v>15</v>
      </c>
    </row>
    <row r="9" spans="2:13" ht="19" x14ac:dyDescent="0.2">
      <c r="B9" s="41" t="s">
        <v>173</v>
      </c>
      <c r="C9" s="37"/>
      <c r="D9" s="26"/>
      <c r="E9" s="27"/>
      <c r="F9" s="28"/>
      <c r="G9" s="28"/>
      <c r="H9" s="28"/>
      <c r="I9" s="28"/>
      <c r="J9" s="28"/>
      <c r="K9" s="28"/>
      <c r="L9" s="28">
        <f>SUBTOTAL(109,L11:L162)</f>
        <v>0</v>
      </c>
      <c r="M9" s="42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0" spans="2:13" s="70" customFormat="1" ht="36.75" customHeight="1" x14ac:dyDescent="0.25">
      <c r="B10" s="64">
        <f>B11+B17+B20+B23+B37+B30+B41+B43++B51+B54+B56+B67+B71+B75+B80+B84+B95+B99+B102+B112+B115+B117+B122+B125+B131+B140+B146+B153+B157+B161</f>
        <v>40686000</v>
      </c>
      <c r="C10" s="65"/>
      <c r="D10" s="66" t="s">
        <v>13</v>
      </c>
      <c r="E10" s="67"/>
      <c r="F10" s="68">
        <f>SUBTOTAL(109,F11:F163)</f>
        <v>37611000</v>
      </c>
      <c r="G10" s="69">
        <f>SUBTOTAL(109,G11:G163)</f>
        <v>3075000</v>
      </c>
      <c r="H10" s="69">
        <v>11883000</v>
      </c>
      <c r="I10" s="69"/>
      <c r="J10" s="69">
        <v>20602000</v>
      </c>
      <c r="K10" s="69"/>
      <c r="L10" s="69">
        <f>SUBTOTAL(109,L11:L163)</f>
        <v>0</v>
      </c>
      <c r="M10" s="69">
        <v>8201000</v>
      </c>
    </row>
    <row r="11" spans="2:13" ht="19" x14ac:dyDescent="0.2">
      <c r="B11" s="61">
        <f>Таблица13[[#This Row],[Нал]]+Таблица13[[#This Row],[Терминал]]+F16+G16</f>
        <v>1134000</v>
      </c>
      <c r="C11" s="32">
        <v>44501</v>
      </c>
      <c r="D11" s="3" t="s">
        <v>9</v>
      </c>
      <c r="E11" s="13" t="s">
        <v>20</v>
      </c>
      <c r="F11" s="9">
        <v>587000</v>
      </c>
      <c r="G11" s="9">
        <v>42000</v>
      </c>
      <c r="H11" s="9"/>
      <c r="I11" s="9"/>
      <c r="J11" s="9">
        <v>24000</v>
      </c>
      <c r="K11" s="9" t="s">
        <v>53</v>
      </c>
      <c r="L11" s="9">
        <f>SUBTOTAL(109,L14:L166)</f>
        <v>0</v>
      </c>
      <c r="M11" s="44">
        <f>Таблица13[[#This Row],[Нал]]+Таблица13[[#This Row],[Терминал]]-Таблица13[[#This Row],[Расход]]-Таблица13[[#This Row],[Закуп]]-Таблица13[[#This Row],[Расход со счета]]</f>
        <v>605000</v>
      </c>
    </row>
    <row r="12" spans="2:13" ht="19" x14ac:dyDescent="0.2">
      <c r="B12" s="57"/>
      <c r="C12" s="32"/>
      <c r="D12" s="3"/>
      <c r="E12" s="13"/>
      <c r="F12" s="9"/>
      <c r="G12" s="9"/>
      <c r="H12" s="9"/>
      <c r="I12" s="9"/>
      <c r="J12" s="9">
        <v>25000</v>
      </c>
      <c r="K12" s="9" t="s">
        <v>54</v>
      </c>
      <c r="L12" s="9">
        <f t="shared" ref="L12:L43" si="0">SUBTOTAL(109,L15:L166)</f>
        <v>0</v>
      </c>
      <c r="M12" s="44">
        <f>Таблица13[[#This Row],[Нал]]+Таблица13[[#This Row],[Терминал]]-Таблица13[[#This Row],[Расход]]-Таблица13[[#This Row],[Закуп]]-Таблица13[[#This Row],[Расход со счета]]</f>
        <v>-25000</v>
      </c>
    </row>
    <row r="13" spans="2:13" ht="19" x14ac:dyDescent="0.2">
      <c r="B13" s="57"/>
      <c r="C13" s="32"/>
      <c r="D13" s="3"/>
      <c r="E13" s="13"/>
      <c r="F13" s="9"/>
      <c r="G13" s="9"/>
      <c r="H13" s="9"/>
      <c r="I13" s="9"/>
      <c r="J13" s="9">
        <v>55000</v>
      </c>
      <c r="K13" s="9" t="s">
        <v>55</v>
      </c>
      <c r="L13" s="9">
        <f t="shared" si="0"/>
        <v>0</v>
      </c>
      <c r="M13" s="44">
        <f>Таблица13[[#This Row],[Нал]]+Таблица13[[#This Row],[Терминал]]-Таблица13[[#This Row],[Расход]]-Таблица13[[#This Row],[Закуп]]-Таблица13[[#This Row],[Расход со счета]]</f>
        <v>-55000</v>
      </c>
    </row>
    <row r="14" spans="2:13" ht="19" x14ac:dyDescent="0.2">
      <c r="B14" s="61"/>
      <c r="C14" s="32"/>
      <c r="D14" s="3"/>
      <c r="E14" s="13"/>
      <c r="F14" s="9"/>
      <c r="G14" s="9"/>
      <c r="H14" s="9"/>
      <c r="I14" s="9"/>
      <c r="J14" s="9">
        <v>45000</v>
      </c>
      <c r="K14" s="9" t="s">
        <v>57</v>
      </c>
      <c r="L14" s="9">
        <f t="shared" si="0"/>
        <v>0</v>
      </c>
      <c r="M14" s="44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15" spans="2:13" ht="19" x14ac:dyDescent="0.2">
      <c r="B15" s="57"/>
      <c r="C15" s="32"/>
      <c r="D15" s="3"/>
      <c r="E15" s="13"/>
      <c r="F15" s="9"/>
      <c r="G15" s="9"/>
      <c r="H15" s="9"/>
      <c r="I15" s="9"/>
      <c r="J15" s="9">
        <v>37000</v>
      </c>
      <c r="K15" s="9" t="s">
        <v>56</v>
      </c>
      <c r="L15" s="9">
        <f t="shared" si="0"/>
        <v>0</v>
      </c>
      <c r="M15" s="44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6" spans="2:13" ht="19" x14ac:dyDescent="0.2">
      <c r="B16" s="6"/>
      <c r="C16" s="33"/>
      <c r="D16" s="2" t="s">
        <v>10</v>
      </c>
      <c r="E16" s="13" t="s">
        <v>28</v>
      </c>
      <c r="F16" s="9">
        <v>505000</v>
      </c>
      <c r="G16" s="9"/>
      <c r="H16" s="9"/>
      <c r="I16" s="9"/>
      <c r="J16" s="9">
        <v>50000</v>
      </c>
      <c r="K16" s="9" t="s">
        <v>59</v>
      </c>
      <c r="L16" s="9">
        <f t="shared" si="0"/>
        <v>0</v>
      </c>
      <c r="M16" s="44">
        <f>Таблица13[[#This Row],[Нал]]+Таблица13[[#This Row],[Терминал]]-Таблица13[[#This Row],[Расход]]-Таблица13[[#This Row],[Закуп]]-Таблица13[[#This Row],[Расход со счета]]</f>
        <v>455000</v>
      </c>
    </row>
    <row r="17" spans="2:13" ht="19" x14ac:dyDescent="0.2">
      <c r="B17" s="62">
        <f>Таблица13[[#This Row],[Нал]]+Таблица13[[#This Row],[Терминал]]+F18+G18</f>
        <v>889000</v>
      </c>
      <c r="C17" s="32">
        <v>44502</v>
      </c>
      <c r="D17" s="3" t="s">
        <v>9</v>
      </c>
      <c r="E17" s="13" t="s">
        <v>20</v>
      </c>
      <c r="F17" s="9">
        <v>453000</v>
      </c>
      <c r="G17" s="9">
        <v>28000</v>
      </c>
      <c r="H17" s="9"/>
      <c r="I17" s="9"/>
      <c r="J17" s="9"/>
      <c r="K17" s="9"/>
      <c r="L17" s="9">
        <f t="shared" si="0"/>
        <v>0</v>
      </c>
      <c r="M17" s="44">
        <f>Таблица13[[#This Row],[Нал]]+Таблица13[[#This Row],[Терминал]]-Таблица13[[#This Row],[Расход]]-Таблица13[[#This Row],[Закуп]]-Таблица13[[#This Row],[Расход со счета]]</f>
        <v>481000</v>
      </c>
    </row>
    <row r="18" spans="2:13" ht="19" x14ac:dyDescent="0.2">
      <c r="B18" s="6"/>
      <c r="C18" s="33"/>
      <c r="D18" s="2" t="s">
        <v>10</v>
      </c>
      <c r="E18" s="13" t="s">
        <v>28</v>
      </c>
      <c r="F18" s="9">
        <v>408000</v>
      </c>
      <c r="G18" s="9"/>
      <c r="H18" s="9"/>
      <c r="I18" s="9"/>
      <c r="J18" s="9">
        <v>42000</v>
      </c>
      <c r="K18" s="47" t="s">
        <v>60</v>
      </c>
      <c r="L18" s="9">
        <f t="shared" si="0"/>
        <v>0</v>
      </c>
      <c r="M18" s="44">
        <f>Таблица13[[#This Row],[Нал]]+Таблица13[[#This Row],[Терминал]]-Таблица13[[#This Row],[Расход]]-Таблица13[[#This Row],[Закуп]]-Таблица13[[#This Row],[Расход со счета]]</f>
        <v>366000</v>
      </c>
    </row>
    <row r="19" spans="2:13" ht="19" x14ac:dyDescent="0.2">
      <c r="B19" s="62"/>
      <c r="C19" s="33"/>
      <c r="D19" s="2"/>
      <c r="E19" s="13"/>
      <c r="F19" s="9"/>
      <c r="G19" s="9"/>
      <c r="H19" s="9"/>
      <c r="I19" s="9"/>
      <c r="J19" s="9">
        <v>200000</v>
      </c>
      <c r="K19" s="9" t="s">
        <v>61</v>
      </c>
      <c r="L19" s="9">
        <f t="shared" si="0"/>
        <v>0</v>
      </c>
      <c r="M19" s="44">
        <f>Таблица13[[#This Row],[Нал]]+Таблица13[[#This Row],[Терминал]]-Таблица13[[#This Row],[Расход]]-Таблица13[[#This Row],[Закуп]]-Таблица13[[#This Row],[Расход со счета]]</f>
        <v>-200000</v>
      </c>
    </row>
    <row r="20" spans="2:13" ht="19" x14ac:dyDescent="0.2">
      <c r="B20" s="62">
        <f>Таблица13[[#This Row],[Нал]]+F22</f>
        <v>1403000</v>
      </c>
      <c r="C20" s="32">
        <v>44503</v>
      </c>
      <c r="D20" s="3" t="s">
        <v>9</v>
      </c>
      <c r="E20" s="13" t="s">
        <v>20</v>
      </c>
      <c r="F20" s="9">
        <v>1124000</v>
      </c>
      <c r="G20" s="9"/>
      <c r="H20" s="9"/>
      <c r="I20" s="9"/>
      <c r="J20" s="9">
        <v>117000</v>
      </c>
      <c r="K20" s="9" t="s">
        <v>62</v>
      </c>
      <c r="L20" s="9">
        <f t="shared" si="0"/>
        <v>0</v>
      </c>
      <c r="M20" s="44">
        <f>Таблица13[[#This Row],[Нал]]+Таблица13[[#This Row],[Терминал]]-Таблица13[[#This Row],[Расход]]-Таблица13[[#This Row],[Закуп]]-Таблица13[[#This Row],[Расход со счета]]</f>
        <v>1007000</v>
      </c>
    </row>
    <row r="21" spans="2:13" ht="19" x14ac:dyDescent="0.2">
      <c r="B21" s="6"/>
      <c r="C21" s="32"/>
      <c r="D21" s="3"/>
      <c r="E21" s="13"/>
      <c r="F21" s="9"/>
      <c r="G21" s="9"/>
      <c r="H21" s="9"/>
      <c r="I21" s="9"/>
      <c r="J21" s="9">
        <v>70500</v>
      </c>
      <c r="K21" s="9" t="s">
        <v>64</v>
      </c>
      <c r="L21" s="9">
        <f t="shared" si="0"/>
        <v>0</v>
      </c>
      <c r="M21" s="44">
        <f>Таблица13[[#This Row],[Нал]]+Таблица13[[#This Row],[Терминал]]-Таблица13[[#This Row],[Расход]]-Таблица13[[#This Row],[Закуп]]-Таблица13[[#This Row],[Расход со счета]]</f>
        <v>-70500</v>
      </c>
    </row>
    <row r="22" spans="2:13" ht="19" x14ac:dyDescent="0.2">
      <c r="B22" s="6"/>
      <c r="C22" s="33"/>
      <c r="D22" s="2" t="s">
        <v>10</v>
      </c>
      <c r="E22" s="13" t="s">
        <v>28</v>
      </c>
      <c r="F22" s="9">
        <v>279000</v>
      </c>
      <c r="G22" s="9"/>
      <c r="H22" s="9"/>
      <c r="I22" s="9"/>
      <c r="J22" s="9"/>
      <c r="K22" s="9"/>
      <c r="L22" s="9">
        <f t="shared" si="0"/>
        <v>0</v>
      </c>
      <c r="M22" s="44">
        <f>Таблица13[[#This Row],[Нал]]+Таблица13[[#This Row],[Терминал]]-Таблица13[[#This Row],[Расход]]-Таблица13[[#This Row],[Закуп]]-Таблица13[[#This Row],[Расход со счета]]</f>
        <v>279000</v>
      </c>
    </row>
    <row r="23" spans="2:13" ht="19" x14ac:dyDescent="0.2">
      <c r="B23" s="62">
        <f>Таблица13[[#This Row],[Нал]]+Таблица13[[#This Row],[Терминал]]+F28</f>
        <v>1233000</v>
      </c>
      <c r="C23" s="32">
        <v>44504</v>
      </c>
      <c r="D23" s="3" t="s">
        <v>9</v>
      </c>
      <c r="E23" s="13" t="s">
        <v>20</v>
      </c>
      <c r="F23" s="9">
        <v>903000</v>
      </c>
      <c r="G23" s="9">
        <v>66000</v>
      </c>
      <c r="H23" s="9"/>
      <c r="I23" s="9"/>
      <c r="J23" s="9">
        <v>134000</v>
      </c>
      <c r="K23" s="9" t="s">
        <v>65</v>
      </c>
      <c r="L23" s="9">
        <f t="shared" si="0"/>
        <v>0</v>
      </c>
      <c r="M23" s="44">
        <f>Таблица13[[#This Row],[Нал]]+Таблица13[[#This Row],[Терминал]]-Таблица13[[#This Row],[Расход]]-Таблица13[[#This Row],[Закуп]]-Таблица13[[#This Row],[Расход со счета]]</f>
        <v>835000</v>
      </c>
    </row>
    <row r="24" spans="2:13" ht="19" x14ac:dyDescent="0.2">
      <c r="B24" s="6"/>
      <c r="C24" s="32"/>
      <c r="D24" s="3"/>
      <c r="E24" s="13"/>
      <c r="F24" s="9"/>
      <c r="G24" s="9"/>
      <c r="H24" s="9"/>
      <c r="I24" s="9"/>
      <c r="J24" s="9">
        <v>99000</v>
      </c>
      <c r="K24" s="9" t="s">
        <v>66</v>
      </c>
      <c r="L24" s="9">
        <f t="shared" si="0"/>
        <v>0</v>
      </c>
      <c r="M24" s="44">
        <f>Таблица13[[#This Row],[Нал]]+Таблица13[[#This Row],[Терминал]]-Таблица13[[#This Row],[Расход]]-Таблица13[[#This Row],[Закуп]]-Таблица13[[#This Row],[Расход со счета]]</f>
        <v>-99000</v>
      </c>
    </row>
    <row r="25" spans="2:13" ht="19" x14ac:dyDescent="0.2">
      <c r="B25" s="6"/>
      <c r="C25" s="32"/>
      <c r="D25" s="3"/>
      <c r="E25" s="13"/>
      <c r="F25" s="9"/>
      <c r="G25" s="9"/>
      <c r="H25" s="9"/>
      <c r="I25" s="9"/>
      <c r="J25" s="9">
        <v>23000</v>
      </c>
      <c r="K25" s="9" t="s">
        <v>67</v>
      </c>
      <c r="L25" s="9">
        <f t="shared" si="0"/>
        <v>0</v>
      </c>
      <c r="M25" s="44">
        <f>Таблица13[[#This Row],[Нал]]+Таблица13[[#This Row],[Терминал]]-Таблица13[[#This Row],[Расход]]-Таблица13[[#This Row],[Закуп]]-Таблица13[[#This Row],[Расход со счета]]</f>
        <v>-23000</v>
      </c>
    </row>
    <row r="26" spans="2:13" ht="19" x14ac:dyDescent="0.2">
      <c r="B26" s="6"/>
      <c r="C26" s="32"/>
      <c r="D26" s="3"/>
      <c r="E26" s="13"/>
      <c r="F26" s="9"/>
      <c r="G26" s="9"/>
      <c r="H26" s="9"/>
      <c r="I26" s="9"/>
      <c r="J26" s="9">
        <v>15500</v>
      </c>
      <c r="K26" s="47" t="s">
        <v>68</v>
      </c>
      <c r="L26" s="9">
        <f t="shared" si="0"/>
        <v>0</v>
      </c>
      <c r="M26" s="44">
        <f>Таблица13[[#This Row],[Нал]]+Таблица13[[#This Row],[Терминал]]-Таблица13[[#This Row],[Расход]]-Таблица13[[#This Row],[Закуп]]-Таблица13[[#This Row],[Расход со счета]]</f>
        <v>-15500</v>
      </c>
    </row>
    <row r="27" spans="2:13" ht="19" x14ac:dyDescent="0.2">
      <c r="B27" s="6"/>
      <c r="C27" s="32"/>
      <c r="D27" s="3"/>
      <c r="E27" s="13"/>
      <c r="F27" s="9"/>
      <c r="G27" s="9"/>
      <c r="H27" s="9"/>
      <c r="I27" s="9"/>
      <c r="J27" s="9">
        <v>45000</v>
      </c>
      <c r="K27" s="47" t="s">
        <v>69</v>
      </c>
      <c r="L27" s="9">
        <f t="shared" si="0"/>
        <v>0</v>
      </c>
      <c r="M27" s="44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28" spans="2:13" ht="19" x14ac:dyDescent="0.2">
      <c r="B28" s="6"/>
      <c r="C28" s="33"/>
      <c r="D28" s="2" t="s">
        <v>10</v>
      </c>
      <c r="E28" s="13" t="s">
        <v>28</v>
      </c>
      <c r="F28" s="9">
        <v>264000</v>
      </c>
      <c r="G28" s="9"/>
      <c r="H28" s="9"/>
      <c r="I28" s="9"/>
      <c r="J28" s="9">
        <v>45000</v>
      </c>
      <c r="K28" s="9" t="s">
        <v>57</v>
      </c>
      <c r="L28" s="9">
        <f t="shared" si="0"/>
        <v>0</v>
      </c>
      <c r="M28" s="44">
        <f>Таблица13[[#This Row],[Нал]]+Таблица13[[#This Row],[Терминал]]-Таблица13[[#This Row],[Расход]]-Таблица13[[#This Row],[Закуп]]-Таблица13[[#This Row],[Расход со счета]]</f>
        <v>219000</v>
      </c>
    </row>
    <row r="29" spans="2:13" ht="19" x14ac:dyDescent="0.2">
      <c r="B29" s="21"/>
      <c r="C29" s="33"/>
      <c r="D29" s="2"/>
      <c r="E29" s="13"/>
      <c r="F29" s="15"/>
      <c r="G29" s="9"/>
      <c r="H29" s="9"/>
      <c r="I29" s="9"/>
      <c r="J29" s="9">
        <v>37000</v>
      </c>
      <c r="K29" s="9" t="s">
        <v>56</v>
      </c>
      <c r="L29" s="9">
        <f t="shared" si="0"/>
        <v>0</v>
      </c>
      <c r="M29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30" spans="2:13" ht="19" x14ac:dyDescent="0.2">
      <c r="B30" s="62">
        <f>Таблица13[[#This Row],[Нал]]+Таблица13[[#This Row],[Терминал]]+F36+G36</f>
        <v>1759000</v>
      </c>
      <c r="C30" s="32">
        <v>44505</v>
      </c>
      <c r="D30" s="3" t="s">
        <v>9</v>
      </c>
      <c r="E30" s="13" t="s">
        <v>20</v>
      </c>
      <c r="F30" s="9">
        <v>1305000</v>
      </c>
      <c r="G30" s="9">
        <v>101000</v>
      </c>
      <c r="H30" s="9"/>
      <c r="I30" s="9"/>
      <c r="J30" s="9">
        <v>21000</v>
      </c>
      <c r="K30" s="9" t="s">
        <v>70</v>
      </c>
      <c r="L30" s="9">
        <f t="shared" si="0"/>
        <v>0</v>
      </c>
      <c r="M30" s="44">
        <f>Таблица13[[#This Row],[Нал]]+Таблица13[[#This Row],[Терминал]]-Таблица13[[#This Row],[Расход]]-Таблица13[[#This Row],[Закуп]]-Таблица13[[#This Row],[Расход со счета]]</f>
        <v>1385000</v>
      </c>
    </row>
    <row r="31" spans="2:13" ht="19" x14ac:dyDescent="0.2">
      <c r="B31" s="6"/>
      <c r="C31" s="32"/>
      <c r="D31" s="3"/>
      <c r="E31" s="13"/>
      <c r="F31" s="9"/>
      <c r="G31" s="9"/>
      <c r="H31" s="9"/>
      <c r="I31" s="9"/>
      <c r="J31" s="9">
        <v>33500</v>
      </c>
      <c r="K31" s="9" t="s">
        <v>71</v>
      </c>
      <c r="L31" s="9">
        <f t="shared" si="0"/>
        <v>0</v>
      </c>
      <c r="M31" s="44">
        <f>Таблица13[[#This Row],[Нал]]+Таблица13[[#This Row],[Терминал]]-Таблица13[[#This Row],[Расход]]-Таблица13[[#This Row],[Закуп]]-Таблица13[[#This Row],[Расход со счета]]</f>
        <v>-33500</v>
      </c>
    </row>
    <row r="32" spans="2:13" ht="19" x14ac:dyDescent="0.2">
      <c r="B32" s="6"/>
      <c r="C32" s="32"/>
      <c r="D32" s="3"/>
      <c r="E32" s="13"/>
      <c r="F32" s="9"/>
      <c r="G32" s="9"/>
      <c r="H32" s="9"/>
      <c r="I32" s="9"/>
      <c r="J32" s="9">
        <v>191000</v>
      </c>
      <c r="K32" s="9" t="s">
        <v>72</v>
      </c>
      <c r="L32" s="9">
        <f t="shared" si="0"/>
        <v>0</v>
      </c>
      <c r="M32" s="44">
        <f>Таблица13[[#This Row],[Нал]]+Таблица13[[#This Row],[Терминал]]-Таблица13[[#This Row],[Расход]]-Таблица13[[#This Row],[Закуп]]-Таблица13[[#This Row],[Расход со счета]]</f>
        <v>-191000</v>
      </c>
    </row>
    <row r="33" spans="2:13" ht="19" x14ac:dyDescent="0.2">
      <c r="B33" s="6"/>
      <c r="C33" s="32"/>
      <c r="D33" s="3"/>
      <c r="E33" s="13"/>
      <c r="F33" s="9"/>
      <c r="G33" s="9"/>
      <c r="H33" s="9"/>
      <c r="I33" s="9"/>
      <c r="J33" s="9">
        <v>255000</v>
      </c>
      <c r="K33" s="9" t="s">
        <v>73</v>
      </c>
      <c r="L33" s="9">
        <f t="shared" si="0"/>
        <v>0</v>
      </c>
      <c r="M33" s="44">
        <f>Таблица13[[#This Row],[Нал]]+Таблица13[[#This Row],[Терминал]]-Таблица13[[#This Row],[Расход]]-Таблица13[[#This Row],[Закуп]]-Таблица13[[#This Row],[Расход со счета]]</f>
        <v>-255000</v>
      </c>
    </row>
    <row r="34" spans="2:13" ht="19" x14ac:dyDescent="0.2">
      <c r="B34" s="6"/>
      <c r="C34" s="32"/>
      <c r="D34" s="3"/>
      <c r="E34" s="13"/>
      <c r="F34" s="9"/>
      <c r="G34" s="9"/>
      <c r="H34" s="9"/>
      <c r="I34" s="9"/>
      <c r="J34" s="9">
        <v>290000</v>
      </c>
      <c r="K34" s="9" t="s">
        <v>74</v>
      </c>
      <c r="L34" s="9">
        <f t="shared" si="0"/>
        <v>0</v>
      </c>
      <c r="M34" s="44">
        <f>Таблица13[[#This Row],[Нал]]+Таблица13[[#This Row],[Терминал]]-Таблица13[[#This Row],[Расход]]-Таблица13[[#This Row],[Закуп]]-Таблица13[[#This Row],[Расход со счета]]</f>
        <v>-290000</v>
      </c>
    </row>
    <row r="35" spans="2:13" ht="19" x14ac:dyDescent="0.2">
      <c r="B35" s="21"/>
      <c r="C35" s="32"/>
      <c r="D35" s="3"/>
      <c r="E35" s="13"/>
      <c r="F35" s="9"/>
      <c r="G35" s="9"/>
      <c r="H35" s="9"/>
      <c r="I35" s="9"/>
      <c r="J35" s="9">
        <v>80000</v>
      </c>
      <c r="K35" s="9" t="s">
        <v>75</v>
      </c>
      <c r="L35" s="9">
        <f t="shared" si="0"/>
        <v>0</v>
      </c>
      <c r="M35" s="44">
        <f>Таблица13[[#This Row],[Нал]]+Таблица13[[#This Row],[Терминал]]-Таблица13[[#This Row],[Расход]]-Таблица13[[#This Row],[Закуп]]-Таблица13[[#This Row],[Расход со счета]]</f>
        <v>-80000</v>
      </c>
    </row>
    <row r="36" spans="2:13" ht="19" x14ac:dyDescent="0.2">
      <c r="B36" s="21"/>
      <c r="C36" s="33"/>
      <c r="D36" s="2" t="s">
        <v>10</v>
      </c>
      <c r="E36" s="13" t="s">
        <v>29</v>
      </c>
      <c r="F36" s="9">
        <v>331000</v>
      </c>
      <c r="G36" s="9">
        <v>22000</v>
      </c>
      <c r="H36" s="9"/>
      <c r="I36" s="9"/>
      <c r="J36" s="9"/>
      <c r="K36" s="9"/>
      <c r="L36" s="9">
        <f t="shared" si="0"/>
        <v>0</v>
      </c>
      <c r="M36" s="44">
        <f>Таблица13[[#This Row],[Нал]]+Таблица13[[#This Row],[Терминал]]-Таблица13[[#This Row],[Расход]]-Таблица13[[#This Row],[Закуп]]-Таблица13[[#This Row],[Расход со счета]]</f>
        <v>353000</v>
      </c>
    </row>
    <row r="37" spans="2:13" ht="32" x14ac:dyDescent="0.2">
      <c r="B37" s="63">
        <f>Таблица13[[#This Row],[Нал]]+Таблица13[[#This Row],[Терминал]]+F40+G40</f>
        <v>1089000</v>
      </c>
      <c r="C37" s="32">
        <v>44506</v>
      </c>
      <c r="D37" s="3" t="s">
        <v>9</v>
      </c>
      <c r="E37" s="13" t="s">
        <v>20</v>
      </c>
      <c r="F37" s="9">
        <v>506000</v>
      </c>
      <c r="G37" s="9">
        <v>16000</v>
      </c>
      <c r="H37" s="9"/>
      <c r="I37" s="9"/>
      <c r="J37" s="9">
        <v>668000</v>
      </c>
      <c r="K37" s="47" t="s">
        <v>76</v>
      </c>
      <c r="L37" s="9">
        <f t="shared" si="0"/>
        <v>0</v>
      </c>
      <c r="M37" s="44">
        <f>Таблица13[[#This Row],[Нал]]+Таблица13[[#This Row],[Терминал]]-Таблица13[[#This Row],[Расход]]-Таблица13[[#This Row],[Закуп]]-Таблица13[[#This Row],[Расход со счета]]</f>
        <v>-146000</v>
      </c>
    </row>
    <row r="38" spans="2:13" ht="19" x14ac:dyDescent="0.2">
      <c r="B38" s="21"/>
      <c r="C38" s="32"/>
      <c r="D38" s="3"/>
      <c r="E38" s="13"/>
      <c r="F38" s="15"/>
      <c r="G38" s="9"/>
      <c r="H38" s="9"/>
      <c r="I38" s="9"/>
      <c r="J38" s="9">
        <v>380000</v>
      </c>
      <c r="K38" s="47" t="s">
        <v>84</v>
      </c>
      <c r="L38" s="9">
        <f t="shared" si="0"/>
        <v>0</v>
      </c>
      <c r="M38" s="44">
        <f>Таблица13[[#This Row],[Нал]]+Таблица13[[#This Row],[Терминал]]-Таблица13[[#This Row],[Расход]]-Таблица13[[#This Row],[Закуп]]-Таблица13[[#This Row],[Расход со счета]]</f>
        <v>-380000</v>
      </c>
    </row>
    <row r="39" spans="2:13" ht="32" x14ac:dyDescent="0.2">
      <c r="B39" s="21"/>
      <c r="C39" s="32"/>
      <c r="D39" s="3"/>
      <c r="E39" s="13"/>
      <c r="F39" s="15"/>
      <c r="G39" s="9"/>
      <c r="H39" s="9"/>
      <c r="I39" s="9"/>
      <c r="J39" s="9">
        <v>270000</v>
      </c>
      <c r="K39" s="47" t="s">
        <v>77</v>
      </c>
      <c r="L39" s="9">
        <f t="shared" si="0"/>
        <v>0</v>
      </c>
      <c r="M39" s="9">
        <f>Таблица13[[#This Row],[Нал]]+Таблица13[[#This Row],[Терминал]]-Таблица13[[#This Row],[Расход]]-Таблица13[[#This Row],[Закуп]]-Таблица13[[#This Row],[Расход со счета]]</f>
        <v>-270000</v>
      </c>
    </row>
    <row r="40" spans="2:13" ht="19" x14ac:dyDescent="0.2">
      <c r="B40" s="21"/>
      <c r="C40" s="33"/>
      <c r="D40" s="2" t="s">
        <v>10</v>
      </c>
      <c r="E40" s="13" t="s">
        <v>28</v>
      </c>
      <c r="F40" s="9">
        <v>567000</v>
      </c>
      <c r="G40" s="9"/>
      <c r="H40" s="9"/>
      <c r="I40" s="9" t="s">
        <v>93</v>
      </c>
      <c r="J40" s="9"/>
      <c r="K40" s="9"/>
      <c r="L40" s="9">
        <f t="shared" si="0"/>
        <v>0</v>
      </c>
      <c r="M40" s="44">
        <f>Таблица13[[#This Row],[Нал]]+Таблица13[[#This Row],[Терминал]]-Таблица13[[#This Row],[Расход]]-Таблица13[[#This Row],[Закуп]]-Таблица13[[#This Row],[Расход со счета]]</f>
        <v>567000</v>
      </c>
    </row>
    <row r="41" spans="2:13" ht="19" x14ac:dyDescent="0.2">
      <c r="B41" s="63">
        <f>Таблица13[[#This Row],[Нал]]+Таблица13[[#This Row],[Терминал]]+F42</f>
        <v>1042000</v>
      </c>
      <c r="C41" s="32">
        <v>44507</v>
      </c>
      <c r="D41" s="3" t="s">
        <v>9</v>
      </c>
      <c r="E41" s="13" t="s">
        <v>29</v>
      </c>
      <c r="F41" s="9">
        <v>553000</v>
      </c>
      <c r="G41" s="9">
        <v>7000</v>
      </c>
      <c r="H41" s="9"/>
      <c r="I41" s="9" t="s">
        <v>78</v>
      </c>
      <c r="J41" s="9"/>
      <c r="K41" s="9"/>
      <c r="L41" s="9">
        <f t="shared" si="0"/>
        <v>0</v>
      </c>
      <c r="M41" s="44">
        <f>Таблица13[[#This Row],[Нал]]+Таблица13[[#This Row],[Терминал]]-Таблица13[[#This Row],[Расход]]-Таблица13[[#This Row],[Закуп]]-Таблица13[[#This Row],[Расход со счета]]</f>
        <v>560000</v>
      </c>
    </row>
    <row r="42" spans="2:13" ht="19" x14ac:dyDescent="0.2">
      <c r="B42" s="21"/>
      <c r="C42" s="33"/>
      <c r="D42" s="2" t="s">
        <v>10</v>
      </c>
      <c r="E42" s="13" t="s">
        <v>28</v>
      </c>
      <c r="F42" s="9">
        <v>482000</v>
      </c>
      <c r="G42" s="9"/>
      <c r="H42" s="9"/>
      <c r="I42" s="9" t="s">
        <v>94</v>
      </c>
      <c r="J42" s="9"/>
      <c r="K42" s="9"/>
      <c r="L42" s="9">
        <f t="shared" si="0"/>
        <v>0</v>
      </c>
      <c r="M42" s="44">
        <f>Таблица13[[#This Row],[Нал]]+Таблица13[[#This Row],[Терминал]]-Таблица13[[#This Row],[Расход]]-Таблица13[[#This Row],[Закуп]]-Таблица13[[#This Row],[Расход со счета]]</f>
        <v>482000</v>
      </c>
    </row>
    <row r="43" spans="2:13" ht="19" x14ac:dyDescent="0.2">
      <c r="B43" s="63">
        <f>Таблица13[[#This Row],[Нал]]+Таблица13[[#This Row],[Терминал]]+F50+G50</f>
        <v>1125000</v>
      </c>
      <c r="C43" s="32">
        <v>44508</v>
      </c>
      <c r="D43" s="3" t="s">
        <v>9</v>
      </c>
      <c r="E43" s="13" t="s">
        <v>20</v>
      </c>
      <c r="F43" s="15">
        <v>566000</v>
      </c>
      <c r="G43" s="9">
        <v>60000</v>
      </c>
      <c r="H43" s="9"/>
      <c r="I43" s="9"/>
      <c r="J43" s="9">
        <v>216000</v>
      </c>
      <c r="K43" s="9" t="s">
        <v>24</v>
      </c>
      <c r="L43" s="9">
        <f t="shared" si="0"/>
        <v>0</v>
      </c>
      <c r="M43" s="9">
        <f>Таблица13[[#This Row],[Нал]]+Таблица13[[#This Row],[Терминал]]-Таблица13[[#This Row],[Расход]]-Таблица13[[#This Row],[Закуп]]-Таблица13[[#This Row],[Расход со счета]]</f>
        <v>410000</v>
      </c>
    </row>
    <row r="44" spans="2:13" ht="19" x14ac:dyDescent="0.2">
      <c r="B44" s="21"/>
      <c r="C44" s="32"/>
      <c r="D44" s="3"/>
      <c r="E44" s="13"/>
      <c r="F44" s="15"/>
      <c r="G44" s="9"/>
      <c r="H44" s="9"/>
      <c r="I44" s="9"/>
      <c r="J44" s="9">
        <v>12000</v>
      </c>
      <c r="K44" s="9" t="s">
        <v>79</v>
      </c>
      <c r="L44" s="9">
        <f t="shared" ref="L44:L75" si="1">SUBTOTAL(109,L47:L198)</f>
        <v>0</v>
      </c>
      <c r="M44" s="9">
        <f>Таблица13[[#This Row],[Нал]]+Таблица13[[#This Row],[Терминал]]-Таблица13[[#This Row],[Расход]]-Таблица13[[#This Row],[Закуп]]-Таблица13[[#This Row],[Расход со счета]]</f>
        <v>-12000</v>
      </c>
    </row>
    <row r="45" spans="2:13" ht="19" x14ac:dyDescent="0.2">
      <c r="B45" s="21"/>
      <c r="C45" s="32"/>
      <c r="D45" s="3"/>
      <c r="E45" s="13"/>
      <c r="F45" s="15"/>
      <c r="G45" s="9"/>
      <c r="H45" s="9"/>
      <c r="I45" s="9"/>
      <c r="J45" s="9">
        <v>6000</v>
      </c>
      <c r="K45" s="9" t="s">
        <v>80</v>
      </c>
      <c r="L45" s="9">
        <f t="shared" si="1"/>
        <v>0</v>
      </c>
      <c r="M45" s="9">
        <f>Таблица13[[#This Row],[Нал]]+Таблица13[[#This Row],[Терминал]]-Таблица13[[#This Row],[Расход]]-Таблица13[[#This Row],[Закуп]]-Таблица13[[#This Row],[Расход со счета]]</f>
        <v>-6000</v>
      </c>
    </row>
    <row r="46" spans="2:13" ht="19" x14ac:dyDescent="0.2">
      <c r="B46" s="21"/>
      <c r="C46" s="32"/>
      <c r="D46" s="3"/>
      <c r="E46" s="13"/>
      <c r="F46" s="15"/>
      <c r="G46" s="9"/>
      <c r="H46" s="9"/>
      <c r="I46" s="9"/>
      <c r="J46" s="9">
        <v>62000</v>
      </c>
      <c r="K46" s="9" t="s">
        <v>81</v>
      </c>
      <c r="L46" s="9">
        <f t="shared" si="1"/>
        <v>0</v>
      </c>
      <c r="M46" s="9">
        <f>Таблица13[[#This Row],[Нал]]+Таблица13[[#This Row],[Терминал]]-Таблица13[[#This Row],[Расход]]-Таблица13[[#This Row],[Закуп]]-Таблица13[[#This Row],[Расход со счета]]</f>
        <v>-62000</v>
      </c>
    </row>
    <row r="47" spans="2:13" ht="32" x14ac:dyDescent="0.2">
      <c r="B47" s="21"/>
      <c r="C47" s="32"/>
      <c r="D47" s="3"/>
      <c r="E47" s="13"/>
      <c r="F47" s="15"/>
      <c r="G47" s="9"/>
      <c r="H47" s="9"/>
      <c r="I47" s="9"/>
      <c r="J47" s="9">
        <v>82000</v>
      </c>
      <c r="K47" s="47" t="s">
        <v>83</v>
      </c>
      <c r="L47" s="9">
        <f t="shared" si="1"/>
        <v>0</v>
      </c>
      <c r="M47" s="9">
        <f>Таблица13[[#This Row],[Нал]]+Таблица13[[#This Row],[Терминал]]-Таблица13[[#This Row],[Расход]]-Таблица13[[#This Row],[Закуп]]-Таблица13[[#This Row],[Расход со счета]]</f>
        <v>-82000</v>
      </c>
    </row>
    <row r="48" spans="2:13" ht="19" x14ac:dyDescent="0.2">
      <c r="B48" s="21"/>
      <c r="C48" s="32"/>
      <c r="D48" s="3"/>
      <c r="E48" s="13"/>
      <c r="F48" s="15"/>
      <c r="G48" s="9"/>
      <c r="H48" s="9"/>
      <c r="I48" s="9"/>
      <c r="J48" s="9">
        <v>77000</v>
      </c>
      <c r="K48" s="47" t="s">
        <v>85</v>
      </c>
      <c r="L48" s="9">
        <f t="shared" si="1"/>
        <v>0</v>
      </c>
      <c r="M48" s="9">
        <f>Таблица13[[#This Row],[Нал]]+Таблица13[[#This Row],[Терминал]]-Таблица13[[#This Row],[Расход]]-Таблица13[[#This Row],[Закуп]]-Таблица13[[#This Row],[Расход со счета]]</f>
        <v>-77000</v>
      </c>
    </row>
    <row r="49" spans="2:13" ht="19" x14ac:dyDescent="0.2">
      <c r="B49" s="21"/>
      <c r="C49" s="32"/>
      <c r="D49" s="3"/>
      <c r="E49" s="13"/>
      <c r="F49" s="15"/>
      <c r="G49" s="9"/>
      <c r="H49" s="9"/>
      <c r="I49" s="9"/>
      <c r="J49" s="9">
        <v>400000</v>
      </c>
      <c r="K49" s="9" t="s">
        <v>82</v>
      </c>
      <c r="L49" s="9">
        <f t="shared" si="1"/>
        <v>0</v>
      </c>
      <c r="M49" s="9">
        <f>Таблица13[[#This Row],[Нал]]+Таблица13[[#This Row],[Терминал]]-Таблица13[[#This Row],[Расход]]-Таблица13[[#This Row],[Закуп]]-Таблица13[[#This Row],[Расход со счета]]</f>
        <v>-400000</v>
      </c>
    </row>
    <row r="50" spans="2:13" ht="19" x14ac:dyDescent="0.2">
      <c r="B50" s="21"/>
      <c r="C50" s="33"/>
      <c r="D50" s="2" t="s">
        <v>10</v>
      </c>
      <c r="E50" s="13" t="s">
        <v>28</v>
      </c>
      <c r="F50" s="15">
        <v>363000</v>
      </c>
      <c r="G50" s="9">
        <v>136000</v>
      </c>
      <c r="H50" s="9"/>
      <c r="I50" s="9"/>
      <c r="J50" s="9"/>
      <c r="K50" s="9"/>
      <c r="L50" s="9">
        <f t="shared" si="1"/>
        <v>0</v>
      </c>
      <c r="M50" s="9">
        <f>Таблица13[[#This Row],[Нал]]+Таблица13[[#This Row],[Терминал]]-Таблица13[[#This Row],[Расход]]-Таблица13[[#This Row],[Закуп]]-Таблица13[[#This Row],[Расход со счета]]</f>
        <v>499000</v>
      </c>
    </row>
    <row r="51" spans="2:13" ht="19" x14ac:dyDescent="0.2">
      <c r="B51" s="63">
        <f>Таблица13[[#This Row],[Нал]]+Таблица13[[#This Row],[Терминал]]+F53+G53</f>
        <v>1650000</v>
      </c>
      <c r="C51" s="32">
        <v>44509</v>
      </c>
      <c r="D51" s="3" t="s">
        <v>9</v>
      </c>
      <c r="E51" s="13" t="s">
        <v>20</v>
      </c>
      <c r="F51" s="15">
        <v>968000</v>
      </c>
      <c r="G51" s="9">
        <v>50000</v>
      </c>
      <c r="H51" s="9"/>
      <c r="I51" s="9"/>
      <c r="J51" s="9">
        <v>200000</v>
      </c>
      <c r="K51" s="9" t="s">
        <v>58</v>
      </c>
      <c r="L51" s="9">
        <f t="shared" si="1"/>
        <v>0</v>
      </c>
      <c r="M51" s="9">
        <f>Таблица13[[#This Row],[Нал]]+Таблица13[[#This Row],[Терминал]]-Таблица13[[#This Row],[Расход]]-Таблица13[[#This Row],[Закуп]]-Таблица13[[#This Row],[Расход со счета]]</f>
        <v>818000</v>
      </c>
    </row>
    <row r="52" spans="2:13" ht="19" x14ac:dyDescent="0.2">
      <c r="B52" s="21"/>
      <c r="C52" s="32"/>
      <c r="D52" s="3"/>
      <c r="E52" s="13"/>
      <c r="F52" s="15"/>
      <c r="G52" s="9"/>
      <c r="H52" s="9"/>
      <c r="I52" s="9"/>
      <c r="J52" s="9">
        <v>300000</v>
      </c>
      <c r="K52" s="9" t="s">
        <v>87</v>
      </c>
      <c r="L52" s="9">
        <f t="shared" si="1"/>
        <v>0</v>
      </c>
      <c r="M52" s="9">
        <f>Таблица13[[#This Row],[Нал]]+Таблица13[[#This Row],[Терминал]]-Таблица13[[#This Row],[Расход]]-Таблица13[[#This Row],[Закуп]]-Таблица13[[#This Row],[Расход со счета]]</f>
        <v>-300000</v>
      </c>
    </row>
    <row r="53" spans="2:13" ht="19" x14ac:dyDescent="0.2">
      <c r="B53" s="21"/>
      <c r="C53" s="33"/>
      <c r="D53" s="2" t="s">
        <v>10</v>
      </c>
      <c r="E53" s="13" t="s">
        <v>28</v>
      </c>
      <c r="F53" s="15">
        <v>604000</v>
      </c>
      <c r="G53" s="9">
        <v>28000</v>
      </c>
      <c r="H53" s="9"/>
      <c r="I53" s="9"/>
      <c r="J53" s="9">
        <v>50000</v>
      </c>
      <c r="K53" s="9" t="s">
        <v>59</v>
      </c>
      <c r="L53" s="9">
        <f t="shared" si="1"/>
        <v>0</v>
      </c>
      <c r="M53" s="9">
        <f>Таблица13[[#This Row],[Нал]]+Таблица13[[#This Row],[Терминал]]-Таблица13[[#This Row],[Расход]]-Таблица13[[#This Row],[Закуп]]-Таблица13[[#This Row],[Расход со счета]]</f>
        <v>582000</v>
      </c>
    </row>
    <row r="54" spans="2:13" ht="19" x14ac:dyDescent="0.2">
      <c r="B54" s="63">
        <f>Таблица13[[#This Row],[Нал]]+F55+G55</f>
        <v>1419000</v>
      </c>
      <c r="C54" s="32">
        <v>44510</v>
      </c>
      <c r="D54" s="3" t="s">
        <v>9</v>
      </c>
      <c r="E54" s="13" t="s">
        <v>20</v>
      </c>
      <c r="F54" s="15">
        <v>872000</v>
      </c>
      <c r="G54" s="9"/>
      <c r="H54" s="9"/>
      <c r="I54" s="47" t="s">
        <v>86</v>
      </c>
      <c r="J54" s="9">
        <v>113500</v>
      </c>
      <c r="K54" s="9" t="s">
        <v>66</v>
      </c>
      <c r="L54" s="9">
        <f t="shared" si="1"/>
        <v>0</v>
      </c>
      <c r="M54" s="9">
        <f>Таблица13[[#This Row],[Нал]]+Таблица13[[#This Row],[Терминал]]-Таблица13[[#This Row],[Расход]]-Таблица13[[#This Row],[Закуп]]-Таблица13[[#This Row],[Расход со счета]]</f>
        <v>758500</v>
      </c>
    </row>
    <row r="55" spans="2:13" ht="19" x14ac:dyDescent="0.2">
      <c r="B55" s="21"/>
      <c r="C55" s="33"/>
      <c r="D55" s="2" t="s">
        <v>10</v>
      </c>
      <c r="E55" s="13" t="s">
        <v>28</v>
      </c>
      <c r="F55" s="15">
        <v>531000</v>
      </c>
      <c r="G55" s="9">
        <v>16000</v>
      </c>
      <c r="H55" s="9"/>
      <c r="I55" s="9"/>
      <c r="J55" s="9"/>
      <c r="K55" s="9"/>
      <c r="L55" s="9">
        <f t="shared" si="1"/>
        <v>0</v>
      </c>
      <c r="M55" s="9">
        <f>Таблица13[[#This Row],[Нал]]+Таблица13[[#This Row],[Терминал]]-Таблица13[[#This Row],[Расход]]-Таблица13[[#This Row],[Закуп]]-Таблица13[[#This Row],[Расход со счета]]</f>
        <v>547000</v>
      </c>
    </row>
    <row r="56" spans="2:13" ht="19" x14ac:dyDescent="0.2">
      <c r="B56" s="63">
        <f>Таблица13[[#This Row],[Нал]]+Таблица13[[#This Row],[Терминал]]+F64+G64</f>
        <v>1358000</v>
      </c>
      <c r="C56" s="32">
        <v>44511</v>
      </c>
      <c r="D56" s="3" t="s">
        <v>9</v>
      </c>
      <c r="E56" s="13" t="s">
        <v>20</v>
      </c>
      <c r="F56" s="15">
        <v>746000</v>
      </c>
      <c r="G56" s="9">
        <v>66000</v>
      </c>
      <c r="H56" s="9"/>
      <c r="I56" s="9"/>
      <c r="J56" s="9">
        <v>108000</v>
      </c>
      <c r="K56" s="9" t="s">
        <v>66</v>
      </c>
      <c r="L56" s="9">
        <f t="shared" si="1"/>
        <v>0</v>
      </c>
      <c r="M56" s="9">
        <f>Таблица13[[#This Row],[Нал]]+Таблица13[[#This Row],[Терминал]]-Таблица13[[#This Row],[Расход]]-Таблица13[[#This Row],[Закуп]]-Таблица13[[#This Row],[Расход со счета]]</f>
        <v>704000</v>
      </c>
    </row>
    <row r="57" spans="2:13" ht="19" x14ac:dyDescent="0.2">
      <c r="B57" s="21"/>
      <c r="C57" s="32"/>
      <c r="D57" s="49"/>
      <c r="E57" s="13"/>
      <c r="F57" s="15"/>
      <c r="G57" s="9"/>
      <c r="H57" s="9"/>
      <c r="I57" s="9"/>
      <c r="J57" s="9">
        <v>2585000</v>
      </c>
      <c r="K57" s="9" t="s">
        <v>88</v>
      </c>
      <c r="L57" s="9">
        <f t="shared" si="1"/>
        <v>0</v>
      </c>
      <c r="M57" s="9">
        <f>Таблица13[[#This Row],[Нал]]+Таблица13[[#This Row],[Терминал]]-Таблица13[[#This Row],[Расход]]-Таблица13[[#This Row],[Закуп]]-Таблица13[[#This Row],[Расход со счета]]</f>
        <v>-2585000</v>
      </c>
    </row>
    <row r="58" spans="2:13" ht="19" x14ac:dyDescent="0.2">
      <c r="B58" s="21"/>
      <c r="C58" s="32"/>
      <c r="D58" s="49"/>
      <c r="E58" s="13"/>
      <c r="F58" s="15"/>
      <c r="G58" s="9"/>
      <c r="H58" s="9"/>
      <c r="I58" s="9"/>
      <c r="J58" s="9">
        <v>517000</v>
      </c>
      <c r="K58" s="9" t="s">
        <v>89</v>
      </c>
      <c r="L58" s="9">
        <f t="shared" si="1"/>
        <v>0</v>
      </c>
      <c r="M58" s="9">
        <f>Таблица13[[#This Row],[Нал]]+Таблица13[[#This Row],[Терминал]]-Таблица13[[#This Row],[Расход]]-Таблица13[[#This Row],[Закуп]]-Таблица13[[#This Row],[Расход со счета]]</f>
        <v>-517000</v>
      </c>
    </row>
    <row r="59" spans="2:13" ht="19" x14ac:dyDescent="0.2">
      <c r="B59" s="21"/>
      <c r="C59" s="32"/>
      <c r="D59" s="49"/>
      <c r="E59" s="13"/>
      <c r="F59" s="15"/>
      <c r="G59" s="9"/>
      <c r="H59" s="9"/>
      <c r="I59" s="9"/>
      <c r="J59" s="9">
        <v>48000</v>
      </c>
      <c r="K59" s="47" t="s">
        <v>90</v>
      </c>
      <c r="L59" s="9">
        <f t="shared" si="1"/>
        <v>0</v>
      </c>
      <c r="M59" s="9">
        <f>Таблица13[[#This Row],[Нал]]+Таблица13[[#This Row],[Терминал]]-Таблица13[[#This Row],[Расход]]-Таблица13[[#This Row],[Закуп]]-Таблица13[[#This Row],[Расход со счета]]</f>
        <v>-48000</v>
      </c>
    </row>
    <row r="60" spans="2:13" ht="19" x14ac:dyDescent="0.2">
      <c r="B60" s="21"/>
      <c r="C60" s="32"/>
      <c r="D60" s="49"/>
      <c r="E60" s="13"/>
      <c r="F60" s="15"/>
      <c r="G60" s="9"/>
      <c r="H60" s="9"/>
      <c r="I60" s="9"/>
      <c r="J60" s="9">
        <v>4000</v>
      </c>
      <c r="K60" s="47" t="s">
        <v>91</v>
      </c>
      <c r="L60" s="9">
        <f t="shared" si="1"/>
        <v>0</v>
      </c>
      <c r="M60" s="9">
        <f>Таблица13[[#This Row],[Нал]]+Таблица13[[#This Row],[Терминал]]-Таблица13[[#This Row],[Расход]]-Таблица13[[#This Row],[Закуп]]-Таблица13[[#This Row],[Расход со счета]]</f>
        <v>-4000</v>
      </c>
    </row>
    <row r="61" spans="2:13" ht="32" x14ac:dyDescent="0.2">
      <c r="B61" s="21"/>
      <c r="C61" s="32"/>
      <c r="D61" s="49"/>
      <c r="E61" s="13"/>
      <c r="F61" s="15"/>
      <c r="G61" s="9"/>
      <c r="H61" s="9"/>
      <c r="I61" s="9"/>
      <c r="J61" s="9">
        <v>50000</v>
      </c>
      <c r="K61" s="47" t="s">
        <v>92</v>
      </c>
      <c r="L61" s="9">
        <f t="shared" si="1"/>
        <v>0</v>
      </c>
      <c r="M61" s="9">
        <f>Таблица13[[#This Row],[Нал]]+Таблица13[[#This Row],[Терминал]]-Таблица13[[#This Row],[Расход]]-Таблица13[[#This Row],[Закуп]]-Таблица13[[#This Row],[Расход со счета]]</f>
        <v>-50000</v>
      </c>
    </row>
    <row r="62" spans="2:13" ht="19" x14ac:dyDescent="0.2">
      <c r="B62" s="21"/>
      <c r="C62" s="32"/>
      <c r="D62" s="49"/>
      <c r="E62" s="13"/>
      <c r="F62" s="15"/>
      <c r="G62" s="9"/>
      <c r="H62" s="9"/>
      <c r="I62" s="9"/>
      <c r="J62" s="9">
        <v>35000</v>
      </c>
      <c r="K62" s="47" t="s">
        <v>98</v>
      </c>
      <c r="L62" s="9">
        <f t="shared" si="1"/>
        <v>0</v>
      </c>
      <c r="M62" s="9">
        <f>Таблица13[[#This Row],[Нал]]+Таблица13[[#This Row],[Терминал]]-Таблица13[[#This Row],[Расход]]-Таблица13[[#This Row],[Закуп]]-Таблица13[[#This Row],[Расход со счета]]</f>
        <v>-35000</v>
      </c>
    </row>
    <row r="63" spans="2:13" ht="19" x14ac:dyDescent="0.2">
      <c r="B63" s="21"/>
      <c r="C63" s="32"/>
      <c r="D63" s="49"/>
      <c r="E63" s="13"/>
      <c r="F63" s="15"/>
      <c r="G63" s="9"/>
      <c r="H63" s="9"/>
      <c r="I63" s="9"/>
      <c r="J63" s="9">
        <v>45000</v>
      </c>
      <c r="K63" s="47" t="s">
        <v>97</v>
      </c>
      <c r="L63" s="9">
        <f t="shared" si="1"/>
        <v>0</v>
      </c>
      <c r="M63" s="9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64" spans="2:13" ht="19" x14ac:dyDescent="0.2">
      <c r="B64" s="21"/>
      <c r="C64" s="33"/>
      <c r="D64" s="2" t="s">
        <v>10</v>
      </c>
      <c r="E64" s="13" t="s">
        <v>28</v>
      </c>
      <c r="F64" s="15">
        <v>495000</v>
      </c>
      <c r="G64" s="9">
        <v>51000</v>
      </c>
      <c r="H64" s="9"/>
      <c r="I64" s="9"/>
      <c r="J64" s="9">
        <v>200000</v>
      </c>
      <c r="K64" s="47" t="s">
        <v>95</v>
      </c>
      <c r="L64" s="9">
        <f t="shared" si="1"/>
        <v>0</v>
      </c>
      <c r="M64" s="9">
        <f>Таблица13[[#This Row],[Нал]]+Таблица13[[#This Row],[Терминал]]-Таблица13[[#This Row],[Расход]]-Таблица13[[#This Row],[Закуп]]-Таблица13[[#This Row],[Расход со счета]]</f>
        <v>346000</v>
      </c>
    </row>
    <row r="65" spans="2:13" ht="19" x14ac:dyDescent="0.2">
      <c r="B65" s="21"/>
      <c r="C65" s="33"/>
      <c r="D65" s="35"/>
      <c r="E65" s="13"/>
      <c r="F65" s="15"/>
      <c r="G65" s="9"/>
      <c r="H65" s="9"/>
      <c r="I65" s="9"/>
      <c r="J65" s="9">
        <v>70000</v>
      </c>
      <c r="K65" s="9" t="s">
        <v>96</v>
      </c>
      <c r="L65" s="9">
        <f t="shared" si="1"/>
        <v>0</v>
      </c>
      <c r="M65" s="9">
        <f>Таблица13[[#This Row],[Нал]]+Таблица13[[#This Row],[Терминал]]-Таблица13[[#This Row],[Расход]]-Таблица13[[#This Row],[Закуп]]-Таблица13[[#This Row],[Расход со счета]]</f>
        <v>-70000</v>
      </c>
    </row>
    <row r="66" spans="2:13" ht="19" x14ac:dyDescent="0.2">
      <c r="B66" s="21"/>
      <c r="C66" s="33"/>
      <c r="D66" s="35"/>
      <c r="E66" s="13"/>
      <c r="F66" s="15"/>
      <c r="G66" s="9"/>
      <c r="H66" s="9"/>
      <c r="I66" s="9"/>
      <c r="J66" s="9">
        <v>10000</v>
      </c>
      <c r="K66" s="9" t="s">
        <v>99</v>
      </c>
      <c r="L66" s="9">
        <f t="shared" si="1"/>
        <v>0</v>
      </c>
      <c r="M66" s="9">
        <f>Таблица13[[#This Row],[Нал]]+Таблица13[[#This Row],[Терминал]]-Таблица13[[#This Row],[Расход]]-Таблица13[[#This Row],[Закуп]]-Таблица13[[#This Row],[Расход со счета]]</f>
        <v>-10000</v>
      </c>
    </row>
    <row r="67" spans="2:13" ht="19" x14ac:dyDescent="0.2">
      <c r="B67" s="63">
        <f>Таблица13[[#This Row],[Нал]]+Таблица13[[#This Row],[Терминал]]+F70+G70</f>
        <v>1508000</v>
      </c>
      <c r="C67" s="32">
        <v>44512</v>
      </c>
      <c r="D67" s="3" t="s">
        <v>9</v>
      </c>
      <c r="E67" s="13" t="s">
        <v>20</v>
      </c>
      <c r="F67" s="15">
        <v>844000</v>
      </c>
      <c r="G67" s="9">
        <v>106000</v>
      </c>
      <c r="H67" s="9"/>
      <c r="I67" s="9"/>
      <c r="J67" s="9">
        <v>70000</v>
      </c>
      <c r="K67" s="9" t="s">
        <v>100</v>
      </c>
      <c r="L67" s="9">
        <f t="shared" si="1"/>
        <v>0</v>
      </c>
      <c r="M67" s="9">
        <f>Таблица13[[#This Row],[Нал]]+Таблица13[[#This Row],[Терминал]]-Таблица13[[#This Row],[Расход]]-Таблица13[[#This Row],[Закуп]]-Таблица13[[#This Row],[Расход со счета]]</f>
        <v>880000</v>
      </c>
    </row>
    <row r="68" spans="2:13" ht="19" x14ac:dyDescent="0.2">
      <c r="B68" s="21"/>
      <c r="C68" s="32"/>
      <c r="D68" s="49"/>
      <c r="E68" s="13"/>
      <c r="F68" s="15"/>
      <c r="G68" s="9"/>
      <c r="H68" s="9"/>
      <c r="I68" s="9"/>
      <c r="J68" s="9">
        <v>45000</v>
      </c>
      <c r="K68" s="9" t="s">
        <v>101</v>
      </c>
      <c r="L68" s="9">
        <f t="shared" si="1"/>
        <v>0</v>
      </c>
      <c r="M68" s="9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69" spans="2:13" ht="19" x14ac:dyDescent="0.2">
      <c r="B69" s="21"/>
      <c r="C69" s="32"/>
      <c r="D69" s="49"/>
      <c r="E69" s="13"/>
      <c r="F69" s="15"/>
      <c r="G69" s="9"/>
      <c r="H69" s="9"/>
      <c r="I69" s="9"/>
      <c r="J69" s="9">
        <v>14000</v>
      </c>
      <c r="K69" s="9" t="s">
        <v>102</v>
      </c>
      <c r="L69" s="9">
        <f t="shared" si="1"/>
        <v>0</v>
      </c>
      <c r="M69" s="9">
        <f>Таблица13[[#This Row],[Нал]]+Таблица13[[#This Row],[Терминал]]-Таблица13[[#This Row],[Расход]]-Таблица13[[#This Row],[Закуп]]-Таблица13[[#This Row],[Расход со счета]]</f>
        <v>-14000</v>
      </c>
    </row>
    <row r="70" spans="2:13" ht="19" x14ac:dyDescent="0.2">
      <c r="B70" s="21"/>
      <c r="C70" s="33"/>
      <c r="D70" s="2" t="s">
        <v>10</v>
      </c>
      <c r="E70" s="13" t="s">
        <v>29</v>
      </c>
      <c r="F70" s="15">
        <v>498000</v>
      </c>
      <c r="G70" s="9">
        <v>60000</v>
      </c>
      <c r="H70" s="9"/>
      <c r="I70" s="9"/>
      <c r="J70" s="9">
        <v>112000</v>
      </c>
      <c r="K70" s="9" t="s">
        <v>66</v>
      </c>
      <c r="L70" s="9">
        <f t="shared" si="1"/>
        <v>0</v>
      </c>
      <c r="M70" s="9">
        <f>Таблица13[[#This Row],[Нал]]+Таблица13[[#This Row],[Терминал]]-Таблица13[[#This Row],[Расход]]-Таблица13[[#This Row],[Закуп]]-Таблица13[[#This Row],[Расход со счета]]</f>
        <v>446000</v>
      </c>
    </row>
    <row r="71" spans="2:13" ht="19" x14ac:dyDescent="0.2">
      <c r="B71" s="63">
        <f>Таблица13[[#This Row],[Нал]]+Таблица13[[#This Row],[Терминал]]+F74+G74</f>
        <v>1403000</v>
      </c>
      <c r="C71" s="32">
        <v>44513</v>
      </c>
      <c r="D71" s="3" t="s">
        <v>9</v>
      </c>
      <c r="E71" s="13" t="s">
        <v>20</v>
      </c>
      <c r="F71" s="15">
        <v>837000</v>
      </c>
      <c r="G71" s="9">
        <v>123000</v>
      </c>
      <c r="H71" s="9">
        <v>1440000</v>
      </c>
      <c r="I71" s="9" t="s">
        <v>106</v>
      </c>
      <c r="J71" s="9">
        <v>210000</v>
      </c>
      <c r="K71" s="9" t="s">
        <v>72</v>
      </c>
      <c r="L71" s="9">
        <f t="shared" si="1"/>
        <v>0</v>
      </c>
      <c r="M71" s="9">
        <f>Таблица13[[#This Row],[Нал]]+Таблица13[[#This Row],[Терминал]]-Таблица13[[#This Row],[Расход]]-Таблица13[[#This Row],[Закуп]]-Таблица13[[#This Row],[Расход со счета]]</f>
        <v>-690000</v>
      </c>
    </row>
    <row r="72" spans="2:13" ht="19" x14ac:dyDescent="0.2">
      <c r="B72" s="21"/>
      <c r="C72" s="32"/>
      <c r="D72" s="49"/>
      <c r="E72" s="13"/>
      <c r="F72" s="15"/>
      <c r="G72" s="9"/>
      <c r="H72" s="9"/>
      <c r="I72" s="9"/>
      <c r="J72" s="9">
        <v>40000</v>
      </c>
      <c r="K72" s="47" t="s">
        <v>103</v>
      </c>
      <c r="L72" s="9">
        <f t="shared" si="1"/>
        <v>0</v>
      </c>
      <c r="M72" s="9">
        <f>Таблица13[[#This Row],[Нал]]+Таблица13[[#This Row],[Терминал]]-Таблица13[[#This Row],[Расход]]-Таблица13[[#This Row],[Закуп]]-Таблица13[[#This Row],[Расход со счета]]</f>
        <v>-40000</v>
      </c>
    </row>
    <row r="73" spans="2:13" ht="19" x14ac:dyDescent="0.2">
      <c r="B73" s="21"/>
      <c r="C73" s="32"/>
      <c r="D73" s="49"/>
      <c r="E73" s="13"/>
      <c r="F73" s="15"/>
      <c r="G73" s="9"/>
      <c r="H73" s="9"/>
      <c r="I73" s="9"/>
      <c r="J73" s="9">
        <v>450000</v>
      </c>
      <c r="K73" s="47" t="s">
        <v>104</v>
      </c>
      <c r="L73" s="9">
        <f t="shared" si="1"/>
        <v>0</v>
      </c>
      <c r="M73" s="9">
        <f>Таблица13[[#This Row],[Нал]]+Таблица13[[#This Row],[Терминал]]-Таблица13[[#This Row],[Расход]]-Таблица13[[#This Row],[Закуп]]-Таблица13[[#This Row],[Расход со счета]]</f>
        <v>-450000</v>
      </c>
    </row>
    <row r="74" spans="2:13" ht="19" x14ac:dyDescent="0.2">
      <c r="B74" s="21"/>
      <c r="C74" s="33"/>
      <c r="D74" s="2" t="s">
        <v>10</v>
      </c>
      <c r="E74" s="13" t="s">
        <v>28</v>
      </c>
      <c r="F74" s="15">
        <v>365000</v>
      </c>
      <c r="G74" s="9">
        <v>78000</v>
      </c>
      <c r="H74" s="9"/>
      <c r="I74" s="9"/>
      <c r="J74" s="9"/>
      <c r="K74" s="9"/>
      <c r="L74" s="9">
        <f t="shared" si="1"/>
        <v>0</v>
      </c>
      <c r="M74" s="9">
        <f>Таблица13[[#This Row],[Нал]]+Таблица13[[#This Row],[Терминал]]-Таблица13[[#This Row],[Расход]]-Таблица13[[#This Row],[Закуп]]-Таблица13[[#This Row],[Расход со счета]]</f>
        <v>443000</v>
      </c>
    </row>
    <row r="75" spans="2:13" ht="19" x14ac:dyDescent="0.2">
      <c r="B75" s="63">
        <f>Таблица13[[#This Row],[Нал]]+F77+G77</f>
        <v>1089000</v>
      </c>
      <c r="C75" s="32">
        <v>44514</v>
      </c>
      <c r="D75" s="3" t="s">
        <v>9</v>
      </c>
      <c r="E75" s="13" t="s">
        <v>29</v>
      </c>
      <c r="F75" s="15">
        <v>656000</v>
      </c>
      <c r="G75" s="9"/>
      <c r="H75" s="9">
        <v>340000</v>
      </c>
      <c r="I75" s="9" t="s">
        <v>107</v>
      </c>
      <c r="J75" s="9"/>
      <c r="K75" s="9"/>
      <c r="L75" s="9">
        <f t="shared" si="1"/>
        <v>0</v>
      </c>
      <c r="M75" s="9">
        <f>Таблица13[[#This Row],[Нал]]+Таблица13[[#This Row],[Терминал]]-Таблица13[[#This Row],[Расход]]-Таблица13[[#This Row],[Закуп]]-Таблица13[[#This Row],[Расход со счета]]</f>
        <v>316000</v>
      </c>
    </row>
    <row r="76" spans="2:13" ht="19" x14ac:dyDescent="0.2">
      <c r="B76" s="21"/>
      <c r="C76" s="32"/>
      <c r="D76" s="49"/>
      <c r="E76" s="13"/>
      <c r="F76" s="15"/>
      <c r="G76" s="9"/>
      <c r="H76" s="9"/>
      <c r="I76" s="9" t="s">
        <v>108</v>
      </c>
      <c r="J76" s="9"/>
      <c r="K76" s="9"/>
      <c r="L76" s="9">
        <f t="shared" ref="L76:L107" si="2">SUBTOTAL(109,L79:L230)</f>
        <v>0</v>
      </c>
      <c r="M76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77" spans="2:13" ht="19" x14ac:dyDescent="0.2">
      <c r="B77" s="21"/>
      <c r="C77" s="33"/>
      <c r="D77" s="2" t="s">
        <v>10</v>
      </c>
      <c r="E77" s="13" t="s">
        <v>105</v>
      </c>
      <c r="F77" s="15">
        <v>383000</v>
      </c>
      <c r="G77" s="9">
        <v>50000</v>
      </c>
      <c r="H77" s="9"/>
      <c r="I77" s="9"/>
      <c r="J77" s="9">
        <v>200000</v>
      </c>
      <c r="K77" s="9" t="s">
        <v>109</v>
      </c>
      <c r="L77" s="9">
        <f t="shared" si="2"/>
        <v>0</v>
      </c>
      <c r="M77" s="9">
        <f>Таблица13[[#This Row],[Нал]]+Таблица13[[#This Row],[Терминал]]-Таблица13[[#This Row],[Расход]]-Таблица13[[#This Row],[Закуп]]-Таблица13[[#This Row],[Расход со счета]]</f>
        <v>233000</v>
      </c>
    </row>
    <row r="78" spans="2:13" ht="19" x14ac:dyDescent="0.2">
      <c r="B78" s="21"/>
      <c r="C78" s="33"/>
      <c r="D78" s="35"/>
      <c r="E78" s="13"/>
      <c r="F78" s="15"/>
      <c r="G78" s="9"/>
      <c r="H78" s="9"/>
      <c r="I78" s="9"/>
      <c r="J78" s="9">
        <v>70000</v>
      </c>
      <c r="K78" s="9" t="s">
        <v>96</v>
      </c>
      <c r="L78" s="9">
        <f t="shared" si="2"/>
        <v>0</v>
      </c>
      <c r="M78" s="9">
        <f>Таблица13[[#This Row],[Нал]]+Таблица13[[#This Row],[Терминал]]-Таблица13[[#This Row],[Расход]]-Таблица13[[#This Row],[Закуп]]-Таблица13[[#This Row],[Расход со счета]]</f>
        <v>-70000</v>
      </c>
    </row>
    <row r="79" spans="2:13" ht="19" x14ac:dyDescent="0.2">
      <c r="B79" s="21"/>
      <c r="C79" s="33"/>
      <c r="D79" s="35"/>
      <c r="E79" s="13"/>
      <c r="F79" s="15"/>
      <c r="G79" s="9"/>
      <c r="H79" s="9"/>
      <c r="I79" s="9"/>
      <c r="J79" s="9"/>
      <c r="K79" s="9"/>
      <c r="L79" s="9">
        <f t="shared" si="2"/>
        <v>0</v>
      </c>
      <c r="M79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80" spans="2:13" ht="19" x14ac:dyDescent="0.2">
      <c r="B80" s="63">
        <f>Таблица13[[#This Row],[Нал]]+Таблица13[[#This Row],[Терминал]]+F82+G82</f>
        <v>1783000</v>
      </c>
      <c r="C80" s="32">
        <v>44515</v>
      </c>
      <c r="D80" s="3" t="s">
        <v>9</v>
      </c>
      <c r="E80" s="13" t="s">
        <v>28</v>
      </c>
      <c r="F80" s="15">
        <v>1129000</v>
      </c>
      <c r="G80" s="9">
        <v>130000</v>
      </c>
      <c r="H80" s="9">
        <v>1440000</v>
      </c>
      <c r="I80" s="9" t="s">
        <v>106</v>
      </c>
      <c r="J80" s="9">
        <v>74000</v>
      </c>
      <c r="K80" s="47" t="s">
        <v>110</v>
      </c>
      <c r="L80" s="9">
        <f t="shared" si="2"/>
        <v>0</v>
      </c>
      <c r="M80" s="9">
        <f>Таблица13[[#This Row],[Нал]]+Таблица13[[#This Row],[Терминал]]-Таблица13[[#This Row],[Расход]]-Таблица13[[#This Row],[Закуп]]-Таблица13[[#This Row],[Расход со счета]]</f>
        <v>-255000</v>
      </c>
    </row>
    <row r="81" spans="2:13" ht="32" x14ac:dyDescent="0.2">
      <c r="B81" s="21"/>
      <c r="C81" s="32"/>
      <c r="D81" s="49"/>
      <c r="E81" s="13"/>
      <c r="F81" s="15"/>
      <c r="G81" s="9"/>
      <c r="H81" s="60">
        <v>3240000</v>
      </c>
      <c r="I81" s="59" t="s">
        <v>116</v>
      </c>
      <c r="J81" s="9">
        <v>71000</v>
      </c>
      <c r="K81" s="47" t="s">
        <v>111</v>
      </c>
      <c r="L81" s="9">
        <f t="shared" si="2"/>
        <v>0</v>
      </c>
      <c r="M81" s="9">
        <f>Таблица13[[#This Row],[Нал]]+Таблица13[[#This Row],[Терминал]]-Таблица13[[#This Row],[Расход]]-Таблица13[[#This Row],[Закуп]]-Таблица13[[#This Row],[Расход со счета]]</f>
        <v>-3311000</v>
      </c>
    </row>
    <row r="82" spans="2:13" ht="19" x14ac:dyDescent="0.2">
      <c r="B82" s="21"/>
      <c r="C82" s="33"/>
      <c r="D82" s="2" t="s">
        <v>10</v>
      </c>
      <c r="E82" s="13" t="s">
        <v>105</v>
      </c>
      <c r="F82" s="15">
        <v>429000</v>
      </c>
      <c r="G82" s="9">
        <v>95000</v>
      </c>
      <c r="H82" s="9"/>
      <c r="I82" s="9"/>
      <c r="J82" s="9">
        <v>37000</v>
      </c>
      <c r="K82" s="9" t="s">
        <v>56</v>
      </c>
      <c r="L82" s="9">
        <f t="shared" si="2"/>
        <v>0</v>
      </c>
      <c r="M82" s="9">
        <f>Таблица13[[#This Row],[Нал]]+Таблица13[[#This Row],[Терминал]]-Таблица13[[#This Row],[Расход]]-Таблица13[[#This Row],[Закуп]]-Таблица13[[#This Row],[Расход со счета]]</f>
        <v>487000</v>
      </c>
    </row>
    <row r="83" spans="2:13" ht="19" x14ac:dyDescent="0.2">
      <c r="B83" s="21"/>
      <c r="C83" s="33"/>
      <c r="D83" s="35"/>
      <c r="E83" s="13"/>
      <c r="F83" s="15"/>
      <c r="G83" s="9"/>
      <c r="H83" s="9"/>
      <c r="I83" s="9"/>
      <c r="J83" s="9">
        <v>45000</v>
      </c>
      <c r="K83" s="47" t="s">
        <v>112</v>
      </c>
      <c r="L83" s="9">
        <f t="shared" si="2"/>
        <v>0</v>
      </c>
      <c r="M83" s="9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84" spans="2:13" ht="19" x14ac:dyDescent="0.2">
      <c r="B84" s="63">
        <f>Таблица13[[#This Row],[Нал]]+Таблица13[[#This Row],[Терминал]]+F94+G94</f>
        <v>1868000</v>
      </c>
      <c r="C84" s="32">
        <v>44516</v>
      </c>
      <c r="D84" s="3" t="s">
        <v>9</v>
      </c>
      <c r="E84" s="13" t="s">
        <v>28</v>
      </c>
      <c r="F84" s="15">
        <v>918000</v>
      </c>
      <c r="G84" s="9">
        <v>168000</v>
      </c>
      <c r="H84" s="9"/>
      <c r="I84" s="47"/>
      <c r="J84" s="9">
        <v>16000</v>
      </c>
      <c r="K84" s="9" t="s">
        <v>113</v>
      </c>
      <c r="L84" s="9">
        <f t="shared" si="2"/>
        <v>0</v>
      </c>
      <c r="M84" s="9">
        <f>Таблица13[[#This Row],[Нал]]+Таблица13[[#This Row],[Терминал]]-Таблица13[[#This Row],[Расход]]-Таблица13[[#This Row],[Закуп]]-Таблица13[[#This Row],[Расход со счета]]</f>
        <v>1070000</v>
      </c>
    </row>
    <row r="85" spans="2:13" ht="19" x14ac:dyDescent="0.2">
      <c r="B85" s="21"/>
      <c r="C85" s="32"/>
      <c r="D85" s="49"/>
      <c r="E85" s="13"/>
      <c r="F85" s="15"/>
      <c r="G85" s="9"/>
      <c r="H85" s="9"/>
      <c r="I85" s="9"/>
      <c r="J85" s="9">
        <v>21000</v>
      </c>
      <c r="K85" s="47" t="s">
        <v>120</v>
      </c>
      <c r="L85" s="9">
        <f t="shared" si="2"/>
        <v>0</v>
      </c>
      <c r="M85" s="9">
        <f>Таблица13[[#This Row],[Нал]]+Таблица13[[#This Row],[Терминал]]-Таблица13[[#This Row],[Расход]]-Таблица13[[#This Row],[Закуп]]-Таблица13[[#This Row],[Расход со счета]]</f>
        <v>-21000</v>
      </c>
    </row>
    <row r="86" spans="2:13" ht="19" x14ac:dyDescent="0.2">
      <c r="B86" s="21"/>
      <c r="C86" s="32"/>
      <c r="D86" s="49"/>
      <c r="E86" s="13"/>
      <c r="F86" s="15"/>
      <c r="G86" s="9"/>
      <c r="H86" s="9"/>
      <c r="I86" s="9"/>
      <c r="J86" s="9">
        <v>21000</v>
      </c>
      <c r="K86" s="9" t="s">
        <v>114</v>
      </c>
      <c r="L86" s="9">
        <f t="shared" si="2"/>
        <v>0</v>
      </c>
      <c r="M86" s="9">
        <f>Таблица13[[#This Row],[Нал]]+Таблица13[[#This Row],[Терминал]]-Таблица13[[#This Row],[Расход]]-Таблица13[[#This Row],[Закуп]]-Таблица13[[#This Row],[Расход со счета]]</f>
        <v>-21000</v>
      </c>
    </row>
    <row r="87" spans="2:13" ht="19" x14ac:dyDescent="0.2">
      <c r="B87" s="21"/>
      <c r="C87" s="32"/>
      <c r="D87" s="49"/>
      <c r="E87" s="13"/>
      <c r="F87" s="15"/>
      <c r="G87" s="9"/>
      <c r="H87" s="9"/>
      <c r="I87" s="9"/>
      <c r="J87" s="9">
        <v>69000</v>
      </c>
      <c r="K87" s="9" t="s">
        <v>115</v>
      </c>
      <c r="L87" s="9">
        <f t="shared" si="2"/>
        <v>0</v>
      </c>
      <c r="M87" s="9">
        <f>Таблица13[[#This Row],[Нал]]+Таблица13[[#This Row],[Терминал]]-Таблица13[[#This Row],[Расход]]-Таблица13[[#This Row],[Закуп]]-Таблица13[[#This Row],[Расход со счета]]</f>
        <v>-69000</v>
      </c>
    </row>
    <row r="88" spans="2:13" ht="32" x14ac:dyDescent="0.2">
      <c r="B88" s="21"/>
      <c r="C88" s="32"/>
      <c r="D88" s="49"/>
      <c r="E88" s="13"/>
      <c r="F88" s="15"/>
      <c r="G88" s="9"/>
      <c r="H88" s="9"/>
      <c r="I88" s="9"/>
      <c r="J88" s="9">
        <v>620000</v>
      </c>
      <c r="K88" s="47" t="s">
        <v>117</v>
      </c>
      <c r="L88" s="9">
        <f t="shared" si="2"/>
        <v>0</v>
      </c>
      <c r="M88" s="9">
        <f>Таблица13[[#This Row],[Нал]]+Таблица13[[#This Row],[Терминал]]-Таблица13[[#This Row],[Расход]]-Таблица13[[#This Row],[Закуп]]-Таблица13[[#This Row],[Расход со счета]]</f>
        <v>-620000</v>
      </c>
    </row>
    <row r="89" spans="2:13" ht="32" x14ac:dyDescent="0.2">
      <c r="B89" s="21"/>
      <c r="C89" s="32"/>
      <c r="D89" s="49"/>
      <c r="E89" s="13"/>
      <c r="F89" s="15"/>
      <c r="G89" s="9"/>
      <c r="H89" s="9"/>
      <c r="I89" s="9"/>
      <c r="J89" s="9">
        <v>310000</v>
      </c>
      <c r="K89" s="47" t="s">
        <v>118</v>
      </c>
      <c r="L89" s="9">
        <f t="shared" si="2"/>
        <v>0</v>
      </c>
      <c r="M89" s="9">
        <f>Таблица13[[#This Row],[Нал]]+Таблица13[[#This Row],[Терминал]]-Таблица13[[#This Row],[Расход]]-Таблица13[[#This Row],[Закуп]]-Таблица13[[#This Row],[Расход со счета]]</f>
        <v>-310000</v>
      </c>
    </row>
    <row r="90" spans="2:13" ht="19" x14ac:dyDescent="0.2">
      <c r="B90" s="21"/>
      <c r="C90" s="32"/>
      <c r="D90" s="49"/>
      <c r="E90" s="13"/>
      <c r="F90" s="15"/>
      <c r="G90" s="9"/>
      <c r="H90" s="9"/>
      <c r="I90" s="9"/>
      <c r="J90" s="9">
        <v>48000</v>
      </c>
      <c r="K90" s="47" t="s">
        <v>119</v>
      </c>
      <c r="L90" s="9">
        <f t="shared" si="2"/>
        <v>0</v>
      </c>
      <c r="M90" s="9">
        <f>Таблица13[[#This Row],[Нал]]+Таблица13[[#This Row],[Терминал]]-Таблица13[[#This Row],[Расход]]-Таблица13[[#This Row],[Закуп]]-Таблица13[[#This Row],[Расход со счета]]</f>
        <v>-48000</v>
      </c>
    </row>
    <row r="91" spans="2:13" ht="19" x14ac:dyDescent="0.2">
      <c r="B91" s="21"/>
      <c r="C91" s="32"/>
      <c r="D91" s="49"/>
      <c r="E91" s="13"/>
      <c r="F91" s="15"/>
      <c r="G91" s="9"/>
      <c r="H91" s="9"/>
      <c r="I91" s="9"/>
      <c r="J91" s="9">
        <v>20500</v>
      </c>
      <c r="K91" s="47" t="s">
        <v>121</v>
      </c>
      <c r="L91" s="9">
        <f t="shared" si="2"/>
        <v>0</v>
      </c>
      <c r="M91" s="9">
        <f>Таблица13[[#This Row],[Нал]]+Таблица13[[#This Row],[Терминал]]-Таблица13[[#This Row],[Расход]]-Таблица13[[#This Row],[Закуп]]-Таблица13[[#This Row],[Расход со счета]]</f>
        <v>-20500</v>
      </c>
    </row>
    <row r="92" spans="2:13" ht="19" x14ac:dyDescent="0.2">
      <c r="B92" s="21"/>
      <c r="C92" s="32"/>
      <c r="D92" s="49"/>
      <c r="E92" s="13"/>
      <c r="F92" s="15"/>
      <c r="G92" s="9"/>
      <c r="H92" s="9"/>
      <c r="I92" s="9"/>
      <c r="J92" s="9">
        <v>59000</v>
      </c>
      <c r="K92" s="47" t="s">
        <v>122</v>
      </c>
      <c r="L92" s="9">
        <f t="shared" si="2"/>
        <v>0</v>
      </c>
      <c r="M92" s="9">
        <f>Таблица13[[#This Row],[Нал]]+Таблица13[[#This Row],[Терминал]]-Таблица13[[#This Row],[Расход]]-Таблица13[[#This Row],[Закуп]]-Таблица13[[#This Row],[Расход со счета]]</f>
        <v>-59000</v>
      </c>
    </row>
    <row r="93" spans="2:13" ht="19" x14ac:dyDescent="0.2">
      <c r="B93" s="21"/>
      <c r="C93" s="32"/>
      <c r="D93" s="49"/>
      <c r="E93" s="13"/>
      <c r="F93" s="15"/>
      <c r="G93" s="9"/>
      <c r="H93" s="9"/>
      <c r="I93" s="9"/>
      <c r="J93" s="9">
        <v>210000</v>
      </c>
      <c r="K93" s="47" t="s">
        <v>72</v>
      </c>
      <c r="L93" s="9">
        <f t="shared" si="2"/>
        <v>0</v>
      </c>
      <c r="M93" s="9">
        <f>Таблица13[[#This Row],[Нал]]+Таблица13[[#This Row],[Терминал]]-Таблица13[[#This Row],[Расход]]-Таблица13[[#This Row],[Закуп]]-Таблица13[[#This Row],[Расход со счета]]</f>
        <v>-210000</v>
      </c>
    </row>
    <row r="94" spans="2:13" ht="19" x14ac:dyDescent="0.2">
      <c r="B94" s="21"/>
      <c r="C94" s="33"/>
      <c r="D94" s="2" t="s">
        <v>10</v>
      </c>
      <c r="E94" s="13" t="s">
        <v>105</v>
      </c>
      <c r="F94" s="15">
        <v>764000</v>
      </c>
      <c r="G94" s="9">
        <v>18000</v>
      </c>
      <c r="H94" s="9"/>
      <c r="I94" s="9"/>
      <c r="J94" s="9">
        <v>50000</v>
      </c>
      <c r="K94" s="9" t="s">
        <v>123</v>
      </c>
      <c r="L94" s="9">
        <f t="shared" si="2"/>
        <v>0</v>
      </c>
      <c r="M94" s="9">
        <f>Таблица13[[#This Row],[Нал]]+Таблица13[[#This Row],[Терминал]]-Таблица13[[#This Row],[Расход]]-Таблица13[[#This Row],[Закуп]]-Таблица13[[#This Row],[Расход со счета]]</f>
        <v>732000</v>
      </c>
    </row>
    <row r="95" spans="2:13" ht="19" x14ac:dyDescent="0.2">
      <c r="B95" s="63">
        <f>Таблица13[[#This Row],[Нал]]+Таблица13[[#This Row],[Терминал]]+F98</f>
        <v>1764000</v>
      </c>
      <c r="C95" s="32">
        <v>44517</v>
      </c>
      <c r="D95" s="3" t="s">
        <v>9</v>
      </c>
      <c r="E95" s="13" t="s">
        <v>28</v>
      </c>
      <c r="F95" s="9">
        <v>971000</v>
      </c>
      <c r="G95" s="9">
        <v>236000</v>
      </c>
      <c r="H95" s="9"/>
      <c r="I95" s="9"/>
      <c r="J95" s="9">
        <v>400000</v>
      </c>
      <c r="K95" s="9" t="s">
        <v>124</v>
      </c>
      <c r="L95" s="9">
        <f t="shared" si="2"/>
        <v>0</v>
      </c>
      <c r="M95" s="44">
        <f>Таблица13[[#This Row],[Нал]]+Таблица13[[#This Row],[Терминал]]-Таблица13[[#This Row],[Расход]]-Таблица13[[#This Row],[Закуп]]-Таблица13[[#This Row],[Расход со счета]]</f>
        <v>807000</v>
      </c>
    </row>
    <row r="96" spans="2:13" ht="19" x14ac:dyDescent="0.2">
      <c r="B96" s="21"/>
      <c r="C96" s="32"/>
      <c r="D96" s="3"/>
      <c r="E96" s="13"/>
      <c r="F96" s="15"/>
      <c r="G96" s="9"/>
      <c r="H96" s="9"/>
      <c r="I96" s="9"/>
      <c r="J96" s="9">
        <v>60000</v>
      </c>
      <c r="K96" s="47" t="s">
        <v>125</v>
      </c>
      <c r="L96" s="9">
        <f t="shared" si="2"/>
        <v>0</v>
      </c>
      <c r="M96" s="9">
        <f>Таблица13[[#This Row],[Нал]]+Таблица13[[#This Row],[Терминал]]-Таблица13[[#This Row],[Расход]]-Таблица13[[#This Row],[Закуп]]-Таблица13[[#This Row],[Расход со счета]]</f>
        <v>-60000</v>
      </c>
    </row>
    <row r="97" spans="2:13" ht="19" x14ac:dyDescent="0.2">
      <c r="B97" s="21"/>
      <c r="C97" s="32"/>
      <c r="D97" s="3"/>
      <c r="E97" s="13"/>
      <c r="F97" s="15"/>
      <c r="G97" s="9"/>
      <c r="H97" s="9"/>
      <c r="I97" s="9"/>
      <c r="J97" s="9">
        <v>5000</v>
      </c>
      <c r="K97" s="9" t="s">
        <v>126</v>
      </c>
      <c r="L97" s="9">
        <f t="shared" si="2"/>
        <v>0</v>
      </c>
      <c r="M97" s="9">
        <f>Таблица13[[#This Row],[Нал]]+Таблица13[[#This Row],[Терминал]]-Таблица13[[#This Row],[Расход]]-Таблица13[[#This Row],[Закуп]]-Таблица13[[#This Row],[Расход со счета]]</f>
        <v>-5000</v>
      </c>
    </row>
    <row r="98" spans="2:13" ht="19" x14ac:dyDescent="0.2">
      <c r="B98" s="21"/>
      <c r="C98" s="33"/>
      <c r="D98" s="2" t="s">
        <v>10</v>
      </c>
      <c r="E98" s="13" t="s">
        <v>105</v>
      </c>
      <c r="F98" s="9">
        <v>557000</v>
      </c>
      <c r="G98" s="9"/>
      <c r="H98" s="9"/>
      <c r="I98" s="9" t="s">
        <v>108</v>
      </c>
      <c r="J98" s="9"/>
      <c r="K98" s="9"/>
      <c r="L98" s="9">
        <f t="shared" si="2"/>
        <v>0</v>
      </c>
      <c r="M98" s="44">
        <f>Таблица13[[#This Row],[Нал]]+Таблица13[[#This Row],[Терминал]]-Таблица13[[#This Row],[Расход]]-Таблица13[[#This Row],[Закуп]]-Таблица13[[#This Row],[Расход со счета]]</f>
        <v>557000</v>
      </c>
    </row>
    <row r="99" spans="2:13" ht="19" x14ac:dyDescent="0.2">
      <c r="B99" s="63">
        <f>Таблица13[[#This Row],[Нал]]+Таблица13[[#This Row],[Терминал]]+F101</f>
        <v>1427000</v>
      </c>
      <c r="C99" s="32">
        <v>44518</v>
      </c>
      <c r="D99" s="3" t="s">
        <v>9</v>
      </c>
      <c r="E99" s="13" t="s">
        <v>28</v>
      </c>
      <c r="F99" s="9">
        <v>902000</v>
      </c>
      <c r="G99" s="9">
        <v>36000</v>
      </c>
      <c r="H99" s="9"/>
      <c r="I99" s="9"/>
      <c r="J99" s="9">
        <v>420000</v>
      </c>
      <c r="K99" s="9" t="s">
        <v>127</v>
      </c>
      <c r="L99" s="9">
        <f t="shared" si="2"/>
        <v>0</v>
      </c>
      <c r="M99" s="44">
        <f>Таблица13[[#This Row],[Нал]]+Таблица13[[#This Row],[Терминал]]-Таблица13[[#This Row],[Расход]]-Таблица13[[#This Row],[Закуп]]-Таблица13[[#This Row],[Расход со счета]]</f>
        <v>518000</v>
      </c>
    </row>
    <row r="100" spans="2:13" ht="19" x14ac:dyDescent="0.2">
      <c r="B100" s="21"/>
      <c r="C100" s="32"/>
      <c r="D100" s="3"/>
      <c r="E100" s="13"/>
      <c r="F100" s="15"/>
      <c r="G100" s="9"/>
      <c r="H100" s="9"/>
      <c r="I100" s="9"/>
      <c r="J100" s="9">
        <v>37000</v>
      </c>
      <c r="K100" s="9" t="s">
        <v>128</v>
      </c>
      <c r="L100" s="9">
        <f t="shared" si="2"/>
        <v>0</v>
      </c>
      <c r="M100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01" spans="2:13" ht="19" x14ac:dyDescent="0.2">
      <c r="B101" s="21"/>
      <c r="C101" s="33"/>
      <c r="D101" s="2" t="s">
        <v>10</v>
      </c>
      <c r="E101" s="13" t="s">
        <v>105</v>
      </c>
      <c r="F101" s="9">
        <v>489000</v>
      </c>
      <c r="G101" s="9"/>
      <c r="H101" s="9"/>
      <c r="I101" s="9" t="s">
        <v>129</v>
      </c>
      <c r="J101" s="9"/>
      <c r="K101" s="9"/>
      <c r="L101" s="9">
        <f t="shared" si="2"/>
        <v>0</v>
      </c>
      <c r="M101" s="44">
        <f>Таблица13[[#This Row],[Нал]]+Таблица13[[#This Row],[Терминал]]-Таблица13[[#This Row],[Расход]]-Таблица13[[#This Row],[Закуп]]-Таблица13[[#This Row],[Расход со счета]]</f>
        <v>489000</v>
      </c>
    </row>
    <row r="102" spans="2:13" ht="19" x14ac:dyDescent="0.2">
      <c r="B102" s="63">
        <f>Таблица13[[#This Row],[Нал]]+F106+G106</f>
        <v>1413000</v>
      </c>
      <c r="C102" s="32">
        <v>44519</v>
      </c>
      <c r="D102" s="3" t="s">
        <v>9</v>
      </c>
      <c r="E102" s="13" t="s">
        <v>28</v>
      </c>
      <c r="F102" s="9">
        <v>1060000</v>
      </c>
      <c r="G102" s="9"/>
      <c r="H102" s="9"/>
      <c r="I102" s="9" t="s">
        <v>108</v>
      </c>
      <c r="J102" s="9">
        <v>45000</v>
      </c>
      <c r="K102" s="9" t="s">
        <v>101</v>
      </c>
      <c r="L102" s="9">
        <f t="shared" si="2"/>
        <v>0</v>
      </c>
      <c r="M102" s="44">
        <f>Таблица13[[#This Row],[Нал]]+Таблица13[[#This Row],[Терминал]]-Таблица13[[#This Row],[Расход]]-Таблица13[[#This Row],[Закуп]]-Таблица13[[#This Row],[Расход со счета]]</f>
        <v>1015000</v>
      </c>
    </row>
    <row r="103" spans="2:13" ht="19" x14ac:dyDescent="0.2">
      <c r="B103" s="21"/>
      <c r="C103" s="32"/>
      <c r="D103" s="3"/>
      <c r="E103" s="13"/>
      <c r="F103" s="15"/>
      <c r="G103" s="9"/>
      <c r="H103" s="9"/>
      <c r="I103" s="9"/>
      <c r="J103" s="9">
        <v>39000</v>
      </c>
      <c r="K103" s="9" t="s">
        <v>130</v>
      </c>
      <c r="L103" s="9">
        <f t="shared" si="2"/>
        <v>0</v>
      </c>
      <c r="M103" s="9">
        <f>Таблица13[[#This Row],[Нал]]+Таблица13[[#This Row],[Терминал]]-Таблица13[[#This Row],[Расход]]-Таблица13[[#This Row],[Закуп]]-Таблица13[[#This Row],[Расход со счета]]</f>
        <v>-39000</v>
      </c>
    </row>
    <row r="104" spans="2:13" ht="19" x14ac:dyDescent="0.2">
      <c r="B104" s="21"/>
      <c r="C104" s="32"/>
      <c r="D104" s="3"/>
      <c r="E104" s="13"/>
      <c r="F104" s="15"/>
      <c r="G104" s="9"/>
      <c r="H104" s="9"/>
      <c r="I104" s="9"/>
      <c r="J104" s="9">
        <v>28000</v>
      </c>
      <c r="K104" s="9" t="s">
        <v>131</v>
      </c>
      <c r="L104" s="9">
        <f t="shared" si="2"/>
        <v>0</v>
      </c>
      <c r="M104" s="9">
        <f>Таблица13[[#This Row],[Нал]]+Таблица13[[#This Row],[Терминал]]-Таблица13[[#This Row],[Расход]]-Таблица13[[#This Row],[Закуп]]-Таблица13[[#This Row],[Расход со счета]]</f>
        <v>-28000</v>
      </c>
    </row>
    <row r="105" spans="2:13" ht="19" x14ac:dyDescent="0.2">
      <c r="B105" s="21"/>
      <c r="C105" s="32"/>
      <c r="D105" s="3"/>
      <c r="E105" s="13"/>
      <c r="F105" s="15"/>
      <c r="G105" s="9"/>
      <c r="H105" s="9"/>
      <c r="I105" s="9"/>
      <c r="J105" s="9"/>
      <c r="K105" s="9"/>
      <c r="L105" s="9">
        <f t="shared" si="2"/>
        <v>0</v>
      </c>
      <c r="M105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06" spans="2:13" ht="19" x14ac:dyDescent="0.2">
      <c r="B106" s="21"/>
      <c r="C106" s="33"/>
      <c r="D106" s="2" t="s">
        <v>10</v>
      </c>
      <c r="E106" s="13" t="s">
        <v>105</v>
      </c>
      <c r="F106" s="9">
        <v>323000</v>
      </c>
      <c r="G106" s="9">
        <v>30000</v>
      </c>
      <c r="H106" s="9"/>
      <c r="I106" s="9"/>
      <c r="J106" s="9">
        <v>60000</v>
      </c>
      <c r="K106" s="47" t="s">
        <v>125</v>
      </c>
      <c r="L106" s="9">
        <f t="shared" si="2"/>
        <v>0</v>
      </c>
      <c r="M106" s="44">
        <f>Таблица13[[#This Row],[Нал]]+Таблица13[[#This Row],[Терминал]]-Таблица13[[#This Row],[Расход]]-Таблица13[[#This Row],[Закуп]]-Таблица13[[#This Row],[Расход со счета]]</f>
        <v>293000</v>
      </c>
    </row>
    <row r="107" spans="2:13" ht="19" x14ac:dyDescent="0.2">
      <c r="B107" s="21"/>
      <c r="C107" s="33"/>
      <c r="D107" s="2"/>
      <c r="E107" s="13"/>
      <c r="F107" s="15"/>
      <c r="G107" s="9"/>
      <c r="H107" s="9"/>
      <c r="I107" s="9"/>
      <c r="J107" s="9">
        <v>37000</v>
      </c>
      <c r="K107" s="47" t="s">
        <v>128</v>
      </c>
      <c r="L107" s="9">
        <f t="shared" si="2"/>
        <v>0</v>
      </c>
      <c r="M107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08" spans="2:13" ht="19" x14ac:dyDescent="0.2">
      <c r="B108" s="21"/>
      <c r="C108" s="33"/>
      <c r="D108" s="2"/>
      <c r="E108" s="13"/>
      <c r="F108" s="15"/>
      <c r="G108" s="9"/>
      <c r="H108" s="9"/>
      <c r="I108" s="9"/>
      <c r="J108" s="9">
        <v>21000</v>
      </c>
      <c r="K108" s="47" t="s">
        <v>132</v>
      </c>
      <c r="L108" s="9">
        <f t="shared" ref="L108:L139" si="3">SUBTOTAL(109,L111:L262)</f>
        <v>0</v>
      </c>
      <c r="M108" s="9">
        <f>Таблица13[[#This Row],[Нал]]+Таблица13[[#This Row],[Терминал]]-Таблица13[[#This Row],[Расход]]-Таблица13[[#This Row],[Закуп]]-Таблица13[[#This Row],[Расход со счета]]</f>
        <v>-21000</v>
      </c>
    </row>
    <row r="109" spans="2:13" ht="19" x14ac:dyDescent="0.2">
      <c r="B109" s="21"/>
      <c r="C109" s="33"/>
      <c r="D109" s="2"/>
      <c r="E109" s="13"/>
      <c r="F109" s="15"/>
      <c r="G109" s="9"/>
      <c r="H109" s="9"/>
      <c r="I109" s="9"/>
      <c r="J109" s="9">
        <v>58000</v>
      </c>
      <c r="K109" s="47" t="s">
        <v>133</v>
      </c>
      <c r="L109" s="9">
        <f t="shared" si="3"/>
        <v>0</v>
      </c>
      <c r="M109" s="9">
        <f>Таблица13[[#This Row],[Нал]]+Таблица13[[#This Row],[Терминал]]-Таблица13[[#This Row],[Расход]]-Таблица13[[#This Row],[Закуп]]-Таблица13[[#This Row],[Расход со счета]]</f>
        <v>-58000</v>
      </c>
    </row>
    <row r="110" spans="2:13" ht="19" x14ac:dyDescent="0.2">
      <c r="B110" s="21"/>
      <c r="C110" s="33"/>
      <c r="D110" s="2"/>
      <c r="E110" s="13"/>
      <c r="F110" s="15"/>
      <c r="G110" s="9"/>
      <c r="H110" s="9"/>
      <c r="I110" s="9"/>
      <c r="J110" s="9">
        <v>200000</v>
      </c>
      <c r="K110" s="47" t="s">
        <v>95</v>
      </c>
      <c r="L110" s="9">
        <f t="shared" si="3"/>
        <v>0</v>
      </c>
      <c r="M110" s="9">
        <f>Таблица13[[#This Row],[Нал]]+Таблица13[[#This Row],[Терминал]]-Таблица13[[#This Row],[Расход]]-Таблица13[[#This Row],[Закуп]]-Таблица13[[#This Row],[Расход со счета]]</f>
        <v>-200000</v>
      </c>
    </row>
    <row r="111" spans="2:13" ht="19" x14ac:dyDescent="0.2">
      <c r="B111" s="21"/>
      <c r="C111" s="33"/>
      <c r="D111" s="2"/>
      <c r="E111" s="13"/>
      <c r="F111" s="15"/>
      <c r="G111" s="9"/>
      <c r="H111" s="9"/>
      <c r="I111" s="9"/>
      <c r="J111" s="9">
        <v>49000</v>
      </c>
      <c r="K111" s="47" t="s">
        <v>134</v>
      </c>
      <c r="L111" s="9">
        <f t="shared" si="3"/>
        <v>0</v>
      </c>
      <c r="M111" s="9">
        <f>Таблица13[[#This Row],[Нал]]+Таблица13[[#This Row],[Терминал]]-Таблица13[[#This Row],[Расход]]-Таблица13[[#This Row],[Закуп]]-Таблица13[[#This Row],[Расход со счета]]</f>
        <v>-49000</v>
      </c>
    </row>
    <row r="112" spans="2:13" ht="19" x14ac:dyDescent="0.2">
      <c r="B112" s="63">
        <f>Таблица13[[#This Row],[Нал]]+Таблица13[[#This Row],[Терминал]]+F114</f>
        <v>1004000</v>
      </c>
      <c r="C112" s="32">
        <v>44520</v>
      </c>
      <c r="D112" s="3" t="s">
        <v>9</v>
      </c>
      <c r="E112" s="13" t="s">
        <v>29</v>
      </c>
      <c r="F112" s="9">
        <v>576000</v>
      </c>
      <c r="G112" s="9">
        <v>96000</v>
      </c>
      <c r="H112" s="9"/>
      <c r="I112" s="9"/>
      <c r="J112" s="9">
        <v>200000</v>
      </c>
      <c r="K112" s="47" t="s">
        <v>95</v>
      </c>
      <c r="L112" s="9">
        <f t="shared" si="3"/>
        <v>0</v>
      </c>
      <c r="M112" s="44">
        <f>Таблица13[[#This Row],[Нал]]+Таблица13[[#This Row],[Терминал]]-Таблица13[[#This Row],[Расход]]-Таблица13[[#This Row],[Закуп]]-Таблица13[[#This Row],[Расход со счета]]</f>
        <v>472000</v>
      </c>
    </row>
    <row r="113" spans="2:13" ht="19" x14ac:dyDescent="0.2">
      <c r="B113" s="21"/>
      <c r="C113" s="32"/>
      <c r="D113" s="49"/>
      <c r="E113" s="13"/>
      <c r="F113" s="15"/>
      <c r="G113" s="9"/>
      <c r="H113" s="9"/>
      <c r="I113" s="9"/>
      <c r="J113" s="9">
        <v>70000</v>
      </c>
      <c r="K113" s="47" t="s">
        <v>136</v>
      </c>
      <c r="L113" s="9">
        <f t="shared" si="3"/>
        <v>0</v>
      </c>
      <c r="M113" s="9">
        <f>Таблица13[[#This Row],[Нал]]+Таблица13[[#This Row],[Терминал]]-Таблица13[[#This Row],[Расход]]-Таблица13[[#This Row],[Закуп]]-Таблица13[[#This Row],[Расход со счета]]</f>
        <v>-70000</v>
      </c>
    </row>
    <row r="114" spans="2:13" ht="19" x14ac:dyDescent="0.2">
      <c r="B114" s="21"/>
      <c r="C114" s="33"/>
      <c r="D114" s="2" t="s">
        <v>10</v>
      </c>
      <c r="E114" s="13" t="s">
        <v>105</v>
      </c>
      <c r="F114" s="9">
        <v>332000</v>
      </c>
      <c r="G114" s="9"/>
      <c r="H114" s="9"/>
      <c r="I114" s="9" t="s">
        <v>137</v>
      </c>
      <c r="J114" s="9"/>
      <c r="K114" s="47"/>
      <c r="L114" s="9">
        <f t="shared" si="3"/>
        <v>0</v>
      </c>
      <c r="M114" s="44">
        <f>Таблица13[[#This Row],[Нал]]+Таблица13[[#This Row],[Терминал]]-Таблица13[[#This Row],[Расход]]-Таблица13[[#This Row],[Закуп]]-Таблица13[[#This Row],[Расход со счета]]</f>
        <v>332000</v>
      </c>
    </row>
    <row r="115" spans="2:13" ht="19" x14ac:dyDescent="0.2">
      <c r="B115" s="63">
        <f>Таблица13[[#This Row],[Нал]]+Таблица13[[#This Row],[Терминал]]+F116</f>
        <v>884000</v>
      </c>
      <c r="C115" s="32">
        <v>44521</v>
      </c>
      <c r="D115" s="3" t="s">
        <v>9</v>
      </c>
      <c r="E115" s="13" t="s">
        <v>29</v>
      </c>
      <c r="F115" s="9">
        <v>286000</v>
      </c>
      <c r="G115" s="9">
        <v>158000</v>
      </c>
      <c r="H115" s="9"/>
      <c r="I115" s="9"/>
      <c r="J115" s="9">
        <v>250000</v>
      </c>
      <c r="K115" s="47" t="s">
        <v>135</v>
      </c>
      <c r="L115" s="9">
        <f t="shared" si="3"/>
        <v>0</v>
      </c>
      <c r="M115" s="44">
        <f>Таблица13[[#This Row],[Нал]]+Таблица13[[#This Row],[Терминал]]-Таблица13[[#This Row],[Расход]]-Таблица13[[#This Row],[Закуп]]-Таблица13[[#This Row],[Расход со счета]]</f>
        <v>194000</v>
      </c>
    </row>
    <row r="116" spans="2:13" ht="19" x14ac:dyDescent="0.2">
      <c r="B116" s="21"/>
      <c r="C116" s="33"/>
      <c r="D116" s="2" t="s">
        <v>10</v>
      </c>
      <c r="E116" s="13" t="s">
        <v>105</v>
      </c>
      <c r="F116" s="9">
        <v>440000</v>
      </c>
      <c r="G116" s="9"/>
      <c r="H116" s="9"/>
      <c r="I116" s="9" t="s">
        <v>137</v>
      </c>
      <c r="J116" s="9">
        <v>50000</v>
      </c>
      <c r="K116" s="9" t="s">
        <v>138</v>
      </c>
      <c r="L116" s="9">
        <f t="shared" si="3"/>
        <v>0</v>
      </c>
      <c r="M116" s="44">
        <f>Таблица13[[#This Row],[Нал]]+Таблица13[[#This Row],[Терминал]]-Таблица13[[#This Row],[Расход]]-Таблица13[[#This Row],[Закуп]]-Таблица13[[#This Row],[Расход со счета]]</f>
        <v>390000</v>
      </c>
    </row>
    <row r="117" spans="2:13" ht="19" x14ac:dyDescent="0.2">
      <c r="B117" s="63">
        <f>Таблица13[[#This Row],[Нал]]+Таблица13[[#This Row],[Терминал]]+F120+G120</f>
        <v>1527000</v>
      </c>
      <c r="C117" s="32">
        <v>44522</v>
      </c>
      <c r="D117" s="3" t="s">
        <v>9</v>
      </c>
      <c r="E117" s="13" t="s">
        <v>28</v>
      </c>
      <c r="F117" s="15">
        <v>894000</v>
      </c>
      <c r="G117" s="9">
        <v>81000</v>
      </c>
      <c r="H117" s="9"/>
      <c r="I117" s="9"/>
      <c r="J117" s="9">
        <v>2590000</v>
      </c>
      <c r="K117" s="9" t="s">
        <v>88</v>
      </c>
      <c r="L117" s="9">
        <f t="shared" si="3"/>
        <v>0</v>
      </c>
      <c r="M117" s="9">
        <f>Таблица13[[#This Row],[Нал]]+Таблица13[[#This Row],[Терминал]]-Таблица13[[#This Row],[Расход]]-Таблица13[[#This Row],[Закуп]]-Таблица13[[#This Row],[Расход со счета]]</f>
        <v>-1615000</v>
      </c>
    </row>
    <row r="118" spans="2:13" ht="19" x14ac:dyDescent="0.2">
      <c r="B118" s="21"/>
      <c r="C118" s="32"/>
      <c r="D118" s="49"/>
      <c r="E118" s="13"/>
      <c r="F118" s="15"/>
      <c r="G118" s="9"/>
      <c r="H118" s="9"/>
      <c r="I118" s="9"/>
      <c r="J118" s="9">
        <v>345500</v>
      </c>
      <c r="K118" s="9" t="s">
        <v>139</v>
      </c>
      <c r="L118" s="9">
        <f t="shared" si="3"/>
        <v>0</v>
      </c>
      <c r="M118" s="9">
        <f>Таблица13[[#This Row],[Нал]]+Таблица13[[#This Row],[Терминал]]-Таблица13[[#This Row],[Расход]]-Таблица13[[#This Row],[Закуп]]-Таблица13[[#This Row],[Расход со счета]]</f>
        <v>-345500</v>
      </c>
    </row>
    <row r="119" spans="2:13" ht="19" x14ac:dyDescent="0.2">
      <c r="B119" s="21"/>
      <c r="C119" s="32"/>
      <c r="D119" s="49"/>
      <c r="E119" s="13"/>
      <c r="F119" s="15"/>
      <c r="G119" s="9"/>
      <c r="H119" s="9"/>
      <c r="I119" s="9"/>
      <c r="J119" s="9">
        <v>500000</v>
      </c>
      <c r="K119" s="9" t="s">
        <v>140</v>
      </c>
      <c r="L119" s="9">
        <f t="shared" si="3"/>
        <v>0</v>
      </c>
      <c r="M119" s="9">
        <f>Таблица13[[#This Row],[Нал]]+Таблица13[[#This Row],[Терминал]]-Таблица13[[#This Row],[Расход]]-Таблица13[[#This Row],[Закуп]]-Таблица13[[#This Row],[Расход со счета]]</f>
        <v>-500000</v>
      </c>
    </row>
    <row r="120" spans="2:13" ht="19" x14ac:dyDescent="0.2">
      <c r="B120" s="21"/>
      <c r="C120" s="33"/>
      <c r="D120" s="2" t="s">
        <v>10</v>
      </c>
      <c r="E120" s="13" t="s">
        <v>105</v>
      </c>
      <c r="F120" s="15">
        <v>412000</v>
      </c>
      <c r="G120" s="9">
        <v>140000</v>
      </c>
      <c r="H120" s="9"/>
      <c r="I120" s="9"/>
      <c r="J120" s="9">
        <v>60000</v>
      </c>
      <c r="K120" s="47" t="s">
        <v>141</v>
      </c>
      <c r="L120" s="9">
        <f t="shared" si="3"/>
        <v>0</v>
      </c>
      <c r="M120" s="9">
        <f>Таблица13[[#This Row],[Нал]]+Таблица13[[#This Row],[Терминал]]-Таблица13[[#This Row],[Расход]]-Таблица13[[#This Row],[Закуп]]-Таблица13[[#This Row],[Расход со счета]]</f>
        <v>492000</v>
      </c>
    </row>
    <row r="121" spans="2:13" ht="19" x14ac:dyDescent="0.2">
      <c r="B121" s="21"/>
      <c r="C121" s="33"/>
      <c r="D121" s="35"/>
      <c r="E121" s="13"/>
      <c r="F121" s="15"/>
      <c r="G121" s="9"/>
      <c r="H121" s="9"/>
      <c r="I121" s="9"/>
      <c r="J121" s="9">
        <v>37000</v>
      </c>
      <c r="K121" s="9" t="s">
        <v>128</v>
      </c>
      <c r="L121" s="9">
        <f t="shared" si="3"/>
        <v>0</v>
      </c>
      <c r="M121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22" spans="2:13" ht="19" x14ac:dyDescent="0.2">
      <c r="B122" s="63">
        <f>Таблица13[[#This Row],[Нал]]+Таблица13[[#This Row],[Терминал]]+F123</f>
        <v>1473000</v>
      </c>
      <c r="C122" s="32">
        <v>44523</v>
      </c>
      <c r="D122" s="3" t="s">
        <v>9</v>
      </c>
      <c r="E122" s="13" t="s">
        <v>28</v>
      </c>
      <c r="F122" s="15">
        <v>911000</v>
      </c>
      <c r="G122" s="9">
        <v>178000</v>
      </c>
      <c r="H122" s="9"/>
      <c r="I122" s="9"/>
      <c r="J122" s="9"/>
      <c r="K122" s="9"/>
      <c r="L122" s="9">
        <f t="shared" si="3"/>
        <v>0</v>
      </c>
      <c r="M122" s="9">
        <f>Таблица13[[#This Row],[Нал]]+Таблица13[[#This Row],[Терминал]]-Таблица13[[#This Row],[Расход]]-Таблица13[[#This Row],[Закуп]]-Таблица13[[#This Row],[Расход со счета]]</f>
        <v>1089000</v>
      </c>
    </row>
    <row r="123" spans="2:13" ht="19" x14ac:dyDescent="0.2">
      <c r="B123" s="21"/>
      <c r="C123" s="33"/>
      <c r="D123" s="2" t="s">
        <v>10</v>
      </c>
      <c r="E123" s="13" t="s">
        <v>105</v>
      </c>
      <c r="F123" s="15">
        <v>384000</v>
      </c>
      <c r="G123" s="9"/>
      <c r="H123" s="9"/>
      <c r="I123" s="9" t="s">
        <v>142</v>
      </c>
      <c r="J123" s="9">
        <v>60000</v>
      </c>
      <c r="K123" s="47" t="s">
        <v>141</v>
      </c>
      <c r="L123" s="9">
        <f t="shared" si="3"/>
        <v>0</v>
      </c>
      <c r="M123" s="9">
        <f>Таблица13[[#This Row],[Нал]]+Таблица13[[#This Row],[Терминал]]-Таблица13[[#This Row],[Расход]]-Таблица13[[#This Row],[Закуп]]-Таблица13[[#This Row],[Расход со счета]]</f>
        <v>324000</v>
      </c>
    </row>
    <row r="124" spans="2:13" ht="19" x14ac:dyDescent="0.2">
      <c r="B124" s="21"/>
      <c r="C124" s="33"/>
      <c r="D124" s="35"/>
      <c r="E124" s="13"/>
      <c r="F124" s="15"/>
      <c r="G124" s="9"/>
      <c r="H124" s="9"/>
      <c r="I124" s="9"/>
      <c r="J124" s="9">
        <v>25000</v>
      </c>
      <c r="K124" s="47" t="s">
        <v>143</v>
      </c>
      <c r="L124" s="9">
        <f t="shared" si="3"/>
        <v>0</v>
      </c>
      <c r="M124" s="9">
        <f>Таблица13[[#This Row],[Нал]]+Таблица13[[#This Row],[Терминал]]-Таблица13[[#This Row],[Расход]]-Таблица13[[#This Row],[Закуп]]-Таблица13[[#This Row],[Расход со счета]]</f>
        <v>-25000</v>
      </c>
    </row>
    <row r="125" spans="2:13" ht="19" x14ac:dyDescent="0.2">
      <c r="B125" s="63">
        <f>Таблица13[[#This Row],[Нал]]+Таблица13[[#This Row],[Терминал]]+F130+G130</f>
        <v>1425000</v>
      </c>
      <c r="C125" s="32">
        <v>44524</v>
      </c>
      <c r="D125" s="3" t="s">
        <v>9</v>
      </c>
      <c r="E125" s="13" t="s">
        <v>28</v>
      </c>
      <c r="F125" s="15">
        <v>1028000</v>
      </c>
      <c r="G125" s="9">
        <v>46000</v>
      </c>
      <c r="H125" s="9"/>
      <c r="I125" s="9" t="s">
        <v>149</v>
      </c>
      <c r="J125" s="9">
        <v>40000</v>
      </c>
      <c r="K125" s="9" t="s">
        <v>144</v>
      </c>
      <c r="L125" s="9">
        <f t="shared" si="3"/>
        <v>0</v>
      </c>
      <c r="M125" s="9">
        <f>Таблица13[[#This Row],[Нал]]+Таблица13[[#This Row],[Терминал]]-Таблица13[[#This Row],[Расход]]-Таблица13[[#This Row],[Закуп]]-Таблица13[[#This Row],[Расход со счета]]</f>
        <v>1034000</v>
      </c>
    </row>
    <row r="126" spans="2:13" ht="19" x14ac:dyDescent="0.2">
      <c r="B126" s="21"/>
      <c r="C126" s="58"/>
      <c r="D126" s="49"/>
      <c r="E126" s="13"/>
      <c r="F126" s="15"/>
      <c r="G126" s="9"/>
      <c r="H126" s="9"/>
      <c r="I126" s="9"/>
      <c r="J126" s="9">
        <v>308000</v>
      </c>
      <c r="K126" s="9" t="s">
        <v>145</v>
      </c>
      <c r="L126" s="9">
        <f t="shared" si="3"/>
        <v>0</v>
      </c>
      <c r="M126" s="9">
        <f>Таблица13[[#This Row],[Нал]]+Таблица13[[#This Row],[Терминал]]-Таблица13[[#This Row],[Расход]]-Таблица13[[#This Row],[Закуп]]-Таблица13[[#This Row],[Расход со счета]]</f>
        <v>-308000</v>
      </c>
    </row>
    <row r="127" spans="2:13" ht="19" x14ac:dyDescent="0.2">
      <c r="B127" s="21"/>
      <c r="C127" s="32"/>
      <c r="D127" s="49"/>
      <c r="E127" s="13"/>
      <c r="F127" s="15"/>
      <c r="G127" s="9"/>
      <c r="H127" s="9"/>
      <c r="I127" s="9"/>
      <c r="J127" s="9">
        <v>88000</v>
      </c>
      <c r="K127" s="47" t="s">
        <v>146</v>
      </c>
      <c r="L127" s="9">
        <f t="shared" si="3"/>
        <v>0</v>
      </c>
      <c r="M127" s="9">
        <f>Таблица13[[#This Row],[Нал]]+Таблица13[[#This Row],[Терминал]]-Таблица13[[#This Row],[Расход]]-Таблица13[[#This Row],[Закуп]]-Таблица13[[#This Row],[Расход со счета]]</f>
        <v>-88000</v>
      </c>
    </row>
    <row r="128" spans="2:13" ht="19" x14ac:dyDescent="0.2">
      <c r="B128" s="21"/>
      <c r="C128" s="32"/>
      <c r="D128" s="49"/>
      <c r="E128" s="13"/>
      <c r="F128" s="15"/>
      <c r="G128" s="9"/>
      <c r="H128" s="9"/>
      <c r="I128" s="9"/>
      <c r="J128" s="9">
        <v>315000</v>
      </c>
      <c r="K128" s="47" t="s">
        <v>147</v>
      </c>
      <c r="L128" s="9">
        <f t="shared" si="3"/>
        <v>0</v>
      </c>
      <c r="M128" s="9">
        <f>Таблица13[[#This Row],[Нал]]+Таблица13[[#This Row],[Терминал]]-Таблица13[[#This Row],[Расход]]-Таблица13[[#This Row],[Закуп]]-Таблица13[[#This Row],[Расход со счета]]</f>
        <v>-315000</v>
      </c>
    </row>
    <row r="129" spans="2:13" ht="19" x14ac:dyDescent="0.2">
      <c r="B129" s="21"/>
      <c r="C129" s="32"/>
      <c r="D129" s="49"/>
      <c r="E129" s="13"/>
      <c r="F129" s="15"/>
      <c r="G129" s="9"/>
      <c r="H129" s="9"/>
      <c r="I129" s="9"/>
      <c r="J129" s="9">
        <v>70000</v>
      </c>
      <c r="K129" s="47" t="s">
        <v>148</v>
      </c>
      <c r="L129" s="9">
        <f t="shared" si="3"/>
        <v>0</v>
      </c>
      <c r="M129" s="9">
        <f>Таблица13[[#This Row],[Нал]]+Таблица13[[#This Row],[Терминал]]-Таблица13[[#This Row],[Расход]]-Таблица13[[#This Row],[Закуп]]-Таблица13[[#This Row],[Расход со счета]]</f>
        <v>-70000</v>
      </c>
    </row>
    <row r="130" spans="2:13" ht="19" x14ac:dyDescent="0.2">
      <c r="B130" s="21"/>
      <c r="C130" s="33"/>
      <c r="D130" s="2" t="s">
        <v>10</v>
      </c>
      <c r="E130" s="13" t="s">
        <v>105</v>
      </c>
      <c r="F130" s="15">
        <v>321000</v>
      </c>
      <c r="G130" s="9">
        <v>30000</v>
      </c>
      <c r="H130" s="9"/>
      <c r="I130" s="9"/>
      <c r="J130" s="9"/>
      <c r="K130" s="9"/>
      <c r="L130" s="9">
        <f t="shared" si="3"/>
        <v>0</v>
      </c>
      <c r="M130" s="9">
        <f>Таблица13[[#This Row],[Нал]]+Таблица13[[#This Row],[Терминал]]-Таблица13[[#This Row],[Расход]]-Таблица13[[#This Row],[Закуп]]-Таблица13[[#This Row],[Расход со счета]]</f>
        <v>351000</v>
      </c>
    </row>
    <row r="131" spans="2:13" ht="19" x14ac:dyDescent="0.2">
      <c r="B131" s="63">
        <f>Таблица13[[#This Row],[Нал]]+Таблица13[[#This Row],[Терминал]]+F135</f>
        <v>1740000</v>
      </c>
      <c r="C131" s="32">
        <v>44525</v>
      </c>
      <c r="D131" s="3" t="s">
        <v>9</v>
      </c>
      <c r="E131" s="13" t="s">
        <v>28</v>
      </c>
      <c r="F131" s="15">
        <v>1146000</v>
      </c>
      <c r="G131" s="9">
        <v>48000</v>
      </c>
      <c r="H131" s="9"/>
      <c r="I131" s="9"/>
      <c r="J131" s="9">
        <v>3500</v>
      </c>
      <c r="K131" s="9" t="s">
        <v>91</v>
      </c>
      <c r="L131" s="9">
        <f t="shared" si="3"/>
        <v>0</v>
      </c>
      <c r="M131" s="9">
        <f>Таблица13[[#This Row],[Нал]]+Таблица13[[#This Row],[Терминал]]-Таблица13[[#This Row],[Расход]]-Таблица13[[#This Row],[Закуп]]-Таблица13[[#This Row],[Расход со счета]]</f>
        <v>1190500</v>
      </c>
    </row>
    <row r="132" spans="2:13" ht="19" x14ac:dyDescent="0.2">
      <c r="B132" s="21"/>
      <c r="C132" s="32"/>
      <c r="D132" s="49"/>
      <c r="E132" s="13"/>
      <c r="F132" s="15"/>
      <c r="G132" s="9"/>
      <c r="H132" s="9"/>
      <c r="I132" s="9"/>
      <c r="J132" s="9">
        <v>135500</v>
      </c>
      <c r="K132" s="9" t="s">
        <v>150</v>
      </c>
      <c r="L132" s="9">
        <f t="shared" si="3"/>
        <v>0</v>
      </c>
      <c r="M132" s="9">
        <f>Таблица13[[#This Row],[Нал]]+Таблица13[[#This Row],[Терминал]]-Таблица13[[#This Row],[Расход]]-Таблица13[[#This Row],[Закуп]]-Таблица13[[#This Row],[Расход со счета]]</f>
        <v>-135500</v>
      </c>
    </row>
    <row r="133" spans="2:13" ht="19" x14ac:dyDescent="0.2">
      <c r="B133" s="21"/>
      <c r="C133" s="32"/>
      <c r="D133" s="49"/>
      <c r="E133" s="13"/>
      <c r="F133" s="15"/>
      <c r="G133" s="9"/>
      <c r="H133" s="9"/>
      <c r="I133" s="9"/>
      <c r="J133" s="9">
        <v>620000</v>
      </c>
      <c r="K133" s="9" t="s">
        <v>151</v>
      </c>
      <c r="L133" s="9">
        <f t="shared" si="3"/>
        <v>0</v>
      </c>
      <c r="M133" s="9">
        <f>Таблица13[[#This Row],[Нал]]+Таблица13[[#This Row],[Терминал]]-Таблица13[[#This Row],[Расход]]-Таблица13[[#This Row],[Закуп]]-Таблица13[[#This Row],[Расход со счета]]</f>
        <v>-620000</v>
      </c>
    </row>
    <row r="134" spans="2:13" ht="19" x14ac:dyDescent="0.2">
      <c r="B134" s="21"/>
      <c r="C134" s="32"/>
      <c r="D134" s="49"/>
      <c r="E134" s="13"/>
      <c r="F134" s="15"/>
      <c r="G134" s="9"/>
      <c r="H134" s="9"/>
      <c r="I134" s="9"/>
      <c r="J134" s="9">
        <v>48000</v>
      </c>
      <c r="K134" s="47" t="s">
        <v>119</v>
      </c>
      <c r="L134" s="9">
        <f t="shared" si="3"/>
        <v>0</v>
      </c>
      <c r="M134" s="9">
        <f>Таблица13[[#This Row],[Нал]]+Таблица13[[#This Row],[Терминал]]-Таблица13[[#This Row],[Расход]]-Таблица13[[#This Row],[Закуп]]-Таблица13[[#This Row],[Расход со счета]]</f>
        <v>-48000</v>
      </c>
    </row>
    <row r="135" spans="2:13" ht="19" x14ac:dyDescent="0.2">
      <c r="B135" s="21"/>
      <c r="C135" s="33"/>
      <c r="D135" s="2" t="s">
        <v>10</v>
      </c>
      <c r="E135" s="13" t="s">
        <v>105</v>
      </c>
      <c r="F135" s="15">
        <v>546000</v>
      </c>
      <c r="G135" s="9"/>
      <c r="H135" s="9"/>
      <c r="I135" s="9"/>
      <c r="J135" s="9">
        <v>200000</v>
      </c>
      <c r="K135" s="47" t="s">
        <v>95</v>
      </c>
      <c r="L135" s="9">
        <f t="shared" si="3"/>
        <v>0</v>
      </c>
      <c r="M135" s="9">
        <f>Таблица13[[#This Row],[Нал]]+Таблица13[[#This Row],[Терминал]]-Таблица13[[#This Row],[Расход]]-Таблица13[[#This Row],[Закуп]]-Таблица13[[#This Row],[Расход со счета]]</f>
        <v>346000</v>
      </c>
    </row>
    <row r="136" spans="2:13" ht="19" x14ac:dyDescent="0.2">
      <c r="B136" s="21"/>
      <c r="C136" s="33"/>
      <c r="D136" s="35"/>
      <c r="E136" s="13"/>
      <c r="F136" s="15"/>
      <c r="G136" s="9"/>
      <c r="H136" s="9"/>
      <c r="I136" s="9"/>
      <c r="J136" s="9">
        <v>70000</v>
      </c>
      <c r="K136" s="9" t="s">
        <v>96</v>
      </c>
      <c r="L136" s="9">
        <f t="shared" si="3"/>
        <v>0</v>
      </c>
      <c r="M136" s="9">
        <f>Таблица13[[#This Row],[Нал]]+Таблица13[[#This Row],[Терминал]]-Таблица13[[#This Row],[Расход]]-Таблица13[[#This Row],[Закуп]]-Таблица13[[#This Row],[Расход со счета]]</f>
        <v>-70000</v>
      </c>
    </row>
    <row r="137" spans="2:13" ht="19" x14ac:dyDescent="0.2">
      <c r="B137" s="21"/>
      <c r="C137" s="33"/>
      <c r="D137" s="35"/>
      <c r="E137" s="13"/>
      <c r="F137" s="15"/>
      <c r="G137" s="9"/>
      <c r="H137" s="9"/>
      <c r="I137" s="9"/>
      <c r="J137" s="9"/>
      <c r="K137" s="9"/>
      <c r="L137" s="9">
        <f t="shared" si="3"/>
        <v>0</v>
      </c>
      <c r="M137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38" spans="2:13" ht="19" x14ac:dyDescent="0.2">
      <c r="B138" s="21"/>
      <c r="C138" s="33"/>
      <c r="D138" s="35"/>
      <c r="E138" s="13"/>
      <c r="F138" s="15"/>
      <c r="G138" s="9"/>
      <c r="H138" s="9"/>
      <c r="I138" s="9"/>
      <c r="J138" s="9"/>
      <c r="K138" s="9"/>
      <c r="L138" s="9">
        <f t="shared" si="3"/>
        <v>0</v>
      </c>
      <c r="M138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39" spans="2:13" ht="19" x14ac:dyDescent="0.2">
      <c r="B139" s="21"/>
      <c r="C139" s="33"/>
      <c r="D139" s="35"/>
      <c r="E139" s="13"/>
      <c r="F139" s="15"/>
      <c r="G139" s="9"/>
      <c r="H139" s="9"/>
      <c r="I139" s="9"/>
      <c r="J139" s="9"/>
      <c r="K139" s="9"/>
      <c r="L139" s="9">
        <f t="shared" si="3"/>
        <v>0</v>
      </c>
      <c r="M139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40" spans="2:13" ht="19" x14ac:dyDescent="0.2">
      <c r="B140" s="63">
        <f>Таблица13[[#This Row],[Нал]]+Таблица13[[#This Row],[Терминал]]+F145+G145</f>
        <v>1812000</v>
      </c>
      <c r="C140" s="32">
        <v>44526</v>
      </c>
      <c r="D140" s="3" t="s">
        <v>9</v>
      </c>
      <c r="E140" s="13" t="s">
        <v>28</v>
      </c>
      <c r="F140" s="9">
        <v>988000</v>
      </c>
      <c r="G140" s="9">
        <v>189000</v>
      </c>
      <c r="H140" s="9"/>
      <c r="I140" s="9"/>
      <c r="J140" s="9">
        <v>174000</v>
      </c>
      <c r="K140" s="47" t="s">
        <v>152</v>
      </c>
      <c r="L140" s="9">
        <f t="shared" ref="L140:L164" si="4">SUBTOTAL(109,L143:L294)</f>
        <v>0</v>
      </c>
      <c r="M140" s="44">
        <f>Таблица13[[#This Row],[Нал]]+Таблица13[[#This Row],[Терминал]]-Таблица13[[#This Row],[Расход]]-Таблица13[[#This Row],[Закуп]]-Таблица13[[#This Row],[Расход со счета]]</f>
        <v>1003000</v>
      </c>
    </row>
    <row r="141" spans="2:13" ht="19" x14ac:dyDescent="0.2">
      <c r="B141" s="21"/>
      <c r="C141" s="32"/>
      <c r="D141" s="49"/>
      <c r="E141" s="13"/>
      <c r="F141" s="15"/>
      <c r="G141" s="9"/>
      <c r="H141" s="9"/>
      <c r="I141" s="9"/>
      <c r="J141" s="9">
        <v>236000</v>
      </c>
      <c r="K141" s="47" t="s">
        <v>145</v>
      </c>
      <c r="L141" s="9">
        <f t="shared" si="4"/>
        <v>0</v>
      </c>
      <c r="M141" s="9">
        <f>Таблица13[[#This Row],[Нал]]+Таблица13[[#This Row],[Терминал]]-Таблица13[[#This Row],[Расход]]-Таблица13[[#This Row],[Закуп]]-Таблица13[[#This Row],[Расход со счета]]</f>
        <v>-236000</v>
      </c>
    </row>
    <row r="142" spans="2:13" ht="19" x14ac:dyDescent="0.2">
      <c r="B142" s="21"/>
      <c r="C142" s="32"/>
      <c r="D142" s="49"/>
      <c r="E142" s="13"/>
      <c r="F142" s="15"/>
      <c r="G142" s="9"/>
      <c r="H142" s="9"/>
      <c r="I142" s="9"/>
      <c r="J142" s="9">
        <v>105000</v>
      </c>
      <c r="K142" s="47" t="s">
        <v>153</v>
      </c>
      <c r="L142" s="9">
        <f t="shared" si="4"/>
        <v>0</v>
      </c>
      <c r="M142" s="9">
        <f>Таблица13[[#This Row],[Нал]]+Таблица13[[#This Row],[Терминал]]-Таблица13[[#This Row],[Расход]]-Таблица13[[#This Row],[Закуп]]-Таблица13[[#This Row],[Расход со счета]]</f>
        <v>-105000</v>
      </c>
    </row>
    <row r="143" spans="2:13" ht="19" x14ac:dyDescent="0.2">
      <c r="B143" s="21"/>
      <c r="C143" s="32"/>
      <c r="D143" s="49"/>
      <c r="E143" s="13"/>
      <c r="F143" s="15"/>
      <c r="G143" s="9"/>
      <c r="H143" s="9"/>
      <c r="I143" s="9"/>
      <c r="J143" s="9">
        <v>45000</v>
      </c>
      <c r="K143" s="47" t="s">
        <v>97</v>
      </c>
      <c r="L143" s="9">
        <f t="shared" si="4"/>
        <v>0</v>
      </c>
      <c r="M143" s="9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144" spans="2:13" ht="19" x14ac:dyDescent="0.2">
      <c r="B144" s="21"/>
      <c r="C144" s="32"/>
      <c r="D144" s="49"/>
      <c r="E144" s="13"/>
      <c r="F144" s="15"/>
      <c r="G144" s="9"/>
      <c r="H144" s="9"/>
      <c r="I144" s="9"/>
      <c r="J144" s="9">
        <v>37000</v>
      </c>
      <c r="K144" s="47" t="s">
        <v>128</v>
      </c>
      <c r="L144" s="9">
        <f t="shared" si="4"/>
        <v>0</v>
      </c>
      <c r="M144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45" spans="2:13" ht="19" x14ac:dyDescent="0.2">
      <c r="B145" s="21"/>
      <c r="C145" s="33"/>
      <c r="D145" s="2" t="s">
        <v>10</v>
      </c>
      <c r="E145" s="13" t="s">
        <v>105</v>
      </c>
      <c r="F145" s="9">
        <v>617000</v>
      </c>
      <c r="G145" s="9">
        <v>18000</v>
      </c>
      <c r="H145" s="9"/>
      <c r="I145" s="9"/>
      <c r="J145" s="9"/>
      <c r="K145" s="9"/>
      <c r="L145" s="9">
        <f t="shared" si="4"/>
        <v>0</v>
      </c>
      <c r="M145" s="44">
        <f>Таблица13[[#This Row],[Нал]]+Таблица13[[#This Row],[Терминал]]-Таблица13[[#This Row],[Расход]]-Таблица13[[#This Row],[Закуп]]-Таблица13[[#This Row],[Расход со счета]]</f>
        <v>635000</v>
      </c>
    </row>
    <row r="146" spans="2:13" ht="19" x14ac:dyDescent="0.2">
      <c r="B146" s="63">
        <f>Таблица13[[#This Row],[Нал]]+Таблица13[[#This Row],[Терминал]]+F152+G152</f>
        <v>1380000</v>
      </c>
      <c r="C146" s="32">
        <v>44527</v>
      </c>
      <c r="D146" s="3" t="s">
        <v>9</v>
      </c>
      <c r="E146" s="13" t="s">
        <v>28</v>
      </c>
      <c r="F146" s="9">
        <v>991000</v>
      </c>
      <c r="G146" s="9">
        <v>78000</v>
      </c>
      <c r="H146" s="9"/>
      <c r="I146" s="9"/>
      <c r="J146" s="9">
        <v>57000</v>
      </c>
      <c r="K146" s="9" t="s">
        <v>115</v>
      </c>
      <c r="L146" s="9">
        <f t="shared" si="4"/>
        <v>0</v>
      </c>
      <c r="M146" s="44">
        <f>Таблица13[[#This Row],[Нал]]+Таблица13[[#This Row],[Терминал]]-Таблица13[[#This Row],[Расход]]-Таблица13[[#This Row],[Закуп]]-Таблица13[[#This Row],[Расход со счета]]</f>
        <v>1012000</v>
      </c>
    </row>
    <row r="147" spans="2:13" ht="19" x14ac:dyDescent="0.2">
      <c r="B147" s="21"/>
      <c r="C147" s="32"/>
      <c r="D147" s="49"/>
      <c r="E147" s="13"/>
      <c r="F147" s="15"/>
      <c r="G147" s="9"/>
      <c r="H147" s="9"/>
      <c r="I147" s="9"/>
      <c r="J147" s="9">
        <v>17000</v>
      </c>
      <c r="K147" s="9" t="s">
        <v>154</v>
      </c>
      <c r="L147" s="9">
        <f t="shared" si="4"/>
        <v>0</v>
      </c>
      <c r="M147" s="9">
        <f>Таблица13[[#This Row],[Нал]]+Таблица13[[#This Row],[Терминал]]-Таблица13[[#This Row],[Расход]]-Таблица13[[#This Row],[Закуп]]-Таблица13[[#This Row],[Расход со счета]]</f>
        <v>-17000</v>
      </c>
    </row>
    <row r="148" spans="2:13" ht="19" x14ac:dyDescent="0.2">
      <c r="B148" s="21"/>
      <c r="C148" s="32"/>
      <c r="D148" s="49"/>
      <c r="E148" s="13"/>
      <c r="F148" s="15"/>
      <c r="G148" s="9"/>
      <c r="H148" s="9"/>
      <c r="I148" s="9"/>
      <c r="J148" s="9">
        <v>113500</v>
      </c>
      <c r="K148" s="9" t="s">
        <v>66</v>
      </c>
      <c r="L148" s="9">
        <f t="shared" si="4"/>
        <v>0</v>
      </c>
      <c r="M148" s="9">
        <f>Таблица13[[#This Row],[Нал]]+Таблица13[[#This Row],[Терминал]]-Таблица13[[#This Row],[Расход]]-Таблица13[[#This Row],[Закуп]]-Таблица13[[#This Row],[Расход со счета]]</f>
        <v>-113500</v>
      </c>
    </row>
    <row r="149" spans="2:13" ht="19" x14ac:dyDescent="0.2">
      <c r="B149" s="21"/>
      <c r="C149" s="32"/>
      <c r="D149" s="49"/>
      <c r="E149" s="13"/>
      <c r="F149" s="15"/>
      <c r="G149" s="9"/>
      <c r="H149" s="9"/>
      <c r="I149" s="9"/>
      <c r="J149" s="9">
        <v>48000</v>
      </c>
      <c r="K149" s="9" t="s">
        <v>155</v>
      </c>
      <c r="L149" s="9">
        <f t="shared" si="4"/>
        <v>0</v>
      </c>
      <c r="M149" s="9">
        <f>Таблица13[[#This Row],[Нал]]+Таблица13[[#This Row],[Терминал]]-Таблица13[[#This Row],[Расход]]-Таблица13[[#This Row],[Закуп]]-Таблица13[[#This Row],[Расход со счета]]</f>
        <v>-48000</v>
      </c>
    </row>
    <row r="150" spans="2:13" ht="19" x14ac:dyDescent="0.2">
      <c r="B150" s="21"/>
      <c r="C150" s="32"/>
      <c r="D150" s="49"/>
      <c r="E150" s="13"/>
      <c r="F150" s="15"/>
      <c r="G150" s="9"/>
      <c r="H150" s="9"/>
      <c r="I150" s="9"/>
      <c r="J150" s="9">
        <v>15000</v>
      </c>
      <c r="K150" s="9" t="s">
        <v>156</v>
      </c>
      <c r="L150" s="9">
        <f t="shared" si="4"/>
        <v>0</v>
      </c>
      <c r="M150" s="9">
        <f>Таблица13[[#This Row],[Нал]]+Таблица13[[#This Row],[Терминал]]-Таблица13[[#This Row],[Расход]]-Таблица13[[#This Row],[Закуп]]-Таблица13[[#This Row],[Расход со счета]]</f>
        <v>-15000</v>
      </c>
    </row>
    <row r="151" spans="2:13" ht="19" x14ac:dyDescent="0.2">
      <c r="B151" s="21"/>
      <c r="C151" s="32"/>
      <c r="D151" s="49"/>
      <c r="E151" s="13"/>
      <c r="F151" s="15"/>
      <c r="G151" s="9"/>
      <c r="H151" s="9"/>
      <c r="I151" s="9"/>
      <c r="J151" s="9"/>
      <c r="K151" s="9" t="s">
        <v>157</v>
      </c>
      <c r="L151" s="9">
        <f t="shared" si="4"/>
        <v>0</v>
      </c>
      <c r="M151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52" spans="2:13" ht="19" x14ac:dyDescent="0.2">
      <c r="B152" s="21"/>
      <c r="C152" s="33"/>
      <c r="D152" s="2" t="s">
        <v>10</v>
      </c>
      <c r="E152" s="13" t="s">
        <v>105</v>
      </c>
      <c r="F152" s="9">
        <v>293000</v>
      </c>
      <c r="G152" s="9">
        <v>18000</v>
      </c>
      <c r="H152" s="9"/>
      <c r="I152" s="9"/>
      <c r="J152" s="9">
        <v>10000</v>
      </c>
      <c r="K152" s="9" t="s">
        <v>158</v>
      </c>
      <c r="L152" s="9">
        <f t="shared" si="4"/>
        <v>0</v>
      </c>
      <c r="M152" s="44">
        <f>Таблица13[[#This Row],[Нал]]+Таблица13[[#This Row],[Терминал]]-Таблица13[[#This Row],[Расход]]-Таблица13[[#This Row],[Закуп]]-Таблица13[[#This Row],[Расход со счета]]</f>
        <v>301000</v>
      </c>
    </row>
    <row r="153" spans="2:13" ht="19" x14ac:dyDescent="0.2">
      <c r="B153" s="63">
        <f>Таблица13[[#This Row],[Нал]]+Таблица13[[#This Row],[Терминал]]+F155</f>
        <v>819000</v>
      </c>
      <c r="C153" s="32">
        <v>44528</v>
      </c>
      <c r="D153" s="3" t="s">
        <v>9</v>
      </c>
      <c r="E153" s="13" t="s">
        <v>28</v>
      </c>
      <c r="F153" s="15">
        <v>485000</v>
      </c>
      <c r="G153" s="9">
        <v>57000</v>
      </c>
      <c r="H153" s="9"/>
      <c r="I153" s="9"/>
      <c r="J153" s="9">
        <v>7000</v>
      </c>
      <c r="K153" s="9" t="s">
        <v>159</v>
      </c>
      <c r="L153" s="9">
        <f t="shared" si="4"/>
        <v>0</v>
      </c>
      <c r="M153" s="9">
        <f>Таблица13[[#This Row],[Нал]]+Таблица13[[#This Row],[Терминал]]-Таблица13[[#This Row],[Расход]]-Таблица13[[#This Row],[Закуп]]-Таблица13[[#This Row],[Расход со счета]]</f>
        <v>535000</v>
      </c>
    </row>
    <row r="154" spans="2:13" ht="19" x14ac:dyDescent="0.2">
      <c r="B154" s="21"/>
      <c r="C154" s="32"/>
      <c r="D154" s="49"/>
      <c r="E154" s="13"/>
      <c r="F154" s="15"/>
      <c r="G154" s="9"/>
      <c r="H154" s="9"/>
      <c r="I154" s="9"/>
      <c r="J154" s="9">
        <v>45000</v>
      </c>
      <c r="K154" s="9" t="s">
        <v>101</v>
      </c>
      <c r="L154" s="9">
        <f t="shared" si="4"/>
        <v>0</v>
      </c>
      <c r="M154" s="9">
        <f>Таблица13[[#This Row],[Нал]]+Таблица13[[#This Row],[Терминал]]-Таблица13[[#This Row],[Расход]]-Таблица13[[#This Row],[Закуп]]-Таблица13[[#This Row],[Расход со счета]]</f>
        <v>-45000</v>
      </c>
    </row>
    <row r="155" spans="2:13" ht="19" x14ac:dyDescent="0.2">
      <c r="B155" s="21"/>
      <c r="C155" s="33"/>
      <c r="D155" s="2" t="s">
        <v>10</v>
      </c>
      <c r="E155" s="13" t="s">
        <v>160</v>
      </c>
      <c r="F155" s="15">
        <v>277000</v>
      </c>
      <c r="G155" s="9"/>
      <c r="H155" s="9">
        <v>120000</v>
      </c>
      <c r="I155" s="9" t="s">
        <v>161</v>
      </c>
      <c r="J155" s="9">
        <v>95000</v>
      </c>
      <c r="K155" s="9" t="s">
        <v>162</v>
      </c>
      <c r="L155" s="9">
        <f t="shared" si="4"/>
        <v>0</v>
      </c>
      <c r="M155" s="9">
        <f>Таблица13[[#This Row],[Нал]]+Таблица13[[#This Row],[Терминал]]-Таблица13[[#This Row],[Расход]]-Таблица13[[#This Row],[Закуп]]-Таблица13[[#This Row],[Расход со счета]]</f>
        <v>62000</v>
      </c>
    </row>
    <row r="156" spans="2:13" ht="19" x14ac:dyDescent="0.2">
      <c r="B156" s="21"/>
      <c r="C156" s="33"/>
      <c r="D156" s="35"/>
      <c r="E156" s="13"/>
      <c r="F156" s="15"/>
      <c r="G156" s="9"/>
      <c r="H156" s="9"/>
      <c r="I156" s="9" t="s">
        <v>165</v>
      </c>
      <c r="J156" s="9"/>
      <c r="K156" s="9"/>
      <c r="L156" s="9">
        <f t="shared" si="4"/>
        <v>0</v>
      </c>
      <c r="M156" s="9">
        <f>Таблица13[[#This Row],[Нал]]+Таблица13[[#This Row],[Терминал]]-Таблица13[[#This Row],[Расход]]-Таблица13[[#This Row],[Закуп]]-Таблица13[[#This Row],[Расход со счета]]</f>
        <v>0</v>
      </c>
    </row>
    <row r="157" spans="2:13" ht="19" x14ac:dyDescent="0.2">
      <c r="B157" s="63">
        <f>Таблица13[[#This Row],[Нал]]+Таблица13[[#This Row],[Терминал]]+F160</f>
        <v>1283000</v>
      </c>
      <c r="C157" s="32">
        <v>44529</v>
      </c>
      <c r="D157" s="3" t="s">
        <v>9</v>
      </c>
      <c r="E157" s="13" t="s">
        <v>28</v>
      </c>
      <c r="F157" s="15">
        <v>806000</v>
      </c>
      <c r="G157" s="9">
        <v>68000</v>
      </c>
      <c r="H157" s="9"/>
      <c r="I157" s="9"/>
      <c r="J157" s="9">
        <v>96000</v>
      </c>
      <c r="K157" s="9" t="s">
        <v>163</v>
      </c>
      <c r="L157" s="9">
        <f t="shared" si="4"/>
        <v>0</v>
      </c>
      <c r="M157" s="9">
        <f>Таблица13[[#This Row],[Нал]]+Таблица13[[#This Row],[Терминал]]-Таблица13[[#This Row],[Расход]]-Таблица13[[#This Row],[Закуп]]-Таблица13[[#This Row],[Расход со счета]]</f>
        <v>778000</v>
      </c>
    </row>
    <row r="158" spans="2:13" ht="19" x14ac:dyDescent="0.2">
      <c r="B158" s="21"/>
      <c r="C158" s="32"/>
      <c r="D158" s="49"/>
      <c r="E158" s="13"/>
      <c r="F158" s="15"/>
      <c r="G158" s="9"/>
      <c r="H158" s="9"/>
      <c r="I158" s="9"/>
      <c r="J158" s="9">
        <v>40500</v>
      </c>
      <c r="K158" s="9" t="s">
        <v>164</v>
      </c>
      <c r="L158" s="9">
        <f t="shared" si="4"/>
        <v>0</v>
      </c>
      <c r="M158" s="9">
        <f>Таблица13[[#This Row],[Нал]]+Таблица13[[#This Row],[Терминал]]-Таблица13[[#This Row],[Расход]]-Таблица13[[#This Row],[Закуп]]-Таблица13[[#This Row],[Расход со счета]]</f>
        <v>-40500</v>
      </c>
    </row>
    <row r="159" spans="2:13" ht="19" x14ac:dyDescent="0.2">
      <c r="B159" s="21"/>
      <c r="C159" s="32"/>
      <c r="D159" s="49"/>
      <c r="E159" s="13"/>
      <c r="F159" s="15"/>
      <c r="G159" s="9"/>
      <c r="H159" s="9"/>
      <c r="I159" s="9"/>
      <c r="J159" s="9">
        <v>144000</v>
      </c>
      <c r="K159" s="9" t="s">
        <v>166</v>
      </c>
      <c r="L159" s="9">
        <f t="shared" si="4"/>
        <v>0</v>
      </c>
      <c r="M159" s="9">
        <f>Таблица13[[#This Row],[Нал]]+Таблица13[[#This Row],[Терминал]]-Таблица13[[#This Row],[Расход]]-Таблица13[[#This Row],[Закуп]]-Таблица13[[#This Row],[Расход со счета]]</f>
        <v>-144000</v>
      </c>
    </row>
    <row r="160" spans="2:13" ht="19" x14ac:dyDescent="0.2">
      <c r="B160" s="21"/>
      <c r="C160" s="33"/>
      <c r="D160" s="2" t="s">
        <v>10</v>
      </c>
      <c r="E160" s="13" t="s">
        <v>105</v>
      </c>
      <c r="F160" s="15">
        <v>409000</v>
      </c>
      <c r="G160" s="9"/>
      <c r="H160" s="9"/>
      <c r="I160" s="9" t="s">
        <v>167</v>
      </c>
      <c r="J160" s="9">
        <v>50000</v>
      </c>
      <c r="K160" s="9" t="s">
        <v>138</v>
      </c>
      <c r="L160" s="9">
        <f t="shared" si="4"/>
        <v>0</v>
      </c>
      <c r="M160" s="9">
        <f>Таблица13[[#This Row],[Нал]]+Таблица13[[#This Row],[Терминал]]-Таблица13[[#This Row],[Расход]]-Таблица13[[#This Row],[Закуп]]-Таблица13[[#This Row],[Расход со счета]]</f>
        <v>359000</v>
      </c>
    </row>
    <row r="161" spans="2:13" ht="19" x14ac:dyDescent="0.2">
      <c r="B161" s="63">
        <f>Таблица13[[#This Row],[Нал]]+Таблица13[[#This Row],[Терминал]]+F163+G163</f>
        <v>983000</v>
      </c>
      <c r="C161" s="32">
        <v>44530</v>
      </c>
      <c r="D161" s="3" t="s">
        <v>9</v>
      </c>
      <c r="E161" s="13" t="s">
        <v>28</v>
      </c>
      <c r="F161" s="9">
        <v>682000</v>
      </c>
      <c r="G161" s="9">
        <v>23000</v>
      </c>
      <c r="H161" s="9">
        <v>1560000</v>
      </c>
      <c r="I161" s="9" t="s">
        <v>168</v>
      </c>
      <c r="J161" s="9">
        <v>210000</v>
      </c>
      <c r="K161" s="9" t="s">
        <v>72</v>
      </c>
      <c r="L161" s="9">
        <f t="shared" si="4"/>
        <v>0</v>
      </c>
      <c r="M161" s="44">
        <f>Таблица13[[#This Row],[Нал]]+Таблица13[[#This Row],[Терминал]]-Таблица13[[#This Row],[Расход]]-Таблица13[[#This Row],[Закуп]]-Таблица13[[#This Row],[Расход со счета]]</f>
        <v>-1065000</v>
      </c>
    </row>
    <row r="162" spans="2:13" ht="19" x14ac:dyDescent="0.2">
      <c r="B162" s="21"/>
      <c r="C162" s="32"/>
      <c r="D162" s="49"/>
      <c r="E162" s="13"/>
      <c r="F162" s="15"/>
      <c r="G162" s="9"/>
      <c r="H162" s="60">
        <v>323000</v>
      </c>
      <c r="I162" s="60" t="s">
        <v>170</v>
      </c>
      <c r="J162" s="9"/>
      <c r="K162" s="9"/>
      <c r="L162" s="9">
        <f t="shared" si="4"/>
        <v>0</v>
      </c>
      <c r="M162" s="9">
        <f>Таблица13[[#This Row],[Нал]]+Таблица13[[#This Row],[Терминал]]-Таблица13[[#This Row],[Расход]]-Таблица13[[#This Row],[Закуп]]-Таблица13[[#This Row],[Расход со счета]]</f>
        <v>-323000</v>
      </c>
    </row>
    <row r="163" spans="2:13" ht="19" x14ac:dyDescent="0.2">
      <c r="B163" s="21"/>
      <c r="C163" s="33"/>
      <c r="D163" s="2" t="s">
        <v>10</v>
      </c>
      <c r="E163" s="13" t="s">
        <v>105</v>
      </c>
      <c r="F163" s="9">
        <v>250000</v>
      </c>
      <c r="G163" s="9">
        <v>28000</v>
      </c>
      <c r="H163" s="9">
        <v>1920000</v>
      </c>
      <c r="I163" s="9" t="s">
        <v>169</v>
      </c>
      <c r="J163" s="9">
        <v>45000</v>
      </c>
      <c r="K163" s="9" t="s">
        <v>112</v>
      </c>
      <c r="L163" s="9">
        <f t="shared" si="4"/>
        <v>0</v>
      </c>
      <c r="M163" s="44">
        <f>Таблица13[[#This Row],[Нал]]+Таблица13[[#This Row],[Терминал]]-Таблица13[[#This Row],[Расход]]-Таблица13[[#This Row],[Закуп]]-Таблица13[[#This Row],[Расход со счета]]</f>
        <v>-1687000</v>
      </c>
    </row>
    <row r="164" spans="2:13" ht="19" x14ac:dyDescent="0.2">
      <c r="B164" s="21"/>
      <c r="C164" s="33"/>
      <c r="D164" s="35"/>
      <c r="E164" s="13"/>
      <c r="F164" s="15"/>
      <c r="G164" s="9"/>
      <c r="H164" s="9"/>
      <c r="I164" s="9"/>
      <c r="J164" s="9">
        <v>37000</v>
      </c>
      <c r="K164" s="9" t="s">
        <v>56</v>
      </c>
      <c r="L164" s="9">
        <f t="shared" si="4"/>
        <v>0</v>
      </c>
      <c r="M164" s="9">
        <f>Таблица13[[#This Row],[Нал]]+Таблица13[[#This Row],[Терминал]]-Таблица13[[#This Row],[Расход]]-Таблица13[[#This Row],[Закуп]]-Таблица13[[#This Row],[Расход со счета]]</f>
        <v>-37000</v>
      </c>
    </row>
    <row r="165" spans="2:13" ht="19" x14ac:dyDescent="0.2">
      <c r="B165" s="21"/>
      <c r="C165" s="33"/>
      <c r="D165" s="35"/>
      <c r="E165" s="13"/>
      <c r="F165" s="15"/>
      <c r="G165" s="9"/>
      <c r="H165" s="9"/>
      <c r="I165" s="9"/>
      <c r="J165" s="9">
        <v>105000</v>
      </c>
      <c r="K165" s="9" t="s">
        <v>153</v>
      </c>
      <c r="L165" s="9">
        <f>SUBTOTAL(109,L167:L319)</f>
        <v>0</v>
      </c>
      <c r="M165" s="9">
        <f>Таблица13[[#This Row],[Нал]]+Таблица13[[#This Row],[Терминал]]-Таблица13[[#This Row],[Расход]]-Таблица13[[#This Row],[Закуп]]-Таблица13[[#This Row],[Расход со счета]]</f>
        <v>-105000</v>
      </c>
    </row>
    <row r="166" spans="2:13" ht="19" x14ac:dyDescent="0.2">
      <c r="B166" s="21"/>
      <c r="C166" s="33"/>
      <c r="D166" s="35"/>
      <c r="E166" s="13" t="s">
        <v>171</v>
      </c>
      <c r="F166" s="15"/>
      <c r="G166" s="9"/>
      <c r="H166" s="9">
        <v>1500000</v>
      </c>
      <c r="I166" s="9" t="s">
        <v>172</v>
      </c>
      <c r="J166" s="9"/>
      <c r="K166" s="9"/>
      <c r="L166" s="9">
        <f>SUBTOTAL(109,L168:L320)</f>
        <v>0</v>
      </c>
      <c r="M166" s="9">
        <f>Таблица13[[#This Row],[Нал]]+Таблица13[[#This Row],[Терминал]]-Таблица13[[#This Row],[Расход]]-Таблица13[[#This Row],[Закуп]]-Таблица13[[#This Row],[Расход со счета]]</f>
        <v>-1500000</v>
      </c>
    </row>
  </sheetData>
  <mergeCells count="1">
    <mergeCell ref="G3:H3"/>
  </mergeCells>
  <pageMargins left="0.25" right="0.25" top="0.75" bottom="0.75" header="0.3" footer="0.3"/>
  <pageSetup paperSize="9" scale="50" fitToHeight="0"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L167"/>
  <sheetViews>
    <sheetView zoomScale="90" zoomScaleNormal="90" workbookViewId="0">
      <selection activeCell="J30" sqref="J30"/>
    </sheetView>
  </sheetViews>
  <sheetFormatPr baseColWidth="10" defaultColWidth="8.83203125" defaultRowHeight="15" x14ac:dyDescent="0.2"/>
  <cols>
    <col min="1" max="1" width="23.83203125" bestFit="1" customWidth="1"/>
    <col min="2" max="2" width="12" customWidth="1"/>
    <col min="3" max="3" width="16.83203125" bestFit="1" customWidth="1"/>
    <col min="4" max="4" width="12.1640625" bestFit="1" customWidth="1"/>
    <col min="5" max="5" width="23.6640625" bestFit="1" customWidth="1"/>
    <col min="6" max="6" width="22.1640625" bestFit="1" customWidth="1"/>
    <col min="7" max="7" width="23.5" bestFit="1" customWidth="1"/>
    <col min="8" max="8" width="27.5" bestFit="1" customWidth="1"/>
    <col min="9" max="9" width="22.83203125" customWidth="1"/>
    <col min="10" max="10" width="28.1640625" bestFit="1" customWidth="1"/>
    <col min="11" max="11" width="21.33203125" bestFit="1" customWidth="1"/>
    <col min="12" max="12" width="23.1640625" bestFit="1" customWidth="1"/>
  </cols>
  <sheetData>
    <row r="4" spans="1:12" ht="21" x14ac:dyDescent="0.2">
      <c r="A4" t="s">
        <v>250</v>
      </c>
      <c r="G4" s="73"/>
      <c r="H4" s="71" t="s">
        <v>174</v>
      </c>
      <c r="I4" s="71">
        <f>L12/A12</f>
        <v>0.18024852528768978</v>
      </c>
    </row>
    <row r="5" spans="1:12" ht="21" x14ac:dyDescent="0.2">
      <c r="F5" s="304" t="s">
        <v>177</v>
      </c>
      <c r="G5" s="305"/>
      <c r="H5" s="71" t="s">
        <v>175</v>
      </c>
      <c r="I5" s="71">
        <v>2442860</v>
      </c>
      <c r="J5" s="72">
        <f>I5/10820</f>
        <v>225.77264325323475</v>
      </c>
    </row>
    <row r="6" spans="1:12" ht="21" x14ac:dyDescent="0.2">
      <c r="G6" s="73"/>
      <c r="H6" s="71" t="s">
        <v>176</v>
      </c>
      <c r="I6" s="71">
        <v>1046900</v>
      </c>
      <c r="J6" s="72">
        <f>I6/10820</f>
        <v>96.756007393715336</v>
      </c>
    </row>
    <row r="7" spans="1:12" ht="21" x14ac:dyDescent="0.2">
      <c r="G7" s="73"/>
      <c r="H7" s="71" t="s">
        <v>178</v>
      </c>
      <c r="I7" s="71">
        <v>10321000</v>
      </c>
      <c r="J7" s="72"/>
    </row>
    <row r="10" spans="1:12" ht="20" thickBot="1" x14ac:dyDescent="0.25">
      <c r="A10" s="5" t="s">
        <v>0</v>
      </c>
      <c r="B10" s="36" t="s">
        <v>6</v>
      </c>
      <c r="C10" s="22" t="s">
        <v>5</v>
      </c>
      <c r="D10" s="23" t="s">
        <v>7</v>
      </c>
      <c r="E10" s="24" t="s">
        <v>4</v>
      </c>
      <c r="F10" s="10" t="s">
        <v>2</v>
      </c>
      <c r="G10" s="10" t="s">
        <v>8</v>
      </c>
      <c r="H10" s="10" t="s">
        <v>11</v>
      </c>
      <c r="I10" s="10" t="s">
        <v>3</v>
      </c>
      <c r="J10" s="10" t="s">
        <v>12</v>
      </c>
      <c r="K10" s="10" t="s">
        <v>1</v>
      </c>
      <c r="L10" s="10" t="s">
        <v>15</v>
      </c>
    </row>
    <row r="11" spans="1:12" ht="19" x14ac:dyDescent="0.2">
      <c r="A11" s="41" t="s">
        <v>179</v>
      </c>
      <c r="B11" s="37"/>
      <c r="C11" s="26"/>
      <c r="D11" s="27"/>
      <c r="E11" s="28"/>
      <c r="F11" s="28"/>
      <c r="G11" s="28"/>
      <c r="H11" s="28"/>
      <c r="I11" s="28"/>
      <c r="J11" s="28"/>
      <c r="K11" s="28">
        <f>SUBTOTAL(109,K13:K162)</f>
        <v>0</v>
      </c>
      <c r="L11" s="42"/>
    </row>
    <row r="12" spans="1:12" ht="21" x14ac:dyDescent="0.2">
      <c r="A12" s="64">
        <v>41364000</v>
      </c>
      <c r="B12" s="65"/>
      <c r="C12" s="66" t="s">
        <v>13</v>
      </c>
      <c r="D12" s="67"/>
      <c r="E12" s="68">
        <v>37398000</v>
      </c>
      <c r="F12" s="69">
        <v>3966000</v>
      </c>
      <c r="G12" s="69">
        <f>SUM(G13:G167)</f>
        <v>12985000</v>
      </c>
      <c r="H12" s="69"/>
      <c r="I12" s="69">
        <v>20923200</v>
      </c>
      <c r="J12" s="69"/>
      <c r="K12" s="69">
        <f>SUBTOTAL(109,K13:K163)</f>
        <v>0</v>
      </c>
      <c r="L12" s="69">
        <v>7455800</v>
      </c>
    </row>
    <row r="13" spans="1:12" ht="19" x14ac:dyDescent="0.2">
      <c r="A13" s="74">
        <v>1147000</v>
      </c>
      <c r="B13" s="32">
        <v>44531</v>
      </c>
      <c r="C13" s="3" t="s">
        <v>9</v>
      </c>
      <c r="D13" s="13" t="s">
        <v>28</v>
      </c>
      <c r="E13" s="9">
        <v>1147000</v>
      </c>
      <c r="F13" s="9"/>
      <c r="G13" s="9"/>
      <c r="H13" s="9" t="s">
        <v>181</v>
      </c>
      <c r="I13" s="9">
        <v>24000</v>
      </c>
      <c r="J13" s="9" t="s">
        <v>182</v>
      </c>
      <c r="K13" s="9"/>
      <c r="L13" s="44">
        <f>Таблица134[[#This Row],[Нал]]+Таблица134[[#This Row],[Терминал]]-Таблица134[[#This Row],[Расход]]-Таблица134[[#This Row],[Закуп]]-Таблица134[[#This Row],[Расход со счета]]</f>
        <v>1123000</v>
      </c>
    </row>
    <row r="14" spans="1:12" ht="19" x14ac:dyDescent="0.2">
      <c r="A14" s="74"/>
      <c r="B14" s="32"/>
      <c r="C14" s="49"/>
      <c r="D14" s="13"/>
      <c r="E14" s="15"/>
      <c r="F14" s="9"/>
      <c r="G14" s="9"/>
      <c r="H14" s="9"/>
      <c r="I14" s="9">
        <v>70000</v>
      </c>
      <c r="J14" s="9" t="s">
        <v>96</v>
      </c>
      <c r="K14" s="9"/>
      <c r="L14" s="9">
        <f>Таблица134[[#This Row],[Нал]]+Таблица134[[#This Row],[Терминал]]-Таблица134[[#This Row],[Расход]]-Таблица134[[#This Row],[Закуп]]-Таблица134[[#This Row],[Расход со счета]]</f>
        <v>-70000</v>
      </c>
    </row>
    <row r="15" spans="1:12" ht="19" x14ac:dyDescent="0.2">
      <c r="A15" s="74"/>
      <c r="B15" s="32"/>
      <c r="C15" s="49"/>
      <c r="D15" s="13"/>
      <c r="E15" s="15"/>
      <c r="F15" s="9"/>
      <c r="G15" s="9"/>
      <c r="H15" s="9"/>
      <c r="I15" s="9">
        <v>200000</v>
      </c>
      <c r="J15" s="9" t="s">
        <v>183</v>
      </c>
      <c r="K15" s="9"/>
      <c r="L15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16" spans="1:12" ht="19" x14ac:dyDescent="0.2">
      <c r="A16" s="21">
        <v>334000</v>
      </c>
      <c r="B16" s="33"/>
      <c r="C16" s="2" t="s">
        <v>10</v>
      </c>
      <c r="D16" s="13" t="s">
        <v>105</v>
      </c>
      <c r="E16" s="9">
        <v>260000</v>
      </c>
      <c r="F16" s="9">
        <v>74000</v>
      </c>
      <c r="G16" s="9"/>
      <c r="H16" s="9"/>
      <c r="I16" s="9"/>
      <c r="J16" s="9"/>
      <c r="K16" s="9"/>
      <c r="L16" s="44">
        <f>Таблица134[[#This Row],[Нал]]+Таблица134[[#This Row],[Терминал]]-Таблица134[[#This Row],[Расход]]-Таблица134[[#This Row],[Закуп]]-Таблица134[[#This Row],[Расход со счета]]</f>
        <v>334000</v>
      </c>
    </row>
    <row r="17" spans="1:12" ht="19" x14ac:dyDescent="0.2">
      <c r="A17" s="63">
        <v>1182000</v>
      </c>
      <c r="B17" s="32">
        <v>44532</v>
      </c>
      <c r="C17" s="3" t="s">
        <v>9</v>
      </c>
      <c r="D17" s="13" t="s">
        <v>28</v>
      </c>
      <c r="E17" s="9">
        <v>1164000</v>
      </c>
      <c r="F17" s="9">
        <v>18000</v>
      </c>
      <c r="G17" s="9"/>
      <c r="H17" s="9"/>
      <c r="I17" s="9">
        <v>32500</v>
      </c>
      <c r="J17" s="9" t="s">
        <v>184</v>
      </c>
      <c r="K17" s="9"/>
      <c r="L17" s="44">
        <f>Таблица134[[#This Row],[Нал]]+Таблица134[[#This Row],[Терминал]]-Таблица134[[#This Row],[Расход]]-Таблица134[[#This Row],[Закуп]]-Таблица134[[#This Row],[Расход со счета]]</f>
        <v>1149500</v>
      </c>
    </row>
    <row r="18" spans="1:12" ht="19" x14ac:dyDescent="0.2">
      <c r="A18" s="63"/>
      <c r="B18" s="32"/>
      <c r="C18" s="49"/>
      <c r="D18" s="13"/>
      <c r="E18" s="15"/>
      <c r="F18" s="9"/>
      <c r="G18" s="9"/>
      <c r="H18" s="9"/>
      <c r="I18" s="9">
        <v>20500</v>
      </c>
      <c r="J18" s="9" t="s">
        <v>185</v>
      </c>
      <c r="K18" s="9"/>
      <c r="L18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-20500</v>
      </c>
    </row>
    <row r="19" spans="1:12" ht="19" x14ac:dyDescent="0.2">
      <c r="A19" s="63"/>
      <c r="B19" s="32"/>
      <c r="C19" s="49"/>
      <c r="D19" s="13"/>
      <c r="E19" s="15"/>
      <c r="F19" s="9"/>
      <c r="G19" s="9"/>
      <c r="H19" s="9"/>
      <c r="I19" s="9">
        <v>27000</v>
      </c>
      <c r="J19" s="9" t="s">
        <v>186</v>
      </c>
      <c r="K19" s="9"/>
      <c r="L19" s="9">
        <f>Таблица134[[#This Row],[Нал]]+Таблица134[[#This Row],[Терминал]]-Таблица134[[#This Row],[Расход]]-Таблица134[[#This Row],[Закуп]]-Таблица134[[#This Row],[Расход со счета]]</f>
        <v>-27000</v>
      </c>
    </row>
    <row r="20" spans="1:12" ht="19" x14ac:dyDescent="0.2">
      <c r="A20" s="63"/>
      <c r="B20" s="32"/>
      <c r="C20" s="49"/>
      <c r="D20" s="13"/>
      <c r="E20" s="15"/>
      <c r="F20" s="9"/>
      <c r="G20" s="9"/>
      <c r="H20" s="9"/>
      <c r="I20" s="9">
        <v>22000</v>
      </c>
      <c r="J20" s="9" t="s">
        <v>187</v>
      </c>
      <c r="K20" s="9"/>
      <c r="L2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-22000</v>
      </c>
    </row>
    <row r="21" spans="1:12" ht="19" x14ac:dyDescent="0.2">
      <c r="A21" s="21">
        <v>369000</v>
      </c>
      <c r="B21" s="33"/>
      <c r="C21" s="2" t="s">
        <v>10</v>
      </c>
      <c r="D21" s="13" t="s">
        <v>105</v>
      </c>
      <c r="E21" s="9">
        <v>369000</v>
      </c>
      <c r="F21" s="9"/>
      <c r="G21" s="9"/>
      <c r="H21" s="9" t="s">
        <v>129</v>
      </c>
      <c r="I21" s="9"/>
      <c r="J21" s="47"/>
      <c r="K21" s="9"/>
      <c r="L21" s="44">
        <f>Таблица134[[#This Row],[Нал]]+Таблица134[[#This Row],[Терминал]]-Таблица134[[#This Row],[Расход]]-Таблица134[[#This Row],[Закуп]]-Таблица134[[#This Row],[Расход со счета]]</f>
        <v>369000</v>
      </c>
    </row>
    <row r="22" spans="1:12" ht="19" x14ac:dyDescent="0.2">
      <c r="A22" s="63">
        <v>1512000</v>
      </c>
      <c r="B22" s="32">
        <v>44533</v>
      </c>
      <c r="C22" s="3" t="s">
        <v>9</v>
      </c>
      <c r="D22" s="13" t="s">
        <v>28</v>
      </c>
      <c r="E22" s="9">
        <v>1393000</v>
      </c>
      <c r="F22" s="9">
        <v>119000</v>
      </c>
      <c r="G22" s="9"/>
      <c r="H22" s="9"/>
      <c r="I22" s="9">
        <v>1700</v>
      </c>
      <c r="J22" s="9" t="s">
        <v>188</v>
      </c>
      <c r="K22" s="9"/>
      <c r="L22" s="44">
        <f>Таблица134[[#This Row],[Нал]]+Таблица134[[#This Row],[Терминал]]-Таблица134[[#This Row],[Расход]]-Таблица134[[#This Row],[Закуп]]-Таблица134[[#This Row],[Расход со счета]]</f>
        <v>1510300</v>
      </c>
    </row>
    <row r="23" spans="1:12" ht="19" x14ac:dyDescent="0.2">
      <c r="A23" s="63"/>
      <c r="B23" s="32"/>
      <c r="C23" s="49"/>
      <c r="D23" s="13"/>
      <c r="E23" s="15"/>
      <c r="F23" s="9"/>
      <c r="G23" s="9"/>
      <c r="H23" s="9"/>
      <c r="I23" s="9">
        <v>53000</v>
      </c>
      <c r="J23" s="9" t="s">
        <v>189</v>
      </c>
      <c r="K23" s="9"/>
      <c r="L23" s="9">
        <f>Таблица134[[#This Row],[Нал]]+Таблица134[[#This Row],[Терминал]]-Таблица134[[#This Row],[Расход]]-Таблица134[[#This Row],[Закуп]]-Таблица134[[#This Row],[Расход со счета]]</f>
        <v>-53000</v>
      </c>
    </row>
    <row r="24" spans="1:12" ht="19" x14ac:dyDescent="0.2">
      <c r="A24" s="63"/>
      <c r="B24" s="32"/>
      <c r="C24" s="49"/>
      <c r="D24" s="13"/>
      <c r="E24" s="15"/>
      <c r="F24" s="9"/>
      <c r="G24" s="9"/>
      <c r="H24" s="9"/>
      <c r="I24" s="9">
        <v>620000</v>
      </c>
      <c r="J24" s="9" t="s">
        <v>190</v>
      </c>
      <c r="K24" s="9"/>
      <c r="L24" s="9">
        <f>Таблица134[[#This Row],[Нал]]+Таблица134[[#This Row],[Терминал]]-Таблица134[[#This Row],[Расход]]-Таблица134[[#This Row],[Закуп]]-Таблица134[[#This Row],[Расход со счета]]</f>
        <v>-620000</v>
      </c>
    </row>
    <row r="25" spans="1:12" ht="19" x14ac:dyDescent="0.2">
      <c r="A25" s="63"/>
      <c r="B25" s="32"/>
      <c r="C25" s="49"/>
      <c r="D25" s="13"/>
      <c r="E25" s="15"/>
      <c r="F25" s="9"/>
      <c r="G25" s="9"/>
      <c r="H25" s="9"/>
      <c r="I25" s="9">
        <v>48000</v>
      </c>
      <c r="J25" s="9" t="s">
        <v>191</v>
      </c>
      <c r="K25" s="9"/>
      <c r="L25" s="9">
        <f>Таблица134[[#This Row],[Нал]]+Таблица134[[#This Row],[Терминал]]-Таблица134[[#This Row],[Расход]]-Таблица134[[#This Row],[Закуп]]-Таблица134[[#This Row],[Расход со счета]]</f>
        <v>-48000</v>
      </c>
    </row>
    <row r="26" spans="1:12" ht="19" x14ac:dyDescent="0.2">
      <c r="A26" s="63"/>
      <c r="B26" s="32"/>
      <c r="C26" s="49"/>
      <c r="D26" s="13"/>
      <c r="E26" s="15"/>
      <c r="F26" s="9"/>
      <c r="G26" s="9"/>
      <c r="H26" s="9"/>
      <c r="I26" s="9">
        <v>60000</v>
      </c>
      <c r="J26" s="9" t="s">
        <v>125</v>
      </c>
      <c r="K26" s="9">
        <f>SUBTOTAL(109,K28:K178)</f>
        <v>0</v>
      </c>
      <c r="L26" s="9">
        <f>Таблица134[[#This Row],[Нал]]+Таблица134[[#This Row],[Терминал]]-Таблица134[[#This Row],[Расход]]-Таблица134[[#This Row],[Закуп]]-Таблица134[[#This Row],[Расход со счета]]</f>
        <v>-60000</v>
      </c>
    </row>
    <row r="27" spans="1:12" ht="19" x14ac:dyDescent="0.2">
      <c r="A27" s="21">
        <v>428000</v>
      </c>
      <c r="B27" s="33"/>
      <c r="C27" s="2" t="s">
        <v>10</v>
      </c>
      <c r="D27" s="13" t="s">
        <v>105</v>
      </c>
      <c r="E27" s="9">
        <v>384000</v>
      </c>
      <c r="F27" s="9">
        <v>44000</v>
      </c>
      <c r="G27" s="9"/>
      <c r="H27" s="9"/>
      <c r="I27" s="9"/>
      <c r="J27" s="9"/>
      <c r="K27" s="9"/>
      <c r="L27" s="44">
        <f>Таблица134[[#This Row],[Нал]]+Таблица134[[#This Row],[Терминал]]-Таблица134[[#This Row],[Расход]]-Таблица134[[#This Row],[Закуп]]-Таблица134[[#This Row],[Расход со счета]]</f>
        <v>428000</v>
      </c>
    </row>
    <row r="28" spans="1:12" ht="19" x14ac:dyDescent="0.2">
      <c r="A28" s="63">
        <v>1029000</v>
      </c>
      <c r="B28" s="32">
        <v>44534</v>
      </c>
      <c r="C28" s="3" t="s">
        <v>9</v>
      </c>
      <c r="D28" s="13" t="s">
        <v>28</v>
      </c>
      <c r="E28" s="9">
        <v>1003000</v>
      </c>
      <c r="F28" s="9">
        <v>26000</v>
      </c>
      <c r="G28" s="9"/>
      <c r="H28" s="9"/>
      <c r="I28" s="9">
        <v>50000</v>
      </c>
      <c r="J28" s="9" t="s">
        <v>192</v>
      </c>
      <c r="K28" s="9"/>
      <c r="L28" s="44">
        <f>Таблица134[[#This Row],[Нал]]+Таблица134[[#This Row],[Терминал]]-Таблица134[[#This Row],[Расход]]-Таблица134[[#This Row],[Закуп]]-Таблица134[[#This Row],[Расход со счета]]</f>
        <v>979000</v>
      </c>
    </row>
    <row r="29" spans="1:12" ht="19" x14ac:dyDescent="0.2">
      <c r="A29" s="63"/>
      <c r="B29" s="32"/>
      <c r="C29" s="49"/>
      <c r="D29" s="13"/>
      <c r="E29" s="15"/>
      <c r="F29" s="9"/>
      <c r="G29" s="9"/>
      <c r="H29" s="9"/>
      <c r="I29" s="9">
        <v>2600000</v>
      </c>
      <c r="J29" s="9" t="s">
        <v>193</v>
      </c>
      <c r="K29" s="9">
        <f>SUBTOTAL(109,K39:K181)</f>
        <v>0</v>
      </c>
      <c r="L29" s="9">
        <f>Таблица134[[#This Row],[Нал]]+Таблица134[[#This Row],[Терминал]]-Таблица134[[#This Row],[Расход]]-Таблица134[[#This Row],[Закуп]]-Таблица134[[#This Row],[Расход со счета]]</f>
        <v>-2600000</v>
      </c>
    </row>
    <row r="30" spans="1:12" ht="19" x14ac:dyDescent="0.2">
      <c r="A30" s="63"/>
      <c r="B30" s="32"/>
      <c r="C30" s="49"/>
      <c r="D30" s="13"/>
      <c r="E30" s="15"/>
      <c r="F30" s="9"/>
      <c r="G30" s="9"/>
      <c r="H30" s="9"/>
      <c r="I30" s="9">
        <v>260000</v>
      </c>
      <c r="J30" s="9" t="s">
        <v>194</v>
      </c>
      <c r="K30" s="9">
        <f>SUBTOTAL(109,K32:K182)</f>
        <v>0</v>
      </c>
      <c r="L3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-260000</v>
      </c>
    </row>
    <row r="31" spans="1:12" ht="19" x14ac:dyDescent="0.2">
      <c r="A31" s="63"/>
      <c r="B31" s="32"/>
      <c r="C31" s="49"/>
      <c r="D31" s="13"/>
      <c r="E31" s="15"/>
      <c r="F31" s="9"/>
      <c r="G31" s="9"/>
      <c r="H31" s="9"/>
      <c r="I31" s="9">
        <v>96000</v>
      </c>
      <c r="J31" s="47" t="s">
        <v>195</v>
      </c>
      <c r="K31" s="9">
        <f>SUBTOTAL(109,K38:K182)</f>
        <v>0</v>
      </c>
      <c r="L31" s="9">
        <f>Таблица134[[#This Row],[Нал]]+Таблица134[[#This Row],[Терминал]]-Таблица134[[#This Row],[Расход]]-Таблица134[[#This Row],[Закуп]]-Таблица134[[#This Row],[Расход со счета]]</f>
        <v>-96000</v>
      </c>
    </row>
    <row r="32" spans="1:12" ht="19" x14ac:dyDescent="0.2">
      <c r="A32" s="63"/>
      <c r="B32" s="32"/>
      <c r="C32" s="49"/>
      <c r="D32" s="13"/>
      <c r="E32" s="15"/>
      <c r="F32" s="9"/>
      <c r="G32" s="9"/>
      <c r="H32" s="9"/>
      <c r="I32" s="9">
        <v>140000</v>
      </c>
      <c r="J32" s="47" t="s">
        <v>196</v>
      </c>
      <c r="K32" s="9">
        <f>SUBTOTAL(109,K39:K182)</f>
        <v>0</v>
      </c>
      <c r="L32" s="9">
        <f>Таблица134[[#This Row],[Нал]]+Таблица134[[#This Row],[Терминал]]-Таблица134[[#This Row],[Расход]]-Таблица134[[#This Row],[Закуп]]-Таблица134[[#This Row],[Расход со счета]]</f>
        <v>-140000</v>
      </c>
    </row>
    <row r="33" spans="1:12" ht="19" x14ac:dyDescent="0.2">
      <c r="A33" s="63"/>
      <c r="B33" s="32"/>
      <c r="C33" s="49"/>
      <c r="D33" s="13"/>
      <c r="E33" s="15"/>
      <c r="F33" s="9"/>
      <c r="G33" s="9"/>
      <c r="H33" s="9"/>
      <c r="I33" s="9">
        <v>150000</v>
      </c>
      <c r="J33" s="47" t="s">
        <v>197</v>
      </c>
      <c r="K33" s="9">
        <f>SUBTOTAL(109,K39:K185)</f>
        <v>0</v>
      </c>
      <c r="L33" s="9">
        <f>Таблица134[[#This Row],[Нал]]+Таблица134[[#This Row],[Терминал]]-Таблица134[[#This Row],[Расход]]-Таблица134[[#This Row],[Закуп]]-Таблица134[[#This Row],[Расход со счета]]</f>
        <v>-150000</v>
      </c>
    </row>
    <row r="34" spans="1:12" ht="19" x14ac:dyDescent="0.2">
      <c r="A34" s="63"/>
      <c r="B34" s="32"/>
      <c r="C34" s="49"/>
      <c r="D34" s="13"/>
      <c r="E34" s="15"/>
      <c r="F34" s="9"/>
      <c r="G34" s="9"/>
      <c r="H34" s="9"/>
      <c r="I34" s="9">
        <v>45000</v>
      </c>
      <c r="J34" s="47" t="s">
        <v>101</v>
      </c>
      <c r="K34" s="9">
        <f>SUBTOTAL(109,K38:K186)</f>
        <v>0</v>
      </c>
      <c r="L34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35" spans="1:12" ht="19" x14ac:dyDescent="0.2">
      <c r="A35" s="63"/>
      <c r="B35" s="32"/>
      <c r="C35" s="49"/>
      <c r="D35" s="13"/>
      <c r="E35" s="15"/>
      <c r="F35" s="9"/>
      <c r="G35" s="9"/>
      <c r="H35" s="9"/>
      <c r="I35" s="9">
        <v>5000</v>
      </c>
      <c r="J35" s="47" t="s">
        <v>198</v>
      </c>
      <c r="K35" s="9">
        <f>SUBTOTAL(109,K39:K186)</f>
        <v>0</v>
      </c>
      <c r="L35" s="9">
        <f>Таблица134[[#This Row],[Нал]]+Таблица134[[#This Row],[Терминал]]-Таблица134[[#This Row],[Расход]]-Таблица134[[#This Row],[Закуп]]-Таблица134[[#This Row],[Расход со счета]]</f>
        <v>-5000</v>
      </c>
    </row>
    <row r="36" spans="1:12" ht="19" x14ac:dyDescent="0.2">
      <c r="A36" s="63"/>
      <c r="B36" s="32"/>
      <c r="C36" s="49"/>
      <c r="D36" s="13"/>
      <c r="E36" s="15"/>
      <c r="F36" s="9"/>
      <c r="G36" s="9"/>
      <c r="H36" s="9"/>
      <c r="I36" s="9">
        <v>114000</v>
      </c>
      <c r="J36" s="47" t="s">
        <v>199</v>
      </c>
      <c r="K36" s="9">
        <f>SUBTOTAL(109,K38:K188)</f>
        <v>0</v>
      </c>
      <c r="L36" s="9">
        <f>Таблица134[[#This Row],[Нал]]+Таблица134[[#This Row],[Терминал]]-Таблица134[[#This Row],[Расход]]-Таблица134[[#This Row],[Закуп]]-Таблица134[[#This Row],[Расход со счета]]</f>
        <v>-114000</v>
      </c>
    </row>
    <row r="37" spans="1:12" ht="19" x14ac:dyDescent="0.2">
      <c r="A37" s="63"/>
      <c r="B37" s="32"/>
      <c r="C37" s="49"/>
      <c r="D37" s="13"/>
      <c r="E37" s="15"/>
      <c r="F37" s="9"/>
      <c r="G37" s="9"/>
      <c r="H37" s="9"/>
      <c r="I37" s="9">
        <v>48500</v>
      </c>
      <c r="J37" s="47" t="s">
        <v>200</v>
      </c>
      <c r="K37" s="9">
        <f>SUBTOTAL(109,K39:K188)</f>
        <v>0</v>
      </c>
      <c r="L37" s="9">
        <f>Таблица134[[#This Row],[Нал]]+Таблица134[[#This Row],[Терминал]]-Таблица134[[#This Row],[Расход]]-Таблица134[[#This Row],[Закуп]]-Таблица134[[#This Row],[Расход со счета]]</f>
        <v>-48500</v>
      </c>
    </row>
    <row r="38" spans="1:12" ht="19" x14ac:dyDescent="0.2">
      <c r="A38" s="21">
        <v>308000</v>
      </c>
      <c r="B38" s="33"/>
      <c r="C38" s="2" t="s">
        <v>10</v>
      </c>
      <c r="D38" s="13" t="s">
        <v>105</v>
      </c>
      <c r="E38" s="9">
        <v>308000</v>
      </c>
      <c r="F38" s="9"/>
      <c r="G38" s="9"/>
      <c r="H38" s="9" t="s">
        <v>181</v>
      </c>
      <c r="I38" s="9"/>
      <c r="J38" s="9"/>
      <c r="K38" s="9"/>
      <c r="L38" s="44">
        <f>Таблица134[[#This Row],[Нал]]+Таблица134[[#This Row],[Терминал]]-Таблица134[[#This Row],[Расход]]-Таблица134[[#This Row],[Закуп]]-Таблица134[[#This Row],[Расход со счета]]</f>
        <v>308000</v>
      </c>
    </row>
    <row r="39" spans="1:12" ht="19" x14ac:dyDescent="0.2">
      <c r="A39" s="63">
        <v>649000</v>
      </c>
      <c r="B39" s="32">
        <v>44535</v>
      </c>
      <c r="C39" s="3" t="s">
        <v>9</v>
      </c>
      <c r="D39" s="13" t="s">
        <v>29</v>
      </c>
      <c r="E39" s="9">
        <v>641000</v>
      </c>
      <c r="F39" s="9">
        <v>8000</v>
      </c>
      <c r="G39" s="9">
        <v>300000</v>
      </c>
      <c r="H39" s="9" t="s">
        <v>201</v>
      </c>
      <c r="I39" s="9">
        <v>114000</v>
      </c>
      <c r="J39" s="9" t="s">
        <v>199</v>
      </c>
      <c r="K39" s="9"/>
      <c r="L39" s="44"/>
    </row>
    <row r="40" spans="1:12" ht="19" x14ac:dyDescent="0.2">
      <c r="A40" s="63"/>
      <c r="B40" s="32"/>
      <c r="C40" s="49"/>
      <c r="D40" s="13"/>
      <c r="E40" s="15"/>
      <c r="F40" s="9"/>
      <c r="G40" s="9"/>
      <c r="H40" s="9"/>
      <c r="I40" s="9">
        <v>25000</v>
      </c>
      <c r="J40" s="9" t="s">
        <v>186</v>
      </c>
      <c r="K40" s="9">
        <f>SUBTOTAL(109,K45:K192)</f>
        <v>0</v>
      </c>
      <c r="L4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-25000</v>
      </c>
    </row>
    <row r="41" spans="1:12" ht="19" x14ac:dyDescent="0.2">
      <c r="A41" s="63"/>
      <c r="B41" s="32"/>
      <c r="C41" s="49"/>
      <c r="D41" s="13"/>
      <c r="E41" s="15"/>
      <c r="F41" s="9"/>
      <c r="G41" s="9"/>
      <c r="H41" s="9"/>
      <c r="I41" s="9">
        <v>19600</v>
      </c>
      <c r="J41" s="9" t="s">
        <v>202</v>
      </c>
      <c r="K41" s="9">
        <f>SUBTOTAL(109,K46:K192)</f>
        <v>0</v>
      </c>
      <c r="L41" s="9">
        <f>Таблица134[[#This Row],[Нал]]+Таблица134[[#This Row],[Терминал]]-Таблица134[[#This Row],[Расход]]-Таблица134[[#This Row],[Закуп]]-Таблица134[[#This Row],[Расход со счета]]</f>
        <v>-19600</v>
      </c>
    </row>
    <row r="42" spans="1:12" ht="19" x14ac:dyDescent="0.2">
      <c r="A42" s="63"/>
      <c r="B42" s="32"/>
      <c r="C42" s="49"/>
      <c r="D42" s="13"/>
      <c r="E42" s="15"/>
      <c r="F42" s="9"/>
      <c r="G42" s="9"/>
      <c r="H42" s="9"/>
      <c r="I42" s="9">
        <v>37000</v>
      </c>
      <c r="J42" s="9" t="s">
        <v>203</v>
      </c>
      <c r="K42" s="9">
        <f>SUBTOTAL(109,K45:K194)</f>
        <v>0</v>
      </c>
      <c r="L42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43" spans="1:12" ht="19" x14ac:dyDescent="0.2">
      <c r="A43" s="63"/>
      <c r="B43" s="32"/>
      <c r="C43" s="49"/>
      <c r="D43" s="13"/>
      <c r="E43" s="15"/>
      <c r="F43" s="9"/>
      <c r="G43" s="9"/>
      <c r="H43" s="9"/>
      <c r="I43" s="9">
        <v>10500</v>
      </c>
      <c r="J43" s="9" t="s">
        <v>204</v>
      </c>
      <c r="K43" s="9">
        <f>SUBTOTAL(109,K46:K194)</f>
        <v>0</v>
      </c>
      <c r="L43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-10500</v>
      </c>
    </row>
    <row r="44" spans="1:12" ht="19" x14ac:dyDescent="0.2">
      <c r="A44" s="63"/>
      <c r="B44" s="32"/>
      <c r="C44" s="49"/>
      <c r="D44" s="13"/>
      <c r="E44" s="15"/>
      <c r="F44" s="9"/>
      <c r="G44" s="9"/>
      <c r="H44" s="9"/>
      <c r="I44" s="9">
        <v>200000</v>
      </c>
      <c r="J44" s="9" t="s">
        <v>205</v>
      </c>
      <c r="K44" s="9">
        <f>SUBTOTAL(109,K46:K196)</f>
        <v>0</v>
      </c>
      <c r="L44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45" spans="1:12" ht="19" x14ac:dyDescent="0.2">
      <c r="A45" s="21">
        <v>540000</v>
      </c>
      <c r="B45" s="33"/>
      <c r="C45" s="2" t="s">
        <v>10</v>
      </c>
      <c r="D45" s="13" t="s">
        <v>105</v>
      </c>
      <c r="E45" s="9">
        <v>468000</v>
      </c>
      <c r="F45" s="9">
        <v>72000</v>
      </c>
      <c r="G45" s="9"/>
      <c r="H45" s="9"/>
      <c r="I45" s="9">
        <v>50000</v>
      </c>
      <c r="J45" s="9" t="s">
        <v>206</v>
      </c>
      <c r="K45" s="9"/>
      <c r="L45" s="44">
        <f>Таблица134[[#This Row],[Нал]]+Таблица134[[#This Row],[Терминал]]-Таблица134[[#This Row],[Расход]]-Таблица134[[#This Row],[Закуп]]-Таблица134[[#This Row],[Расход со счета]]</f>
        <v>490000</v>
      </c>
    </row>
    <row r="46" spans="1:12" ht="19" x14ac:dyDescent="0.2">
      <c r="A46" s="63">
        <v>848000</v>
      </c>
      <c r="B46" s="32">
        <v>44536</v>
      </c>
      <c r="C46" s="3" t="s">
        <v>9</v>
      </c>
      <c r="D46" s="13" t="s">
        <v>28</v>
      </c>
      <c r="E46" s="9">
        <v>814000</v>
      </c>
      <c r="F46" s="9">
        <v>34000</v>
      </c>
      <c r="G46" s="9"/>
      <c r="H46" s="9"/>
      <c r="I46" s="9">
        <v>14500</v>
      </c>
      <c r="J46" s="47" t="s">
        <v>207</v>
      </c>
      <c r="K46" s="9"/>
      <c r="L46" s="44">
        <f>Таблица134[[#This Row],[Нал]]+Таблица134[[#This Row],[Терминал]]-Таблица134[[#This Row],[Расход]]-Таблица134[[#This Row],[Закуп]]-Таблица134[[#This Row],[Расход со счета]]</f>
        <v>833500</v>
      </c>
    </row>
    <row r="47" spans="1:12" ht="19" x14ac:dyDescent="0.2">
      <c r="A47" s="63"/>
      <c r="B47" s="32"/>
      <c r="C47" s="49"/>
      <c r="D47" s="13"/>
      <c r="E47" s="15"/>
      <c r="F47" s="9"/>
      <c r="G47" s="9"/>
      <c r="H47" s="9"/>
      <c r="I47" s="9">
        <v>3500</v>
      </c>
      <c r="J47" s="47" t="s">
        <v>208</v>
      </c>
      <c r="K47" s="9">
        <f>SUBTOTAL(109,K49:K199)</f>
        <v>0</v>
      </c>
      <c r="L47" s="9">
        <f>Таблица134[[#This Row],[Нал]]+Таблица134[[#This Row],[Терминал]]-Таблица134[[#This Row],[Расход]]-Таблица134[[#This Row],[Закуп]]-Таблица134[[#This Row],[Расход со счета]]</f>
        <v>-3500</v>
      </c>
    </row>
    <row r="48" spans="1:12" ht="19" x14ac:dyDescent="0.2">
      <c r="A48" s="21">
        <v>647000</v>
      </c>
      <c r="B48" s="33"/>
      <c r="C48" s="2" t="s">
        <v>10</v>
      </c>
      <c r="D48" s="13" t="s">
        <v>105</v>
      </c>
      <c r="E48" s="9">
        <v>527000</v>
      </c>
      <c r="F48" s="9">
        <v>120000</v>
      </c>
      <c r="G48" s="9"/>
      <c r="H48" s="9"/>
      <c r="I48" s="9"/>
      <c r="J48" s="9"/>
      <c r="K48" s="9"/>
      <c r="L48" s="44">
        <f>Таблица134[[#This Row],[Нал]]+Таблица134[[#This Row],[Терминал]]-Таблица134[[#This Row],[Расход]]-Таблица134[[#This Row],[Закуп]]-Таблица134[[#This Row],[Расход со счета]]</f>
        <v>647000</v>
      </c>
    </row>
    <row r="49" spans="1:12" ht="19" x14ac:dyDescent="0.2">
      <c r="A49" s="63">
        <v>675000</v>
      </c>
      <c r="B49" s="32">
        <v>44537</v>
      </c>
      <c r="C49" s="3" t="s">
        <v>9</v>
      </c>
      <c r="D49" s="13" t="s">
        <v>28</v>
      </c>
      <c r="E49" s="9">
        <v>553000</v>
      </c>
      <c r="F49" s="9">
        <v>122000</v>
      </c>
      <c r="G49" s="9"/>
      <c r="H49" s="9"/>
      <c r="I49" s="9">
        <v>45500</v>
      </c>
      <c r="J49" s="9" t="s">
        <v>209</v>
      </c>
      <c r="K49" s="9"/>
      <c r="L49" s="44">
        <f>Таблица134[[#This Row],[Нал]]+Таблица134[[#This Row],[Терминал]]-Таблица134[[#This Row],[Расход]]-Таблица134[[#This Row],[Закуп]]-Таблица134[[#This Row],[Расход со счета]]</f>
        <v>629500</v>
      </c>
    </row>
    <row r="50" spans="1:12" ht="19" x14ac:dyDescent="0.2">
      <c r="A50" s="63"/>
      <c r="B50" s="32"/>
      <c r="C50" s="49"/>
      <c r="D50" s="13"/>
      <c r="E50" s="15"/>
      <c r="F50" s="9"/>
      <c r="G50" s="9"/>
      <c r="H50" s="9"/>
      <c r="I50" s="9">
        <v>21000</v>
      </c>
      <c r="J50" s="9" t="s">
        <v>210</v>
      </c>
      <c r="K50" s="9">
        <f>SUBTOTAL(109,K54:K202)</f>
        <v>0</v>
      </c>
      <c r="L5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-21000</v>
      </c>
    </row>
    <row r="51" spans="1:12" ht="19" x14ac:dyDescent="0.2">
      <c r="A51" s="63"/>
      <c r="B51" s="32"/>
      <c r="C51" s="49"/>
      <c r="D51" s="13"/>
      <c r="E51" s="15"/>
      <c r="F51" s="9"/>
      <c r="G51" s="9"/>
      <c r="H51" s="9"/>
      <c r="I51" s="9">
        <v>60000</v>
      </c>
      <c r="J51" s="9" t="s">
        <v>125</v>
      </c>
      <c r="K51" s="9">
        <f>SUBTOTAL(109,K53:K203)</f>
        <v>0</v>
      </c>
      <c r="L51" s="9">
        <f>Таблица134[[#This Row],[Нал]]+Таблица134[[#This Row],[Терминал]]-Таблица134[[#This Row],[Расход]]-Таблица134[[#This Row],[Закуп]]-Таблица134[[#This Row],[Расход со счета]]</f>
        <v>-60000</v>
      </c>
    </row>
    <row r="52" spans="1:12" ht="19" x14ac:dyDescent="0.2">
      <c r="A52" s="63"/>
      <c r="B52" s="32"/>
      <c r="C52" s="49"/>
      <c r="D52" s="13"/>
      <c r="E52" s="15"/>
      <c r="F52" s="9"/>
      <c r="G52" s="9"/>
      <c r="H52" s="9"/>
      <c r="I52" s="9">
        <v>200000</v>
      </c>
      <c r="J52" s="9" t="s">
        <v>183</v>
      </c>
      <c r="K52" s="9">
        <f>SUBTOTAL(109,K54:K203)</f>
        <v>0</v>
      </c>
      <c r="L52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53" spans="1:12" ht="19" x14ac:dyDescent="0.2">
      <c r="A53" s="21">
        <v>308000</v>
      </c>
      <c r="B53" s="33"/>
      <c r="C53" s="2" t="s">
        <v>10</v>
      </c>
      <c r="D53" s="13" t="s">
        <v>105</v>
      </c>
      <c r="E53" s="9">
        <v>146000</v>
      </c>
      <c r="F53" s="9">
        <v>162000</v>
      </c>
      <c r="G53" s="9"/>
      <c r="H53" s="9"/>
      <c r="I53" s="9"/>
      <c r="J53" s="9"/>
      <c r="K53" s="9"/>
      <c r="L53" s="44">
        <f>Таблица134[[#This Row],[Нал]]+Таблица134[[#This Row],[Терминал]]-Таблица134[[#This Row],[Расход]]-Таблица134[[#This Row],[Закуп]]-Таблица134[[#This Row],[Расход со счета]]</f>
        <v>308000</v>
      </c>
    </row>
    <row r="54" spans="1:12" ht="19" x14ac:dyDescent="0.2">
      <c r="A54" s="63">
        <v>614000</v>
      </c>
      <c r="B54" s="32">
        <v>44538</v>
      </c>
      <c r="C54" s="3" t="s">
        <v>9</v>
      </c>
      <c r="D54" s="13" t="s">
        <v>28</v>
      </c>
      <c r="E54" s="15">
        <v>558000</v>
      </c>
      <c r="F54" s="9">
        <v>56000</v>
      </c>
      <c r="G54" s="9"/>
      <c r="H54" s="9"/>
      <c r="I54" s="9">
        <v>70000</v>
      </c>
      <c r="J54" s="9" t="s">
        <v>96</v>
      </c>
      <c r="K54" s="9"/>
      <c r="L54" s="9">
        <f>Таблица134[[#This Row],[Нал]]+Таблица134[[#This Row],[Терминал]]-Таблица134[[#This Row],[Расход]]-Таблица134[[#This Row],[Закуп]]-Таблица134[[#This Row],[Расход со счета]]</f>
        <v>544000</v>
      </c>
    </row>
    <row r="55" spans="1:12" ht="19" x14ac:dyDescent="0.2">
      <c r="A55" s="63"/>
      <c r="B55" s="32"/>
      <c r="C55" s="49"/>
      <c r="D55" s="13"/>
      <c r="E55" s="15"/>
      <c r="F55" s="9"/>
      <c r="G55" s="9"/>
      <c r="H55" s="9"/>
      <c r="I55" s="9">
        <v>45000</v>
      </c>
      <c r="J55" s="9" t="s">
        <v>97</v>
      </c>
      <c r="K55" s="9">
        <f>SUBTOTAL(109,K57:K207)</f>
        <v>0</v>
      </c>
      <c r="L55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56" spans="1:12" ht="19" x14ac:dyDescent="0.2">
      <c r="A56" s="63"/>
      <c r="B56" s="32"/>
      <c r="C56" s="49"/>
      <c r="D56" s="13"/>
      <c r="E56" s="15"/>
      <c r="F56" s="9"/>
      <c r="G56" s="9"/>
      <c r="H56" s="9"/>
      <c r="I56" s="9">
        <v>37000</v>
      </c>
      <c r="J56" s="9" t="s">
        <v>211</v>
      </c>
      <c r="K56" s="9">
        <f>SUBTOTAL(109,K59:K207)</f>
        <v>0</v>
      </c>
      <c r="L56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57" spans="1:12" ht="19" x14ac:dyDescent="0.2">
      <c r="A57" s="21">
        <v>904000</v>
      </c>
      <c r="B57" s="33"/>
      <c r="C57" s="2" t="s">
        <v>10</v>
      </c>
      <c r="D57" s="13" t="s">
        <v>105</v>
      </c>
      <c r="E57" s="15">
        <v>843000</v>
      </c>
      <c r="F57" s="9">
        <v>61000</v>
      </c>
      <c r="G57" s="9"/>
      <c r="H57" s="9"/>
      <c r="I57" s="9"/>
      <c r="J57" s="9"/>
      <c r="K57" s="9"/>
      <c r="L57" s="9">
        <f>Таблица134[[#This Row],[Нал]]+Таблица134[[#This Row],[Терминал]]-Таблица134[[#This Row],[Расход]]-Таблица134[[#This Row],[Закуп]]-Таблица134[[#This Row],[Расход со счета]]</f>
        <v>904000</v>
      </c>
    </row>
    <row r="58" spans="1:12" ht="19" x14ac:dyDescent="0.2">
      <c r="A58" s="21"/>
      <c r="B58" s="33"/>
      <c r="C58" s="35"/>
      <c r="D58" s="13"/>
      <c r="E58" s="15"/>
      <c r="F58" s="9"/>
      <c r="G58" s="9"/>
      <c r="H58" s="9"/>
      <c r="I58" s="9"/>
      <c r="J58" s="9"/>
      <c r="K58" s="9">
        <f>SUBTOTAL(109,K65:K210)</f>
        <v>0</v>
      </c>
      <c r="L58" s="9">
        <f>Таблица134[[#This Row],[Нал]]+Таблица134[[#This Row],[Терминал]]-Таблица134[[#This Row],[Расход]]-Таблица134[[#This Row],[Закуп]]-Таблица134[[#This Row],[Расход со счета]]</f>
        <v>0</v>
      </c>
    </row>
    <row r="59" spans="1:12" ht="19" x14ac:dyDescent="0.2">
      <c r="A59" s="63">
        <v>876000</v>
      </c>
      <c r="B59" s="32">
        <v>44539</v>
      </c>
      <c r="C59" s="3" t="s">
        <v>9</v>
      </c>
      <c r="D59" s="13" t="s">
        <v>28</v>
      </c>
      <c r="E59" s="15">
        <v>778000</v>
      </c>
      <c r="F59" s="9">
        <v>98000</v>
      </c>
      <c r="G59" s="9"/>
      <c r="H59" s="9"/>
      <c r="I59" s="9">
        <v>310000</v>
      </c>
      <c r="J59" s="9" t="s">
        <v>212</v>
      </c>
      <c r="K59" s="9"/>
      <c r="L59" s="9">
        <f>Таблица134[[#This Row],[Нал]]+Таблица134[[#This Row],[Терминал]]-Таблица134[[#This Row],[Расход]]-Таблица134[[#This Row],[Закуп]]-Таблица134[[#This Row],[Расход со счета]]</f>
        <v>566000</v>
      </c>
    </row>
    <row r="60" spans="1:12" ht="19" x14ac:dyDescent="0.2">
      <c r="A60" s="63"/>
      <c r="B60" s="32"/>
      <c r="C60" s="49"/>
      <c r="D60" s="13"/>
      <c r="E60" s="15"/>
      <c r="F60" s="9"/>
      <c r="G60" s="9"/>
      <c r="H60" s="9"/>
      <c r="I60" s="9">
        <v>24000</v>
      </c>
      <c r="J60" s="9" t="s">
        <v>213</v>
      </c>
      <c r="K60" s="9">
        <f>SUBTOTAL(109,K67:K212)</f>
        <v>0</v>
      </c>
      <c r="L6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-24000</v>
      </c>
    </row>
    <row r="61" spans="1:12" ht="19" x14ac:dyDescent="0.2">
      <c r="A61" s="63"/>
      <c r="B61" s="32"/>
      <c r="C61" s="49"/>
      <c r="D61" s="13"/>
      <c r="E61" s="15"/>
      <c r="F61" s="9"/>
      <c r="G61" s="9"/>
      <c r="H61" s="9"/>
      <c r="I61" s="9">
        <v>140000</v>
      </c>
      <c r="J61" s="9" t="s">
        <v>214</v>
      </c>
      <c r="K61" s="9">
        <f>SUBTOTAL(109,K67:K213)</f>
        <v>0</v>
      </c>
      <c r="L61" s="9">
        <f>Таблица134[[#This Row],[Нал]]+Таблица134[[#This Row],[Терминал]]-Таблица134[[#This Row],[Расход]]-Таблица134[[#This Row],[Закуп]]-Таблица134[[#This Row],[Расход со счета]]</f>
        <v>-140000</v>
      </c>
    </row>
    <row r="62" spans="1:12" ht="19" x14ac:dyDescent="0.2">
      <c r="A62" s="63"/>
      <c r="B62" s="32"/>
      <c r="C62" s="49"/>
      <c r="D62" s="13"/>
      <c r="E62" s="15"/>
      <c r="F62" s="9"/>
      <c r="G62" s="9"/>
      <c r="H62" s="9"/>
      <c r="I62" s="9">
        <v>37000</v>
      </c>
      <c r="J62" s="9" t="s">
        <v>215</v>
      </c>
      <c r="K62" s="9">
        <f>SUBTOTAL(109,K67:K214)</f>
        <v>0</v>
      </c>
      <c r="L62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63" spans="1:12" ht="19" x14ac:dyDescent="0.2">
      <c r="A63" s="63"/>
      <c r="B63" s="32"/>
      <c r="C63" s="49"/>
      <c r="D63" s="13"/>
      <c r="E63" s="15"/>
      <c r="F63" s="9"/>
      <c r="G63" s="9"/>
      <c r="H63" s="9"/>
      <c r="I63" s="9">
        <v>113500</v>
      </c>
      <c r="J63" s="9" t="s">
        <v>66</v>
      </c>
      <c r="K63" s="9">
        <f>SUBTOTAL(109,K67:K215)</f>
        <v>0</v>
      </c>
      <c r="L63" s="9">
        <f>Таблица134[[#This Row],[Нал]]+Таблица134[[#This Row],[Терминал]]-Таблица134[[#This Row],[Расход]]-Таблица134[[#This Row],[Закуп]]-Таблица134[[#This Row],[Расход со счета]]</f>
        <v>-113500</v>
      </c>
    </row>
    <row r="64" spans="1:12" ht="19" x14ac:dyDescent="0.2">
      <c r="A64" s="63"/>
      <c r="B64" s="32"/>
      <c r="C64" s="49"/>
      <c r="D64" s="13"/>
      <c r="E64" s="15"/>
      <c r="F64" s="9"/>
      <c r="G64" s="60">
        <v>910000</v>
      </c>
      <c r="H64" s="60" t="s">
        <v>227</v>
      </c>
      <c r="I64" s="9"/>
      <c r="J64" s="9"/>
      <c r="K64" s="9">
        <f>SUBTOTAL(109,K67:K216)</f>
        <v>0</v>
      </c>
      <c r="L64" s="9">
        <f>Таблица134[[#This Row],[Нал]]+Таблица134[[#This Row],[Терминал]]-Таблица134[[#This Row],[Расход]]-Таблица134[[#This Row],[Закуп]]-Таблица134[[#This Row],[Расход со счета]]</f>
        <v>-910000</v>
      </c>
    </row>
    <row r="65" spans="1:12" ht="19" x14ac:dyDescent="0.2">
      <c r="A65" s="21">
        <v>1077000</v>
      </c>
      <c r="B65" s="33"/>
      <c r="C65" s="2" t="s">
        <v>10</v>
      </c>
      <c r="D65" s="13" t="s">
        <v>105</v>
      </c>
      <c r="E65" s="15">
        <v>1077000</v>
      </c>
      <c r="F65" s="9"/>
      <c r="G65" s="9"/>
      <c r="H65" s="9" t="s">
        <v>129</v>
      </c>
      <c r="I65" s="9"/>
      <c r="J65" s="9"/>
      <c r="K65" s="9"/>
      <c r="L65" s="9">
        <f>Таблица134[[#This Row],[Нал]]+Таблица134[[#This Row],[Терминал]]-Таблица134[[#This Row],[Расход]]-Таблица134[[#This Row],[Закуп]]-Таблица134[[#This Row],[Расход со счета]]</f>
        <v>1077000</v>
      </c>
    </row>
    <row r="66" spans="1:12" ht="19" x14ac:dyDescent="0.2">
      <c r="A66" s="21"/>
      <c r="B66" s="33"/>
      <c r="C66" s="35"/>
      <c r="D66" s="13"/>
      <c r="E66" s="15"/>
      <c r="F66" s="9"/>
      <c r="G66" s="9"/>
      <c r="H66" s="47" t="s">
        <v>216</v>
      </c>
      <c r="I66" s="9">
        <f>SUBTOTAL(109,I65)</f>
        <v>0</v>
      </c>
      <c r="J66" s="9"/>
      <c r="K66" s="9">
        <f>SUBTOTAL(109,K76:K218)</f>
        <v>0</v>
      </c>
      <c r="L66" s="9">
        <f>Таблица134[[#This Row],[Нал]]+Таблица134[[#This Row],[Терминал]]-Таблица134[[#This Row],[Расход]]-Таблица134[[#This Row],[Закуп]]-Таблица134[[#This Row],[Расход со счета]]</f>
        <v>0</v>
      </c>
    </row>
    <row r="67" spans="1:12" ht="19" x14ac:dyDescent="0.2">
      <c r="A67" s="63">
        <v>1318000</v>
      </c>
      <c r="B67" s="32">
        <v>44540</v>
      </c>
      <c r="C67" s="3" t="s">
        <v>9</v>
      </c>
      <c r="D67" s="13" t="s">
        <v>28</v>
      </c>
      <c r="E67" s="15">
        <v>1225000</v>
      </c>
      <c r="F67" s="9">
        <v>93000</v>
      </c>
      <c r="G67" s="9"/>
      <c r="H67" s="47"/>
      <c r="I67" s="9">
        <v>14600</v>
      </c>
      <c r="J67" s="9" t="s">
        <v>217</v>
      </c>
      <c r="K67" s="9"/>
      <c r="L67" s="9">
        <f>Таблица134[[#This Row],[Нал]]+Таблица134[[#This Row],[Терминал]]-Таблица134[[#This Row],[Расход]]-Таблица134[[#This Row],[Закуп]]-Таблица134[[#This Row],[Расход со счета]]</f>
        <v>1303400</v>
      </c>
    </row>
    <row r="68" spans="1:12" ht="19" x14ac:dyDescent="0.2">
      <c r="A68" s="63"/>
      <c r="B68" s="32"/>
      <c r="C68" s="49"/>
      <c r="D68" s="13"/>
      <c r="E68" s="15"/>
      <c r="F68" s="9"/>
      <c r="G68" s="9"/>
      <c r="H68" s="9"/>
      <c r="I68" s="9">
        <v>56500</v>
      </c>
      <c r="J68" s="9" t="s">
        <v>218</v>
      </c>
      <c r="K68" s="9">
        <f>SUBTOTAL(109,K76:K220)</f>
        <v>0</v>
      </c>
      <c r="L68" s="9">
        <f>Таблица134[[#This Row],[Нал]]+Таблица134[[#This Row],[Терминал]]-Таблица134[[#This Row],[Расход]]-Таблица134[[#This Row],[Закуп]]-Таблица134[[#This Row],[Расход со счета]]</f>
        <v>-56500</v>
      </c>
    </row>
    <row r="69" spans="1:12" ht="19" x14ac:dyDescent="0.2">
      <c r="A69" s="63"/>
      <c r="B69" s="32"/>
      <c r="C69" s="49"/>
      <c r="D69" s="13"/>
      <c r="E69" s="15"/>
      <c r="F69" s="9"/>
      <c r="G69" s="9"/>
      <c r="H69" s="9"/>
      <c r="I69" s="9">
        <v>23500</v>
      </c>
      <c r="J69" s="9" t="s">
        <v>219</v>
      </c>
      <c r="K69" s="9">
        <f>SUBTOTAL(109,K77:K220)</f>
        <v>0</v>
      </c>
      <c r="L69" s="9">
        <f>Таблица134[[#This Row],[Нал]]+Таблица134[[#This Row],[Терминал]]-Таблица134[[#This Row],[Расход]]-Таблица134[[#This Row],[Закуп]]-Таблица134[[#This Row],[Расход со счета]]</f>
        <v>-23500</v>
      </c>
    </row>
    <row r="70" spans="1:12" ht="19" x14ac:dyDescent="0.2">
      <c r="A70" s="63"/>
      <c r="B70" s="32"/>
      <c r="C70" s="49"/>
      <c r="D70" s="13"/>
      <c r="E70" s="15"/>
      <c r="F70" s="9"/>
      <c r="G70" s="9"/>
      <c r="H70" s="9"/>
      <c r="I70" s="9">
        <v>3000</v>
      </c>
      <c r="J70" s="9" t="s">
        <v>220</v>
      </c>
      <c r="K70" s="9">
        <f>SUBTOTAL(109,K77:K222)</f>
        <v>0</v>
      </c>
      <c r="L70" s="9">
        <f>Таблица134[[#This Row],[Нал]]+Таблица134[[#This Row],[Терминал]]-Таблица134[[#This Row],[Расход]]-Таблица134[[#This Row],[Закуп]]-Таблица134[[#This Row],[Расход со счета]]</f>
        <v>-3000</v>
      </c>
    </row>
    <row r="71" spans="1:12" ht="19" x14ac:dyDescent="0.2">
      <c r="A71" s="63"/>
      <c r="B71" s="32"/>
      <c r="C71" s="49"/>
      <c r="D71" s="13"/>
      <c r="E71" s="15"/>
      <c r="F71" s="9"/>
      <c r="G71" s="9"/>
      <c r="H71" s="9"/>
      <c r="I71" s="9">
        <v>60000</v>
      </c>
      <c r="J71" s="9" t="s">
        <v>125</v>
      </c>
      <c r="K71" s="9">
        <f>SUBTOTAL(109,K76:K223)</f>
        <v>0</v>
      </c>
      <c r="L71" s="9">
        <f>Таблица134[[#This Row],[Нал]]+Таблица134[[#This Row],[Терминал]]-Таблица134[[#This Row],[Расход]]-Таблица134[[#This Row],[Закуп]]-Таблица134[[#This Row],[Расход со счета]]</f>
        <v>-60000</v>
      </c>
    </row>
    <row r="72" spans="1:12" ht="19" x14ac:dyDescent="0.2">
      <c r="A72" s="63"/>
      <c r="B72" s="32"/>
      <c r="C72" s="49"/>
      <c r="D72" s="13"/>
      <c r="E72" s="15"/>
      <c r="F72" s="9"/>
      <c r="G72" s="9"/>
      <c r="H72" s="9"/>
      <c r="I72" s="9">
        <v>37000</v>
      </c>
      <c r="J72" s="9" t="s">
        <v>56</v>
      </c>
      <c r="K72" s="9">
        <f>SUBTOTAL(109,K77:K223)</f>
        <v>0</v>
      </c>
      <c r="L72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73" spans="1:12" ht="19" x14ac:dyDescent="0.2">
      <c r="A73" s="63"/>
      <c r="B73" s="32"/>
      <c r="C73" s="49"/>
      <c r="D73" s="13"/>
      <c r="E73" s="15"/>
      <c r="F73" s="9"/>
      <c r="G73" s="9"/>
      <c r="H73" s="9"/>
      <c r="I73" s="9">
        <v>200000</v>
      </c>
      <c r="J73" s="9" t="s">
        <v>183</v>
      </c>
      <c r="K73" s="9">
        <f>SUBTOTAL(109,K76:K225)</f>
        <v>0</v>
      </c>
      <c r="L73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74" spans="1:12" ht="19" x14ac:dyDescent="0.2">
      <c r="A74" s="63"/>
      <c r="B74" s="32"/>
      <c r="C74" s="49"/>
      <c r="D74" s="13"/>
      <c r="E74" s="15"/>
      <c r="F74" s="9"/>
      <c r="G74" s="9"/>
      <c r="H74" s="9"/>
      <c r="I74" s="9">
        <v>70000</v>
      </c>
      <c r="J74" s="9" t="s">
        <v>96</v>
      </c>
      <c r="K74" s="9">
        <f>SUBTOTAL(109,K77:K225)</f>
        <v>0</v>
      </c>
      <c r="L74" s="9">
        <f>Таблица134[[#This Row],[Нал]]+Таблица134[[#This Row],[Терминал]]-Таблица134[[#This Row],[Расход]]-Таблица134[[#This Row],[Закуп]]-Таблица134[[#This Row],[Расход со счета]]</f>
        <v>-70000</v>
      </c>
    </row>
    <row r="75" spans="1:12" ht="19" x14ac:dyDescent="0.2">
      <c r="A75" s="63"/>
      <c r="B75" s="32"/>
      <c r="C75" s="49"/>
      <c r="D75" s="13"/>
      <c r="E75" s="15"/>
      <c r="F75" s="9"/>
      <c r="G75" s="9"/>
      <c r="H75" s="9"/>
      <c r="I75" s="9">
        <v>315000</v>
      </c>
      <c r="J75" s="9" t="s">
        <v>147</v>
      </c>
      <c r="K75" s="9">
        <f>SUBTOTAL(109,K77:K227)</f>
        <v>0</v>
      </c>
      <c r="L75" s="9">
        <f>Таблица134[[#This Row],[Нал]]+Таблица134[[#This Row],[Терминал]]-Таблица134[[#This Row],[Расход]]-Таблица134[[#This Row],[Закуп]]-Таблица134[[#This Row],[Расход со счета]]</f>
        <v>-315000</v>
      </c>
    </row>
    <row r="76" spans="1:12" ht="19" x14ac:dyDescent="0.2">
      <c r="A76" s="21">
        <v>374000</v>
      </c>
      <c r="B76" s="33"/>
      <c r="C76" s="2" t="s">
        <v>10</v>
      </c>
      <c r="D76" s="13" t="s">
        <v>105</v>
      </c>
      <c r="E76" s="15">
        <v>374000</v>
      </c>
      <c r="F76" s="9"/>
      <c r="G76" s="9"/>
      <c r="H76" s="9" t="s">
        <v>129</v>
      </c>
      <c r="I76" s="9">
        <v>105000</v>
      </c>
      <c r="J76" s="9" t="s">
        <v>153</v>
      </c>
      <c r="K76" s="9"/>
      <c r="L76" s="9">
        <f>Таблица134[[#This Row],[Нал]]+Таблица134[[#This Row],[Терминал]]-Таблица134[[#This Row],[Расход]]-Таблица134[[#This Row],[Закуп]]-Таблица134[[#This Row],[Расход со счета]]</f>
        <v>269000</v>
      </c>
    </row>
    <row r="77" spans="1:12" ht="19" x14ac:dyDescent="0.2">
      <c r="A77" s="63">
        <v>603000</v>
      </c>
      <c r="B77" s="32">
        <v>44541</v>
      </c>
      <c r="C77" s="3" t="s">
        <v>9</v>
      </c>
      <c r="D77" s="13" t="s">
        <v>28</v>
      </c>
      <c r="E77" s="15">
        <v>521000</v>
      </c>
      <c r="F77" s="9">
        <v>82000</v>
      </c>
      <c r="G77" s="9"/>
      <c r="H77" s="9"/>
      <c r="I77" s="9">
        <v>42500</v>
      </c>
      <c r="J77" s="9" t="s">
        <v>221</v>
      </c>
      <c r="K77" s="9"/>
      <c r="L77" s="9">
        <f>Таблица134[[#This Row],[Нал]]+Таблица134[[#This Row],[Терминал]]-Таблица134[[#This Row],[Расход]]-Таблица134[[#This Row],[Закуп]]-Таблица134[[#This Row],[Расход со счета]]</f>
        <v>560500</v>
      </c>
    </row>
    <row r="78" spans="1:12" ht="19" x14ac:dyDescent="0.2">
      <c r="A78" s="63"/>
      <c r="B78" s="32"/>
      <c r="C78" s="49"/>
      <c r="D78" s="13"/>
      <c r="E78" s="15"/>
      <c r="F78" s="9"/>
      <c r="G78" s="9"/>
      <c r="H78" s="9"/>
      <c r="I78" s="9">
        <v>155500</v>
      </c>
      <c r="J78" s="9" t="s">
        <v>222</v>
      </c>
      <c r="K78" s="9">
        <f>SUBTOTAL(109,K80:K230)</f>
        <v>0</v>
      </c>
      <c r="L78" s="9">
        <f>Таблица134[[#This Row],[Нал]]+Таблица134[[#This Row],[Терминал]]-Таблица134[[#This Row],[Расход]]-Таблица134[[#This Row],[Закуп]]-Таблица134[[#This Row],[Расход со счета]]</f>
        <v>-155500</v>
      </c>
    </row>
    <row r="79" spans="1:12" ht="19" x14ac:dyDescent="0.2">
      <c r="A79" s="63"/>
      <c r="B79" s="32"/>
      <c r="C79" s="49"/>
      <c r="D79" s="13"/>
      <c r="E79" s="15"/>
      <c r="F79" s="9"/>
      <c r="G79" s="9"/>
      <c r="H79" s="9"/>
      <c r="I79" s="9">
        <v>23000</v>
      </c>
      <c r="J79" s="9" t="s">
        <v>223</v>
      </c>
      <c r="K79" s="9">
        <f>SUBTOTAL(109,K82:K230)</f>
        <v>0</v>
      </c>
      <c r="L79" s="9">
        <f>Таблица134[[#This Row],[Нал]]+Таблица134[[#This Row],[Терминал]]-Таблица134[[#This Row],[Расход]]-Таблица134[[#This Row],[Закуп]]-Таблица134[[#This Row],[Расход со счета]]</f>
        <v>-23000</v>
      </c>
    </row>
    <row r="80" spans="1:12" ht="19" x14ac:dyDescent="0.2">
      <c r="A80" s="63"/>
      <c r="B80" s="32"/>
      <c r="C80" s="49"/>
      <c r="D80" s="13"/>
      <c r="E80" s="15"/>
      <c r="F80" s="9"/>
      <c r="G80" s="9"/>
      <c r="H80" s="9"/>
      <c r="I80" s="9">
        <v>431000</v>
      </c>
      <c r="J80" s="9" t="s">
        <v>224</v>
      </c>
      <c r="K80" s="9">
        <f>SUBTOTAL(109,K83:K230)</f>
        <v>0</v>
      </c>
      <c r="L80" s="9">
        <f>Таблица134[[#This Row],[Нал]]+Таблица134[[#This Row],[Терминал]]-Таблица134[[#This Row],[Расход]]-Таблица134[[#This Row],[Закуп]]-Таблица134[[#This Row],[Расход со счета]]</f>
        <v>-431000</v>
      </c>
    </row>
    <row r="81" spans="1:12" ht="19" x14ac:dyDescent="0.2">
      <c r="A81" s="63"/>
      <c r="B81" s="32"/>
      <c r="C81" s="49"/>
      <c r="D81" s="13"/>
      <c r="E81" s="15"/>
      <c r="F81" s="9"/>
      <c r="G81" s="9"/>
      <c r="H81" s="9"/>
      <c r="I81" s="9">
        <v>44500</v>
      </c>
      <c r="J81" s="9" t="s">
        <v>101</v>
      </c>
      <c r="K81" s="9">
        <f>SUBTOTAL(109,K82:K233)</f>
        <v>0</v>
      </c>
      <c r="L81" s="9">
        <f>Таблица134[[#This Row],[Нал]]+Таблица134[[#This Row],[Терминал]]-Таблица134[[#This Row],[Расход]]-Таблица134[[#This Row],[Закуп]]-Таблица134[[#This Row],[Расход со счета]]</f>
        <v>-44500</v>
      </c>
    </row>
    <row r="82" spans="1:12" ht="19" x14ac:dyDescent="0.2">
      <c r="A82" s="21">
        <v>364000</v>
      </c>
      <c r="B82" s="33"/>
      <c r="C82" s="2" t="s">
        <v>10</v>
      </c>
      <c r="D82" s="13" t="s">
        <v>105</v>
      </c>
      <c r="E82" s="15">
        <v>364000</v>
      </c>
      <c r="F82" s="9"/>
      <c r="G82" s="9"/>
      <c r="H82" s="9" t="s">
        <v>129</v>
      </c>
      <c r="I82" s="9"/>
      <c r="J82" s="47"/>
      <c r="K82" s="9"/>
      <c r="L82" s="9">
        <f>Таблица134[[#This Row],[Нал]]+Таблица134[[#This Row],[Терминал]]-Таблица134[[#This Row],[Расход]]-Таблица134[[#This Row],[Закуп]]-Таблица134[[#This Row],[Расход со счета]]</f>
        <v>364000</v>
      </c>
    </row>
    <row r="83" spans="1:12" ht="19" x14ac:dyDescent="0.2">
      <c r="A83" s="63">
        <v>636000</v>
      </c>
      <c r="B83" s="32">
        <v>44542</v>
      </c>
      <c r="C83" s="3" t="s">
        <v>9</v>
      </c>
      <c r="D83" s="13" t="s">
        <v>28</v>
      </c>
      <c r="E83" s="15">
        <v>524000</v>
      </c>
      <c r="F83" s="9">
        <v>112000</v>
      </c>
      <c r="G83" s="9"/>
      <c r="H83" s="9"/>
      <c r="I83" s="9"/>
      <c r="J83" s="9"/>
      <c r="K83" s="9"/>
      <c r="L83" s="9">
        <f>Таблица134[[#This Row],[Нал]]+Таблица134[[#This Row],[Терминал]]-Таблица134[[#This Row],[Расход]]-Таблица134[[#This Row],[Закуп]]-Таблица134[[#This Row],[Расход со счета]]</f>
        <v>636000</v>
      </c>
    </row>
    <row r="84" spans="1:12" ht="19" x14ac:dyDescent="0.2">
      <c r="A84" s="21">
        <v>550000</v>
      </c>
      <c r="B84" s="33"/>
      <c r="C84" s="2" t="s">
        <v>10</v>
      </c>
      <c r="D84" s="13" t="s">
        <v>105</v>
      </c>
      <c r="E84" s="15">
        <v>460000</v>
      </c>
      <c r="F84" s="9">
        <v>90000</v>
      </c>
      <c r="G84" s="9"/>
      <c r="H84" s="9"/>
      <c r="I84" s="9"/>
      <c r="J84" s="9"/>
      <c r="K84" s="9"/>
      <c r="L84" s="9">
        <f>Таблица134[[#This Row],[Нал]]+Таблица134[[#This Row],[Терминал]]-Таблица134[[#This Row],[Расход]]-Таблица134[[#This Row],[Закуп]]-Таблица134[[#This Row],[Расход со счета]]</f>
        <v>550000</v>
      </c>
    </row>
    <row r="85" spans="1:12" ht="19" x14ac:dyDescent="0.2">
      <c r="A85" s="63">
        <v>993000</v>
      </c>
      <c r="B85" s="32">
        <v>44543</v>
      </c>
      <c r="C85" s="3" t="s">
        <v>9</v>
      </c>
      <c r="D85" s="13" t="s">
        <v>28</v>
      </c>
      <c r="E85" s="15">
        <v>893000</v>
      </c>
      <c r="F85" s="9">
        <v>100000</v>
      </c>
      <c r="G85" s="9"/>
      <c r="H85" s="9"/>
      <c r="I85" s="9">
        <v>124500</v>
      </c>
      <c r="J85" s="9" t="s">
        <v>150</v>
      </c>
      <c r="K85" s="9"/>
      <c r="L85" s="9">
        <f>Таблица134[[#This Row],[Нал]]+Таблица134[[#This Row],[Терминал]]-Таблица134[[#This Row],[Расход]]-Таблица134[[#This Row],[Закуп]]-Таблица134[[#This Row],[Расход со счета]]</f>
        <v>868500</v>
      </c>
    </row>
    <row r="86" spans="1:12" ht="32" x14ac:dyDescent="0.2">
      <c r="A86" s="63"/>
      <c r="B86" s="32"/>
      <c r="C86" s="49"/>
      <c r="D86" s="13"/>
      <c r="E86" s="15"/>
      <c r="F86" s="9"/>
      <c r="G86" s="9"/>
      <c r="H86" s="9"/>
      <c r="I86" s="9">
        <v>50000</v>
      </c>
      <c r="J86" s="47" t="s">
        <v>225</v>
      </c>
      <c r="K86" s="9">
        <f>SUBTOTAL(109,K90:K238)</f>
        <v>0</v>
      </c>
      <c r="L86" s="9">
        <f>Таблица134[[#This Row],[Нал]]+Таблица134[[#This Row],[Терминал]]-Таблица134[[#This Row],[Расход]]-Таблица134[[#This Row],[Закуп]]-Таблица134[[#This Row],[Расход со счета]]</f>
        <v>-50000</v>
      </c>
    </row>
    <row r="87" spans="1:12" ht="32" x14ac:dyDescent="0.2">
      <c r="A87" s="63"/>
      <c r="B87" s="32"/>
      <c r="C87" s="49"/>
      <c r="D87" s="13"/>
      <c r="E87" s="15"/>
      <c r="F87" s="9"/>
      <c r="G87" s="60">
        <v>3255000</v>
      </c>
      <c r="H87" s="59" t="s">
        <v>226</v>
      </c>
      <c r="I87" s="9">
        <v>31000</v>
      </c>
      <c r="J87" s="9" t="s">
        <v>228</v>
      </c>
      <c r="K87" s="9">
        <f>SUBTOTAL(109,K91:K238)</f>
        <v>0</v>
      </c>
      <c r="L87" s="9">
        <f>Таблица134[[#This Row],[Нал]]+Таблица134[[#This Row],[Терминал]]-Таблица134[[#This Row],[Расход]]-Таблица134[[#This Row],[Закуп]]-Таблица134[[#This Row],[Расход со счета]]</f>
        <v>-3286000</v>
      </c>
    </row>
    <row r="88" spans="1:12" ht="19" x14ac:dyDescent="0.2">
      <c r="A88" s="63"/>
      <c r="B88" s="58"/>
      <c r="C88" s="49"/>
      <c r="D88" s="13"/>
      <c r="E88" s="15"/>
      <c r="F88" s="9"/>
      <c r="G88" s="60"/>
      <c r="H88" s="60"/>
      <c r="I88" s="9">
        <v>45000</v>
      </c>
      <c r="J88" s="9" t="s">
        <v>97</v>
      </c>
      <c r="K88" s="9">
        <f>SUBTOTAL(109,K90:K240)</f>
        <v>0</v>
      </c>
      <c r="L88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89" spans="1:12" ht="19" x14ac:dyDescent="0.2">
      <c r="A89" s="63"/>
      <c r="B89" s="58"/>
      <c r="C89" s="49"/>
      <c r="D89" s="13"/>
      <c r="E89" s="15"/>
      <c r="F89" s="9"/>
      <c r="G89" s="60"/>
      <c r="H89" s="60"/>
      <c r="I89" s="9">
        <v>37000</v>
      </c>
      <c r="J89" s="9" t="s">
        <v>211</v>
      </c>
      <c r="K89" s="9">
        <f>SUBTOTAL(109,K91:K240)</f>
        <v>0</v>
      </c>
      <c r="L89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90" spans="1:12" ht="19" x14ac:dyDescent="0.2">
      <c r="A90" s="21">
        <v>613000</v>
      </c>
      <c r="B90" s="33"/>
      <c r="C90" s="2" t="s">
        <v>10</v>
      </c>
      <c r="D90" s="13" t="s">
        <v>105</v>
      </c>
      <c r="E90" s="15">
        <v>577000</v>
      </c>
      <c r="F90" s="9">
        <v>36000</v>
      </c>
      <c r="G90" s="9"/>
      <c r="H90" s="9"/>
      <c r="I90" s="9">
        <v>50000</v>
      </c>
      <c r="J90" s="9" t="s">
        <v>206</v>
      </c>
      <c r="K90" s="9"/>
      <c r="L90" s="9">
        <f>Таблица134[[#This Row],[Нал]]+Таблица134[[#This Row],[Терминал]]-Таблица134[[#This Row],[Расход]]-Таблица134[[#This Row],[Закуп]]-Таблица134[[#This Row],[Расход со счета]]</f>
        <v>563000</v>
      </c>
    </row>
    <row r="91" spans="1:12" ht="19" x14ac:dyDescent="0.2">
      <c r="A91" s="63">
        <v>1024000</v>
      </c>
      <c r="B91" s="32">
        <v>44544</v>
      </c>
      <c r="C91" s="3" t="s">
        <v>9</v>
      </c>
      <c r="D91" s="13" t="s">
        <v>28</v>
      </c>
      <c r="E91" s="15">
        <v>963000</v>
      </c>
      <c r="F91" s="9">
        <v>61000</v>
      </c>
      <c r="G91" s="9"/>
      <c r="H91" s="9"/>
      <c r="I91" s="9">
        <v>105000</v>
      </c>
      <c r="J91" s="9" t="s">
        <v>153</v>
      </c>
      <c r="K91" s="9"/>
      <c r="L91" s="9">
        <f>Таблица134[[#This Row],[Нал]]+Таблица134[[#This Row],[Терминал]]-Таблица134[[#This Row],[Расход]]-Таблица134[[#This Row],[Закуп]]-Таблица134[[#This Row],[Расход со счета]]</f>
        <v>919000</v>
      </c>
    </row>
    <row r="92" spans="1:12" ht="19" x14ac:dyDescent="0.2">
      <c r="A92" s="21">
        <v>668000</v>
      </c>
      <c r="B92" s="33"/>
      <c r="C92" s="2" t="s">
        <v>10</v>
      </c>
      <c r="D92" s="13" t="s">
        <v>105</v>
      </c>
      <c r="E92" s="15">
        <v>652000</v>
      </c>
      <c r="F92" s="9">
        <v>16000</v>
      </c>
      <c r="G92" s="9">
        <v>1680000</v>
      </c>
      <c r="H92" s="9" t="s">
        <v>229</v>
      </c>
      <c r="I92" s="9"/>
      <c r="J92" s="9"/>
      <c r="K92" s="9"/>
      <c r="L92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-1012000</v>
      </c>
    </row>
    <row r="93" spans="1:12" ht="19" x14ac:dyDescent="0.2">
      <c r="A93" s="63">
        <v>732000</v>
      </c>
      <c r="B93" s="32">
        <v>44545</v>
      </c>
      <c r="C93" s="3" t="s">
        <v>9</v>
      </c>
      <c r="D93" s="13" t="s">
        <v>28</v>
      </c>
      <c r="E93" s="15">
        <v>625000</v>
      </c>
      <c r="F93" s="9">
        <v>107000</v>
      </c>
      <c r="G93" s="9">
        <v>1680000</v>
      </c>
      <c r="H93" s="9" t="s">
        <v>229</v>
      </c>
      <c r="I93" s="9"/>
      <c r="J93" s="47"/>
      <c r="K93" s="9"/>
      <c r="L93" s="9">
        <f>Таблица134[[#This Row],[Нал]]+Таблица134[[#This Row],[Терминал]]-Таблица134[[#This Row],[Расход]]-Таблица134[[#This Row],[Закуп]]-Таблица134[[#This Row],[Расход со счета]]</f>
        <v>-948000</v>
      </c>
    </row>
    <row r="94" spans="1:12" ht="19" x14ac:dyDescent="0.2">
      <c r="A94" s="21">
        <v>662000</v>
      </c>
      <c r="B94" s="33"/>
      <c r="C94" s="2" t="s">
        <v>10</v>
      </c>
      <c r="D94" s="13" t="s">
        <v>29</v>
      </c>
      <c r="E94" s="15">
        <v>630000</v>
      </c>
      <c r="F94" s="9">
        <v>32000</v>
      </c>
      <c r="G94" s="9"/>
      <c r="H94" s="9"/>
      <c r="I94" s="9">
        <v>70000</v>
      </c>
      <c r="J94" s="9" t="s">
        <v>96</v>
      </c>
      <c r="K94" s="9"/>
      <c r="L94" s="9">
        <f>Таблица134[[#This Row],[Нал]]+Таблица134[[#This Row],[Терминал]]-Таблица134[[#This Row],[Расход]]-Таблица134[[#This Row],[Закуп]]-Таблица134[[#This Row],[Расход со счета]]</f>
        <v>592000</v>
      </c>
    </row>
    <row r="95" spans="1:12" ht="19" x14ac:dyDescent="0.2">
      <c r="A95" s="21"/>
      <c r="B95" s="75"/>
      <c r="C95" s="35"/>
      <c r="D95" s="13"/>
      <c r="E95" s="15"/>
      <c r="F95" s="9"/>
      <c r="G95" s="9"/>
      <c r="H95" s="9"/>
      <c r="I95" s="9">
        <v>200000</v>
      </c>
      <c r="J95" s="9" t="s">
        <v>183</v>
      </c>
      <c r="K95" s="9">
        <f>SUBTOTAL(109,K107:K247)</f>
        <v>0</v>
      </c>
      <c r="L95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96" spans="1:12" ht="19" x14ac:dyDescent="0.2">
      <c r="A96" s="63">
        <v>604000</v>
      </c>
      <c r="B96" s="32">
        <v>44546</v>
      </c>
      <c r="C96" s="3" t="s">
        <v>9</v>
      </c>
      <c r="D96" s="13" t="s">
        <v>105</v>
      </c>
      <c r="E96" s="15">
        <v>506000</v>
      </c>
      <c r="F96" s="9">
        <v>98000</v>
      </c>
      <c r="G96" s="9"/>
      <c r="H96" s="47"/>
      <c r="I96" s="9">
        <v>45000</v>
      </c>
      <c r="J96" s="9" t="s">
        <v>101</v>
      </c>
      <c r="K96" s="9"/>
      <c r="L96" s="9">
        <f>Таблица134[[#This Row],[Нал]]+Таблица134[[#This Row],[Терминал]]-Таблица134[[#This Row],[Расход]]-Таблица134[[#This Row],[Закуп]]-Таблица134[[#This Row],[Расход со счета]]</f>
        <v>559000</v>
      </c>
    </row>
    <row r="97" spans="1:12" ht="19" x14ac:dyDescent="0.2">
      <c r="A97" s="63"/>
      <c r="B97" s="58"/>
      <c r="C97" s="49"/>
      <c r="D97" s="13"/>
      <c r="E97" s="15"/>
      <c r="F97" s="9"/>
      <c r="G97" s="9"/>
      <c r="H97" s="9"/>
      <c r="I97" s="9">
        <v>25500</v>
      </c>
      <c r="J97" s="9" t="s">
        <v>230</v>
      </c>
      <c r="K97" s="9">
        <f>SUBTOTAL(109,K108:K249)</f>
        <v>0</v>
      </c>
      <c r="L97" s="9">
        <f>Таблица134[[#This Row],[Нал]]+Таблица134[[#This Row],[Терминал]]-Таблица134[[#This Row],[Расход]]-Таблица134[[#This Row],[Закуп]]-Таблица134[[#This Row],[Расход со счета]]</f>
        <v>-25500</v>
      </c>
    </row>
    <row r="98" spans="1:12" ht="19" x14ac:dyDescent="0.2">
      <c r="A98" s="63"/>
      <c r="B98" s="58"/>
      <c r="C98" s="49"/>
      <c r="D98" s="13"/>
      <c r="E98" s="15"/>
      <c r="F98" s="9"/>
      <c r="G98" s="9"/>
      <c r="H98" s="9"/>
      <c r="I98" s="9">
        <v>63000</v>
      </c>
      <c r="J98" s="9" t="s">
        <v>231</v>
      </c>
      <c r="K98" s="9">
        <f>SUBTOTAL(109,K107:K250)</f>
        <v>0</v>
      </c>
      <c r="L98" s="9">
        <f>Таблица134[[#This Row],[Нал]]+Таблица134[[#This Row],[Терминал]]-Таблица134[[#This Row],[Расход]]-Таблица134[[#This Row],[Закуп]]-Таблица134[[#This Row],[Расход со счета]]</f>
        <v>-63000</v>
      </c>
    </row>
    <row r="99" spans="1:12" ht="19" x14ac:dyDescent="0.2">
      <c r="A99" s="63"/>
      <c r="B99" s="58"/>
      <c r="C99" s="49"/>
      <c r="D99" s="13"/>
      <c r="E99" s="15"/>
      <c r="F99" s="9"/>
      <c r="G99" s="9"/>
      <c r="H99" s="9"/>
      <c r="I99" s="9">
        <v>63000</v>
      </c>
      <c r="J99" s="9" t="s">
        <v>232</v>
      </c>
      <c r="K99" s="9">
        <f>SUBTOTAL(109,K101:K251)</f>
        <v>0</v>
      </c>
      <c r="L99" s="9">
        <f>Таблица134[[#This Row],[Нал]]+Таблица134[[#This Row],[Терминал]]-Таблица134[[#This Row],[Расход]]-Таблица134[[#This Row],[Закуп]]-Таблица134[[#This Row],[Расход со счета]]</f>
        <v>-63000</v>
      </c>
    </row>
    <row r="100" spans="1:12" ht="19" x14ac:dyDescent="0.2">
      <c r="A100" s="63"/>
      <c r="B100" s="58"/>
      <c r="C100" s="49"/>
      <c r="D100" s="13"/>
      <c r="E100" s="15"/>
      <c r="F100" s="9"/>
      <c r="G100" s="9"/>
      <c r="H100" s="9"/>
      <c r="I100" s="9">
        <v>10000</v>
      </c>
      <c r="J100" s="9" t="s">
        <v>233</v>
      </c>
      <c r="K100" s="9">
        <f>SUBTOTAL(109,K102:K251)</f>
        <v>0</v>
      </c>
      <c r="L100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-10000</v>
      </c>
    </row>
    <row r="101" spans="1:12" ht="19" x14ac:dyDescent="0.2">
      <c r="A101" s="63"/>
      <c r="B101" s="58"/>
      <c r="C101" s="49"/>
      <c r="D101" s="13"/>
      <c r="E101" s="15"/>
      <c r="F101" s="9"/>
      <c r="G101" s="9"/>
      <c r="H101" s="9"/>
      <c r="I101" s="9">
        <v>32000</v>
      </c>
      <c r="J101" s="9" t="s">
        <v>234</v>
      </c>
      <c r="K101" s="9">
        <f>SUBTOTAL(109,K107:K251)</f>
        <v>0</v>
      </c>
      <c r="L101" s="9">
        <f>Таблица134[[#This Row],[Нал]]+Таблица134[[#This Row],[Терминал]]-Таблица134[[#This Row],[Расход]]-Таблица134[[#This Row],[Закуп]]-Таблица134[[#This Row],[Расход со счета]]</f>
        <v>-32000</v>
      </c>
    </row>
    <row r="102" spans="1:12" ht="19" x14ac:dyDescent="0.2">
      <c r="A102" s="63"/>
      <c r="B102" s="58"/>
      <c r="C102" s="49"/>
      <c r="D102" s="13"/>
      <c r="E102" s="15"/>
      <c r="F102" s="9"/>
      <c r="G102" s="9"/>
      <c r="H102" s="9"/>
      <c r="I102" s="9">
        <v>750000</v>
      </c>
      <c r="J102" s="9" t="s">
        <v>235</v>
      </c>
      <c r="K102" s="9">
        <f>SUBTOTAL(109,K108:K250)</f>
        <v>0</v>
      </c>
      <c r="L102" s="9">
        <f>Таблица134[[#This Row],[Нал]]+Таблица134[[#This Row],[Терминал]]-Таблица134[[#This Row],[Расход]]-Таблица134[[#This Row],[Закуп]]-Таблица134[[#This Row],[Расход со счета]]</f>
        <v>-750000</v>
      </c>
    </row>
    <row r="103" spans="1:12" ht="19" x14ac:dyDescent="0.2">
      <c r="A103" s="63"/>
      <c r="B103" s="58"/>
      <c r="C103" s="49"/>
      <c r="D103" s="13"/>
      <c r="E103" s="15"/>
      <c r="F103" s="9"/>
      <c r="G103" s="9"/>
      <c r="H103" s="9"/>
      <c r="I103" s="9">
        <v>260000</v>
      </c>
      <c r="J103" s="9" t="s">
        <v>236</v>
      </c>
      <c r="K103" s="9">
        <f>SUBTOTAL(109,K105:K255)</f>
        <v>0</v>
      </c>
      <c r="L103" s="9">
        <f>Таблица134[[#This Row],[Нал]]+Таблица134[[#This Row],[Терминал]]-Таблица134[[#This Row],[Расход]]-Таблица134[[#This Row],[Закуп]]-Таблица134[[#This Row],[Расход со счета]]</f>
        <v>-260000</v>
      </c>
    </row>
    <row r="104" spans="1:12" ht="19" x14ac:dyDescent="0.2">
      <c r="A104" s="63"/>
      <c r="B104" s="58"/>
      <c r="C104" s="49"/>
      <c r="D104" s="13"/>
      <c r="E104" s="15"/>
      <c r="F104" s="9"/>
      <c r="G104" s="9"/>
      <c r="H104" s="9"/>
      <c r="I104" s="9">
        <v>250000</v>
      </c>
      <c r="J104" s="9" t="s">
        <v>237</v>
      </c>
      <c r="K104" s="9">
        <f>SUBTOTAL(109,K107:K255)</f>
        <v>0</v>
      </c>
      <c r="L104" s="9">
        <f>Таблица134[[#This Row],[Нал]]+Таблица134[[#This Row],[Терминал]]-Таблица134[[#This Row],[Расход]]-Таблица134[[#This Row],[Закуп]]-Таблица134[[#This Row],[Расход со счета]]</f>
        <v>-250000</v>
      </c>
    </row>
    <row r="105" spans="1:12" ht="19" x14ac:dyDescent="0.2">
      <c r="A105" s="63"/>
      <c r="B105" s="58"/>
      <c r="C105" s="49"/>
      <c r="D105" s="13"/>
      <c r="E105" s="15"/>
      <c r="F105" s="9"/>
      <c r="G105" s="9"/>
      <c r="H105" s="9"/>
      <c r="I105" s="9">
        <v>150000</v>
      </c>
      <c r="J105" s="9" t="s">
        <v>238</v>
      </c>
      <c r="K105" s="9">
        <f>SUBTOTAL(109,K108:K255)</f>
        <v>0</v>
      </c>
      <c r="L105" s="9">
        <f>Таблица134[[#This Row],[Нал]]+Таблица134[[#This Row],[Терминал]]-Таблица134[[#This Row],[Расход]]-Таблица134[[#This Row],[Закуп]]-Таблица134[[#This Row],[Расход со счета]]</f>
        <v>-150000</v>
      </c>
    </row>
    <row r="106" spans="1:12" ht="19" x14ac:dyDescent="0.2">
      <c r="A106" s="63"/>
      <c r="B106" s="58"/>
      <c r="C106" s="49"/>
      <c r="D106" s="13"/>
      <c r="E106" s="15"/>
      <c r="F106" s="9"/>
      <c r="G106" s="9"/>
      <c r="H106" s="9"/>
      <c r="I106" s="9">
        <v>120000</v>
      </c>
      <c r="J106" s="9" t="s">
        <v>239</v>
      </c>
      <c r="K106" s="9">
        <f>SUBTOTAL(109,K108:K258)</f>
        <v>0</v>
      </c>
      <c r="L106" s="9">
        <f>Таблица134[[#This Row],[Нал]]+Таблица134[[#This Row],[Терминал]]-Таблица134[[#This Row],[Расход]]-Таблица134[[#This Row],[Закуп]]-Таблица134[[#This Row],[Расход со счета]]</f>
        <v>-120000</v>
      </c>
    </row>
    <row r="107" spans="1:12" ht="19" x14ac:dyDescent="0.2">
      <c r="A107" s="21">
        <v>554000</v>
      </c>
      <c r="B107" s="33"/>
      <c r="C107" s="2" t="s">
        <v>10</v>
      </c>
      <c r="D107" s="13" t="s">
        <v>28</v>
      </c>
      <c r="E107" s="15">
        <v>450000</v>
      </c>
      <c r="F107" s="9">
        <v>104000</v>
      </c>
      <c r="G107" s="9"/>
      <c r="H107" s="9"/>
      <c r="I107" s="9"/>
      <c r="J107" s="9"/>
      <c r="K107" s="9"/>
      <c r="L107" s="9">
        <f>Таблица134[[#This Row],[Нал]]+Таблица134[[#This Row],[Терминал]]-Таблица134[[#This Row],[Расход]]-Таблица134[[#This Row],[Закуп]]-Таблица134[[#This Row],[Расход со счета]]</f>
        <v>554000</v>
      </c>
    </row>
    <row r="108" spans="1:12" ht="19" x14ac:dyDescent="0.2">
      <c r="A108" s="63">
        <v>866000</v>
      </c>
      <c r="B108" s="32">
        <v>44547</v>
      </c>
      <c r="C108" s="3" t="s">
        <v>9</v>
      </c>
      <c r="D108" s="13" t="s">
        <v>105</v>
      </c>
      <c r="E108" s="9">
        <v>848000</v>
      </c>
      <c r="F108" s="9">
        <v>18000</v>
      </c>
      <c r="G108" s="9"/>
      <c r="H108" s="9"/>
      <c r="I108" s="9">
        <v>35000</v>
      </c>
      <c r="J108" s="9" t="s">
        <v>240</v>
      </c>
      <c r="K108" s="9"/>
      <c r="L108" s="44">
        <f>Таблица134[[#This Row],[Нал]]+Таблица134[[#This Row],[Терминал]]-Таблица134[[#This Row],[Расход]]-Таблица134[[#This Row],[Закуп]]-Таблица134[[#This Row],[Расход со счета]]</f>
        <v>831000</v>
      </c>
    </row>
    <row r="109" spans="1:12" ht="19" x14ac:dyDescent="0.2">
      <c r="A109" s="63"/>
      <c r="B109" s="58"/>
      <c r="C109" s="49"/>
      <c r="D109" s="13"/>
      <c r="E109" s="15"/>
      <c r="F109" s="9"/>
      <c r="G109" s="9"/>
      <c r="H109" s="9"/>
      <c r="I109" s="9">
        <v>40000</v>
      </c>
      <c r="J109" s="9" t="s">
        <v>241</v>
      </c>
      <c r="K109" s="9">
        <f>SUBTOTAL(109,K111:K261)</f>
        <v>0</v>
      </c>
      <c r="L109" s="9">
        <f>Таблица134[[#This Row],[Нал]]+Таблица134[[#This Row],[Терминал]]-Таблица134[[#This Row],[Расход]]-Таблица134[[#This Row],[Закуп]]-Таблица134[[#This Row],[Расход со счета]]</f>
        <v>-40000</v>
      </c>
    </row>
    <row r="110" spans="1:12" ht="19" x14ac:dyDescent="0.2">
      <c r="A110" s="63"/>
      <c r="B110" s="58"/>
      <c r="C110" s="49"/>
      <c r="D110" s="13"/>
      <c r="E110" s="15"/>
      <c r="F110" s="9"/>
      <c r="G110" s="9"/>
      <c r="H110" s="9"/>
      <c r="I110" s="9">
        <v>25000</v>
      </c>
      <c r="J110" s="9" t="s">
        <v>242</v>
      </c>
      <c r="K110" s="9">
        <f>SUBTOTAL(109,K114:K261)</f>
        <v>0</v>
      </c>
      <c r="L110" s="9">
        <f>Таблица134[[#This Row],[Нал]]+Таблица134[[#This Row],[Терминал]]-Таблица134[[#This Row],[Расход]]-Таблица134[[#This Row],[Закуп]]-Таблица134[[#This Row],[Расход со счета]]</f>
        <v>-25000</v>
      </c>
    </row>
    <row r="111" spans="1:12" ht="19" x14ac:dyDescent="0.2">
      <c r="A111" s="63"/>
      <c r="B111" s="58"/>
      <c r="C111" s="49"/>
      <c r="D111" s="13"/>
      <c r="E111" s="15"/>
      <c r="F111" s="9"/>
      <c r="G111" s="9"/>
      <c r="H111" s="9"/>
      <c r="I111" s="9">
        <v>400000</v>
      </c>
      <c r="J111" s="9" t="s">
        <v>243</v>
      </c>
      <c r="K111" s="9">
        <f>SUBTOTAL(109,K117:K261)</f>
        <v>0</v>
      </c>
      <c r="L111" s="9">
        <f>Таблица134[[#This Row],[Нал]]+Таблица134[[#This Row],[Терминал]]-Таблица134[[#This Row],[Расход]]-Таблица134[[#This Row],[Закуп]]-Таблица134[[#This Row],[Расход со счета]]</f>
        <v>-400000</v>
      </c>
    </row>
    <row r="112" spans="1:12" ht="19" x14ac:dyDescent="0.2">
      <c r="A112" s="63"/>
      <c r="B112" s="58"/>
      <c r="C112" s="49"/>
      <c r="D112" s="13"/>
      <c r="E112" s="15"/>
      <c r="F112" s="9"/>
      <c r="G112" s="9"/>
      <c r="H112" s="9"/>
      <c r="I112" s="9">
        <v>620000</v>
      </c>
      <c r="J112" s="9" t="s">
        <v>151</v>
      </c>
      <c r="K112" s="9">
        <f>SUBTOTAL(109,K117:K264)</f>
        <v>0</v>
      </c>
      <c r="L112" s="9">
        <f>Таблица134[[#This Row],[Нал]]+Таблица134[[#This Row],[Терминал]]-Таблица134[[#This Row],[Расход]]-Таблица134[[#This Row],[Закуп]]-Таблица134[[#This Row],[Расход со счета]]</f>
        <v>-620000</v>
      </c>
    </row>
    <row r="113" spans="1:12" ht="19" x14ac:dyDescent="0.2">
      <c r="A113" s="63"/>
      <c r="B113" s="58"/>
      <c r="C113" s="49"/>
      <c r="D113" s="13"/>
      <c r="E113" s="15"/>
      <c r="F113" s="9"/>
      <c r="G113" s="9"/>
      <c r="H113" s="9"/>
      <c r="I113" s="9">
        <v>48000</v>
      </c>
      <c r="J113" s="9" t="s">
        <v>244</v>
      </c>
      <c r="K113" s="9">
        <f>SUBTOTAL(109,K117:K265)</f>
        <v>0</v>
      </c>
      <c r="L113" s="9">
        <f>Таблица134[[#This Row],[Нал]]+Таблица134[[#This Row],[Терминал]]-Таблица134[[#This Row],[Расход]]-Таблица134[[#This Row],[Закуп]]-Таблица134[[#This Row],[Расход со счета]]</f>
        <v>-48000</v>
      </c>
    </row>
    <row r="114" spans="1:12" ht="19" x14ac:dyDescent="0.2">
      <c r="A114" s="21">
        <v>553000</v>
      </c>
      <c r="B114" s="33"/>
      <c r="C114" s="2" t="s">
        <v>10</v>
      </c>
      <c r="D114" s="13" t="s">
        <v>28</v>
      </c>
      <c r="E114" s="9">
        <v>425000</v>
      </c>
      <c r="F114" s="9">
        <v>128000</v>
      </c>
      <c r="G114" s="9"/>
      <c r="H114" s="9"/>
      <c r="I114" s="9">
        <v>37000</v>
      </c>
      <c r="J114" s="9" t="s">
        <v>211</v>
      </c>
      <c r="K114" s="9"/>
      <c r="L114" s="44">
        <f>Таблица134[[#This Row],[Нал]]+Таблица134[[#This Row],[Терминал]]-Таблица134[[#This Row],[Расход]]-Таблица134[[#This Row],[Закуп]]-Таблица134[[#This Row],[Расход со счета]]</f>
        <v>516000</v>
      </c>
    </row>
    <row r="115" spans="1:12" ht="19" x14ac:dyDescent="0.2">
      <c r="A115" s="21"/>
      <c r="B115" s="75"/>
      <c r="C115" s="35"/>
      <c r="D115" s="13"/>
      <c r="E115" s="15"/>
      <c r="F115" s="9"/>
      <c r="G115" s="9"/>
      <c r="H115" s="9"/>
      <c r="I115" s="9">
        <v>45000</v>
      </c>
      <c r="J115" s="9" t="s">
        <v>97</v>
      </c>
      <c r="K115" s="9">
        <f>SUBTOTAL(109,K117:K267)</f>
        <v>0</v>
      </c>
      <c r="L115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116" spans="1:12" ht="19" x14ac:dyDescent="0.2">
      <c r="A116" s="21"/>
      <c r="B116" s="75"/>
      <c r="C116" s="35"/>
      <c r="D116" s="13"/>
      <c r="E116" s="15"/>
      <c r="F116" s="9"/>
      <c r="G116" s="9"/>
      <c r="H116" s="9"/>
      <c r="I116" s="9">
        <v>105000</v>
      </c>
      <c r="J116" s="9" t="s">
        <v>153</v>
      </c>
      <c r="K116" s="9">
        <f>SUBTOTAL(109,K119:K267)</f>
        <v>0</v>
      </c>
      <c r="L116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-105000</v>
      </c>
    </row>
    <row r="117" spans="1:12" ht="19" x14ac:dyDescent="0.2">
      <c r="A117" s="63">
        <v>542000</v>
      </c>
      <c r="B117" s="32">
        <v>44548</v>
      </c>
      <c r="C117" s="3" t="s">
        <v>9</v>
      </c>
      <c r="D117" s="13" t="s">
        <v>105</v>
      </c>
      <c r="E117" s="9">
        <v>488000</v>
      </c>
      <c r="F117" s="9">
        <v>54000</v>
      </c>
      <c r="G117" s="9"/>
      <c r="H117" s="9"/>
      <c r="I117" s="9">
        <v>2600000</v>
      </c>
      <c r="J117" s="9" t="s">
        <v>245</v>
      </c>
      <c r="K117" s="9"/>
      <c r="L117" s="44">
        <f>Таблица134[[#This Row],[Нал]]+Таблица134[[#This Row],[Терминал]]-Таблица134[[#This Row],[Расход]]-Таблица134[[#This Row],[Закуп]]-Таблица134[[#This Row],[Расход со счета]]</f>
        <v>-2058000</v>
      </c>
    </row>
    <row r="118" spans="1:12" ht="19" x14ac:dyDescent="0.2">
      <c r="A118" s="63"/>
      <c r="B118" s="58"/>
      <c r="C118" s="49"/>
      <c r="D118" s="13"/>
      <c r="E118" s="15"/>
      <c r="F118" s="9"/>
      <c r="G118" s="9"/>
      <c r="H118" s="9"/>
      <c r="I118" s="9">
        <v>100000</v>
      </c>
      <c r="J118" s="9" t="s">
        <v>246</v>
      </c>
      <c r="K118" s="9">
        <f>SUBTOTAL(109,K120:K270)</f>
        <v>0</v>
      </c>
      <c r="L118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-100000</v>
      </c>
    </row>
    <row r="119" spans="1:12" ht="19" x14ac:dyDescent="0.2">
      <c r="A119" s="21">
        <v>280000</v>
      </c>
      <c r="B119" s="33"/>
      <c r="C119" s="2" t="s">
        <v>10</v>
      </c>
      <c r="D119" s="13" t="s">
        <v>29</v>
      </c>
      <c r="E119" s="9">
        <v>212000</v>
      </c>
      <c r="F119" s="9">
        <v>68000</v>
      </c>
      <c r="G119" s="9"/>
      <c r="H119" s="9"/>
      <c r="I119" s="9"/>
      <c r="J119" s="9"/>
      <c r="K119" s="9"/>
      <c r="L119" s="44">
        <f>Таблица134[[#This Row],[Нал]]+Таблица134[[#This Row],[Терминал]]-Таблица134[[#This Row],[Расход]]-Таблица134[[#This Row],[Закуп]]-Таблица134[[#This Row],[Расход со счета]]</f>
        <v>280000</v>
      </c>
    </row>
    <row r="120" spans="1:12" ht="19" x14ac:dyDescent="0.2">
      <c r="A120" s="63">
        <v>472000</v>
      </c>
      <c r="B120" s="32">
        <v>44549</v>
      </c>
      <c r="C120" s="3" t="s">
        <v>9</v>
      </c>
      <c r="D120" s="13" t="s">
        <v>105</v>
      </c>
      <c r="E120" s="9">
        <v>426000</v>
      </c>
      <c r="F120" s="9">
        <v>46000</v>
      </c>
      <c r="G120" s="9"/>
      <c r="H120" s="9"/>
      <c r="I120" s="9"/>
      <c r="J120" s="9"/>
      <c r="K120" s="9"/>
      <c r="L120" s="44">
        <f>Таблица134[[#This Row],[Нал]]+Таблица134[[#This Row],[Терминал]]-Таблица134[[#This Row],[Расход]]-Таблица134[[#This Row],[Закуп]]-Таблица134[[#This Row],[Расход со счета]]</f>
        <v>472000</v>
      </c>
    </row>
    <row r="121" spans="1:12" ht="19" x14ac:dyDescent="0.2">
      <c r="A121" s="21">
        <v>411000</v>
      </c>
      <c r="B121" s="33"/>
      <c r="C121" s="2" t="s">
        <v>10</v>
      </c>
      <c r="D121" s="13" t="s">
        <v>28</v>
      </c>
      <c r="E121" s="9">
        <v>320000</v>
      </c>
      <c r="F121" s="9">
        <v>91000</v>
      </c>
      <c r="G121" s="9"/>
      <c r="H121" s="9"/>
      <c r="I121" s="9"/>
      <c r="J121" s="47"/>
      <c r="K121" s="9"/>
      <c r="L121" s="44">
        <f>Таблица134[[#This Row],[Нал]]+Таблица134[[#This Row],[Терминал]]-Таблица134[[#This Row],[Расход]]-Таблица134[[#This Row],[Закуп]]-Таблица134[[#This Row],[Расход со счета]]</f>
        <v>411000</v>
      </c>
    </row>
    <row r="122" spans="1:12" ht="19" x14ac:dyDescent="0.2">
      <c r="A122" s="63">
        <v>693000</v>
      </c>
      <c r="B122" s="32">
        <v>44550</v>
      </c>
      <c r="C122" s="3" t="s">
        <v>9</v>
      </c>
      <c r="D122" s="13" t="s">
        <v>105</v>
      </c>
      <c r="E122" s="9">
        <v>667000</v>
      </c>
      <c r="F122" s="9">
        <v>26000</v>
      </c>
      <c r="G122" s="9"/>
      <c r="H122" s="9" t="s">
        <v>248</v>
      </c>
      <c r="I122" s="9">
        <v>36000</v>
      </c>
      <c r="J122" s="47" t="s">
        <v>203</v>
      </c>
      <c r="K122" s="9"/>
      <c r="L122" s="44">
        <f>Таблица134[[#This Row],[Нал]]+Таблица134[[#This Row],[Терминал]]-Таблица134[[#This Row],[Расход]]-Таблица134[[#This Row],[Закуп]]-Таблица134[[#This Row],[Расход со счета]]</f>
        <v>657000</v>
      </c>
    </row>
    <row r="123" spans="1:12" ht="19" x14ac:dyDescent="0.2">
      <c r="A123" s="63"/>
      <c r="B123" s="58"/>
      <c r="C123" s="49"/>
      <c r="D123" s="13"/>
      <c r="E123" s="15"/>
      <c r="F123" s="9"/>
      <c r="G123" s="9"/>
      <c r="H123" s="9"/>
      <c r="I123" s="9">
        <v>50000</v>
      </c>
      <c r="J123" s="47" t="s">
        <v>247</v>
      </c>
      <c r="K123" s="9">
        <f>SUBTOTAL(109,K125:K275)</f>
        <v>0</v>
      </c>
      <c r="L123" s="9">
        <f>Таблица134[[#This Row],[Нал]]+Таблица134[[#This Row],[Терминал]]-Таблица134[[#This Row],[Расход]]-Таблица134[[#This Row],[Закуп]]-Таблица134[[#This Row],[Расход со счета]]</f>
        <v>-50000</v>
      </c>
    </row>
    <row r="124" spans="1:12" ht="19" x14ac:dyDescent="0.2">
      <c r="A124" s="63"/>
      <c r="B124" s="58"/>
      <c r="C124" s="49"/>
      <c r="D124" s="13"/>
      <c r="E124" s="15"/>
      <c r="F124" s="9"/>
      <c r="G124" s="9"/>
      <c r="H124" s="9"/>
      <c r="I124" s="9"/>
      <c r="J124" s="47"/>
      <c r="K124" s="9">
        <f>SUBTOTAL(109,K126:K275)</f>
        <v>0</v>
      </c>
      <c r="L124" s="9">
        <f>Таблица134[[#This Row],[Нал]]+Таблица134[[#This Row],[Терминал]]-Таблица134[[#This Row],[Расход]]-Таблица134[[#This Row],[Закуп]]-Таблица134[[#This Row],[Расход со счета]]</f>
        <v>0</v>
      </c>
    </row>
    <row r="125" spans="1:12" ht="19" x14ac:dyDescent="0.2">
      <c r="A125" s="21">
        <v>611000</v>
      </c>
      <c r="B125" s="33"/>
      <c r="C125" s="2" t="s">
        <v>10</v>
      </c>
      <c r="D125" s="13" t="s">
        <v>28</v>
      </c>
      <c r="E125" s="9">
        <v>596000</v>
      </c>
      <c r="F125" s="9">
        <v>15000</v>
      </c>
      <c r="G125" s="9"/>
      <c r="H125" s="9"/>
      <c r="I125" s="9">
        <v>50000</v>
      </c>
      <c r="J125" s="9" t="s">
        <v>206</v>
      </c>
      <c r="K125" s="9"/>
      <c r="L125" s="44">
        <f>Таблица134[[#This Row],[Нал]]+Таблица134[[#This Row],[Терминал]]-Таблица134[[#This Row],[Расход]]-Таблица134[[#This Row],[Закуп]]-Таблица134[[#This Row],[Расход со счета]]</f>
        <v>561000</v>
      </c>
    </row>
    <row r="126" spans="1:12" ht="19" x14ac:dyDescent="0.2">
      <c r="A126" s="63">
        <v>1052000</v>
      </c>
      <c r="B126" s="32">
        <v>44551</v>
      </c>
      <c r="C126" s="3" t="s">
        <v>9</v>
      </c>
      <c r="D126" s="13" t="s">
        <v>105</v>
      </c>
      <c r="E126" s="9">
        <v>918000</v>
      </c>
      <c r="F126" s="9">
        <v>134000</v>
      </c>
      <c r="G126" s="9"/>
      <c r="H126" s="9"/>
      <c r="I126" s="9">
        <v>60000</v>
      </c>
      <c r="J126" s="47" t="s">
        <v>249</v>
      </c>
      <c r="K126" s="9"/>
      <c r="L126" s="44">
        <f>Таблица134[[#This Row],[Нал]]+Таблица134[[#This Row],[Терминал]]-Таблица134[[#This Row],[Расход]]-Таблица134[[#This Row],[Закуп]]-Таблица134[[#This Row],[Расход со счета]]</f>
        <v>992000</v>
      </c>
    </row>
    <row r="127" spans="1:12" ht="19" x14ac:dyDescent="0.2">
      <c r="A127" s="63"/>
      <c r="B127" s="58"/>
      <c r="C127" s="49"/>
      <c r="D127" s="13"/>
      <c r="E127" s="15"/>
      <c r="F127" s="9"/>
      <c r="G127" s="9"/>
      <c r="H127" s="9"/>
      <c r="I127" s="9">
        <v>45000</v>
      </c>
      <c r="J127" s="47" t="s">
        <v>97</v>
      </c>
      <c r="K127" s="9">
        <f>SUBTOTAL(109,K130:K279)</f>
        <v>0</v>
      </c>
      <c r="L127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128" spans="1:12" ht="19" x14ac:dyDescent="0.2">
      <c r="A128" s="21">
        <v>514000</v>
      </c>
      <c r="B128" s="33"/>
      <c r="C128" s="2" t="s">
        <v>10</v>
      </c>
      <c r="D128" s="13" t="s">
        <v>28</v>
      </c>
      <c r="E128" s="9">
        <v>414000</v>
      </c>
      <c r="F128" s="9">
        <v>100000</v>
      </c>
      <c r="G128" s="9"/>
      <c r="H128" s="9"/>
      <c r="I128" s="9">
        <v>200000</v>
      </c>
      <c r="J128" s="9" t="s">
        <v>183</v>
      </c>
      <c r="K128" s="9"/>
      <c r="L128" s="44">
        <f>Таблица134[[#This Row],[Нал]]+Таблица134[[#This Row],[Терминал]]-Таблица134[[#This Row],[Расход]]-Таблица134[[#This Row],[Закуп]]-Таблица134[[#This Row],[Расход со счета]]</f>
        <v>314000</v>
      </c>
    </row>
    <row r="129" spans="1:12" ht="19" x14ac:dyDescent="0.2">
      <c r="A129" s="21"/>
      <c r="B129" s="75"/>
      <c r="C129" s="35"/>
      <c r="D129" s="13"/>
      <c r="E129" s="15"/>
      <c r="F129" s="9"/>
      <c r="G129" s="9"/>
      <c r="H129" s="9"/>
      <c r="I129" s="9">
        <v>70000</v>
      </c>
      <c r="J129" s="9" t="s">
        <v>96</v>
      </c>
      <c r="K129" s="9">
        <f>SUBTOTAL(109,K135:K281)</f>
        <v>0</v>
      </c>
      <c r="L129" s="9">
        <f>Таблица134[[#This Row],[Нал]]+Таблица134[[#This Row],[Терминал]]-Таблица134[[#This Row],[Расход]]-Таблица134[[#This Row],[Закуп]]-Таблица134[[#This Row],[Расход со счета]]</f>
        <v>-70000</v>
      </c>
    </row>
    <row r="130" spans="1:12" ht="19" x14ac:dyDescent="0.2">
      <c r="A130" s="63">
        <v>603000</v>
      </c>
      <c r="B130" s="32">
        <v>44552</v>
      </c>
      <c r="C130" s="3" t="s">
        <v>9</v>
      </c>
      <c r="D130" s="13" t="s">
        <v>105</v>
      </c>
      <c r="E130" s="15">
        <v>525000</v>
      </c>
      <c r="F130" s="9">
        <v>78000</v>
      </c>
      <c r="G130" s="9"/>
      <c r="H130" s="9"/>
      <c r="I130" s="9">
        <v>5000</v>
      </c>
      <c r="J130" s="9" t="s">
        <v>126</v>
      </c>
      <c r="K130" s="9"/>
      <c r="L130" s="9">
        <f>Таблица134[[#This Row],[Нал]]+Таблица134[[#This Row],[Терминал]]-Таблица134[[#This Row],[Расход]]-Таблица134[[#This Row],[Закуп]]-Таблица134[[#This Row],[Расход со счета]]</f>
        <v>598000</v>
      </c>
    </row>
    <row r="131" spans="1:12" ht="19" x14ac:dyDescent="0.2">
      <c r="A131" s="63"/>
      <c r="B131" s="58"/>
      <c r="C131" s="49"/>
      <c r="D131" s="13"/>
      <c r="E131" s="15"/>
      <c r="F131" s="9"/>
      <c r="G131" s="9"/>
      <c r="H131" s="9"/>
      <c r="I131" s="9">
        <v>45000</v>
      </c>
      <c r="J131" s="9" t="s">
        <v>101</v>
      </c>
      <c r="K131" s="9">
        <f>SUBTOTAL(109,K136:K283)</f>
        <v>0</v>
      </c>
      <c r="L131" s="9">
        <f>Таблица134[[#This Row],[Нал]]+Таблица134[[#This Row],[Терминал]]-Таблица134[[#This Row],[Расход]]-Таблица134[[#This Row],[Закуп]]-Таблица134[[#This Row],[Расход со счета]]</f>
        <v>-45000</v>
      </c>
    </row>
    <row r="132" spans="1:12" ht="19" x14ac:dyDescent="0.2">
      <c r="A132" s="63"/>
      <c r="B132" s="58"/>
      <c r="C132" s="49"/>
      <c r="D132" s="13"/>
      <c r="E132" s="15"/>
      <c r="F132" s="9"/>
      <c r="G132" s="9"/>
      <c r="H132" s="9"/>
      <c r="I132" s="9">
        <v>90000</v>
      </c>
      <c r="J132" s="9" t="s">
        <v>251</v>
      </c>
      <c r="K132" s="9">
        <f>SUBTOTAL(109,K136:K284)</f>
        <v>0</v>
      </c>
      <c r="L132" s="9">
        <f>Таблица134[[#This Row],[Нал]]+Таблица134[[#This Row],[Терминал]]-Таблица134[[#This Row],[Расход]]-Таблица134[[#This Row],[Закуп]]-Таблица134[[#This Row],[Расход со счета]]</f>
        <v>-90000</v>
      </c>
    </row>
    <row r="133" spans="1:12" ht="19" x14ac:dyDescent="0.2">
      <c r="A133" s="63"/>
      <c r="B133" s="58"/>
      <c r="C133" s="49"/>
      <c r="D133" s="13"/>
      <c r="E133" s="15"/>
      <c r="F133" s="9"/>
      <c r="G133" s="9"/>
      <c r="H133" s="9"/>
      <c r="I133" s="9">
        <v>60000</v>
      </c>
      <c r="J133" s="9" t="s">
        <v>249</v>
      </c>
      <c r="K133" s="9">
        <f>SUBTOTAL(109,K136:K285)</f>
        <v>0</v>
      </c>
      <c r="L133" s="9">
        <f>Таблица134[[#This Row],[Нал]]+Таблица134[[#This Row],[Терминал]]-Таблица134[[#This Row],[Расход]]-Таблица134[[#This Row],[Закуп]]-Таблица134[[#This Row],[Расход со счета]]</f>
        <v>-60000</v>
      </c>
    </row>
    <row r="134" spans="1:12" ht="19" x14ac:dyDescent="0.2">
      <c r="A134" s="63"/>
      <c r="B134" s="58"/>
      <c r="C134" s="49"/>
      <c r="D134" s="13"/>
      <c r="E134" s="15"/>
      <c r="F134" s="9"/>
      <c r="G134" s="9"/>
      <c r="H134" s="9"/>
      <c r="I134" s="9">
        <v>13000</v>
      </c>
      <c r="J134" s="9" t="s">
        <v>252</v>
      </c>
      <c r="K134" s="9">
        <f>SUBTOTAL(109,K136:K286)</f>
        <v>0</v>
      </c>
      <c r="L134" s="9">
        <f>Таблица134[[#This Row],[Нал]]+Таблица134[[#This Row],[Терминал]]-Таблица134[[#This Row],[Расход]]-Таблица134[[#This Row],[Закуп]]-Таблица134[[#This Row],[Расход со счета]]</f>
        <v>-13000</v>
      </c>
    </row>
    <row r="135" spans="1:12" ht="19" x14ac:dyDescent="0.2">
      <c r="A135" s="21">
        <v>514000</v>
      </c>
      <c r="B135" s="33"/>
      <c r="C135" s="2" t="s">
        <v>10</v>
      </c>
      <c r="D135" s="13" t="s">
        <v>28</v>
      </c>
      <c r="E135" s="15">
        <v>466000</v>
      </c>
      <c r="F135" s="9">
        <v>48000</v>
      </c>
      <c r="G135" s="9"/>
      <c r="H135" s="9"/>
      <c r="I135" s="9">
        <v>105000</v>
      </c>
      <c r="J135" s="47" t="s">
        <v>153</v>
      </c>
      <c r="K135" s="9"/>
      <c r="L135" s="9">
        <f>Таблица134[[#This Row],[Нал]]+Таблица134[[#This Row],[Терминал]]-Таблица134[[#This Row],[Расход]]-Таблица134[[#This Row],[Закуп]]-Таблица134[[#This Row],[Расход со счета]]</f>
        <v>409000</v>
      </c>
    </row>
    <row r="136" spans="1:12" ht="19" x14ac:dyDescent="0.2">
      <c r="A136" s="63">
        <v>873000</v>
      </c>
      <c r="B136" s="32">
        <v>44553</v>
      </c>
      <c r="C136" s="3" t="s">
        <v>9</v>
      </c>
      <c r="D136" s="13" t="s">
        <v>105</v>
      </c>
      <c r="E136" s="15">
        <v>790000</v>
      </c>
      <c r="F136" s="9">
        <v>83000</v>
      </c>
      <c r="G136" s="9"/>
      <c r="H136" s="9"/>
      <c r="I136" s="9"/>
      <c r="J136" s="9"/>
      <c r="K136" s="9"/>
      <c r="L136" s="9">
        <f>Таблица134[[#This Row],[Нал]]+Таблица134[[#This Row],[Терминал]]-Таблица134[[#This Row],[Расход]]-Таблица134[[#This Row],[Закуп]]-Таблица134[[#This Row],[Расход со счета]]</f>
        <v>873000</v>
      </c>
    </row>
    <row r="137" spans="1:12" ht="19" x14ac:dyDescent="0.2">
      <c r="A137" s="21">
        <v>771000</v>
      </c>
      <c r="B137" s="33"/>
      <c r="C137" s="2" t="s">
        <v>10</v>
      </c>
      <c r="D137" s="13" t="s">
        <v>28</v>
      </c>
      <c r="E137" s="15">
        <v>714000</v>
      </c>
      <c r="F137" s="9">
        <v>57000</v>
      </c>
      <c r="G137" s="9"/>
      <c r="H137" s="9"/>
      <c r="I137" s="9"/>
      <c r="J137" s="47"/>
      <c r="K137" s="9"/>
      <c r="L137" s="9">
        <f>Таблица134[[#This Row],[Нал]]+Таблица134[[#This Row],[Терминал]]-Таблица134[[#This Row],[Расход]]-Таблица134[[#This Row],[Закуп]]-Таблица134[[#This Row],[Расход со счета]]</f>
        <v>771000</v>
      </c>
    </row>
    <row r="138" spans="1:12" ht="19" x14ac:dyDescent="0.2">
      <c r="A138" s="63">
        <v>940000</v>
      </c>
      <c r="B138" s="32">
        <v>44554</v>
      </c>
      <c r="C138" s="3" t="s">
        <v>9</v>
      </c>
      <c r="D138" s="13" t="s">
        <v>105</v>
      </c>
      <c r="E138" s="15">
        <v>791000</v>
      </c>
      <c r="F138" s="9">
        <v>149000</v>
      </c>
      <c r="G138" s="9"/>
      <c r="H138" s="9"/>
      <c r="I138" s="9">
        <v>96000</v>
      </c>
      <c r="J138" s="9" t="s">
        <v>253</v>
      </c>
      <c r="K138" s="9"/>
      <c r="L138" s="9">
        <f>Таблица134[[#This Row],[Нал]]+Таблица134[[#This Row],[Терминал]]-Таблица134[[#This Row],[Расход]]-Таблица134[[#This Row],[Закуп]]-Таблица134[[#This Row],[Расход со счета]]</f>
        <v>844000</v>
      </c>
    </row>
    <row r="139" spans="1:12" ht="19" x14ac:dyDescent="0.2">
      <c r="A139" s="63"/>
      <c r="B139" s="58"/>
      <c r="C139" s="49"/>
      <c r="D139" s="13"/>
      <c r="E139" s="15"/>
      <c r="F139" s="9"/>
      <c r="G139" s="9"/>
      <c r="H139" s="9"/>
      <c r="I139" s="9">
        <v>5000</v>
      </c>
      <c r="J139" s="9" t="s">
        <v>126</v>
      </c>
      <c r="K139" s="9">
        <f>SUBTOTAL(109,K144:K291)</f>
        <v>0</v>
      </c>
      <c r="L139" s="9">
        <f>Таблица134[[#This Row],[Нал]]+Таблица134[[#This Row],[Терминал]]-Таблица134[[#This Row],[Расход]]-Таблица134[[#This Row],[Закуп]]-Таблица134[[#This Row],[Расход со счета]]</f>
        <v>-5000</v>
      </c>
    </row>
    <row r="140" spans="1:12" ht="19" x14ac:dyDescent="0.2">
      <c r="A140" s="63"/>
      <c r="B140" s="58"/>
      <c r="C140" s="49"/>
      <c r="D140" s="13"/>
      <c r="E140" s="15"/>
      <c r="F140" s="9"/>
      <c r="G140" s="9"/>
      <c r="H140" s="9"/>
      <c r="I140" s="9">
        <v>100000</v>
      </c>
      <c r="J140" s="9" t="s">
        <v>246</v>
      </c>
      <c r="K140" s="9">
        <f>SUBTOTAL(109,K144:K292)</f>
        <v>0</v>
      </c>
      <c r="L140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-100000</v>
      </c>
    </row>
    <row r="141" spans="1:12" ht="19" x14ac:dyDescent="0.2">
      <c r="A141" s="63"/>
      <c r="B141" s="58"/>
      <c r="C141" s="49"/>
      <c r="D141" s="13"/>
      <c r="E141" s="15"/>
      <c r="F141" s="9"/>
      <c r="G141" s="9"/>
      <c r="H141" s="9"/>
      <c r="I141" s="9">
        <v>37000</v>
      </c>
      <c r="J141" s="9" t="s">
        <v>211</v>
      </c>
      <c r="K141" s="9">
        <f>SUBTOTAL(109,K144:K293)</f>
        <v>0</v>
      </c>
      <c r="L141" s="9">
        <f>Таблица134[[#This Row],[Нал]]+Таблица134[[#This Row],[Терминал]]-Таблица134[[#This Row],[Расход]]-Таблица134[[#This Row],[Закуп]]-Таблица134[[#This Row],[Расход со счета]]</f>
        <v>-37000</v>
      </c>
    </row>
    <row r="142" spans="1:12" ht="19" x14ac:dyDescent="0.2">
      <c r="A142" s="63"/>
      <c r="B142" s="58"/>
      <c r="C142" s="49"/>
      <c r="D142" s="13"/>
      <c r="E142" s="15"/>
      <c r="F142" s="9"/>
      <c r="G142" s="9"/>
      <c r="H142" s="9"/>
      <c r="I142" s="9">
        <v>60000</v>
      </c>
      <c r="J142" s="9" t="s">
        <v>141</v>
      </c>
      <c r="K142" s="9">
        <f>SUBTOTAL(109,K144:K294)</f>
        <v>0</v>
      </c>
      <c r="L142" s="9">
        <f>Таблица134[[#This Row],[Нал]]+Таблица134[[#This Row],[Терминал]]-Таблица134[[#This Row],[Расход]]-Таблица134[[#This Row],[Закуп]]-Таблица134[[#This Row],[Расход со счета]]</f>
        <v>-60000</v>
      </c>
    </row>
    <row r="143" spans="1:12" ht="19" x14ac:dyDescent="0.2">
      <c r="A143" s="21">
        <v>300000</v>
      </c>
      <c r="B143" s="33"/>
      <c r="C143" s="2" t="s">
        <v>10</v>
      </c>
      <c r="D143" s="13" t="s">
        <v>28</v>
      </c>
      <c r="E143" s="15">
        <v>249000</v>
      </c>
      <c r="F143" s="9">
        <v>51000</v>
      </c>
      <c r="G143" s="9"/>
      <c r="H143" s="9"/>
      <c r="I143" s="9">
        <v>1260000</v>
      </c>
      <c r="J143" s="9" t="s">
        <v>254</v>
      </c>
      <c r="K143" s="9"/>
      <c r="L143" s="9">
        <f>Таблица134[[#This Row],[Нал]]+Таблица134[[#This Row],[Терминал]]-Таблица134[[#This Row],[Расход]]-Таблица134[[#This Row],[Закуп]]-Таблица134[[#This Row],[Расход со счета]]</f>
        <v>-960000</v>
      </c>
    </row>
    <row r="144" spans="1:12" ht="19" x14ac:dyDescent="0.2">
      <c r="A144" s="63">
        <v>813000</v>
      </c>
      <c r="B144" s="32">
        <v>44555</v>
      </c>
      <c r="C144" s="3" t="s">
        <v>9</v>
      </c>
      <c r="D144" s="13" t="s">
        <v>105</v>
      </c>
      <c r="E144" s="15">
        <v>659000</v>
      </c>
      <c r="F144" s="9">
        <v>154000</v>
      </c>
      <c r="G144" s="9"/>
      <c r="H144" s="9"/>
      <c r="I144" s="9">
        <v>2601000</v>
      </c>
      <c r="J144" s="9" t="s">
        <v>245</v>
      </c>
      <c r="K144" s="9"/>
      <c r="L144" s="9">
        <f>Таблица134[[#This Row],[Нал]]+Таблица134[[#This Row],[Терминал]]-Таблица134[[#This Row],[Расход]]-Таблица134[[#This Row],[Закуп]]-Таблица134[[#This Row],[Расход со счета]]</f>
        <v>-1788000</v>
      </c>
    </row>
    <row r="145" spans="1:12" ht="19" x14ac:dyDescent="0.2">
      <c r="A145" s="63"/>
      <c r="B145" s="58"/>
      <c r="C145" s="49"/>
      <c r="D145" s="13"/>
      <c r="E145" s="15"/>
      <c r="F145" s="9"/>
      <c r="G145" s="9"/>
      <c r="H145" s="9"/>
      <c r="I145" s="9">
        <v>347000</v>
      </c>
      <c r="J145" s="9" t="s">
        <v>255</v>
      </c>
      <c r="K145" s="9">
        <f>SUBTOTAL(109,K150:K294)</f>
        <v>0</v>
      </c>
      <c r="L145" s="9">
        <f>Таблица134[[#This Row],[Нал]]+Таблица134[[#This Row],[Терминал]]-Таблица134[[#This Row],[Расход]]-Таблица134[[#This Row],[Закуп]]-Таблица134[[#This Row],[Расход со счета]]</f>
        <v>-347000</v>
      </c>
    </row>
    <row r="146" spans="1:12" ht="19" x14ac:dyDescent="0.2">
      <c r="A146" s="63"/>
      <c r="B146" s="58"/>
      <c r="C146" s="49"/>
      <c r="D146" s="13"/>
      <c r="E146" s="15"/>
      <c r="F146" s="9"/>
      <c r="G146" s="9"/>
      <c r="H146" s="9"/>
      <c r="I146" s="9">
        <v>300000</v>
      </c>
      <c r="J146" s="9" t="s">
        <v>256</v>
      </c>
      <c r="K146" s="9">
        <f>SUBTOTAL(109,K150:K298)</f>
        <v>0</v>
      </c>
      <c r="L146" s="9">
        <f>Таблица134[[#This Row],[Нал]]+Таблица134[[#This Row],[Терминал]]-Таблица134[[#This Row],[Расход]]-Таблица134[[#This Row],[Закуп]]-Таблица134[[#This Row],[Расход со счета]]</f>
        <v>-300000</v>
      </c>
    </row>
    <row r="147" spans="1:12" ht="19" x14ac:dyDescent="0.2">
      <c r="A147" s="63"/>
      <c r="B147" s="58"/>
      <c r="C147" s="49"/>
      <c r="D147" s="13"/>
      <c r="E147" s="15"/>
      <c r="F147" s="9"/>
      <c r="G147" s="9"/>
      <c r="H147" s="9"/>
      <c r="I147" s="9">
        <v>70000</v>
      </c>
      <c r="J147" s="9" t="s">
        <v>96</v>
      </c>
      <c r="K147" s="9">
        <f>SUBTOTAL(109,K150:K299)</f>
        <v>0</v>
      </c>
      <c r="L147" s="9">
        <f>Таблица134[[#This Row],[Нал]]+Таблица134[[#This Row],[Терминал]]-Таблица134[[#This Row],[Расход]]-Таблица134[[#This Row],[Закуп]]-Таблица134[[#This Row],[Расход со счета]]</f>
        <v>-70000</v>
      </c>
    </row>
    <row r="148" spans="1:12" ht="19" x14ac:dyDescent="0.2">
      <c r="A148" s="63"/>
      <c r="B148" s="58"/>
      <c r="C148" s="49"/>
      <c r="D148" s="13"/>
      <c r="E148" s="15"/>
      <c r="F148" s="9"/>
      <c r="G148" s="9"/>
      <c r="H148" s="9"/>
      <c r="I148" s="9">
        <v>8000</v>
      </c>
      <c r="J148" s="9" t="s">
        <v>261</v>
      </c>
      <c r="K148" s="9">
        <f>SUBTOTAL(109,K150:K300)</f>
        <v>0</v>
      </c>
      <c r="L148" s="9">
        <f>Таблица134[[#This Row],[Нал]]+Таблица134[[#This Row],[Терминал]]-Таблица134[[#This Row],[Расход]]-Таблица134[[#This Row],[Закуп]]-Таблица134[[#This Row],[Расход со счета]]</f>
        <v>-8000</v>
      </c>
    </row>
    <row r="149" spans="1:12" ht="19" x14ac:dyDescent="0.2">
      <c r="A149" s="21">
        <v>194000</v>
      </c>
      <c r="B149" s="33"/>
      <c r="C149" s="2" t="s">
        <v>10</v>
      </c>
      <c r="D149" s="13" t="s">
        <v>28</v>
      </c>
      <c r="E149" s="15">
        <v>194000</v>
      </c>
      <c r="F149" s="9"/>
      <c r="G149" s="9"/>
      <c r="H149" s="9" t="s">
        <v>181</v>
      </c>
      <c r="I149" s="9"/>
      <c r="J149" s="47"/>
      <c r="K149" s="9"/>
      <c r="L149" s="9">
        <f>Таблица134[[#This Row],[Нал]]+Таблица134[[#This Row],[Терминал]]-Таблица134[[#This Row],[Расход]]-Таблица134[[#This Row],[Закуп]]-Таблица134[[#This Row],[Расход со счета]]</f>
        <v>194000</v>
      </c>
    </row>
    <row r="150" spans="1:12" ht="19" x14ac:dyDescent="0.2">
      <c r="A150" s="63">
        <v>293000</v>
      </c>
      <c r="B150" s="32">
        <v>44556</v>
      </c>
      <c r="C150" s="3" t="s">
        <v>9</v>
      </c>
      <c r="D150" s="13" t="s">
        <v>105</v>
      </c>
      <c r="E150" s="9">
        <v>293000</v>
      </c>
      <c r="F150" s="9"/>
      <c r="G150" s="9"/>
      <c r="H150" s="9" t="s">
        <v>181</v>
      </c>
      <c r="I150" s="9"/>
      <c r="J150" s="47"/>
      <c r="K150" s="9"/>
      <c r="L150" s="44">
        <f>Таблица134[[#This Row],[Нал]]+Таблица134[[#This Row],[Терминал]]-Таблица134[[#This Row],[Расход]]-Таблица134[[#This Row],[Закуп]]-Таблица134[[#This Row],[Расход со счета]]</f>
        <v>293000</v>
      </c>
    </row>
    <row r="151" spans="1:12" ht="19" x14ac:dyDescent="0.2">
      <c r="A151" s="21">
        <v>528000</v>
      </c>
      <c r="B151" s="33"/>
      <c r="C151" s="2" t="s">
        <v>10</v>
      </c>
      <c r="D151" s="13" t="s">
        <v>28</v>
      </c>
      <c r="E151" s="9">
        <v>474000</v>
      </c>
      <c r="F151" s="9">
        <v>54000</v>
      </c>
      <c r="G151" s="9"/>
      <c r="H151" s="9"/>
      <c r="I151" s="9">
        <v>50000</v>
      </c>
      <c r="J151" s="9" t="s">
        <v>59</v>
      </c>
      <c r="K151" s="9"/>
      <c r="L151" s="44">
        <f>Таблица134[[#This Row],[Нал]]+Таблица134[[#This Row],[Терминал]]-Таблица134[[#This Row],[Расход]]-Таблица134[[#This Row],[Закуп]]-Таблица134[[#This Row],[Расход со счета]]</f>
        <v>478000</v>
      </c>
    </row>
    <row r="152" spans="1:12" ht="19" x14ac:dyDescent="0.2">
      <c r="A152" s="63">
        <v>605000</v>
      </c>
      <c r="B152" s="32">
        <v>44557</v>
      </c>
      <c r="C152" s="3" t="s">
        <v>9</v>
      </c>
      <c r="D152" s="13" t="s">
        <v>105</v>
      </c>
      <c r="E152" s="9">
        <v>524000</v>
      </c>
      <c r="F152" s="9">
        <v>81000</v>
      </c>
      <c r="G152" s="9"/>
      <c r="H152" s="9"/>
      <c r="I152" s="9">
        <v>310000</v>
      </c>
      <c r="J152" s="47" t="s">
        <v>257</v>
      </c>
      <c r="K152" s="9"/>
      <c r="L152" s="44">
        <f>Таблица134[[#This Row],[Нал]]+Таблица134[[#This Row],[Терминал]]-Таблица134[[#This Row],[Расход]]-Таблица134[[#This Row],[Закуп]]-Таблица134[[#This Row],[Расход со счета]]</f>
        <v>295000</v>
      </c>
    </row>
    <row r="153" spans="1:12" ht="32" x14ac:dyDescent="0.2">
      <c r="A153" s="63"/>
      <c r="B153" s="58"/>
      <c r="C153" s="49"/>
      <c r="D153" s="13"/>
      <c r="E153" s="15"/>
      <c r="F153" s="9"/>
      <c r="G153" s="9"/>
      <c r="H153" s="9"/>
      <c r="I153" s="9">
        <v>310000</v>
      </c>
      <c r="J153" s="47" t="s">
        <v>258</v>
      </c>
      <c r="K153" s="9">
        <f>SUBTOTAL(109,K156:K304)</f>
        <v>0</v>
      </c>
      <c r="L153" s="9">
        <f>Таблица134[[#This Row],[Нал]]+Таблица134[[#This Row],[Терминал]]-Таблица134[[#This Row],[Расход]]-Таблица134[[#This Row],[Закуп]]-Таблица134[[#This Row],[Расход со счета]]</f>
        <v>-310000</v>
      </c>
    </row>
    <row r="154" spans="1:12" ht="19" x14ac:dyDescent="0.2">
      <c r="A154" s="63"/>
      <c r="B154" s="58"/>
      <c r="C154" s="49"/>
      <c r="D154" s="13"/>
      <c r="E154" s="15"/>
      <c r="F154" s="9"/>
      <c r="G154" s="9"/>
      <c r="H154" s="9"/>
      <c r="I154" s="9">
        <v>72000</v>
      </c>
      <c r="J154" s="47" t="s">
        <v>259</v>
      </c>
      <c r="K154" s="9">
        <f>SUBTOTAL(109,K157:K304)</f>
        <v>0</v>
      </c>
      <c r="L154" s="9">
        <f>Таблица134[[#This Row],[Нал]]+Таблица134[[#This Row],[Терминал]]-Таблица134[[#This Row],[Расход]]-Таблица134[[#This Row],[Закуп]]-Таблица134[[#This Row],[Расход со счета]]</f>
        <v>-72000</v>
      </c>
    </row>
    <row r="155" spans="1:12" ht="19" x14ac:dyDescent="0.2">
      <c r="A155" s="63"/>
      <c r="B155" s="58"/>
      <c r="C155" s="49"/>
      <c r="D155" s="13"/>
      <c r="E155" s="15"/>
      <c r="F155" s="9"/>
      <c r="G155" s="9"/>
      <c r="H155" s="9"/>
      <c r="I155" s="9">
        <v>34000</v>
      </c>
      <c r="J155" s="47" t="s">
        <v>260</v>
      </c>
      <c r="K155" s="9">
        <f>SUBTOTAL(109,K157:K306)</f>
        <v>0</v>
      </c>
      <c r="L155" s="9">
        <f>Таблица134[[#This Row],[Нал]]+Таблица134[[#This Row],[Терминал]]-Таблица134[[#This Row],[Расход]]-Таблица134[[#This Row],[Закуп]]-Таблица134[[#This Row],[Расход со счета]]</f>
        <v>-34000</v>
      </c>
    </row>
    <row r="156" spans="1:12" ht="19" x14ac:dyDescent="0.2">
      <c r="A156" s="21">
        <v>315000</v>
      </c>
      <c r="B156" s="33"/>
      <c r="C156" s="2" t="s">
        <v>10</v>
      </c>
      <c r="D156" s="13" t="s">
        <v>28</v>
      </c>
      <c r="E156" s="9">
        <v>315000</v>
      </c>
      <c r="F156" s="9"/>
      <c r="G156" s="9"/>
      <c r="H156" s="9" t="s">
        <v>181</v>
      </c>
      <c r="I156" s="9"/>
      <c r="J156" s="9"/>
      <c r="K156" s="9"/>
      <c r="L156" s="44">
        <f>Таблица134[[#This Row],[Нал]]+Таблица134[[#This Row],[Терминал]]-Таблица134[[#This Row],[Расход]]-Таблица134[[#This Row],[Закуп]]-Таблица134[[#This Row],[Расход со счета]]</f>
        <v>315000</v>
      </c>
    </row>
    <row r="157" spans="1:12" ht="19" x14ac:dyDescent="0.2">
      <c r="A157" s="63">
        <v>878000</v>
      </c>
      <c r="B157" s="32">
        <v>44558</v>
      </c>
      <c r="C157" s="3" t="s">
        <v>9</v>
      </c>
      <c r="D157" s="13" t="s">
        <v>105</v>
      </c>
      <c r="E157" s="15">
        <v>798000</v>
      </c>
      <c r="F157" s="9">
        <v>80000</v>
      </c>
      <c r="G157" s="9"/>
      <c r="H157" s="9"/>
      <c r="I157" s="9"/>
      <c r="J157" s="9"/>
      <c r="K157" s="9"/>
      <c r="L157" s="9">
        <f>Таблица134[[#This Row],[Нал]]+Таблица134[[#This Row],[Терминал]]-Таблица134[[#This Row],[Расход]]-Таблица134[[#This Row],[Закуп]]-Таблица134[[#This Row],[Расход со счета]]</f>
        <v>878000</v>
      </c>
    </row>
    <row r="158" spans="1:12" ht="19" x14ac:dyDescent="0.2">
      <c r="A158" s="21">
        <v>668000</v>
      </c>
      <c r="B158" s="33"/>
      <c r="C158" s="2" t="s">
        <v>10</v>
      </c>
      <c r="D158" s="13" t="s">
        <v>28</v>
      </c>
      <c r="E158" s="15">
        <v>626000</v>
      </c>
      <c r="F158" s="9">
        <v>42000</v>
      </c>
      <c r="G158" s="9"/>
      <c r="H158" s="9"/>
      <c r="I158" s="9"/>
      <c r="J158" s="9"/>
      <c r="K158" s="9"/>
      <c r="L158" s="9">
        <f>Таблица134[[#This Row],[Нал]]+Таблица134[[#This Row],[Терминал]]-Таблица134[[#This Row],[Расход]]-Таблица134[[#This Row],[Закуп]]-Таблица134[[#This Row],[Расход со счета]]</f>
        <v>668000</v>
      </c>
    </row>
    <row r="159" spans="1:12" ht="19" x14ac:dyDescent="0.2">
      <c r="A159" s="63">
        <v>884000</v>
      </c>
      <c r="B159" s="32">
        <v>44559</v>
      </c>
      <c r="C159" s="3" t="s">
        <v>9</v>
      </c>
      <c r="D159" s="13" t="s">
        <v>105</v>
      </c>
      <c r="E159" s="15">
        <v>800000</v>
      </c>
      <c r="F159" s="9">
        <v>84000</v>
      </c>
      <c r="G159" s="9"/>
      <c r="H159" s="9"/>
      <c r="I159" s="9">
        <v>46000</v>
      </c>
      <c r="J159" s="9" t="s">
        <v>101</v>
      </c>
      <c r="K159" s="9"/>
      <c r="L159" s="9">
        <f>Таблица134[[#This Row],[Нал]]+Таблица134[[#This Row],[Терминал]]-Таблица134[[#This Row],[Расход]]-Таблица134[[#This Row],[Закуп]]-Таблица134[[#This Row],[Расход со счета]]</f>
        <v>838000</v>
      </c>
    </row>
    <row r="160" spans="1:12" ht="19" x14ac:dyDescent="0.2">
      <c r="A160" s="63"/>
      <c r="B160" s="58"/>
      <c r="C160" s="49"/>
      <c r="D160" s="13"/>
      <c r="E160" s="15"/>
      <c r="F160" s="9"/>
      <c r="G160" s="9"/>
      <c r="H160" s="9"/>
      <c r="I160" s="9">
        <v>6800</v>
      </c>
      <c r="J160" s="9" t="s">
        <v>159</v>
      </c>
      <c r="K160" s="9">
        <f>SUBTOTAL(109,K162:K312)</f>
        <v>0</v>
      </c>
      <c r="L160" s="9">
        <f>Таблица134[[#This Row],[Нал]]+Таблица134[[#This Row],[Терминал]]-Таблица134[[#This Row],[Расход]]-Таблица134[[#This Row],[Закуп]]-Таблица134[[#This Row],[Расход со счета]]</f>
        <v>-6800</v>
      </c>
    </row>
    <row r="161" spans="1:12" ht="19" x14ac:dyDescent="0.2">
      <c r="A161" s="21">
        <v>433000</v>
      </c>
      <c r="B161" s="33"/>
      <c r="C161" s="2" t="s">
        <v>10</v>
      </c>
      <c r="D161" s="13" t="s">
        <v>28</v>
      </c>
      <c r="E161" s="15">
        <v>433000</v>
      </c>
      <c r="F161" s="9"/>
      <c r="G161" s="9"/>
      <c r="H161" s="9"/>
      <c r="I161" s="9"/>
      <c r="J161" s="9"/>
      <c r="K161" s="9"/>
      <c r="L161" s="9">
        <f>Таблица134[[#This Row],[Нал]]+Таблица134[[#This Row],[Терминал]]-Таблица134[[#This Row],[Расход]]-Таблица134[[#This Row],[Закуп]]-Таблица134[[#This Row],[Расход со счета]]</f>
        <v>433000</v>
      </c>
    </row>
    <row r="162" spans="1:12" ht="19" x14ac:dyDescent="0.2">
      <c r="A162" s="63">
        <v>447000</v>
      </c>
      <c r="B162" s="32">
        <v>44560</v>
      </c>
      <c r="C162" s="3" t="s">
        <v>9</v>
      </c>
      <c r="D162" s="13" t="s">
        <v>105</v>
      </c>
      <c r="E162" s="9">
        <v>252000</v>
      </c>
      <c r="F162" s="9">
        <v>195000</v>
      </c>
      <c r="G162" s="9"/>
      <c r="H162" s="9"/>
      <c r="I162" s="9"/>
      <c r="J162" s="9"/>
      <c r="K162" s="9"/>
      <c r="L162" s="44">
        <f>Таблица134[[#This Row],[Нал]]+Таблица134[[#This Row],[Терминал]]-Таблица134[[#This Row],[Расход]]-Таблица134[[#This Row],[Закуп]]-Таблица134[[#This Row],[Расход со счета]]</f>
        <v>447000</v>
      </c>
    </row>
    <row r="163" spans="1:12" ht="19" x14ac:dyDescent="0.2">
      <c r="A163" s="21">
        <v>714000</v>
      </c>
      <c r="B163" s="33"/>
      <c r="C163" s="2" t="s">
        <v>10</v>
      </c>
      <c r="D163" s="13" t="s">
        <v>28</v>
      </c>
      <c r="E163" s="9">
        <v>714000</v>
      </c>
      <c r="F163" s="9"/>
      <c r="G163" s="9"/>
      <c r="H163" s="9"/>
      <c r="I163" s="9"/>
      <c r="J163" s="9"/>
      <c r="K163" s="9"/>
      <c r="L163" s="44">
        <f>Таблица134[[#This Row],[Нал]]+Таблица134[[#This Row],[Терминал]]-Таблица134[[#This Row],[Расход]]-Таблица134[[#This Row],[Закуп]]-Таблица134[[#This Row],[Расход со счета]]</f>
        <v>714000</v>
      </c>
    </row>
    <row r="164" spans="1:12" ht="32" x14ac:dyDescent="0.2">
      <c r="A164" s="63">
        <v>313000</v>
      </c>
      <c r="B164" s="32">
        <v>44561</v>
      </c>
      <c r="C164" s="3" t="s">
        <v>9</v>
      </c>
      <c r="D164" s="13" t="s">
        <v>105</v>
      </c>
      <c r="E164" s="15">
        <v>262000</v>
      </c>
      <c r="F164" s="9">
        <v>51000</v>
      </c>
      <c r="G164" s="9">
        <v>2040000</v>
      </c>
      <c r="H164" s="47" t="s">
        <v>262</v>
      </c>
      <c r="I164" s="9"/>
      <c r="J164" s="9"/>
      <c r="K164" s="9"/>
      <c r="L164" s="44">
        <f>Таблица134[[#This Row],[Нал]]+Таблица134[[#This Row],[Терминал]]-Таблица134[[#This Row],[Расход]]-Таблица134[[#This Row],[Закуп]]-Таблица134[[#This Row],[Расход со счета]]</f>
        <v>-1727000</v>
      </c>
    </row>
    <row r="165" spans="1:12" ht="32" x14ac:dyDescent="0.2">
      <c r="A165" s="21">
        <v>1142000</v>
      </c>
      <c r="B165" s="33"/>
      <c r="C165" s="2" t="s">
        <v>10</v>
      </c>
      <c r="D165" s="13" t="s">
        <v>28</v>
      </c>
      <c r="E165" s="15">
        <v>1008000</v>
      </c>
      <c r="F165" s="9">
        <v>134000</v>
      </c>
      <c r="G165" s="9">
        <v>1920000</v>
      </c>
      <c r="H165" s="47" t="s">
        <v>263</v>
      </c>
      <c r="I165" s="9"/>
      <c r="J165" s="9"/>
      <c r="K165" s="9"/>
      <c r="L165" s="44">
        <f>Таблица134[[#This Row],[Нал]]+Таблица134[[#This Row],[Терминал]]-Таблица134[[#This Row],[Расход]]-Таблица134[[#This Row],[Закуп]]-Таблица134[[#This Row],[Расход со счета]]</f>
        <v>-778000</v>
      </c>
    </row>
    <row r="166" spans="1:12" ht="19" x14ac:dyDescent="0.2">
      <c r="A166" s="21"/>
      <c r="B166" s="75"/>
      <c r="C166" s="35"/>
      <c r="D166" s="13"/>
      <c r="E166" s="15"/>
      <c r="F166" s="9"/>
      <c r="G166" s="9">
        <v>200000</v>
      </c>
      <c r="H166" s="9" t="s">
        <v>265</v>
      </c>
      <c r="I166" s="9">
        <f>SUBTOTAL(109,I165)</f>
        <v>0</v>
      </c>
      <c r="J166" s="9"/>
      <c r="K166" s="9">
        <f>SUBTOTAL(109,K168:K317)</f>
        <v>0</v>
      </c>
      <c r="L166" s="9">
        <f>Таблица134[[#This Row],[Нал]]+Таблица134[[#This Row],[Терминал]]-Таблица134[[#This Row],[Расход]]-Таблица134[[#This Row],[Закуп]]-Таблица134[[#This Row],[Расход со счета]]</f>
        <v>-200000</v>
      </c>
    </row>
    <row r="167" spans="1:12" ht="19" x14ac:dyDescent="0.2">
      <c r="A167" s="21"/>
      <c r="B167" s="33"/>
      <c r="C167" s="35"/>
      <c r="D167" s="13" t="s">
        <v>171</v>
      </c>
      <c r="E167" s="15"/>
      <c r="F167" s="9"/>
      <c r="G167" s="9">
        <v>1000000</v>
      </c>
      <c r="H167" s="9" t="s">
        <v>264</v>
      </c>
      <c r="I167" s="9"/>
      <c r="J167" s="9"/>
      <c r="K167" s="9"/>
      <c r="L167" s="9">
        <f>Таблица134[[#This Row],[Нал]]+Таблица134[[#This Row],[Терминал]]-Таблица134[[#This Row],[Расход]]-Таблица134[[#This Row],[Закуп]]-Таблица134[[#This Row],[Расход со счета]]</f>
        <v>-1000000</v>
      </c>
    </row>
  </sheetData>
  <mergeCells count="1">
    <mergeCell ref="F5:G5"/>
  </mergeCells>
  <pageMargins left="0.7" right="0.7" top="0.75" bottom="0.75" header="0.3" footer="0.3"/>
  <pageSetup paperSize="9" orientation="portrait" horizontalDpi="0" verticalDpi="0"/>
  <ignoredErrors>
    <ignoredError sqref="I22:I23 I13:I15 I17:I2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136"/>
  <sheetViews>
    <sheetView zoomScale="91" zoomScaleNormal="91" workbookViewId="0">
      <selection activeCell="F133" sqref="F133"/>
    </sheetView>
  </sheetViews>
  <sheetFormatPr baseColWidth="10" defaultColWidth="8.83203125" defaultRowHeight="15" x14ac:dyDescent="0.2"/>
  <cols>
    <col min="1" max="1" width="23.5" bestFit="1" customWidth="1"/>
    <col min="2" max="2" width="10.6640625" customWidth="1"/>
    <col min="3" max="3" width="13.83203125" bestFit="1" customWidth="1"/>
    <col min="4" max="4" width="10.83203125" bestFit="1" customWidth="1"/>
    <col min="5" max="5" width="26.83203125" customWidth="1"/>
    <col min="6" max="6" width="23.83203125" customWidth="1"/>
    <col min="7" max="7" width="27.33203125" customWidth="1"/>
    <col min="8" max="8" width="26.33203125" bestFit="1" customWidth="1"/>
    <col min="9" max="9" width="22.83203125" bestFit="1" customWidth="1"/>
    <col min="10" max="10" width="31.83203125" bestFit="1" customWidth="1"/>
    <col min="11" max="11" width="18.5" bestFit="1" customWidth="1"/>
    <col min="12" max="12" width="23.6640625" bestFit="1" customWidth="1"/>
  </cols>
  <sheetData>
    <row r="3" spans="1:12" ht="21" x14ac:dyDescent="0.2">
      <c r="A3" t="s">
        <v>250</v>
      </c>
      <c r="G3" s="73"/>
      <c r="H3" s="71" t="s">
        <v>174</v>
      </c>
      <c r="I3" s="71">
        <f>L10/A10</f>
        <v>0.20860391513304419</v>
      </c>
    </row>
    <row r="4" spans="1:12" ht="21" x14ac:dyDescent="0.2">
      <c r="F4" s="304" t="s">
        <v>298</v>
      </c>
      <c r="G4" s="305"/>
      <c r="H4" s="71" t="s">
        <v>175</v>
      </c>
      <c r="I4" s="71">
        <v>2443700</v>
      </c>
      <c r="J4" s="72">
        <f>I4/10820</f>
        <v>225.85027726432531</v>
      </c>
    </row>
    <row r="5" spans="1:12" ht="21" x14ac:dyDescent="0.2">
      <c r="G5" s="73"/>
      <c r="H5" s="71" t="s">
        <v>176</v>
      </c>
      <c r="I5" s="71">
        <v>1047300</v>
      </c>
      <c r="J5" s="72">
        <f>I5/10820</f>
        <v>96.792975970425132</v>
      </c>
    </row>
    <row r="6" spans="1:12" ht="21" x14ac:dyDescent="0.2">
      <c r="G6" s="73"/>
      <c r="H6" s="71" t="s">
        <v>178</v>
      </c>
      <c r="I6" s="71"/>
      <c r="J6" s="72"/>
    </row>
    <row r="9" spans="1:12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</row>
    <row r="10" spans="1:12" ht="21" x14ac:dyDescent="0.2">
      <c r="A10" s="64">
        <f>SUM(A11:A136)</f>
        <v>34124000</v>
      </c>
      <c r="B10" s="65"/>
      <c r="C10" s="66" t="s">
        <v>13</v>
      </c>
      <c r="D10" s="67"/>
      <c r="E10" s="68">
        <f>SUM(E11:E136)</f>
        <v>30496000</v>
      </c>
      <c r="F10" s="69">
        <f>SUM(F11:F136)</f>
        <v>3628000</v>
      </c>
      <c r="G10" s="69">
        <f>SUM(G11:G136)</f>
        <v>17973000</v>
      </c>
      <c r="H10" s="69"/>
      <c r="I10" s="69">
        <f>SUM(I11:I136)</f>
        <v>9032600</v>
      </c>
      <c r="J10" s="69"/>
      <c r="K10" s="69">
        <f>SUBTOTAL(109,K11:K130)</f>
        <v>0</v>
      </c>
      <c r="L10" s="69">
        <v>7118400</v>
      </c>
    </row>
    <row r="11" spans="1:12" ht="19" x14ac:dyDescent="0.2">
      <c r="A11" s="61">
        <f>Таблица1345[[#This Row],[Нал]]+Таблица1345[[#This Row],[Терминал]]</f>
        <v>625000</v>
      </c>
      <c r="B11" s="58">
        <v>44562</v>
      </c>
      <c r="C11" s="3" t="s">
        <v>9</v>
      </c>
      <c r="D11" s="13" t="s">
        <v>105</v>
      </c>
      <c r="E11" s="9">
        <v>516000</v>
      </c>
      <c r="F11" s="9">
        <v>109000</v>
      </c>
      <c r="G11" s="9"/>
      <c r="H11" s="9"/>
      <c r="I11" s="9">
        <v>620000</v>
      </c>
      <c r="J11" s="9" t="s">
        <v>266</v>
      </c>
      <c r="K11" s="9"/>
      <c r="L11" s="44">
        <f>Таблица1345[[#This Row],[Нал]]+Таблица1345[[#This Row],[Терминал]]-Таблица1345[[#This Row],[Расход]]-Таблица1345[[#This Row],[Закуп]]</f>
        <v>5000</v>
      </c>
    </row>
    <row r="12" spans="1:12" ht="19" x14ac:dyDescent="0.2">
      <c r="A12" s="61">
        <f>Таблица1345[[#This Row],[Нал]]+Таблица1345[[#This Row],[Терминал]]</f>
        <v>493000</v>
      </c>
      <c r="B12" s="75"/>
      <c r="C12" s="2" t="s">
        <v>10</v>
      </c>
      <c r="D12" s="13" t="s">
        <v>28</v>
      </c>
      <c r="E12" s="9">
        <v>477000</v>
      </c>
      <c r="F12" s="9">
        <v>16000</v>
      </c>
      <c r="G12" s="9"/>
      <c r="H12" s="9"/>
      <c r="I12" s="9">
        <v>40000</v>
      </c>
      <c r="J12" s="9" t="s">
        <v>267</v>
      </c>
      <c r="K12" s="9"/>
      <c r="L12" s="44">
        <f>Таблица1345[[#This Row],[Нал]]+Таблица1345[[#This Row],[Терминал]]-Таблица1345[[#This Row],[Расход]]-Таблица1345[[#This Row],[Закуп]]</f>
        <v>453000</v>
      </c>
    </row>
    <row r="13" spans="1:12" ht="19" x14ac:dyDescent="0.2">
      <c r="A13" s="61">
        <f>Таблица1345[[#This Row],[Нал]]+Таблица1345[[#This Row],[Терминал]]</f>
        <v>0</v>
      </c>
      <c r="B13" s="75"/>
      <c r="C13" s="35"/>
      <c r="D13" s="13"/>
      <c r="E13" s="15"/>
      <c r="F13" s="9"/>
      <c r="G13" s="9"/>
      <c r="H13" s="9"/>
      <c r="I13" s="9">
        <v>60000</v>
      </c>
      <c r="J13" s="9" t="s">
        <v>141</v>
      </c>
      <c r="K13" s="9">
        <f>SUBTOTAL(109,K15:K135)</f>
        <v>0</v>
      </c>
      <c r="L1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-60000</v>
      </c>
    </row>
    <row r="14" spans="1:12" ht="19" x14ac:dyDescent="0.2">
      <c r="A14" s="61">
        <f>Таблица1345[[#This Row],[Нал]]+Таблица1345[[#This Row],[Терминал]]</f>
        <v>0</v>
      </c>
      <c r="B14" s="75"/>
      <c r="C14" s="35"/>
      <c r="D14" s="13"/>
      <c r="E14" s="15"/>
      <c r="F14" s="9"/>
      <c r="G14" s="9"/>
      <c r="H14" s="9"/>
      <c r="I14" s="9">
        <v>105000</v>
      </c>
      <c r="J14" s="9" t="s">
        <v>153</v>
      </c>
      <c r="K14" s="9">
        <f>SUBTOTAL(109,K16:K135)</f>
        <v>0</v>
      </c>
      <c r="L1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-105000</v>
      </c>
    </row>
    <row r="15" spans="1:12" ht="19" x14ac:dyDescent="0.2">
      <c r="A15" s="61">
        <f>Таблица1345[[#This Row],[Нал]]+Таблица1345[[#This Row],[Терминал]]</f>
        <v>701000</v>
      </c>
      <c r="B15" s="58">
        <v>44563</v>
      </c>
      <c r="C15" s="3" t="s">
        <v>9</v>
      </c>
      <c r="D15" s="13" t="s">
        <v>105</v>
      </c>
      <c r="E15" s="9">
        <v>683000</v>
      </c>
      <c r="F15" s="9">
        <v>18000</v>
      </c>
      <c r="G15" s="9"/>
      <c r="H15" s="9"/>
      <c r="I15" s="9">
        <v>22000</v>
      </c>
      <c r="J15" s="9" t="s">
        <v>268</v>
      </c>
      <c r="K15" s="9"/>
      <c r="L1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679000</v>
      </c>
    </row>
    <row r="16" spans="1:12" ht="19" x14ac:dyDescent="0.2">
      <c r="A16" s="61">
        <f>Таблица1345[[#This Row],[Нал]]+Таблица1345[[#This Row],[Терминал]]</f>
        <v>0</v>
      </c>
      <c r="B16" s="58"/>
      <c r="C16" s="49"/>
      <c r="D16" s="13"/>
      <c r="E16" s="15"/>
      <c r="F16" s="9"/>
      <c r="G16" s="9"/>
      <c r="H16" s="9"/>
      <c r="I16" s="9">
        <v>38000</v>
      </c>
      <c r="J16" s="9" t="s">
        <v>269</v>
      </c>
      <c r="K16" s="9"/>
      <c r="L1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-38000</v>
      </c>
    </row>
    <row r="17" spans="1:12" ht="19" x14ac:dyDescent="0.2">
      <c r="A17" s="61">
        <f>Таблица1345[[#This Row],[Нал]]+Таблица1345[[#This Row],[Терминал]]</f>
        <v>0</v>
      </c>
      <c r="B17" s="58"/>
      <c r="C17" s="49"/>
      <c r="D17" s="13"/>
      <c r="E17" s="15"/>
      <c r="F17" s="9"/>
      <c r="G17" s="9"/>
      <c r="H17" s="9"/>
      <c r="I17" s="9">
        <v>1575000</v>
      </c>
      <c r="J17" s="9" t="s">
        <v>296</v>
      </c>
      <c r="K17" s="9">
        <f>SUBTOTAL(109,K19:K139)</f>
        <v>0</v>
      </c>
      <c r="L1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-1575000</v>
      </c>
    </row>
    <row r="18" spans="1:12" ht="19" x14ac:dyDescent="0.2">
      <c r="A18" s="61">
        <f>Таблица1345[[#This Row],[Нал]]+Таблица1345[[#This Row],[Терминал]]</f>
        <v>376000</v>
      </c>
      <c r="B18" s="75"/>
      <c r="C18" s="2" t="s">
        <v>10</v>
      </c>
      <c r="D18" s="13" t="s">
        <v>28</v>
      </c>
      <c r="E18" s="9">
        <v>376000</v>
      </c>
      <c r="F18" s="9"/>
      <c r="G18" s="9"/>
      <c r="H18" s="9" t="s">
        <v>181</v>
      </c>
      <c r="I18" s="9"/>
      <c r="J18" s="47"/>
      <c r="K18" s="9"/>
      <c r="L1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376000</v>
      </c>
    </row>
    <row r="19" spans="1:12" ht="19" x14ac:dyDescent="0.2">
      <c r="A19" s="61">
        <f>Таблица1345[[#This Row],[Нал]]+Таблица1345[[#This Row],[Терминал]]</f>
        <v>715000</v>
      </c>
      <c r="B19" s="58">
        <v>44564</v>
      </c>
      <c r="C19" s="3" t="s">
        <v>9</v>
      </c>
      <c r="D19" s="13" t="s">
        <v>105</v>
      </c>
      <c r="E19" s="9">
        <v>715000</v>
      </c>
      <c r="F19" s="9"/>
      <c r="G19" s="9"/>
      <c r="H19" s="9" t="s">
        <v>181</v>
      </c>
      <c r="I19" s="9"/>
      <c r="J19" s="9"/>
      <c r="K19" s="9"/>
      <c r="L1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715000</v>
      </c>
    </row>
    <row r="20" spans="1:12" ht="19" x14ac:dyDescent="0.2">
      <c r="A20" s="61">
        <f>Таблица1345[[#This Row],[Нал]]+Таблица1345[[#This Row],[Терминал]]</f>
        <v>565000</v>
      </c>
      <c r="B20" s="75"/>
      <c r="C20" s="2" t="s">
        <v>10</v>
      </c>
      <c r="D20" s="13" t="s">
        <v>28</v>
      </c>
      <c r="E20" s="9">
        <v>505000</v>
      </c>
      <c r="F20" s="9">
        <v>60000</v>
      </c>
      <c r="G20" s="9"/>
      <c r="H20" s="9"/>
      <c r="I20" s="9">
        <v>50000</v>
      </c>
      <c r="J20" s="9" t="s">
        <v>206</v>
      </c>
      <c r="K20" s="9"/>
      <c r="L2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515000</v>
      </c>
    </row>
    <row r="21" spans="1:12" ht="19" x14ac:dyDescent="0.2">
      <c r="A21" s="61">
        <f>Таблица1345[[#This Row],[Нал]]+Таблица1345[[#This Row],[Терминал]]</f>
        <v>513000</v>
      </c>
      <c r="B21" s="58">
        <v>44565</v>
      </c>
      <c r="C21" s="3" t="s">
        <v>9</v>
      </c>
      <c r="D21" s="13" t="s">
        <v>105</v>
      </c>
      <c r="E21" s="9">
        <v>513000</v>
      </c>
      <c r="F21" s="9"/>
      <c r="G21" s="9"/>
      <c r="H21" s="9" t="s">
        <v>181</v>
      </c>
      <c r="I21" s="9">
        <v>38000</v>
      </c>
      <c r="J21" s="9" t="s">
        <v>270</v>
      </c>
      <c r="K21" s="9"/>
      <c r="L2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475000</v>
      </c>
    </row>
    <row r="22" spans="1:12" ht="19" x14ac:dyDescent="0.2">
      <c r="A22" s="61">
        <f>Таблица1345[[#This Row],[Нал]]+Таблица1345[[#This Row],[Терминал]]</f>
        <v>0</v>
      </c>
      <c r="B22" s="58"/>
      <c r="C22" s="49"/>
      <c r="D22" s="13"/>
      <c r="E22" s="15"/>
      <c r="F22" s="9"/>
      <c r="G22" s="9"/>
      <c r="H22" s="9"/>
      <c r="I22" s="9">
        <v>37600</v>
      </c>
      <c r="J22" s="9" t="s">
        <v>271</v>
      </c>
      <c r="K22" s="9"/>
      <c r="L2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-37600</v>
      </c>
    </row>
    <row r="23" spans="1:12" ht="19" x14ac:dyDescent="0.2">
      <c r="A23" s="61">
        <f>Таблица1345[[#This Row],[Нал]]+Таблица1345[[#This Row],[Терминал]]</f>
        <v>313000</v>
      </c>
      <c r="B23" s="75"/>
      <c r="C23" s="2" t="s">
        <v>10</v>
      </c>
      <c r="D23" s="13" t="s">
        <v>28</v>
      </c>
      <c r="E23" s="9">
        <v>264000</v>
      </c>
      <c r="F23" s="9">
        <v>49000</v>
      </c>
      <c r="G23" s="9"/>
      <c r="H23" s="9"/>
      <c r="I23" s="9"/>
      <c r="J23" s="9"/>
      <c r="K23" s="9"/>
      <c r="L2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313000</v>
      </c>
    </row>
    <row r="24" spans="1:12" ht="19" x14ac:dyDescent="0.2">
      <c r="A24" s="74">
        <f>Таблица1345[[#This Row],[Нал]]+Таблица1345[[#This Row],[Терминал]]</f>
        <v>868000</v>
      </c>
      <c r="B24" s="32">
        <v>44566</v>
      </c>
      <c r="C24" s="3" t="s">
        <v>9</v>
      </c>
      <c r="D24" s="13" t="s">
        <v>105</v>
      </c>
      <c r="E24" s="9">
        <v>868000</v>
      </c>
      <c r="F24" s="9"/>
      <c r="G24" s="9"/>
      <c r="H24" s="9" t="s">
        <v>181</v>
      </c>
      <c r="I24" s="9">
        <v>70000</v>
      </c>
      <c r="J24" s="9" t="s">
        <v>274</v>
      </c>
      <c r="K24" s="9"/>
      <c r="L2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798000</v>
      </c>
    </row>
    <row r="25" spans="1:12" ht="19" x14ac:dyDescent="0.2">
      <c r="A25" s="74">
        <f>Таблица1345[[#This Row],[Нал]]+Таблица1345[[#This Row],[Терминал]]</f>
        <v>0</v>
      </c>
      <c r="B25" s="32"/>
      <c r="C25" s="49"/>
      <c r="D25" s="13"/>
      <c r="E25" s="15"/>
      <c r="F25" s="9"/>
      <c r="G25" s="9"/>
      <c r="H25" s="9"/>
      <c r="I25" s="9">
        <v>37000</v>
      </c>
      <c r="J25" s="9" t="s">
        <v>128</v>
      </c>
      <c r="K25" s="9"/>
      <c r="L2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-37000</v>
      </c>
    </row>
    <row r="26" spans="1:12" ht="19" x14ac:dyDescent="0.2">
      <c r="A26" s="74">
        <f>Таблица1345[[#This Row],[Нал]]+Таблица1345[[#This Row],[Терминал]]</f>
        <v>0</v>
      </c>
      <c r="B26" s="32"/>
      <c r="C26" s="49"/>
      <c r="D26" s="13"/>
      <c r="E26" s="15"/>
      <c r="F26" s="9"/>
      <c r="G26" s="9"/>
      <c r="H26" s="9"/>
      <c r="I26" s="9">
        <v>60000</v>
      </c>
      <c r="J26" s="9" t="s">
        <v>141</v>
      </c>
      <c r="K26" s="9"/>
      <c r="L2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-60000</v>
      </c>
    </row>
    <row r="27" spans="1:12" ht="19" x14ac:dyDescent="0.2">
      <c r="A27" s="74">
        <f>Таблица1345[[#This Row],[Нал]]+Таблица1345[[#This Row],[Терминал]]</f>
        <v>0</v>
      </c>
      <c r="B27" s="32"/>
      <c r="C27" s="49"/>
      <c r="D27" s="13"/>
      <c r="E27" s="15"/>
      <c r="F27" s="9"/>
      <c r="G27" s="9"/>
      <c r="H27" s="9"/>
      <c r="I27" s="9">
        <v>105000</v>
      </c>
      <c r="J27" s="9" t="s">
        <v>153</v>
      </c>
      <c r="K27" s="9"/>
      <c r="L2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-105000</v>
      </c>
    </row>
    <row r="28" spans="1:12" ht="32" x14ac:dyDescent="0.2">
      <c r="A28" s="61">
        <f>Таблица1345[[#This Row],[Нал]]+Таблица1345[[#This Row],[Терминал]]</f>
        <v>0</v>
      </c>
      <c r="B28" s="58"/>
      <c r="C28" s="49"/>
      <c r="D28" s="13"/>
      <c r="E28" s="15"/>
      <c r="F28" s="9"/>
      <c r="G28" s="9">
        <v>347000</v>
      </c>
      <c r="H28" s="47" t="s">
        <v>277</v>
      </c>
      <c r="I28" s="9">
        <v>200000</v>
      </c>
      <c r="J28" s="9" t="s">
        <v>276</v>
      </c>
      <c r="K28" s="9"/>
      <c r="L2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-547000</v>
      </c>
    </row>
    <row r="29" spans="1:12" ht="19" x14ac:dyDescent="0.2">
      <c r="A29" s="61">
        <f>Таблица1345[[#This Row],[Нал]]+Таблица1345[[#This Row],[Терминал]]</f>
        <v>0</v>
      </c>
      <c r="B29" s="58"/>
      <c r="C29" s="49"/>
      <c r="D29" s="13"/>
      <c r="E29" s="15"/>
      <c r="F29" s="9"/>
      <c r="G29" s="9">
        <v>84000</v>
      </c>
      <c r="H29" s="9" t="s">
        <v>275</v>
      </c>
      <c r="I29" s="9"/>
      <c r="J29" s="9"/>
      <c r="K29" s="9"/>
      <c r="L2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-84000</v>
      </c>
    </row>
    <row r="30" spans="1:12" ht="19" x14ac:dyDescent="0.2">
      <c r="A30" s="61">
        <f>Таблица1345[[#This Row],[Нал]]+Таблица1345[[#This Row],[Терминал]]</f>
        <v>259000</v>
      </c>
      <c r="B30" s="75"/>
      <c r="C30" s="2" t="s">
        <v>10</v>
      </c>
      <c r="D30" s="13" t="s">
        <v>28</v>
      </c>
      <c r="E30" s="9">
        <v>181000</v>
      </c>
      <c r="F30" s="9">
        <v>78000</v>
      </c>
      <c r="G30" s="9"/>
      <c r="H30" s="9"/>
      <c r="I30" s="9"/>
      <c r="J30" s="9"/>
      <c r="K30" s="9"/>
      <c r="L3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259000</v>
      </c>
    </row>
    <row r="31" spans="1:12" ht="19" x14ac:dyDescent="0.2">
      <c r="A31" s="61">
        <f>Таблица1345[[#This Row],[Нал]]+Таблица1345[[#This Row],[Терминал]]</f>
        <v>887000</v>
      </c>
      <c r="B31" s="58">
        <v>44567</v>
      </c>
      <c r="C31" s="3" t="s">
        <v>9</v>
      </c>
      <c r="D31" s="13" t="s">
        <v>105</v>
      </c>
      <c r="E31" s="9">
        <v>801000</v>
      </c>
      <c r="F31" s="9">
        <v>86000</v>
      </c>
      <c r="G31" s="9"/>
      <c r="H31" s="9"/>
      <c r="I31" s="9">
        <v>30000</v>
      </c>
      <c r="J31" s="47" t="s">
        <v>272</v>
      </c>
      <c r="K31" s="9"/>
      <c r="L3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857000</v>
      </c>
    </row>
    <row r="32" spans="1:12" ht="19" x14ac:dyDescent="0.2">
      <c r="A32" s="61">
        <f>Таблица1345[[#This Row],[Нал]]+Таблица1345[[#This Row],[Терминал]]</f>
        <v>0</v>
      </c>
      <c r="B32" s="58"/>
      <c r="C32" s="49"/>
      <c r="D32" s="13"/>
      <c r="E32" s="15"/>
      <c r="F32" s="9"/>
      <c r="G32" s="9"/>
      <c r="H32" s="9"/>
      <c r="I32" s="9">
        <v>14000</v>
      </c>
      <c r="J32" s="47" t="s">
        <v>273</v>
      </c>
      <c r="K32" s="9"/>
      <c r="L3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-14000</v>
      </c>
    </row>
    <row r="33" spans="1:12" ht="19" x14ac:dyDescent="0.2">
      <c r="A33" s="61">
        <f>Таблица1345[[#This Row],[Нал]]+Таблица1345[[#This Row],[Терминал]]</f>
        <v>0</v>
      </c>
      <c r="B33" s="58"/>
      <c r="C33" s="49"/>
      <c r="D33" s="13"/>
      <c r="E33" s="15"/>
      <c r="F33" s="9"/>
      <c r="G33" s="9"/>
      <c r="H33" s="9"/>
      <c r="I33" s="9">
        <v>8000</v>
      </c>
      <c r="J33" s="47" t="s">
        <v>220</v>
      </c>
      <c r="K33" s="9">
        <f>SUBTOTAL(109,K35:K154)</f>
        <v>0</v>
      </c>
      <c r="L3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-8000</v>
      </c>
    </row>
    <row r="34" spans="1:12" ht="19" x14ac:dyDescent="0.2">
      <c r="A34" s="61">
        <f>Таблица1345[[#This Row],[Нал]]+Таблица1345[[#This Row],[Терминал]]</f>
        <v>421000</v>
      </c>
      <c r="B34" s="75"/>
      <c r="C34" s="2" t="s">
        <v>10</v>
      </c>
      <c r="D34" s="13" t="s">
        <v>28</v>
      </c>
      <c r="E34" s="9">
        <v>421000</v>
      </c>
      <c r="F34" s="9"/>
      <c r="G34" s="9"/>
      <c r="H34" s="9" t="s">
        <v>181</v>
      </c>
      <c r="I34" s="9"/>
      <c r="J34" s="9"/>
      <c r="K34" s="9"/>
      <c r="L3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421000</v>
      </c>
    </row>
    <row r="35" spans="1:12" ht="19" x14ac:dyDescent="0.2">
      <c r="A35" s="61">
        <f>Таблица1345[[#This Row],[Нал]]+Таблица1345[[#This Row],[Терминал]]</f>
        <v>1019000</v>
      </c>
      <c r="B35" s="58">
        <v>44568</v>
      </c>
      <c r="C35" s="3" t="s">
        <v>9</v>
      </c>
      <c r="D35" s="13" t="s">
        <v>105</v>
      </c>
      <c r="E35" s="9">
        <v>885000</v>
      </c>
      <c r="F35" s="9">
        <v>134000</v>
      </c>
      <c r="G35" s="9"/>
      <c r="H35" s="9" t="s">
        <v>281</v>
      </c>
      <c r="I35" s="9">
        <v>30000</v>
      </c>
      <c r="J35" s="9" t="s">
        <v>278</v>
      </c>
      <c r="K35" s="9"/>
      <c r="L3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989000</v>
      </c>
    </row>
    <row r="36" spans="1:12" ht="19" x14ac:dyDescent="0.2">
      <c r="A36" s="74">
        <f>Таблица1345[[#This Row],[Нал]]+Таблица1345[[#This Row],[Терминал]]</f>
        <v>0</v>
      </c>
      <c r="B36" s="32"/>
      <c r="C36" s="49"/>
      <c r="D36" s="13"/>
      <c r="E36" s="15"/>
      <c r="F36" s="9"/>
      <c r="G36" s="9"/>
      <c r="H36" s="9"/>
      <c r="I36" s="9">
        <v>119500</v>
      </c>
      <c r="J36" s="9" t="s">
        <v>279</v>
      </c>
      <c r="K36" s="9"/>
      <c r="L3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-119500</v>
      </c>
    </row>
    <row r="37" spans="1:12" ht="19" x14ac:dyDescent="0.2">
      <c r="A37" s="74">
        <f>Таблица1345[[#This Row],[Нал]]+Таблица1345[[#This Row],[Терминал]]</f>
        <v>0</v>
      </c>
      <c r="B37" s="32"/>
      <c r="C37" s="49"/>
      <c r="D37" s="13"/>
      <c r="E37" s="15"/>
      <c r="F37" s="9"/>
      <c r="G37" s="9"/>
      <c r="H37" s="9"/>
      <c r="I37" s="9">
        <v>10000</v>
      </c>
      <c r="J37" s="9" t="s">
        <v>293</v>
      </c>
      <c r="K37" s="9"/>
      <c r="L3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-10000</v>
      </c>
    </row>
    <row r="38" spans="1:12" ht="19" x14ac:dyDescent="0.2">
      <c r="A38" s="74">
        <f>Таблица1345[[#This Row],[Нал]]+Таблица1345[[#This Row],[Терминал]]</f>
        <v>0</v>
      </c>
      <c r="B38" s="32"/>
      <c r="C38" s="49"/>
      <c r="D38" s="13"/>
      <c r="E38" s="15"/>
      <c r="F38" s="9"/>
      <c r="G38" s="9"/>
      <c r="H38" s="9"/>
      <c r="I38" s="9">
        <v>23000</v>
      </c>
      <c r="J38" s="9" t="s">
        <v>280</v>
      </c>
      <c r="K38" s="9"/>
      <c r="L3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-23000</v>
      </c>
    </row>
    <row r="39" spans="1:12" ht="19" x14ac:dyDescent="0.2">
      <c r="A39" s="74">
        <f>Таблица1345[[#This Row],[Нал]]+Таблица1345[[#This Row],[Терминал]]</f>
        <v>502000</v>
      </c>
      <c r="B39" s="33"/>
      <c r="C39" s="2" t="s">
        <v>10</v>
      </c>
      <c r="D39" s="13" t="s">
        <v>28</v>
      </c>
      <c r="E39" s="9">
        <v>484000</v>
      </c>
      <c r="F39" s="9">
        <v>18000</v>
      </c>
      <c r="G39" s="9"/>
      <c r="H39" s="9" t="s">
        <v>282</v>
      </c>
      <c r="I39" s="9"/>
      <c r="J39" s="9"/>
      <c r="K39" s="9"/>
      <c r="L3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502000</v>
      </c>
    </row>
    <row r="40" spans="1:12" ht="19" x14ac:dyDescent="0.2">
      <c r="A40" s="74">
        <f>Таблица1345[[#This Row],[Нал]]+Таблица1345[[#This Row],[Терминал]]</f>
        <v>539000</v>
      </c>
      <c r="B40" s="32">
        <v>44569</v>
      </c>
      <c r="C40" s="3" t="s">
        <v>9</v>
      </c>
      <c r="D40" s="13" t="s">
        <v>105</v>
      </c>
      <c r="E40" s="15">
        <v>347000</v>
      </c>
      <c r="F40" s="9">
        <v>192000</v>
      </c>
      <c r="G40" s="9"/>
      <c r="H40" s="9"/>
      <c r="I40" s="9">
        <v>440000</v>
      </c>
      <c r="J40" s="9" t="s">
        <v>283</v>
      </c>
      <c r="K40" s="9"/>
      <c r="L4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99000</v>
      </c>
    </row>
    <row r="41" spans="1:12" ht="19" x14ac:dyDescent="0.2">
      <c r="A41" s="74">
        <f>Таблица1345[[#This Row],[Нал]]+Таблица1345[[#This Row],[Терминал]]</f>
        <v>535000</v>
      </c>
      <c r="B41" s="33"/>
      <c r="C41" s="2" t="s">
        <v>10</v>
      </c>
      <c r="D41" s="13" t="s">
        <v>29</v>
      </c>
      <c r="E41" s="15">
        <v>499000</v>
      </c>
      <c r="F41" s="9">
        <v>36000</v>
      </c>
      <c r="G41" s="9"/>
      <c r="H41" s="9" t="s">
        <v>284</v>
      </c>
      <c r="I41" s="9">
        <v>200000</v>
      </c>
      <c r="J41" s="9" t="s">
        <v>276</v>
      </c>
      <c r="K41" s="9"/>
      <c r="L4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335000</v>
      </c>
    </row>
    <row r="42" spans="1:12" ht="19" x14ac:dyDescent="0.2">
      <c r="A42" s="74">
        <f>Таблица1345[[#This Row],[Нал]]+Таблица1345[[#This Row],[Терминал]]</f>
        <v>0</v>
      </c>
      <c r="B42" s="33"/>
      <c r="C42" s="35"/>
      <c r="D42" s="13"/>
      <c r="E42" s="15"/>
      <c r="F42" s="9"/>
      <c r="G42" s="9"/>
      <c r="H42" s="9"/>
      <c r="I42" s="9">
        <v>8500</v>
      </c>
      <c r="J42" s="9" t="s">
        <v>285</v>
      </c>
      <c r="K42" s="9"/>
      <c r="L4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-8500</v>
      </c>
    </row>
    <row r="43" spans="1:12" ht="19" x14ac:dyDescent="0.2">
      <c r="A43" s="61">
        <f>Таблица1345[[#This Row],[Нал]]+Таблица1345[[#This Row],[Терминал]]</f>
        <v>737000</v>
      </c>
      <c r="B43" s="58">
        <v>44570</v>
      </c>
      <c r="C43" s="3" t="s">
        <v>9</v>
      </c>
      <c r="D43" s="13" t="s">
        <v>105</v>
      </c>
      <c r="E43" s="15">
        <v>653000</v>
      </c>
      <c r="F43" s="9">
        <v>84000</v>
      </c>
      <c r="G43" s="9"/>
      <c r="H43" s="9"/>
      <c r="I43" s="9">
        <v>19000</v>
      </c>
      <c r="J43" s="9" t="s">
        <v>268</v>
      </c>
      <c r="K43" s="9"/>
      <c r="L4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718000</v>
      </c>
    </row>
    <row r="44" spans="1:12" ht="19" x14ac:dyDescent="0.2">
      <c r="A44" s="61">
        <f>Таблица1345[[#This Row],[Нал]]+Таблица1345[[#This Row],[Терминал]]</f>
        <v>337000</v>
      </c>
      <c r="B44" s="75"/>
      <c r="C44" s="2" t="s">
        <v>10</v>
      </c>
      <c r="D44" s="13" t="s">
        <v>28</v>
      </c>
      <c r="E44" s="15">
        <v>262000</v>
      </c>
      <c r="F44" s="9">
        <v>75000</v>
      </c>
      <c r="G44" s="9"/>
      <c r="H44" s="9" t="s">
        <v>286</v>
      </c>
      <c r="I44" s="9">
        <v>105000</v>
      </c>
      <c r="J44" s="9" t="s">
        <v>153</v>
      </c>
      <c r="K44" s="9"/>
      <c r="L4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232000</v>
      </c>
    </row>
    <row r="45" spans="1:12" ht="19" x14ac:dyDescent="0.2">
      <c r="A45" s="61">
        <f>Таблица1345[[#This Row],[Нал]]+Таблица1345[[#This Row],[Терминал]]</f>
        <v>0</v>
      </c>
      <c r="B45" s="75"/>
      <c r="C45" s="35"/>
      <c r="D45" s="13"/>
      <c r="E45" s="15"/>
      <c r="F45" s="9"/>
      <c r="G45" s="9"/>
      <c r="H45" s="47"/>
      <c r="I45" s="9">
        <v>40000</v>
      </c>
      <c r="J45" s="9" t="s">
        <v>128</v>
      </c>
      <c r="K45" s="9"/>
      <c r="L4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-40000</v>
      </c>
    </row>
    <row r="46" spans="1:12" ht="19" x14ac:dyDescent="0.2">
      <c r="A46" s="61">
        <f>Таблица1345[[#This Row],[Нал]]+Таблица1345[[#This Row],[Терминал]]</f>
        <v>0</v>
      </c>
      <c r="B46" s="75"/>
      <c r="C46" s="35"/>
      <c r="D46" s="13"/>
      <c r="E46" s="15"/>
      <c r="F46" s="9"/>
      <c r="G46" s="9"/>
      <c r="H46" s="9"/>
      <c r="I46" s="9">
        <v>60000</v>
      </c>
      <c r="J46" s="9" t="s">
        <v>141</v>
      </c>
      <c r="K46" s="9">
        <f>SUBTOTAL(109,K49:K167)</f>
        <v>0</v>
      </c>
      <c r="L4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-60000</v>
      </c>
    </row>
    <row r="47" spans="1:12" ht="19" x14ac:dyDescent="0.2">
      <c r="A47" s="61">
        <f>Таблица1345[[#This Row],[Нал]]+Таблица1345[[#This Row],[Терминал]]</f>
        <v>0</v>
      </c>
      <c r="B47" s="75"/>
      <c r="C47" s="35"/>
      <c r="D47" s="13"/>
      <c r="E47" s="15"/>
      <c r="F47" s="9"/>
      <c r="G47" s="9"/>
      <c r="H47" s="9"/>
      <c r="I47" s="9">
        <v>50000</v>
      </c>
      <c r="J47" s="9" t="s">
        <v>59</v>
      </c>
      <c r="K47" s="9">
        <f>SUBTOTAL(109,K49:K168)</f>
        <v>0</v>
      </c>
      <c r="L4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-50000</v>
      </c>
    </row>
    <row r="48" spans="1:12" ht="19" x14ac:dyDescent="0.2">
      <c r="A48" s="61">
        <f>Таблица1345[[#This Row],[Нал]]+Таблица1345[[#This Row],[Терминал]]</f>
        <v>579000</v>
      </c>
      <c r="B48" s="58">
        <v>44571</v>
      </c>
      <c r="C48" s="3" t="s">
        <v>9</v>
      </c>
      <c r="D48" s="13" t="s">
        <v>105</v>
      </c>
      <c r="E48" s="15">
        <v>547000</v>
      </c>
      <c r="F48" s="9">
        <v>32000</v>
      </c>
      <c r="G48" s="60">
        <v>1083000</v>
      </c>
      <c r="H48" s="59" t="s">
        <v>287</v>
      </c>
      <c r="I48" s="9"/>
      <c r="J48" s="9"/>
      <c r="K48" s="9"/>
      <c r="L4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-504000</v>
      </c>
    </row>
    <row r="49" spans="1:12" ht="19" x14ac:dyDescent="0.2">
      <c r="A49" s="61">
        <f>Таблица1345[[#This Row],[Нал]]+Таблица1345[[#This Row],[Терминал]]</f>
        <v>433000</v>
      </c>
      <c r="B49" s="75"/>
      <c r="C49" s="2" t="s">
        <v>10</v>
      </c>
      <c r="D49" s="13" t="s">
        <v>28</v>
      </c>
      <c r="E49" s="15">
        <v>289000</v>
      </c>
      <c r="F49" s="9">
        <v>144000</v>
      </c>
      <c r="G49" s="9"/>
      <c r="H49" s="9" t="s">
        <v>286</v>
      </c>
      <c r="I49" s="9"/>
      <c r="J49" s="9"/>
      <c r="K49" s="9"/>
      <c r="L4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433000</v>
      </c>
    </row>
    <row r="50" spans="1:12" ht="19" x14ac:dyDescent="0.2">
      <c r="A50" s="61">
        <f>Таблица1345[[#This Row],[Нал]]+Таблица1345[[#This Row],[Терминал]]</f>
        <v>827000</v>
      </c>
      <c r="B50" s="58">
        <v>44572</v>
      </c>
      <c r="C50" s="3" t="s">
        <v>9</v>
      </c>
      <c r="D50" s="13" t="s">
        <v>105</v>
      </c>
      <c r="E50" s="15">
        <v>551000</v>
      </c>
      <c r="F50" s="9">
        <v>276000</v>
      </c>
      <c r="G50" s="9"/>
      <c r="H50" s="9"/>
      <c r="I50" s="9">
        <v>23000</v>
      </c>
      <c r="J50" s="9" t="s">
        <v>280</v>
      </c>
      <c r="K50" s="9"/>
      <c r="L5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804000</v>
      </c>
    </row>
    <row r="51" spans="1:12" ht="19" x14ac:dyDescent="0.2">
      <c r="A51" s="61">
        <f>Таблица1345[[#This Row],[Нал]]+Таблица1345[[#This Row],[Терминал]]</f>
        <v>0</v>
      </c>
      <c r="B51" s="58"/>
      <c r="C51" s="49"/>
      <c r="D51" s="13"/>
      <c r="E51" s="15"/>
      <c r="F51" s="9"/>
      <c r="G51" s="9"/>
      <c r="H51" s="9"/>
      <c r="I51" s="9">
        <v>144000</v>
      </c>
      <c r="J51" s="9" t="s">
        <v>288</v>
      </c>
      <c r="K51" s="9"/>
      <c r="L5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-144000</v>
      </c>
    </row>
    <row r="52" spans="1:12" ht="19" x14ac:dyDescent="0.2">
      <c r="A52" s="61">
        <f>Таблица1345[[#This Row],[Нал]]+Таблица1345[[#This Row],[Терминал]]</f>
        <v>0</v>
      </c>
      <c r="B52" s="58"/>
      <c r="C52" s="49"/>
      <c r="D52" s="13"/>
      <c r="E52" s="15"/>
      <c r="F52" s="9"/>
      <c r="G52" s="9"/>
      <c r="H52" s="9"/>
      <c r="I52" s="9">
        <v>35000</v>
      </c>
      <c r="J52" s="9" t="s">
        <v>292</v>
      </c>
      <c r="K52" s="9"/>
      <c r="L5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-35000</v>
      </c>
    </row>
    <row r="53" spans="1:12" ht="19" x14ac:dyDescent="0.2">
      <c r="A53" s="61">
        <f>Таблица1345[[#This Row],[Нал]]+Таблица1345[[#This Row],[Терминал]]</f>
        <v>0</v>
      </c>
      <c r="B53" s="58"/>
      <c r="C53" s="49"/>
      <c r="D53" s="13"/>
      <c r="E53" s="15"/>
      <c r="F53" s="9"/>
      <c r="G53" s="9"/>
      <c r="H53" s="9"/>
      <c r="I53" s="9">
        <v>50500</v>
      </c>
      <c r="J53" s="9" t="s">
        <v>289</v>
      </c>
      <c r="K53" s="9"/>
      <c r="L5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-50500</v>
      </c>
    </row>
    <row r="54" spans="1:12" ht="19" x14ac:dyDescent="0.2">
      <c r="A54" s="61">
        <f>Таблица1345[[#This Row],[Нал]]+Таблица1345[[#This Row],[Терминал]]</f>
        <v>0</v>
      </c>
      <c r="B54" s="58"/>
      <c r="C54" s="49"/>
      <c r="D54" s="13"/>
      <c r="E54" s="15"/>
      <c r="F54" s="9"/>
      <c r="G54" s="9"/>
      <c r="H54" s="9"/>
      <c r="I54" s="9">
        <v>20000</v>
      </c>
      <c r="J54" s="9" t="s">
        <v>290</v>
      </c>
      <c r="K54" s="9"/>
      <c r="L5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-20000</v>
      </c>
    </row>
    <row r="55" spans="1:12" ht="19" x14ac:dyDescent="0.2">
      <c r="A55" s="61">
        <f>Таблица1345[[#This Row],[Нал]]+Таблица1345[[#This Row],[Терминал]]</f>
        <v>0</v>
      </c>
      <c r="B55" s="58"/>
      <c r="C55" s="49"/>
      <c r="D55" s="13"/>
      <c r="E55" s="15"/>
      <c r="F55" s="9"/>
      <c r="G55" s="9"/>
      <c r="H55" s="9"/>
      <c r="I55" s="9">
        <v>27500</v>
      </c>
      <c r="J55" s="9" t="s">
        <v>291</v>
      </c>
      <c r="K55" s="9"/>
      <c r="L5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-27500</v>
      </c>
    </row>
    <row r="56" spans="1:12" ht="19" x14ac:dyDescent="0.2">
      <c r="A56" s="61">
        <f>Таблица1345[[#This Row],[Нал]]+Таблица1345[[#This Row],[Терминал]]</f>
        <v>0</v>
      </c>
      <c r="B56" s="58"/>
      <c r="C56" s="49"/>
      <c r="D56" s="13"/>
      <c r="E56" s="15"/>
      <c r="F56" s="9"/>
      <c r="G56" s="9"/>
      <c r="H56" s="9"/>
      <c r="I56" s="9">
        <v>620000</v>
      </c>
      <c r="J56" s="9" t="s">
        <v>294</v>
      </c>
      <c r="K56" s="9">
        <f>SUBTOTAL(109,K59:K177)</f>
        <v>0</v>
      </c>
      <c r="L5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-620000</v>
      </c>
    </row>
    <row r="57" spans="1:12" ht="19" x14ac:dyDescent="0.2">
      <c r="A57" s="61">
        <f>Таблица1345[[#This Row],[Нал]]+Таблица1345[[#This Row],[Терминал]]</f>
        <v>0</v>
      </c>
      <c r="B57" s="58"/>
      <c r="C57" s="49"/>
      <c r="D57" s="13"/>
      <c r="E57" s="15"/>
      <c r="F57" s="9"/>
      <c r="G57" s="9"/>
      <c r="H57" s="9"/>
      <c r="I57" s="9">
        <v>60000</v>
      </c>
      <c r="J57" s="9" t="s">
        <v>295</v>
      </c>
      <c r="K57" s="9">
        <f>SUBTOTAL(109,K59:K178)</f>
        <v>0</v>
      </c>
      <c r="L5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-60000</v>
      </c>
    </row>
    <row r="58" spans="1:12" ht="19" x14ac:dyDescent="0.2">
      <c r="A58" s="61">
        <f>Таблица1345[[#This Row],[Нал]]+Таблица1345[[#This Row],[Терминал]]</f>
        <v>753000</v>
      </c>
      <c r="B58" s="75"/>
      <c r="C58" s="2" t="s">
        <v>10</v>
      </c>
      <c r="D58" s="13" t="s">
        <v>28</v>
      </c>
      <c r="E58" s="15">
        <v>556000</v>
      </c>
      <c r="F58" s="9">
        <v>197000</v>
      </c>
      <c r="G58" s="9"/>
      <c r="H58" s="9"/>
      <c r="I58" s="9"/>
      <c r="J58" s="47"/>
      <c r="K58" s="9"/>
      <c r="L5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753000</v>
      </c>
    </row>
    <row r="59" spans="1:12" ht="19" x14ac:dyDescent="0.2">
      <c r="A59" s="61">
        <f>Таблица1345[[#This Row],[Нал]]+Таблица1345[[#This Row],[Терминал]]</f>
        <v>558000</v>
      </c>
      <c r="B59" s="58">
        <v>44573</v>
      </c>
      <c r="C59" s="3" t="s">
        <v>9</v>
      </c>
      <c r="D59" s="13" t="s">
        <v>105</v>
      </c>
      <c r="E59" s="15">
        <v>435000</v>
      </c>
      <c r="F59" s="9">
        <v>123000</v>
      </c>
      <c r="G59" s="9"/>
      <c r="H59" s="9"/>
      <c r="I59" s="9"/>
      <c r="J59" s="9"/>
      <c r="K59" s="9"/>
      <c r="L5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558000</v>
      </c>
    </row>
    <row r="60" spans="1:12" ht="19" x14ac:dyDescent="0.2">
      <c r="A60" s="61">
        <f>Таблица1345[[#This Row],[Нал]]+Таблица1345[[#This Row],[Терминал]]</f>
        <v>403000</v>
      </c>
      <c r="B60" s="75"/>
      <c r="C60" s="2" t="s">
        <v>10</v>
      </c>
      <c r="D60" s="13" t="s">
        <v>28</v>
      </c>
      <c r="E60" s="15">
        <v>361000</v>
      </c>
      <c r="F60" s="9">
        <v>42000</v>
      </c>
      <c r="G60" s="9"/>
      <c r="H60" s="9"/>
      <c r="I60" s="9"/>
      <c r="J60" s="9"/>
      <c r="K60" s="9"/>
      <c r="L6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403000</v>
      </c>
    </row>
    <row r="61" spans="1:12" ht="19" x14ac:dyDescent="0.2">
      <c r="A61" s="61">
        <f>Таблица1345[[#This Row],[Нал]]+Таблица1345[[#This Row],[Терминал]]</f>
        <v>596000</v>
      </c>
      <c r="B61" s="58">
        <v>44574</v>
      </c>
      <c r="C61" s="3" t="s">
        <v>9</v>
      </c>
      <c r="D61" s="13" t="s">
        <v>105</v>
      </c>
      <c r="E61" s="15">
        <v>471000</v>
      </c>
      <c r="F61" s="9">
        <v>125000</v>
      </c>
      <c r="G61" s="9"/>
      <c r="H61" s="9" t="s">
        <v>286</v>
      </c>
      <c r="I61" s="9">
        <v>124500</v>
      </c>
      <c r="J61" s="9" t="s">
        <v>150</v>
      </c>
      <c r="K61" s="9"/>
      <c r="L6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471500</v>
      </c>
    </row>
    <row r="62" spans="1:12" ht="19" x14ac:dyDescent="0.2">
      <c r="A62" s="61">
        <f>Таблица1345[[#This Row],[Нал]]+Таблица1345[[#This Row],[Терминал]]</f>
        <v>0</v>
      </c>
      <c r="B62" s="58"/>
      <c r="C62" s="49"/>
      <c r="D62" s="13"/>
      <c r="E62" s="15"/>
      <c r="F62" s="9"/>
      <c r="G62" s="9"/>
      <c r="H62" s="9"/>
      <c r="I62" s="9">
        <v>10000</v>
      </c>
      <c r="J62" s="47" t="s">
        <v>297</v>
      </c>
      <c r="K62" s="9"/>
      <c r="L6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-10000</v>
      </c>
    </row>
    <row r="63" spans="1:12" ht="19" x14ac:dyDescent="0.2">
      <c r="A63" s="61">
        <f>Таблица1345[[#This Row],[Нал]]+Таблица1345[[#This Row],[Терминал]]</f>
        <v>474000</v>
      </c>
      <c r="B63" s="75"/>
      <c r="C63" s="2" t="s">
        <v>10</v>
      </c>
      <c r="D63" s="13" t="s">
        <v>28</v>
      </c>
      <c r="E63" s="15">
        <v>442000</v>
      </c>
      <c r="F63" s="9">
        <v>32000</v>
      </c>
      <c r="G63" s="9"/>
      <c r="H63" s="9" t="s">
        <v>286</v>
      </c>
      <c r="I63" s="9">
        <v>210000</v>
      </c>
      <c r="J63" s="9" t="s">
        <v>72</v>
      </c>
      <c r="K63" s="9"/>
      <c r="L6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264000</v>
      </c>
    </row>
    <row r="64" spans="1:12" ht="19" x14ac:dyDescent="0.2">
      <c r="A64" s="61">
        <f>Таблица1345[[#This Row],[Нал]]+Таблица1345[[#This Row],[Терминал]]</f>
        <v>0</v>
      </c>
      <c r="B64" s="75"/>
      <c r="C64" s="35"/>
      <c r="D64" s="13"/>
      <c r="E64" s="15"/>
      <c r="F64" s="9"/>
      <c r="G64" s="9"/>
      <c r="H64" s="9"/>
      <c r="I64" s="9">
        <v>19500</v>
      </c>
      <c r="J64" s="9" t="s">
        <v>302</v>
      </c>
      <c r="K64" s="9">
        <f>SUBTOTAL(109,K66:K189)</f>
        <v>0</v>
      </c>
      <c r="L6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-19500</v>
      </c>
    </row>
    <row r="65" spans="1:12" ht="32" x14ac:dyDescent="0.2">
      <c r="A65" s="61">
        <f>Таблица1345[[#This Row],[Нал]]+Таблица1345[[#This Row],[Терминал]]</f>
        <v>566000</v>
      </c>
      <c r="B65" s="58">
        <v>44575</v>
      </c>
      <c r="C65" s="3" t="s">
        <v>9</v>
      </c>
      <c r="D65" s="13" t="s">
        <v>105</v>
      </c>
      <c r="E65" s="15">
        <v>384000</v>
      </c>
      <c r="F65" s="9">
        <v>182000</v>
      </c>
      <c r="G65" s="60">
        <v>3270000</v>
      </c>
      <c r="H65" s="59" t="s">
        <v>299</v>
      </c>
      <c r="I65" s="9"/>
      <c r="J65" s="9"/>
      <c r="K65" s="9"/>
      <c r="L6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-2704000</v>
      </c>
    </row>
    <row r="66" spans="1:12" ht="19" x14ac:dyDescent="0.2">
      <c r="A66" s="61">
        <f>Таблица1345[[#This Row],[Нал]]+Таблица1345[[#This Row],[Терминал]]</f>
        <v>271000</v>
      </c>
      <c r="B66" s="75"/>
      <c r="C66" s="2" t="s">
        <v>10</v>
      </c>
      <c r="D66" s="13" t="s">
        <v>28</v>
      </c>
      <c r="E66" s="15">
        <v>271000</v>
      </c>
      <c r="F66" s="9"/>
      <c r="G66" s="9"/>
      <c r="H66" s="9" t="s">
        <v>181</v>
      </c>
      <c r="I66" s="9"/>
      <c r="J66" s="9"/>
      <c r="K66" s="9"/>
      <c r="L6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271000</v>
      </c>
    </row>
    <row r="67" spans="1:12" ht="19" x14ac:dyDescent="0.2">
      <c r="A67" s="61">
        <f>Таблица1345[[#This Row],[Нал]]+Таблица1345[[#This Row],[Терминал]]</f>
        <v>462000</v>
      </c>
      <c r="B67" s="58">
        <v>44576</v>
      </c>
      <c r="C67" s="3" t="s">
        <v>9</v>
      </c>
      <c r="D67" s="13" t="s">
        <v>105</v>
      </c>
      <c r="E67" s="15">
        <v>298000</v>
      </c>
      <c r="F67" s="9">
        <v>164000</v>
      </c>
      <c r="G67" s="9">
        <v>1800000</v>
      </c>
      <c r="H67" s="9" t="s">
        <v>300</v>
      </c>
      <c r="I67" s="9"/>
      <c r="J67" s="47"/>
      <c r="K67" s="9"/>
      <c r="L6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-1338000</v>
      </c>
    </row>
    <row r="68" spans="1:12" ht="48" x14ac:dyDescent="0.2">
      <c r="A68" s="61">
        <f>Таблица1345[[#This Row],[Нал]]+Таблица1345[[#This Row],[Терминал]]</f>
        <v>689000</v>
      </c>
      <c r="B68" s="75"/>
      <c r="C68" s="2" t="s">
        <v>10</v>
      </c>
      <c r="D68" s="13" t="s">
        <v>28</v>
      </c>
      <c r="E68" s="15">
        <v>689000</v>
      </c>
      <c r="F68" s="9"/>
      <c r="G68" s="9">
        <v>888000</v>
      </c>
      <c r="H68" s="47" t="s">
        <v>301</v>
      </c>
      <c r="I68" s="9"/>
      <c r="J68" s="9"/>
      <c r="K68" s="9"/>
      <c r="L6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-199000</v>
      </c>
    </row>
    <row r="69" spans="1:12" ht="19" x14ac:dyDescent="0.2">
      <c r="A69" s="61">
        <f>Таблица1345[[#This Row],[Нал]]+Таблица1345[[#This Row],[Терминал]]</f>
        <v>0</v>
      </c>
      <c r="B69" s="75"/>
      <c r="C69" s="35"/>
      <c r="D69" s="13"/>
      <c r="E69" s="15"/>
      <c r="F69" s="9"/>
      <c r="G69" s="9"/>
      <c r="H69" s="9" t="s">
        <v>181</v>
      </c>
      <c r="I69" s="9"/>
      <c r="J69" s="9"/>
      <c r="K69" s="9"/>
      <c r="L6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70" spans="1:12" ht="19" x14ac:dyDescent="0.2">
      <c r="A70" s="61">
        <f>Таблица1345[[#This Row],[Нал]]+Таблица1345[[#This Row],[Терминал]]</f>
        <v>554000</v>
      </c>
      <c r="B70" s="58">
        <v>44577</v>
      </c>
      <c r="C70" s="3" t="s">
        <v>9</v>
      </c>
      <c r="D70" s="13" t="s">
        <v>105</v>
      </c>
      <c r="E70" s="15">
        <v>467000</v>
      </c>
      <c r="F70" s="9">
        <v>87000</v>
      </c>
      <c r="G70" s="9"/>
      <c r="H70" s="9"/>
      <c r="I70" s="9">
        <v>50000</v>
      </c>
      <c r="J70" s="9" t="s">
        <v>59</v>
      </c>
      <c r="K70" s="9"/>
      <c r="L7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504000</v>
      </c>
    </row>
    <row r="71" spans="1:12" ht="19" x14ac:dyDescent="0.2">
      <c r="A71" s="61">
        <f>Таблица1345[[#This Row],[Нал]]+Таблица1345[[#This Row],[Терминал]]</f>
        <v>0</v>
      </c>
      <c r="B71" s="58"/>
      <c r="C71" s="49"/>
      <c r="D71" s="13"/>
      <c r="E71" s="15"/>
      <c r="F71" s="9"/>
      <c r="G71" s="9"/>
      <c r="H71" s="9"/>
      <c r="I71" s="9">
        <v>300000</v>
      </c>
      <c r="J71" s="9" t="s">
        <v>256</v>
      </c>
      <c r="K71" s="9"/>
      <c r="L7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-300000</v>
      </c>
    </row>
    <row r="72" spans="1:12" ht="19" x14ac:dyDescent="0.2">
      <c r="A72" s="61">
        <f>Таблица1345[[#This Row],[Нал]]+Таблица1345[[#This Row],[Терминал]]</f>
        <v>0</v>
      </c>
      <c r="B72" s="58"/>
      <c r="C72" s="49"/>
      <c r="D72" s="13"/>
      <c r="E72" s="15"/>
      <c r="F72" s="9"/>
      <c r="G72" s="9"/>
      <c r="H72" s="9"/>
      <c r="I72" s="9">
        <v>70000</v>
      </c>
      <c r="J72" s="9" t="s">
        <v>303</v>
      </c>
      <c r="K72" s="9"/>
      <c r="L7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-70000</v>
      </c>
    </row>
    <row r="73" spans="1:12" ht="19" x14ac:dyDescent="0.2">
      <c r="A73" s="61">
        <f>Таблица1345[[#This Row],[Нал]]+Таблица1345[[#This Row],[Терминал]]</f>
        <v>347000</v>
      </c>
      <c r="B73" s="75"/>
      <c r="C73" s="2" t="s">
        <v>10</v>
      </c>
      <c r="D73" s="13" t="s">
        <v>28</v>
      </c>
      <c r="E73" s="15">
        <v>279000</v>
      </c>
      <c r="F73" s="9">
        <v>68000</v>
      </c>
      <c r="G73" s="9"/>
      <c r="H73" s="9"/>
      <c r="I73" s="9"/>
      <c r="J73" s="9"/>
      <c r="K73" s="9"/>
      <c r="L7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347000</v>
      </c>
    </row>
    <row r="74" spans="1:12" ht="19" x14ac:dyDescent="0.2">
      <c r="A74" s="61">
        <f>Таблица1345[[#This Row],[Нал]]+Таблица1345[[#This Row],[Терминал]]</f>
        <v>477000</v>
      </c>
      <c r="B74" s="58">
        <v>44578</v>
      </c>
      <c r="C74" s="3" t="s">
        <v>9</v>
      </c>
      <c r="D74" s="13" t="s">
        <v>105</v>
      </c>
      <c r="E74" s="9">
        <v>437000</v>
      </c>
      <c r="F74" s="9">
        <v>40000</v>
      </c>
      <c r="G74" s="9"/>
      <c r="H74" s="9"/>
      <c r="I74" s="9">
        <v>37500</v>
      </c>
      <c r="J74" s="9" t="s">
        <v>269</v>
      </c>
      <c r="K74" s="9"/>
      <c r="L7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439500</v>
      </c>
    </row>
    <row r="75" spans="1:12" ht="19" x14ac:dyDescent="0.2">
      <c r="A75" s="61">
        <f>Таблица1345[[#This Row],[Нал]]+Таблица1345[[#This Row],[Терминал]]</f>
        <v>0</v>
      </c>
      <c r="B75" s="58"/>
      <c r="C75" s="49"/>
      <c r="D75" s="13"/>
      <c r="E75" s="15"/>
      <c r="F75" s="9"/>
      <c r="G75" s="9"/>
      <c r="H75" s="9"/>
      <c r="I75" s="9">
        <v>19000</v>
      </c>
      <c r="J75" s="9" t="s">
        <v>268</v>
      </c>
      <c r="K75" s="9"/>
      <c r="L7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-19000</v>
      </c>
    </row>
    <row r="76" spans="1:12" ht="19" x14ac:dyDescent="0.2">
      <c r="A76" s="61">
        <f>Таблица1345[[#This Row],[Нал]]+Таблица1345[[#This Row],[Терминал]]</f>
        <v>0</v>
      </c>
      <c r="B76" s="58"/>
      <c r="C76" s="49"/>
      <c r="D76" s="13"/>
      <c r="E76" s="15"/>
      <c r="F76" s="9"/>
      <c r="G76" s="9"/>
      <c r="H76" s="9"/>
      <c r="I76" s="9">
        <v>60000</v>
      </c>
      <c r="J76" s="9" t="s">
        <v>141</v>
      </c>
      <c r="K76" s="9"/>
      <c r="L7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-60000</v>
      </c>
    </row>
    <row r="77" spans="1:12" ht="19" x14ac:dyDescent="0.2">
      <c r="A77" s="61">
        <f>Таблица1345[[#This Row],[Нал]]+Таблица1345[[#This Row],[Терминал]]</f>
        <v>0</v>
      </c>
      <c r="B77" s="58"/>
      <c r="C77" s="49"/>
      <c r="D77" s="13"/>
      <c r="E77" s="15"/>
      <c r="F77" s="9"/>
      <c r="G77" s="9"/>
      <c r="H77" s="9"/>
      <c r="I77" s="9">
        <v>40000</v>
      </c>
      <c r="J77" s="9" t="s">
        <v>128</v>
      </c>
      <c r="K77" s="9"/>
      <c r="L7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-40000</v>
      </c>
    </row>
    <row r="78" spans="1:12" ht="19" x14ac:dyDescent="0.2">
      <c r="A78" s="61">
        <f>Таблица1345[[#This Row],[Нал]]+Таблица1345[[#This Row],[Терминал]]</f>
        <v>0</v>
      </c>
      <c r="B78" s="58"/>
      <c r="C78" s="49"/>
      <c r="D78" s="13"/>
      <c r="E78" s="15"/>
      <c r="F78" s="9"/>
      <c r="G78" s="9"/>
      <c r="H78" s="9"/>
      <c r="I78" s="9">
        <v>105000</v>
      </c>
      <c r="J78" s="9" t="s">
        <v>153</v>
      </c>
      <c r="K78" s="9">
        <f>SUBTOTAL(109,K80:K206)</f>
        <v>0</v>
      </c>
      <c r="L7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-105000</v>
      </c>
    </row>
    <row r="79" spans="1:12" ht="19" x14ac:dyDescent="0.2">
      <c r="A79" s="61">
        <f>Таблица1345[[#This Row],[Нал]]+Таблица1345[[#This Row],[Терминал]]</f>
        <v>0</v>
      </c>
      <c r="B79" s="58"/>
      <c r="C79" s="49"/>
      <c r="D79" s="13"/>
      <c r="E79" s="15"/>
      <c r="F79" s="9"/>
      <c r="G79" s="9"/>
      <c r="H79" s="9"/>
      <c r="I79" s="9">
        <v>25000</v>
      </c>
      <c r="J79" s="9" t="s">
        <v>304</v>
      </c>
      <c r="K79" s="9">
        <f>SUBTOTAL(109,K81:K207)</f>
        <v>0</v>
      </c>
      <c r="L7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-25000</v>
      </c>
    </row>
    <row r="80" spans="1:12" ht="19" x14ac:dyDescent="0.2">
      <c r="A80" s="61">
        <f>Таблица1345[[#This Row],[Нал]]+Таблица1345[[#This Row],[Терминал]]</f>
        <v>0</v>
      </c>
      <c r="B80" s="58"/>
      <c r="C80" s="49"/>
      <c r="D80" s="13"/>
      <c r="E80" s="15"/>
      <c r="F80" s="9"/>
      <c r="G80" s="9"/>
      <c r="H80" s="9"/>
      <c r="I80" s="9">
        <v>77000</v>
      </c>
      <c r="J80" s="9" t="s">
        <v>305</v>
      </c>
      <c r="K80" s="9">
        <f>SUBTOTAL(109,K82:K206)</f>
        <v>0</v>
      </c>
      <c r="L8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-77000</v>
      </c>
    </row>
    <row r="81" spans="1:12" ht="19" x14ac:dyDescent="0.2">
      <c r="A81" s="61">
        <f>Таблица1345[[#This Row],[Нал]]+Таблица1345[[#This Row],[Терминал]]</f>
        <v>0</v>
      </c>
      <c r="B81" s="58"/>
      <c r="C81" s="49"/>
      <c r="D81" s="13"/>
      <c r="E81" s="15"/>
      <c r="F81" s="9"/>
      <c r="G81" s="9"/>
      <c r="H81" s="9"/>
      <c r="I81" s="9">
        <v>6000</v>
      </c>
      <c r="J81" s="9" t="s">
        <v>306</v>
      </c>
      <c r="K81" s="9">
        <f>SUBTOTAL(109,K83:K207)</f>
        <v>0</v>
      </c>
      <c r="L8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-6000</v>
      </c>
    </row>
    <row r="82" spans="1:12" ht="19" x14ac:dyDescent="0.2">
      <c r="A82" s="61">
        <f>Таблица1345[[#This Row],[Нал]]+Таблица1345[[#This Row],[Терминал]]</f>
        <v>0</v>
      </c>
      <c r="B82" s="58"/>
      <c r="C82" s="49"/>
      <c r="D82" s="13"/>
      <c r="E82" s="15"/>
      <c r="F82" s="9"/>
      <c r="G82" s="9"/>
      <c r="H82" s="9"/>
      <c r="I82" s="9">
        <v>8000</v>
      </c>
      <c r="J82" s="9" t="s">
        <v>307</v>
      </c>
      <c r="K82" s="9"/>
      <c r="L8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-8000</v>
      </c>
    </row>
    <row r="83" spans="1:12" ht="19" x14ac:dyDescent="0.2">
      <c r="A83" s="61">
        <f>Таблица1345[[#This Row],[Нал]]+Таблица1345[[#This Row],[Терминал]]</f>
        <v>0</v>
      </c>
      <c r="B83" s="58"/>
      <c r="C83" s="49"/>
      <c r="D83" s="13"/>
      <c r="E83" s="15"/>
      <c r="F83" s="9"/>
      <c r="G83" s="9"/>
      <c r="H83" s="9"/>
      <c r="I83" s="9"/>
      <c r="J83" s="9"/>
      <c r="K83" s="9"/>
      <c r="L8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84" spans="1:12" ht="19" x14ac:dyDescent="0.2">
      <c r="A84" s="61">
        <f>Таблица1345[[#This Row],[Нал]]+Таблица1345[[#This Row],[Терминал]]</f>
        <v>418000</v>
      </c>
      <c r="B84" s="75"/>
      <c r="C84" s="2" t="s">
        <v>10</v>
      </c>
      <c r="D84" s="13" t="s">
        <v>28</v>
      </c>
      <c r="E84" s="9">
        <v>394000</v>
      </c>
      <c r="F84" s="9">
        <v>24000</v>
      </c>
      <c r="G84" s="9"/>
      <c r="H84" s="9"/>
      <c r="I84" s="9"/>
      <c r="J84" s="9"/>
      <c r="K84" s="9"/>
      <c r="L8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418000</v>
      </c>
    </row>
    <row r="85" spans="1:12" ht="19" x14ac:dyDescent="0.2">
      <c r="A85" s="61">
        <f>Таблица1345[[#This Row],[Нал]]+Таблица1345[[#This Row],[Терминал]]</f>
        <v>0</v>
      </c>
      <c r="B85" s="75"/>
      <c r="C85" s="35"/>
      <c r="D85" s="13"/>
      <c r="E85" s="15"/>
      <c r="F85" s="9"/>
      <c r="G85" s="9"/>
      <c r="H85" s="9"/>
      <c r="I85" s="9"/>
      <c r="J85" s="9"/>
      <c r="K85" s="9"/>
      <c r="L8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86" spans="1:12" ht="19" x14ac:dyDescent="0.2">
      <c r="A86" s="61">
        <f>Таблица1345[[#This Row],[Нал]]+Таблица1345[[#This Row],[Терминал]]</f>
        <v>665000</v>
      </c>
      <c r="B86" s="58">
        <v>44579</v>
      </c>
      <c r="C86" s="3" t="s">
        <v>9</v>
      </c>
      <c r="D86" s="13" t="s">
        <v>105</v>
      </c>
      <c r="E86" s="9">
        <v>651000</v>
      </c>
      <c r="F86" s="9">
        <v>14000</v>
      </c>
      <c r="G86" s="9"/>
      <c r="H86" s="9"/>
      <c r="I86" s="9"/>
      <c r="J86" s="9"/>
      <c r="K86" s="9"/>
      <c r="L8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665000</v>
      </c>
    </row>
    <row r="87" spans="1:12" ht="19" x14ac:dyDescent="0.2">
      <c r="A87" s="61">
        <f>Таблица1345[[#This Row],[Нал]]+Таблица1345[[#This Row],[Терминал]]</f>
        <v>561000</v>
      </c>
      <c r="B87" s="75"/>
      <c r="C87" s="2" t="s">
        <v>10</v>
      </c>
      <c r="D87" s="13" t="s">
        <v>28</v>
      </c>
      <c r="E87" s="9">
        <v>517000</v>
      </c>
      <c r="F87" s="9">
        <v>44000</v>
      </c>
      <c r="G87" s="9"/>
      <c r="H87" s="9"/>
      <c r="I87" s="9"/>
      <c r="J87" s="9"/>
      <c r="K87" s="9"/>
      <c r="L8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561000</v>
      </c>
    </row>
    <row r="88" spans="1:12" ht="19" x14ac:dyDescent="0.2">
      <c r="A88" s="61">
        <v>825000</v>
      </c>
      <c r="B88" s="58">
        <v>44580</v>
      </c>
      <c r="C88" s="3" t="s">
        <v>9</v>
      </c>
      <c r="D88" s="13" t="s">
        <v>105</v>
      </c>
      <c r="E88" s="9">
        <v>795000</v>
      </c>
      <c r="F88" s="9">
        <v>30000</v>
      </c>
      <c r="G88" s="9"/>
      <c r="H88" s="9"/>
      <c r="I88" s="9"/>
      <c r="J88" s="9"/>
      <c r="K88" s="9"/>
      <c r="L8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825000</v>
      </c>
    </row>
    <row r="89" spans="1:12" ht="19" x14ac:dyDescent="0.2">
      <c r="A89" s="61">
        <f>Таблица1345[[#This Row],[Нал]]+Таблица1345[[#This Row],[Терминал]]</f>
        <v>599000</v>
      </c>
      <c r="B89" s="75"/>
      <c r="C89" s="2" t="s">
        <v>10</v>
      </c>
      <c r="D89" s="13" t="s">
        <v>28</v>
      </c>
      <c r="E89" s="9">
        <v>572000</v>
      </c>
      <c r="F89" s="9">
        <v>27000</v>
      </c>
      <c r="G89" s="9"/>
      <c r="H89" s="9"/>
      <c r="I89" s="9"/>
      <c r="J89" s="47"/>
      <c r="K89" s="9"/>
      <c r="L8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599000</v>
      </c>
    </row>
    <row r="90" spans="1:12" ht="19" x14ac:dyDescent="0.2">
      <c r="A90" s="61">
        <f>Таблица1345[[#This Row],[Нал]]+Таблица1345[[#This Row],[Терминал]]</f>
        <v>623000</v>
      </c>
      <c r="B90" s="58">
        <v>44581</v>
      </c>
      <c r="C90" s="3" t="s">
        <v>9</v>
      </c>
      <c r="D90" s="13" t="s">
        <v>105</v>
      </c>
      <c r="E90" s="9">
        <v>589000</v>
      </c>
      <c r="F90" s="9">
        <v>34000</v>
      </c>
      <c r="G90" s="9"/>
      <c r="H90" s="9"/>
      <c r="I90" s="9">
        <v>18500</v>
      </c>
      <c r="J90" s="47" t="s">
        <v>268</v>
      </c>
      <c r="K90" s="9"/>
      <c r="L9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604500</v>
      </c>
    </row>
    <row r="91" spans="1:12" ht="19" x14ac:dyDescent="0.2">
      <c r="A91" s="61">
        <f>Таблица1345[[#This Row],[Нал]]+Таблица1345[[#This Row],[Терминал]]</f>
        <v>0</v>
      </c>
      <c r="B91" s="58"/>
      <c r="C91" s="49"/>
      <c r="D91" s="13"/>
      <c r="E91" s="15"/>
      <c r="F91" s="9"/>
      <c r="G91" s="9"/>
      <c r="H91" s="9"/>
      <c r="I91" s="9">
        <v>24000</v>
      </c>
      <c r="J91" s="47" t="s">
        <v>280</v>
      </c>
      <c r="K91" s="9"/>
      <c r="L9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-24000</v>
      </c>
    </row>
    <row r="92" spans="1:12" ht="19" x14ac:dyDescent="0.2">
      <c r="A92" s="61">
        <f>Таблица1345[[#This Row],[Нал]]+Таблица1345[[#This Row],[Терминал]]</f>
        <v>0</v>
      </c>
      <c r="B92" s="58"/>
      <c r="C92" s="49"/>
      <c r="D92" s="13"/>
      <c r="E92" s="15"/>
      <c r="F92" s="9"/>
      <c r="G92" s="9"/>
      <c r="H92" s="9"/>
      <c r="I92" s="9">
        <v>46500</v>
      </c>
      <c r="J92" s="47" t="s">
        <v>309</v>
      </c>
      <c r="K92" s="9">
        <f>SUBTOTAL(109,K94:K222)</f>
        <v>0</v>
      </c>
      <c r="L9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-46500</v>
      </c>
    </row>
    <row r="93" spans="1:12" ht="19" x14ac:dyDescent="0.2">
      <c r="A93" s="61">
        <f>Таблица1345[[#This Row],[Нал]]+Таблица1345[[#This Row],[Терминал]]</f>
        <v>0</v>
      </c>
      <c r="B93" s="58"/>
      <c r="C93" s="49"/>
      <c r="D93" s="13"/>
      <c r="E93" s="15"/>
      <c r="F93" s="9"/>
      <c r="G93" s="9"/>
      <c r="H93" s="9"/>
      <c r="I93" s="9">
        <v>120000</v>
      </c>
      <c r="J93" s="47" t="s">
        <v>308</v>
      </c>
      <c r="K93" s="9"/>
      <c r="L9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-120000</v>
      </c>
    </row>
    <row r="94" spans="1:12" ht="19" x14ac:dyDescent="0.2">
      <c r="A94" s="61">
        <f>Таблица1345[[#This Row],[Нал]]+Таблица1345[[#This Row],[Терминал]]</f>
        <v>658000</v>
      </c>
      <c r="B94" s="75"/>
      <c r="C94" s="2" t="s">
        <v>10</v>
      </c>
      <c r="D94" s="13" t="s">
        <v>28</v>
      </c>
      <c r="E94" s="9">
        <v>608000</v>
      </c>
      <c r="F94" s="9">
        <v>50000</v>
      </c>
      <c r="G94" s="9"/>
      <c r="H94" s="9"/>
      <c r="I94" s="9"/>
      <c r="J94" s="9"/>
      <c r="K94" s="9"/>
      <c r="L9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658000</v>
      </c>
    </row>
    <row r="95" spans="1:12" ht="19" x14ac:dyDescent="0.2">
      <c r="A95" s="61">
        <f>Таблица1345[[#This Row],[Нал]]+Таблица1345[[#This Row],[Терминал]]</f>
        <v>620000</v>
      </c>
      <c r="B95" s="58">
        <v>44582</v>
      </c>
      <c r="C95" s="3" t="s">
        <v>9</v>
      </c>
      <c r="D95" s="13" t="s">
        <v>105</v>
      </c>
      <c r="E95" s="9">
        <v>424000</v>
      </c>
      <c r="F95" s="9">
        <v>196000</v>
      </c>
      <c r="G95" s="9"/>
      <c r="H95" s="9"/>
      <c r="I95" s="9">
        <v>50000</v>
      </c>
      <c r="J95" s="47" t="s">
        <v>312</v>
      </c>
      <c r="K95" s="9"/>
      <c r="L9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570000</v>
      </c>
    </row>
    <row r="96" spans="1:12" ht="19" x14ac:dyDescent="0.2">
      <c r="A96" s="61">
        <f>Таблица1345[[#This Row],[Нал]]+Таблица1345[[#This Row],[Терминал]]</f>
        <v>319000</v>
      </c>
      <c r="B96" s="75"/>
      <c r="C96" s="2" t="s">
        <v>10</v>
      </c>
      <c r="D96" s="13" t="s">
        <v>28</v>
      </c>
      <c r="E96" s="9">
        <v>319000</v>
      </c>
      <c r="F96" s="9"/>
      <c r="G96" s="9"/>
      <c r="H96" s="9" t="s">
        <v>181</v>
      </c>
      <c r="I96" s="9">
        <v>30000</v>
      </c>
      <c r="J96" s="9" t="s">
        <v>310</v>
      </c>
      <c r="K96" s="9"/>
      <c r="L9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289000</v>
      </c>
    </row>
    <row r="97" spans="1:12" ht="19" x14ac:dyDescent="0.2">
      <c r="A97" s="61">
        <f>Таблица1345[[#This Row],[Нал]]+Таблица1345[[#This Row],[Терминал]]</f>
        <v>0</v>
      </c>
      <c r="B97" s="75"/>
      <c r="C97" s="35"/>
      <c r="D97" s="13"/>
      <c r="E97" s="15"/>
      <c r="F97" s="9"/>
      <c r="G97" s="9"/>
      <c r="H97" s="9"/>
      <c r="I97" s="9">
        <v>12000</v>
      </c>
      <c r="J97" s="9" t="s">
        <v>311</v>
      </c>
      <c r="K97" s="9"/>
      <c r="L9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-12000</v>
      </c>
    </row>
    <row r="98" spans="1:12" ht="19" x14ac:dyDescent="0.2">
      <c r="A98" s="61">
        <f>Таблица1345[[#This Row],[Нал]]+Таблица1345[[#This Row],[Терминал]]</f>
        <v>638000</v>
      </c>
      <c r="B98" s="58">
        <v>44583</v>
      </c>
      <c r="C98" s="3" t="s">
        <v>9</v>
      </c>
      <c r="D98" s="13" t="s">
        <v>105</v>
      </c>
      <c r="E98" s="15">
        <v>638000</v>
      </c>
      <c r="F98" s="9"/>
      <c r="G98" s="9"/>
      <c r="H98" s="9" t="s">
        <v>181</v>
      </c>
      <c r="I98" s="9"/>
      <c r="J98" s="9"/>
      <c r="K98" s="9"/>
      <c r="L9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638000</v>
      </c>
    </row>
    <row r="99" spans="1:12" ht="19" x14ac:dyDescent="0.2">
      <c r="A99" s="61">
        <f>Таблица1345[[#This Row],[Нал]]+Таблица1345[[#This Row],[Терминал]]</f>
        <v>315000</v>
      </c>
      <c r="B99" s="75"/>
      <c r="C99" s="2" t="s">
        <v>10</v>
      </c>
      <c r="D99" s="13" t="s">
        <v>28</v>
      </c>
      <c r="E99" s="15">
        <v>315000</v>
      </c>
      <c r="F99" s="9"/>
      <c r="G99" s="9"/>
      <c r="H99" s="76" t="s">
        <v>313</v>
      </c>
      <c r="I99" s="9">
        <v>50000</v>
      </c>
      <c r="J99" s="47" t="s">
        <v>59</v>
      </c>
      <c r="K99" s="9"/>
      <c r="L9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265000</v>
      </c>
    </row>
    <row r="100" spans="1:12" ht="19" x14ac:dyDescent="0.2">
      <c r="A100" s="61">
        <f>Таблица1345[[#This Row],[Нал]]+Таблица1345[[#This Row],[Терминал]]</f>
        <v>533000</v>
      </c>
      <c r="B100" s="58">
        <v>44584</v>
      </c>
      <c r="C100" s="3" t="s">
        <v>9</v>
      </c>
      <c r="D100" s="13" t="s">
        <v>105</v>
      </c>
      <c r="E100" s="15">
        <v>433000</v>
      </c>
      <c r="F100" s="9">
        <v>100000</v>
      </c>
      <c r="G100" s="9"/>
      <c r="H100" s="9"/>
      <c r="I100" s="9"/>
      <c r="J100" s="9"/>
      <c r="K100" s="9"/>
      <c r="L10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533000</v>
      </c>
    </row>
    <row r="101" spans="1:12" ht="19" x14ac:dyDescent="0.2">
      <c r="A101" s="61">
        <f>Таблица1345[[#This Row],[Нал]]+Таблица1345[[#This Row],[Терминал]]</f>
        <v>502000</v>
      </c>
      <c r="B101" s="75"/>
      <c r="C101" s="2" t="s">
        <v>10</v>
      </c>
      <c r="D101" s="13" t="s">
        <v>28</v>
      </c>
      <c r="E101" s="15">
        <v>472000</v>
      </c>
      <c r="F101" s="9">
        <v>30000</v>
      </c>
      <c r="G101" s="9"/>
      <c r="H101" s="9"/>
      <c r="I101" s="9"/>
      <c r="J101" s="47"/>
      <c r="K101" s="9"/>
      <c r="L10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502000</v>
      </c>
    </row>
    <row r="102" spans="1:12" ht="19" x14ac:dyDescent="0.2">
      <c r="A102" s="61">
        <f>Таблица1345[[#This Row],[Нал]]+Таблица1345[[#This Row],[Терминал]]</f>
        <v>568000</v>
      </c>
      <c r="B102" s="58">
        <v>44585</v>
      </c>
      <c r="C102" s="3" t="s">
        <v>9</v>
      </c>
      <c r="D102" s="13" t="s">
        <v>105</v>
      </c>
      <c r="E102" s="15">
        <v>568000</v>
      </c>
      <c r="F102" s="9"/>
      <c r="G102" s="9"/>
      <c r="H102" s="9" t="s">
        <v>181</v>
      </c>
      <c r="I102" s="9">
        <v>620000</v>
      </c>
      <c r="J102" s="9" t="s">
        <v>266</v>
      </c>
      <c r="K102" s="9"/>
      <c r="L10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-52000</v>
      </c>
    </row>
    <row r="103" spans="1:12" ht="19" x14ac:dyDescent="0.2">
      <c r="A103" s="61">
        <f>Таблица1345[[#This Row],[Нал]]+Таблица1345[[#This Row],[Терминал]]</f>
        <v>0</v>
      </c>
      <c r="B103" s="58"/>
      <c r="C103" s="49"/>
      <c r="D103" s="13"/>
      <c r="E103" s="15"/>
      <c r="F103" s="9"/>
      <c r="G103" s="9"/>
      <c r="H103" s="9"/>
      <c r="I103" s="9">
        <v>48000</v>
      </c>
      <c r="J103" s="9" t="s">
        <v>314</v>
      </c>
      <c r="K103" s="9"/>
      <c r="L10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-48000</v>
      </c>
    </row>
    <row r="104" spans="1:12" ht="19" x14ac:dyDescent="0.2">
      <c r="A104" s="61">
        <f>Таблица1345[[#This Row],[Нал]]+Таблица1345[[#This Row],[Терминал]]</f>
        <v>0</v>
      </c>
      <c r="B104" s="58"/>
      <c r="C104" s="49"/>
      <c r="D104" s="13"/>
      <c r="E104" s="15"/>
      <c r="F104" s="9"/>
      <c r="G104" s="9"/>
      <c r="H104" s="9"/>
      <c r="I104" s="9">
        <v>129000</v>
      </c>
      <c r="J104" s="9" t="s">
        <v>315</v>
      </c>
      <c r="K104" s="9"/>
      <c r="L10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-129000</v>
      </c>
    </row>
    <row r="105" spans="1:12" ht="19" x14ac:dyDescent="0.2">
      <c r="A105" s="61">
        <f>Таблица1345[[#This Row],[Нал]]+Таблица1345[[#This Row],[Терминал]]</f>
        <v>0</v>
      </c>
      <c r="B105" s="58"/>
      <c r="C105" s="49"/>
      <c r="D105" s="13"/>
      <c r="E105" s="15"/>
      <c r="F105" s="9"/>
      <c r="G105" s="9"/>
      <c r="H105" s="9"/>
      <c r="I105" s="9">
        <v>80000</v>
      </c>
      <c r="J105" s="9" t="s">
        <v>316</v>
      </c>
      <c r="K105" s="9"/>
      <c r="L10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-80000</v>
      </c>
    </row>
    <row r="106" spans="1:12" ht="19" x14ac:dyDescent="0.2">
      <c r="A106" s="61">
        <f>Таблица1345[[#This Row],[Нал]]+Таблица1345[[#This Row],[Терминал]]</f>
        <v>492000</v>
      </c>
      <c r="B106" s="75"/>
      <c r="C106" s="2" t="s">
        <v>10</v>
      </c>
      <c r="D106" s="13" t="s">
        <v>28</v>
      </c>
      <c r="E106" s="15">
        <v>462000</v>
      </c>
      <c r="F106" s="9">
        <v>30000</v>
      </c>
      <c r="G106" s="9"/>
      <c r="H106" s="9"/>
      <c r="I106" s="9"/>
      <c r="J106" s="9"/>
      <c r="K106" s="9"/>
      <c r="L10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492000</v>
      </c>
    </row>
    <row r="107" spans="1:12" ht="19" x14ac:dyDescent="0.2">
      <c r="A107" s="61">
        <f>Таблица1345[[#This Row],[Нал]]+Таблица1345[[#This Row],[Терминал]]</f>
        <v>0</v>
      </c>
      <c r="B107" s="58">
        <v>44586</v>
      </c>
      <c r="C107" s="3" t="s">
        <v>9</v>
      </c>
      <c r="D107" s="13" t="s">
        <v>105</v>
      </c>
      <c r="E107" s="15"/>
      <c r="F107" s="9"/>
      <c r="G107" s="9"/>
      <c r="H107" s="9"/>
      <c r="I107" s="9"/>
      <c r="J107" s="9"/>
      <c r="K107" s="9"/>
      <c r="L10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108" spans="1:12" ht="19" x14ac:dyDescent="0.2">
      <c r="A108" s="61">
        <f>Таблица1345[[#This Row],[Нал]]+Таблица1345[[#This Row],[Терминал]]</f>
        <v>643000</v>
      </c>
      <c r="B108" s="75"/>
      <c r="C108" s="2" t="s">
        <v>10</v>
      </c>
      <c r="D108" s="13" t="s">
        <v>28</v>
      </c>
      <c r="E108" s="15">
        <v>625000</v>
      </c>
      <c r="F108" s="9">
        <v>18000</v>
      </c>
      <c r="G108" s="9"/>
      <c r="H108" s="9"/>
      <c r="I108" s="9"/>
      <c r="J108" s="47"/>
      <c r="K108" s="9"/>
      <c r="L10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643000</v>
      </c>
    </row>
    <row r="109" spans="1:12" ht="19" x14ac:dyDescent="0.2">
      <c r="A109" s="61">
        <f>Таблица1345[[#This Row],[Нал]]+Таблица1345[[#This Row],[Терминал]]</f>
        <v>585000</v>
      </c>
      <c r="B109" s="58">
        <v>44587</v>
      </c>
      <c r="C109" s="3" t="s">
        <v>9</v>
      </c>
      <c r="D109" s="13" t="s">
        <v>105</v>
      </c>
      <c r="E109" s="9">
        <v>476000</v>
      </c>
      <c r="F109" s="9">
        <v>109000</v>
      </c>
      <c r="G109" s="9"/>
      <c r="H109" s="9"/>
      <c r="I109" s="9">
        <v>24000</v>
      </c>
      <c r="J109" s="47" t="s">
        <v>280</v>
      </c>
      <c r="K109" s="9"/>
      <c r="L10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561000</v>
      </c>
    </row>
    <row r="110" spans="1:12" ht="19" x14ac:dyDescent="0.2">
      <c r="A110" s="61">
        <f>Таблица1345[[#This Row],[Нал]]+Таблица1345[[#This Row],[Терминал]]</f>
        <v>603000</v>
      </c>
      <c r="B110" s="75"/>
      <c r="C110" s="2" t="s">
        <v>10</v>
      </c>
      <c r="D110" s="13" t="s">
        <v>28</v>
      </c>
      <c r="E110" s="9">
        <v>561000</v>
      </c>
      <c r="F110" s="9">
        <v>42000</v>
      </c>
      <c r="G110" s="9"/>
      <c r="H110" s="9"/>
      <c r="I110" s="9">
        <v>4000</v>
      </c>
      <c r="J110" s="9" t="s">
        <v>220</v>
      </c>
      <c r="K110" s="9"/>
      <c r="L11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599000</v>
      </c>
    </row>
    <row r="111" spans="1:12" ht="19" x14ac:dyDescent="0.2">
      <c r="A111" s="61">
        <f>Таблица1345[[#This Row],[Нал]]+Таблица1345[[#This Row],[Терминал]]</f>
        <v>0</v>
      </c>
      <c r="B111" s="75"/>
      <c r="C111" s="35"/>
      <c r="D111" s="13"/>
      <c r="E111" s="15"/>
      <c r="F111" s="9"/>
      <c r="G111" s="9"/>
      <c r="H111" s="9"/>
      <c r="I111" s="9">
        <v>25000</v>
      </c>
      <c r="J111" s="9" t="s">
        <v>317</v>
      </c>
      <c r="K111" s="9">
        <f>SUBTOTAL(109,K113:K251)</f>
        <v>0</v>
      </c>
      <c r="L11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-25000</v>
      </c>
    </row>
    <row r="112" spans="1:12" ht="19" x14ac:dyDescent="0.2">
      <c r="A112" s="61">
        <f>Таблица1345[[#This Row],[Нал]]+Таблица1345[[#This Row],[Терминал]]</f>
        <v>0</v>
      </c>
      <c r="B112" s="75"/>
      <c r="C112" s="35"/>
      <c r="D112" s="13"/>
      <c r="E112" s="15"/>
      <c r="F112" s="9"/>
      <c r="G112" s="9"/>
      <c r="H112" s="9"/>
      <c r="I112" s="9">
        <v>45000</v>
      </c>
      <c r="J112" s="9" t="s">
        <v>97</v>
      </c>
      <c r="K112" s="9">
        <f>SUBTOTAL(109,K117:K252)</f>
        <v>0</v>
      </c>
      <c r="L11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-45000</v>
      </c>
    </row>
    <row r="113" spans="1:12" ht="19" x14ac:dyDescent="0.2">
      <c r="A113" s="61">
        <f>Таблица1345[[#This Row],[Нал]]+Таблица1345[[#This Row],[Терминал]]</f>
        <v>0</v>
      </c>
      <c r="B113" s="75"/>
      <c r="C113" s="35"/>
      <c r="D113" s="13"/>
      <c r="E113" s="15"/>
      <c r="F113" s="9"/>
      <c r="G113" s="9"/>
      <c r="H113" s="9"/>
      <c r="I113" s="9">
        <v>112000</v>
      </c>
      <c r="J113" s="9" t="s">
        <v>318</v>
      </c>
      <c r="K113" s="9">
        <f>SUBTOTAL(109,K118:K253)</f>
        <v>0</v>
      </c>
      <c r="L11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-112000</v>
      </c>
    </row>
    <row r="114" spans="1:12" ht="19" x14ac:dyDescent="0.2">
      <c r="A114" s="61">
        <f>Таблица1345[[#This Row],[Нал]]+Таблица1345[[#This Row],[Терминал]]</f>
        <v>0</v>
      </c>
      <c r="B114" s="75"/>
      <c r="C114" s="35"/>
      <c r="D114" s="13"/>
      <c r="E114" s="15"/>
      <c r="F114" s="9"/>
      <c r="G114" s="9"/>
      <c r="H114" s="9"/>
      <c r="I114" s="9">
        <v>200000</v>
      </c>
      <c r="J114" s="9" t="s">
        <v>276</v>
      </c>
      <c r="K114" s="9">
        <f>SUBTOTAL(109,K116:K254)</f>
        <v>0</v>
      </c>
      <c r="L11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-200000</v>
      </c>
    </row>
    <row r="115" spans="1:12" ht="19" x14ac:dyDescent="0.2">
      <c r="A115" s="61">
        <f>Таблица1345[[#This Row],[Нал]]+Таблица1345[[#This Row],[Терминал]]</f>
        <v>0</v>
      </c>
      <c r="B115" s="75"/>
      <c r="C115" s="35"/>
      <c r="D115" s="13"/>
      <c r="E115" s="15"/>
      <c r="F115" s="9"/>
      <c r="G115" s="9"/>
      <c r="H115" s="9"/>
      <c r="I115" s="9">
        <v>70000</v>
      </c>
      <c r="J115" s="9" t="s">
        <v>303</v>
      </c>
      <c r="K115" s="9">
        <f>SUBTOTAL(109,K117:K255)</f>
        <v>0</v>
      </c>
      <c r="L11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-70000</v>
      </c>
    </row>
    <row r="116" spans="1:12" ht="19" x14ac:dyDescent="0.2">
      <c r="A116" s="61">
        <f>Таблица1345[[#This Row],[Нал]]+Таблица1345[[#This Row],[Терминал]]</f>
        <v>0</v>
      </c>
      <c r="B116" s="75"/>
      <c r="C116" s="35"/>
      <c r="D116" s="13"/>
      <c r="E116" s="15"/>
      <c r="F116" s="9"/>
      <c r="G116" s="9"/>
      <c r="H116" s="9"/>
      <c r="I116" s="9"/>
      <c r="J116" s="9"/>
      <c r="K116" s="9">
        <f>SUBTOTAL(109,K118:K256)</f>
        <v>0</v>
      </c>
      <c r="L11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117" spans="1:12" ht="19" x14ac:dyDescent="0.2">
      <c r="A117" s="61">
        <f>Таблица1345[[#This Row],[Нал]]+Таблица1345[[#This Row],[Терминал]]</f>
        <v>772000</v>
      </c>
      <c r="B117" s="58">
        <v>44588</v>
      </c>
      <c r="C117" s="3" t="s">
        <v>9</v>
      </c>
      <c r="D117" s="13" t="s">
        <v>105</v>
      </c>
      <c r="E117" s="9">
        <v>693000</v>
      </c>
      <c r="F117" s="9">
        <v>79000</v>
      </c>
      <c r="G117" s="9"/>
      <c r="H117" s="9"/>
      <c r="I117" s="9">
        <v>20000</v>
      </c>
      <c r="J117" s="47" t="s">
        <v>319</v>
      </c>
      <c r="K117" s="9"/>
      <c r="L11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752000</v>
      </c>
    </row>
    <row r="118" spans="1:12" ht="19" x14ac:dyDescent="0.2">
      <c r="A118" s="61">
        <f>Таблица1345[[#This Row],[Нал]]+Таблица1345[[#This Row],[Терминал]]</f>
        <v>531000</v>
      </c>
      <c r="B118" s="75"/>
      <c r="C118" s="2" t="s">
        <v>10</v>
      </c>
      <c r="D118" s="13" t="s">
        <v>28</v>
      </c>
      <c r="E118" s="9">
        <v>531000</v>
      </c>
      <c r="F118" s="9"/>
      <c r="G118" s="9"/>
      <c r="H118" s="9" t="s">
        <v>129</v>
      </c>
      <c r="I118" s="9">
        <v>8000</v>
      </c>
      <c r="J118" s="9" t="s">
        <v>321</v>
      </c>
      <c r="K118" s="9"/>
      <c r="L11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523000</v>
      </c>
    </row>
    <row r="119" spans="1:12" ht="19" x14ac:dyDescent="0.2">
      <c r="A119" s="61">
        <f>Таблица1345[[#This Row],[Нал]]+Таблица1345[[#This Row],[Терминал]]</f>
        <v>1017000</v>
      </c>
      <c r="B119" s="58">
        <v>44589</v>
      </c>
      <c r="C119" s="3" t="s">
        <v>9</v>
      </c>
      <c r="D119" s="13" t="s">
        <v>105</v>
      </c>
      <c r="E119" s="15">
        <v>906000</v>
      </c>
      <c r="F119" s="9">
        <v>111000</v>
      </c>
      <c r="G119" s="9"/>
      <c r="H119" s="9" t="s">
        <v>129</v>
      </c>
      <c r="I119" s="9">
        <v>35500</v>
      </c>
      <c r="J119" s="9" t="s">
        <v>271</v>
      </c>
      <c r="K119" s="9"/>
      <c r="L11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981500</v>
      </c>
    </row>
    <row r="120" spans="1:12" ht="19" x14ac:dyDescent="0.2">
      <c r="A120" s="61">
        <f>Таблица1345[[#This Row],[Нал]]+Таблица1345[[#This Row],[Терминал]]</f>
        <v>0</v>
      </c>
      <c r="B120" s="58"/>
      <c r="C120" s="49"/>
      <c r="D120" s="13"/>
      <c r="E120" s="15"/>
      <c r="F120" s="9"/>
      <c r="G120" s="9"/>
      <c r="H120" s="9"/>
      <c r="I120" s="9">
        <v>620000</v>
      </c>
      <c r="J120" s="9" t="s">
        <v>322</v>
      </c>
      <c r="K120" s="9"/>
      <c r="L12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-620000</v>
      </c>
    </row>
    <row r="121" spans="1:12" ht="19" x14ac:dyDescent="0.2">
      <c r="A121" s="61">
        <f>Таблица1345[[#This Row],[Нал]]+Таблица1345[[#This Row],[Терминал]]</f>
        <v>0</v>
      </c>
      <c r="B121" s="58"/>
      <c r="C121" s="49"/>
      <c r="D121" s="13"/>
      <c r="E121" s="15"/>
      <c r="F121" s="9"/>
      <c r="G121" s="9"/>
      <c r="H121" s="9"/>
      <c r="I121" s="9">
        <v>43500</v>
      </c>
      <c r="J121" s="9" t="s">
        <v>320</v>
      </c>
      <c r="K121" s="9">
        <f>SUBTOTAL(109,K123:K263)</f>
        <v>0</v>
      </c>
      <c r="L12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-43500</v>
      </c>
    </row>
    <row r="122" spans="1:12" ht="19" x14ac:dyDescent="0.2">
      <c r="A122" s="61">
        <f>Таблица1345[[#This Row],[Нал]]+Таблица1345[[#This Row],[Терминал]]</f>
        <v>273000</v>
      </c>
      <c r="B122" s="75"/>
      <c r="C122" s="2" t="s">
        <v>10</v>
      </c>
      <c r="D122" s="13" t="s">
        <v>28</v>
      </c>
      <c r="E122" s="15">
        <v>257000</v>
      </c>
      <c r="F122" s="9">
        <v>16000</v>
      </c>
      <c r="G122" s="9"/>
      <c r="H122" s="9" t="s">
        <v>323</v>
      </c>
      <c r="I122" s="9"/>
      <c r="J122" s="9"/>
      <c r="K122" s="9"/>
      <c r="L12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273000</v>
      </c>
    </row>
    <row r="123" spans="1:12" ht="19" x14ac:dyDescent="0.2">
      <c r="A123" s="61">
        <f>Таблица1345[[#This Row],[Нал]]+Таблица1345[[#This Row],[Терминал]]</f>
        <v>674000</v>
      </c>
      <c r="B123" s="58">
        <v>44590</v>
      </c>
      <c r="C123" s="3" t="s">
        <v>9</v>
      </c>
      <c r="D123" s="13" t="s">
        <v>105</v>
      </c>
      <c r="E123" s="15">
        <v>638000</v>
      </c>
      <c r="F123" s="9">
        <v>36000</v>
      </c>
      <c r="G123" s="9"/>
      <c r="H123" s="9"/>
      <c r="I123" s="9">
        <v>45000</v>
      </c>
      <c r="J123" s="9" t="s">
        <v>97</v>
      </c>
      <c r="K123" s="9"/>
      <c r="L12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629000</v>
      </c>
    </row>
    <row r="124" spans="1:12" ht="19" x14ac:dyDescent="0.2">
      <c r="A124" s="61">
        <f>Таблица1345[[#This Row],[Нал]]+Таблица1345[[#This Row],[Терминал]]</f>
        <v>0</v>
      </c>
      <c r="B124" s="58"/>
      <c r="C124" s="49"/>
      <c r="D124" s="13"/>
      <c r="E124" s="15"/>
      <c r="F124" s="9"/>
      <c r="G124" s="9"/>
      <c r="H124" s="9"/>
      <c r="I124" s="9">
        <v>59500</v>
      </c>
      <c r="J124" s="9" t="s">
        <v>324</v>
      </c>
      <c r="K124" s="9">
        <f>SUBTOTAL(109,K126:K246)</f>
        <v>0</v>
      </c>
      <c r="L12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-59500</v>
      </c>
    </row>
    <row r="125" spans="1:12" ht="19" x14ac:dyDescent="0.2">
      <c r="A125" s="61">
        <f>Таблица1345[[#This Row],[Нал]]+Таблица1345[[#This Row],[Терминал]]</f>
        <v>0</v>
      </c>
      <c r="B125" s="58"/>
      <c r="C125" s="49"/>
      <c r="D125" s="13"/>
      <c r="E125" s="15"/>
      <c r="F125" s="9"/>
      <c r="G125" s="9"/>
      <c r="H125" s="9"/>
      <c r="I125" s="9">
        <v>63000</v>
      </c>
      <c r="J125" s="9" t="s">
        <v>325</v>
      </c>
      <c r="K125" s="9">
        <f>SUBTOTAL(109,K127:K247)</f>
        <v>0</v>
      </c>
      <c r="L12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-63000</v>
      </c>
    </row>
    <row r="126" spans="1:12" ht="19" x14ac:dyDescent="0.2">
      <c r="A126" s="61">
        <f>Таблица1345[[#This Row],[Нал]]+Таблица1345[[#This Row],[Терминал]]</f>
        <v>0</v>
      </c>
      <c r="B126" s="58"/>
      <c r="C126" s="49"/>
      <c r="D126" s="13"/>
      <c r="E126" s="15"/>
      <c r="F126" s="9"/>
      <c r="G126" s="9"/>
      <c r="H126" s="9"/>
      <c r="I126" s="9">
        <v>24000</v>
      </c>
      <c r="J126" s="9" t="s">
        <v>280</v>
      </c>
      <c r="K126" s="9"/>
      <c r="L126" s="9"/>
    </row>
    <row r="127" spans="1:12" ht="19" x14ac:dyDescent="0.2">
      <c r="A127" s="61">
        <f>Таблица1345[[#This Row],[Нал]]+Таблица1345[[#This Row],[Терминал]]</f>
        <v>0</v>
      </c>
      <c r="B127" s="58"/>
      <c r="C127" s="49"/>
      <c r="D127" s="13"/>
      <c r="E127" s="15"/>
      <c r="F127" s="9"/>
      <c r="G127" s="9"/>
      <c r="H127" s="9"/>
      <c r="I127" s="9"/>
      <c r="J127" s="9"/>
      <c r="K127" s="9"/>
      <c r="L127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128" spans="1:12" ht="32" x14ac:dyDescent="0.2">
      <c r="A128" s="61">
        <f>Таблица1345[[#This Row],[Нал]]+Таблица1345[[#This Row],[Терминал]]</f>
        <v>319000</v>
      </c>
      <c r="B128" s="75"/>
      <c r="C128" s="2" t="s">
        <v>10</v>
      </c>
      <c r="D128" s="13" t="s">
        <v>28</v>
      </c>
      <c r="E128" s="15">
        <v>297000</v>
      </c>
      <c r="F128" s="9">
        <v>22000</v>
      </c>
      <c r="G128" s="9">
        <v>1582000</v>
      </c>
      <c r="H128" s="47" t="s">
        <v>327</v>
      </c>
      <c r="I128" s="9"/>
      <c r="J128" s="9"/>
      <c r="K128" s="9"/>
      <c r="L128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-1263000</v>
      </c>
    </row>
    <row r="129" spans="1:12" ht="19" x14ac:dyDescent="0.2">
      <c r="A129" s="61">
        <f>Таблица1345[[#This Row],[Нал]]+Таблица1345[[#This Row],[Терминал]]</f>
        <v>485000</v>
      </c>
      <c r="B129" s="58">
        <v>44591</v>
      </c>
      <c r="C129" s="3" t="s">
        <v>9</v>
      </c>
      <c r="D129" s="13" t="s">
        <v>105</v>
      </c>
      <c r="E129" s="9">
        <v>442000</v>
      </c>
      <c r="F129" s="9">
        <v>43000</v>
      </c>
      <c r="G129" s="9"/>
      <c r="H129" s="9"/>
      <c r="I129" s="9">
        <v>50000</v>
      </c>
      <c r="J129" s="9" t="s">
        <v>59</v>
      </c>
      <c r="K129" s="9"/>
      <c r="L129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435000</v>
      </c>
    </row>
    <row r="130" spans="1:12" ht="19" x14ac:dyDescent="0.2">
      <c r="A130" s="61">
        <f>Таблица1345[[#This Row],[Нал]]+Таблица1345[[#This Row],[Терминал]]</f>
        <v>398000</v>
      </c>
      <c r="B130" s="75"/>
      <c r="C130" s="2" t="s">
        <v>10</v>
      </c>
      <c r="D130" s="13" t="s">
        <v>28</v>
      </c>
      <c r="E130" s="9">
        <v>337000</v>
      </c>
      <c r="F130" s="9">
        <v>61000</v>
      </c>
      <c r="G130" s="9"/>
      <c r="H130" s="9" t="s">
        <v>332</v>
      </c>
      <c r="I130" s="9"/>
      <c r="J130" s="9"/>
      <c r="K130" s="9"/>
      <c r="L130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398000</v>
      </c>
    </row>
    <row r="131" spans="1:12" ht="19" x14ac:dyDescent="0.2">
      <c r="A131" s="61">
        <f>Таблица1345[[#This Row],[Нал]]+Таблица1345[[#This Row],[Терминал]]</f>
        <v>0</v>
      </c>
      <c r="B131" s="58">
        <v>44592</v>
      </c>
      <c r="C131" s="3" t="s">
        <v>9</v>
      </c>
      <c r="D131" s="13" t="s">
        <v>105</v>
      </c>
      <c r="E131" s="15"/>
      <c r="F131" s="9"/>
      <c r="G131" s="9">
        <v>2609000</v>
      </c>
      <c r="H131" s="9" t="s">
        <v>326</v>
      </c>
      <c r="I131" s="9"/>
      <c r="J131" s="9"/>
      <c r="K131" s="9"/>
      <c r="L131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-2609000</v>
      </c>
    </row>
    <row r="132" spans="1:12" ht="19" x14ac:dyDescent="0.2">
      <c r="A132" s="61">
        <f>Таблица1345[[#This Row],[Нал]]+Таблица1345[[#This Row],[Терминал]]</f>
        <v>0</v>
      </c>
      <c r="B132" s="58"/>
      <c r="C132" s="49"/>
      <c r="D132" s="13"/>
      <c r="E132" s="15"/>
      <c r="F132" s="9"/>
      <c r="G132" s="9">
        <v>1920000</v>
      </c>
      <c r="H132" s="9" t="s">
        <v>328</v>
      </c>
      <c r="I132" s="9">
        <f>SUBTOTAL(109,I131)</f>
        <v>0</v>
      </c>
      <c r="J132" s="9"/>
      <c r="K132" s="9">
        <f>SUBTOTAL(109,K135:K253)</f>
        <v>0</v>
      </c>
      <c r="L132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-1920000</v>
      </c>
    </row>
    <row r="133" spans="1:12" ht="32" x14ac:dyDescent="0.2">
      <c r="A133" s="61">
        <v>1094000</v>
      </c>
      <c r="B133" s="75"/>
      <c r="C133" s="2" t="s">
        <v>10</v>
      </c>
      <c r="D133" s="13" t="s">
        <v>105</v>
      </c>
      <c r="E133" s="15">
        <v>1049000</v>
      </c>
      <c r="F133" s="9">
        <v>45000</v>
      </c>
      <c r="G133" s="9">
        <v>1920000</v>
      </c>
      <c r="H133" s="47" t="s">
        <v>329</v>
      </c>
      <c r="I133" s="9"/>
      <c r="J133" s="9"/>
      <c r="K133" s="9"/>
      <c r="L133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-826000</v>
      </c>
    </row>
    <row r="134" spans="1:12" ht="19" x14ac:dyDescent="0.2">
      <c r="A134" s="61"/>
      <c r="B134" s="75"/>
      <c r="C134" s="35"/>
      <c r="D134" s="13"/>
      <c r="E134" s="15"/>
      <c r="F134" s="9"/>
      <c r="G134" s="9"/>
      <c r="H134" s="47" t="s">
        <v>333</v>
      </c>
      <c r="I134" s="9">
        <f>SUBTOTAL(109,I133)</f>
        <v>0</v>
      </c>
      <c r="J134" s="9"/>
      <c r="K134" s="9">
        <f>SUBTOTAL(109,K136:K254)</f>
        <v>0</v>
      </c>
      <c r="L134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0</v>
      </c>
    </row>
    <row r="135" spans="1:12" ht="19" x14ac:dyDescent="0.2">
      <c r="A135" s="61">
        <f>Таблица1345[[#This Row],[Нал]]+Таблица1345[[#This Row],[Терминал]]</f>
        <v>0</v>
      </c>
      <c r="B135" s="75"/>
      <c r="C135" s="35"/>
      <c r="D135" s="13"/>
      <c r="E135" s="15"/>
      <c r="F135" s="9"/>
      <c r="G135" s="9">
        <v>1470000</v>
      </c>
      <c r="H135" s="9" t="s">
        <v>331</v>
      </c>
      <c r="I135" s="9"/>
      <c r="J135" s="9"/>
      <c r="K135" s="9"/>
      <c r="L135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-1470000</v>
      </c>
    </row>
    <row r="136" spans="1:12" ht="19" x14ac:dyDescent="0.2">
      <c r="A136" s="61">
        <f>Таблица1345[[#This Row],[Нал]]+Таблица1345[[#This Row],[Терминал]]</f>
        <v>0</v>
      </c>
      <c r="B136" s="75"/>
      <c r="C136" s="35"/>
      <c r="D136" s="13" t="s">
        <v>171</v>
      </c>
      <c r="E136" s="15"/>
      <c r="F136" s="9"/>
      <c r="G136" s="9">
        <v>1000000</v>
      </c>
      <c r="H136" s="9" t="s">
        <v>330</v>
      </c>
      <c r="I136" s="9"/>
      <c r="J136" s="9"/>
      <c r="K136" s="9"/>
      <c r="L136" s="9">
        <f>Таблица1345[[#This Row],[Нал]]+Таблица1345[[#This Row],[Терминал]]-Таблица1345[[#This Row],[Расход]]-Таблица1345[[#This Row],[Закуп]]-Таблица1345[[#This Row],[Расход со счета]]</f>
        <v>-1000000</v>
      </c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N141"/>
  <sheetViews>
    <sheetView zoomScale="80" zoomScaleNormal="80" workbookViewId="0">
      <selection activeCell="R31" sqref="R31"/>
    </sheetView>
  </sheetViews>
  <sheetFormatPr baseColWidth="10" defaultColWidth="8.83203125" defaultRowHeight="15" x14ac:dyDescent="0.2"/>
  <cols>
    <col min="1" max="1" width="23.5" bestFit="1" customWidth="1"/>
    <col min="2" max="2" width="10.6640625" customWidth="1"/>
    <col min="3" max="3" width="13.83203125" bestFit="1" customWidth="1"/>
    <col min="4" max="4" width="10.83203125" bestFit="1" customWidth="1"/>
    <col min="5" max="5" width="26.83203125" customWidth="1"/>
    <col min="6" max="6" width="23.83203125" customWidth="1"/>
    <col min="7" max="7" width="22" customWidth="1"/>
    <col min="8" max="8" width="36.33203125" customWidth="1"/>
    <col min="9" max="9" width="22.83203125" bestFit="1" customWidth="1"/>
    <col min="10" max="10" width="31.83203125" bestFit="1" customWidth="1"/>
    <col min="11" max="11" width="18.5" bestFit="1" customWidth="1"/>
    <col min="12" max="12" width="23.6640625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0.20643215497491518</v>
      </c>
      <c r="L3">
        <v>4232700</v>
      </c>
    </row>
    <row r="4" spans="1:14" ht="21" x14ac:dyDescent="0.2">
      <c r="F4" s="304" t="s">
        <v>298</v>
      </c>
      <c r="G4" s="305"/>
      <c r="H4" s="71" t="s">
        <v>175</v>
      </c>
      <c r="I4" s="71">
        <v>2962000</v>
      </c>
      <c r="J4" s="72">
        <f>I4/10820</f>
        <v>273.75231053604438</v>
      </c>
    </row>
    <row r="5" spans="1:14" ht="21" x14ac:dyDescent="0.2">
      <c r="G5" s="73"/>
      <c r="H5" s="71" t="s">
        <v>176</v>
      </c>
      <c r="I5" s="71">
        <v>1270000</v>
      </c>
      <c r="J5" s="72">
        <f>I5/10820</f>
        <v>117.37523105360444</v>
      </c>
    </row>
    <row r="6" spans="1:14" ht="21" x14ac:dyDescent="0.2">
      <c r="G6" s="73"/>
      <c r="H6" s="71" t="s">
        <v>178</v>
      </c>
      <c r="I6" s="71">
        <v>5013946</v>
      </c>
      <c r="J6" s="72"/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SUM(A11:A139)</f>
        <v>34483000</v>
      </c>
      <c r="B10" s="65"/>
      <c r="C10" s="66" t="s">
        <v>13</v>
      </c>
      <c r="D10" s="67"/>
      <c r="E10" s="68">
        <f>SUM(E11:E139)</f>
        <v>29903000</v>
      </c>
      <c r="F10" s="69">
        <f>SUM(F11:F139)</f>
        <v>4580000</v>
      </c>
      <c r="G10" s="69">
        <f>SUM(G11:G139)</f>
        <v>16812800</v>
      </c>
      <c r="H10" s="69"/>
      <c r="I10" s="69">
        <f>SUM(I11:I139)</f>
        <v>8857500</v>
      </c>
      <c r="J10" s="69"/>
      <c r="K10" s="69">
        <f>SUBTOTAL(109,K11:K134)</f>
        <v>0</v>
      </c>
      <c r="L10" s="69">
        <v>7118400</v>
      </c>
      <c r="M10" s="8"/>
      <c r="N10" s="8"/>
    </row>
    <row r="11" spans="1:14" ht="19" x14ac:dyDescent="0.2">
      <c r="A11" s="61">
        <v>969000</v>
      </c>
      <c r="B11" s="58">
        <v>44593</v>
      </c>
      <c r="C11" s="3" t="s">
        <v>340</v>
      </c>
      <c r="D11" s="13" t="s">
        <v>28</v>
      </c>
      <c r="E11" s="9">
        <v>969000</v>
      </c>
      <c r="F11" s="9"/>
      <c r="G11" s="9"/>
      <c r="H11" s="9"/>
      <c r="I11" s="9">
        <v>30000</v>
      </c>
      <c r="J11" s="9" t="s">
        <v>317</v>
      </c>
      <c r="K11" s="9"/>
      <c r="L11" s="44">
        <f>Таблица13456[[#This Row],[Нал]]+Таблица13456[[#This Row],[Терминал]]-Таблица13456[[#This Row],[Расход]]-Таблица13456[[#This Row],[Закуп]]</f>
        <v>939000</v>
      </c>
      <c r="M11" s="9"/>
      <c r="N11" s="9"/>
    </row>
    <row r="12" spans="1:14" ht="19" x14ac:dyDescent="0.2">
      <c r="A12" s="61"/>
      <c r="B12" s="75"/>
      <c r="C12" s="2"/>
      <c r="D12" s="13"/>
      <c r="E12" s="9"/>
      <c r="F12" s="9"/>
      <c r="G12" s="9"/>
      <c r="H12" s="9"/>
      <c r="I12" s="9">
        <v>56000</v>
      </c>
      <c r="J12" s="9" t="s">
        <v>334</v>
      </c>
      <c r="K12" s="9"/>
      <c r="L12" s="44">
        <f>Таблица13456[[#This Row],[Нал]]+Таблица13456[[#This Row],[Терминал]]-Таблица13456[[#This Row],[Расход]]-Таблица13456[[#This Row],[Закуп]]</f>
        <v>-56000</v>
      </c>
      <c r="M12" s="9"/>
      <c r="N12" s="9"/>
    </row>
    <row r="13" spans="1:14" ht="19" x14ac:dyDescent="0.2">
      <c r="A13" s="74"/>
      <c r="B13" s="75"/>
      <c r="C13" s="35"/>
      <c r="D13" s="13"/>
      <c r="E13" s="15"/>
      <c r="F13" s="9"/>
      <c r="G13" s="9"/>
      <c r="H13" s="9"/>
      <c r="I13" s="9">
        <v>120000</v>
      </c>
      <c r="J13" s="9" t="s">
        <v>153</v>
      </c>
      <c r="K13" s="9"/>
      <c r="L1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-120000</v>
      </c>
      <c r="M13" s="9"/>
      <c r="N13" s="9"/>
    </row>
    <row r="14" spans="1:14" ht="19" x14ac:dyDescent="0.2">
      <c r="A14" s="74"/>
      <c r="B14" s="75"/>
      <c r="C14" s="35"/>
      <c r="D14" s="13"/>
      <c r="E14" s="15"/>
      <c r="F14" s="9"/>
      <c r="G14" s="9"/>
      <c r="H14" s="9"/>
      <c r="I14" s="9">
        <v>53000</v>
      </c>
      <c r="J14" s="9" t="s">
        <v>335</v>
      </c>
      <c r="K14" s="9"/>
      <c r="L1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-53000</v>
      </c>
      <c r="M14" s="9"/>
      <c r="N14" s="9"/>
    </row>
    <row r="15" spans="1:14" ht="19" x14ac:dyDescent="0.2">
      <c r="A15" s="61"/>
      <c r="B15" s="75"/>
      <c r="C15" s="35"/>
      <c r="D15" s="13"/>
      <c r="E15" s="15"/>
      <c r="F15" s="9"/>
      <c r="G15" s="9"/>
      <c r="H15" s="9"/>
      <c r="I15" s="9">
        <v>5000</v>
      </c>
      <c r="J15" s="9" t="s">
        <v>336</v>
      </c>
      <c r="K15" s="9"/>
      <c r="L1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-5000</v>
      </c>
      <c r="M15" s="9"/>
      <c r="N15" s="9"/>
    </row>
    <row r="16" spans="1:14" ht="19" x14ac:dyDescent="0.2">
      <c r="A16" s="61"/>
      <c r="B16" s="75"/>
      <c r="C16" s="35"/>
      <c r="D16" s="13"/>
      <c r="E16" s="15"/>
      <c r="F16" s="9"/>
      <c r="G16" s="9"/>
      <c r="H16" s="9"/>
      <c r="I16" s="9">
        <v>60000</v>
      </c>
      <c r="J16" s="47" t="s">
        <v>337</v>
      </c>
      <c r="K16" s="9"/>
      <c r="L1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-60000</v>
      </c>
      <c r="M16" s="9"/>
      <c r="N16" s="9"/>
    </row>
    <row r="17" spans="1:14" ht="19" x14ac:dyDescent="0.2">
      <c r="A17" s="61">
        <v>604000</v>
      </c>
      <c r="B17" s="58">
        <v>44594</v>
      </c>
      <c r="C17" s="3" t="s">
        <v>9</v>
      </c>
      <c r="D17" s="13" t="s">
        <v>105</v>
      </c>
      <c r="E17" s="9">
        <v>468000</v>
      </c>
      <c r="F17" s="9">
        <v>136000</v>
      </c>
      <c r="G17" s="9"/>
      <c r="H17" s="9" t="s">
        <v>341</v>
      </c>
      <c r="I17" s="9">
        <v>850000</v>
      </c>
      <c r="J17" s="9" t="s">
        <v>338</v>
      </c>
      <c r="K17" s="9"/>
      <c r="L1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-246000</v>
      </c>
      <c r="M17" s="9"/>
      <c r="N17" s="9"/>
    </row>
    <row r="18" spans="1:14" ht="19" x14ac:dyDescent="0.2">
      <c r="A18" s="61"/>
      <c r="B18" s="58"/>
      <c r="C18" s="49"/>
      <c r="D18" s="13"/>
      <c r="E18" s="15"/>
      <c r="F18" s="9"/>
      <c r="G18" s="9"/>
      <c r="H18" s="9"/>
      <c r="I18" s="9">
        <v>240000</v>
      </c>
      <c r="J18" s="9" t="s">
        <v>339</v>
      </c>
      <c r="K18" s="9"/>
      <c r="L1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-240000</v>
      </c>
      <c r="M18" s="9"/>
      <c r="N18" s="9"/>
    </row>
    <row r="19" spans="1:14" ht="19" x14ac:dyDescent="0.2">
      <c r="A19" s="61"/>
      <c r="B19" s="58"/>
      <c r="C19" s="49"/>
      <c r="D19" s="13"/>
      <c r="E19" s="15"/>
      <c r="F19" s="9"/>
      <c r="G19" s="9"/>
      <c r="H19" s="9"/>
      <c r="I19" s="9"/>
      <c r="J19" s="9"/>
      <c r="K19" s="9"/>
      <c r="L1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9" s="9"/>
      <c r="N19" s="9"/>
    </row>
    <row r="20" spans="1:14" ht="19" x14ac:dyDescent="0.2">
      <c r="A20" s="61">
        <v>740000</v>
      </c>
      <c r="B20" s="75"/>
      <c r="C20" s="2" t="s">
        <v>10</v>
      </c>
      <c r="D20" s="13" t="s">
        <v>28</v>
      </c>
      <c r="E20" s="9">
        <v>658000</v>
      </c>
      <c r="F20" s="9">
        <v>82000</v>
      </c>
      <c r="G20" s="9"/>
      <c r="H20" s="9"/>
      <c r="I20" s="9"/>
      <c r="J20" s="47"/>
      <c r="K20" s="9"/>
      <c r="L2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740000</v>
      </c>
      <c r="M20" s="9"/>
      <c r="N20" s="9"/>
    </row>
    <row r="21" spans="1:14" ht="19" x14ac:dyDescent="0.2">
      <c r="A21" s="61">
        <v>524000</v>
      </c>
      <c r="B21" s="58">
        <v>44595</v>
      </c>
      <c r="C21" s="3" t="s">
        <v>9</v>
      </c>
      <c r="D21" s="13" t="s">
        <v>105</v>
      </c>
      <c r="E21" s="9">
        <v>426000</v>
      </c>
      <c r="F21" s="9">
        <v>98000</v>
      </c>
      <c r="G21" s="9"/>
      <c r="H21" s="9"/>
      <c r="I21" s="9"/>
      <c r="J21" s="9"/>
      <c r="K21" s="9"/>
      <c r="L2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524000</v>
      </c>
      <c r="M21" s="9"/>
      <c r="N21" s="9"/>
    </row>
    <row r="22" spans="1:14" ht="19" x14ac:dyDescent="0.2">
      <c r="A22" s="61">
        <v>279000</v>
      </c>
      <c r="B22" s="75"/>
      <c r="C22" s="2" t="s">
        <v>10</v>
      </c>
      <c r="D22" s="13" t="s">
        <v>28</v>
      </c>
      <c r="E22" s="9">
        <v>263000</v>
      </c>
      <c r="F22" s="9">
        <v>16000</v>
      </c>
      <c r="G22" s="9"/>
      <c r="H22" s="9"/>
      <c r="I22" s="9"/>
      <c r="J22" s="9"/>
      <c r="K22" s="9"/>
      <c r="L2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279000</v>
      </c>
      <c r="M22" s="9"/>
      <c r="N22" s="9"/>
    </row>
    <row r="23" spans="1:14" ht="19" x14ac:dyDescent="0.2">
      <c r="A23" s="61">
        <v>1042000</v>
      </c>
      <c r="B23" s="58">
        <v>44596</v>
      </c>
      <c r="C23" s="3" t="s">
        <v>9</v>
      </c>
      <c r="D23" s="13" t="s">
        <v>105</v>
      </c>
      <c r="E23" s="9">
        <v>798000</v>
      </c>
      <c r="F23" s="9">
        <v>244000</v>
      </c>
      <c r="G23" s="9"/>
      <c r="H23" s="9" t="s">
        <v>341</v>
      </c>
      <c r="I23" s="9">
        <v>620000</v>
      </c>
      <c r="J23" s="9" t="s">
        <v>266</v>
      </c>
      <c r="K23" s="9"/>
      <c r="L2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422000</v>
      </c>
      <c r="M23" s="9"/>
      <c r="N23" s="9"/>
    </row>
    <row r="24" spans="1:14" ht="19" x14ac:dyDescent="0.2">
      <c r="A24" s="61"/>
      <c r="B24" s="58"/>
      <c r="C24" s="49"/>
      <c r="D24" s="13"/>
      <c r="E24" s="15"/>
      <c r="F24" s="9"/>
      <c r="G24" s="9"/>
      <c r="H24" s="9"/>
      <c r="I24" s="9">
        <v>90000</v>
      </c>
      <c r="J24" s="9" t="s">
        <v>342</v>
      </c>
      <c r="K24" s="9"/>
      <c r="L2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-90000</v>
      </c>
      <c r="M24" s="9"/>
      <c r="N24" s="9"/>
    </row>
    <row r="25" spans="1:14" ht="19" x14ac:dyDescent="0.2">
      <c r="A25" s="61"/>
      <c r="B25" s="75"/>
      <c r="C25" s="2" t="s">
        <v>10</v>
      </c>
      <c r="D25" s="13" t="s">
        <v>105</v>
      </c>
      <c r="E25" s="9"/>
      <c r="F25" s="9"/>
      <c r="G25" s="9"/>
      <c r="H25" s="9"/>
      <c r="I25" s="9"/>
      <c r="J25" s="9"/>
      <c r="K25" s="9"/>
      <c r="L2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25" s="9"/>
      <c r="N25" s="9"/>
    </row>
    <row r="26" spans="1:14" ht="19" x14ac:dyDescent="0.2">
      <c r="A26" s="74">
        <v>614000</v>
      </c>
      <c r="B26" s="32">
        <v>44597</v>
      </c>
      <c r="C26" s="3" t="s">
        <v>9</v>
      </c>
      <c r="D26" s="13" t="s">
        <v>105</v>
      </c>
      <c r="E26" s="9">
        <v>614000</v>
      </c>
      <c r="F26" s="9"/>
      <c r="G26" s="9"/>
      <c r="H26" s="9"/>
      <c r="I26" s="9">
        <v>440000</v>
      </c>
      <c r="J26" s="9" t="s">
        <v>343</v>
      </c>
      <c r="K26" s="9"/>
      <c r="L2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174000</v>
      </c>
      <c r="M26" s="9"/>
      <c r="N26" s="9"/>
    </row>
    <row r="27" spans="1:14" ht="32" x14ac:dyDescent="0.2">
      <c r="A27" s="74"/>
      <c r="B27" s="32"/>
      <c r="C27" s="49"/>
      <c r="D27" s="13"/>
      <c r="E27" s="15"/>
      <c r="F27" s="9"/>
      <c r="G27" s="9"/>
      <c r="H27" s="9"/>
      <c r="I27" s="9">
        <v>50000</v>
      </c>
      <c r="J27" s="47" t="s">
        <v>225</v>
      </c>
      <c r="K27" s="9"/>
      <c r="L2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-50000</v>
      </c>
      <c r="M27" s="9"/>
      <c r="N27" s="9"/>
    </row>
    <row r="28" spans="1:14" ht="32" x14ac:dyDescent="0.2">
      <c r="A28" s="74"/>
      <c r="B28" s="32"/>
      <c r="C28" s="49"/>
      <c r="D28" s="13"/>
      <c r="E28" s="15"/>
      <c r="F28" s="9"/>
      <c r="G28" s="9">
        <v>390000</v>
      </c>
      <c r="H28" s="47" t="s">
        <v>399</v>
      </c>
      <c r="I28" s="9"/>
      <c r="J28" s="9"/>
      <c r="K28" s="9"/>
      <c r="L2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-390000</v>
      </c>
      <c r="M28" s="9"/>
      <c r="N28" s="9"/>
    </row>
    <row r="29" spans="1:14" ht="19" x14ac:dyDescent="0.2">
      <c r="A29" s="74"/>
      <c r="B29" s="32"/>
      <c r="C29" s="49"/>
      <c r="D29" s="13"/>
      <c r="E29" s="15"/>
      <c r="F29" s="9"/>
      <c r="G29" s="9"/>
      <c r="H29" s="47"/>
      <c r="I29" s="9"/>
      <c r="J29" s="9"/>
      <c r="K29" s="9"/>
      <c r="L2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29" s="9"/>
      <c r="N29" s="9"/>
    </row>
    <row r="30" spans="1:14" ht="19" x14ac:dyDescent="0.2">
      <c r="A30" s="61"/>
      <c r="B30" s="58"/>
      <c r="C30" s="49"/>
      <c r="D30" s="13"/>
      <c r="E30" s="15"/>
      <c r="F30" s="9"/>
      <c r="G30" s="9"/>
      <c r="H30" s="47"/>
      <c r="I30" s="9"/>
      <c r="J30" s="9"/>
      <c r="K30" s="9"/>
      <c r="L3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30" s="9"/>
      <c r="N30" s="9"/>
    </row>
    <row r="31" spans="1:14" ht="19" x14ac:dyDescent="0.2">
      <c r="A31" s="61"/>
      <c r="B31" s="58"/>
      <c r="C31" s="49"/>
      <c r="D31" s="13"/>
      <c r="E31" s="15"/>
      <c r="F31" s="9"/>
      <c r="G31" s="9"/>
      <c r="H31" s="9"/>
      <c r="I31" s="9"/>
      <c r="J31" s="9"/>
      <c r="K31" s="9"/>
      <c r="L3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31" s="9"/>
      <c r="N31" s="9"/>
    </row>
    <row r="32" spans="1:14" ht="19" x14ac:dyDescent="0.2">
      <c r="A32" s="61">
        <v>529000</v>
      </c>
      <c r="B32" s="75"/>
      <c r="C32" s="2" t="s">
        <v>10</v>
      </c>
      <c r="D32" s="13" t="s">
        <v>28</v>
      </c>
      <c r="E32" s="9">
        <v>499000</v>
      </c>
      <c r="F32" s="9">
        <v>30000</v>
      </c>
      <c r="G32" s="9"/>
      <c r="H32" s="9"/>
      <c r="I32" s="9"/>
      <c r="J32" s="9"/>
      <c r="K32" s="9"/>
      <c r="L3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529000</v>
      </c>
      <c r="M32" s="9"/>
      <c r="N32" s="9"/>
    </row>
    <row r="33" spans="1:14" ht="19" x14ac:dyDescent="0.2">
      <c r="A33" s="61">
        <v>754000</v>
      </c>
      <c r="B33" s="58">
        <v>44598</v>
      </c>
      <c r="C33" s="3" t="s">
        <v>9</v>
      </c>
      <c r="D33" s="13" t="s">
        <v>105</v>
      </c>
      <c r="E33" s="9">
        <v>576000</v>
      </c>
      <c r="F33" s="9">
        <v>178000</v>
      </c>
      <c r="G33" s="9"/>
      <c r="H33" s="9"/>
      <c r="I33" s="9">
        <v>50000</v>
      </c>
      <c r="J33" s="47" t="s">
        <v>123</v>
      </c>
      <c r="K33" s="9"/>
      <c r="L3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704000</v>
      </c>
      <c r="M33" s="9"/>
      <c r="N33" s="9"/>
    </row>
    <row r="34" spans="1:14" ht="19" x14ac:dyDescent="0.2">
      <c r="A34" s="61"/>
      <c r="B34" s="58"/>
      <c r="C34" s="49"/>
      <c r="D34" s="13"/>
      <c r="E34" s="15"/>
      <c r="F34" s="9"/>
      <c r="G34" s="9"/>
      <c r="H34" s="9"/>
      <c r="I34" s="9"/>
      <c r="J34" s="47"/>
      <c r="K34" s="9"/>
      <c r="L3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34" s="9"/>
      <c r="N34" s="9"/>
    </row>
    <row r="35" spans="1:14" ht="19" x14ac:dyDescent="0.2">
      <c r="A35" s="61"/>
      <c r="B35" s="58"/>
      <c r="C35" s="49"/>
      <c r="D35" s="13"/>
      <c r="E35" s="15"/>
      <c r="F35" s="9"/>
      <c r="G35" s="9"/>
      <c r="H35" s="9"/>
      <c r="I35" s="9"/>
      <c r="J35" s="47"/>
      <c r="K35" s="9"/>
      <c r="L3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35" s="9"/>
      <c r="N35" s="9"/>
    </row>
    <row r="36" spans="1:14" ht="19" x14ac:dyDescent="0.2">
      <c r="A36" s="61">
        <v>420000</v>
      </c>
      <c r="B36" s="75"/>
      <c r="C36" s="2" t="s">
        <v>10</v>
      </c>
      <c r="D36" s="13" t="s">
        <v>28</v>
      </c>
      <c r="E36" s="9">
        <v>362000</v>
      </c>
      <c r="F36" s="9">
        <v>58000</v>
      </c>
      <c r="G36" s="9"/>
      <c r="H36" s="9"/>
      <c r="I36" s="9"/>
      <c r="J36" s="9"/>
      <c r="K36" s="9"/>
      <c r="L3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420000</v>
      </c>
      <c r="M36" s="9"/>
      <c r="N36" s="9"/>
    </row>
    <row r="37" spans="1:14" ht="19" x14ac:dyDescent="0.2">
      <c r="A37" s="61">
        <v>675000</v>
      </c>
      <c r="B37" s="58">
        <v>44599</v>
      </c>
      <c r="C37" s="3" t="s">
        <v>9</v>
      </c>
      <c r="D37" s="13" t="s">
        <v>105</v>
      </c>
      <c r="E37" s="9">
        <v>513000</v>
      </c>
      <c r="F37" s="9">
        <v>162000</v>
      </c>
      <c r="G37" s="9"/>
      <c r="H37" s="9"/>
      <c r="I37" s="9">
        <v>311000</v>
      </c>
      <c r="J37" s="9" t="s">
        <v>344</v>
      </c>
      <c r="K37" s="9"/>
      <c r="L3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364000</v>
      </c>
      <c r="M37" s="9"/>
      <c r="N37" s="9"/>
    </row>
    <row r="38" spans="1:14" ht="19" x14ac:dyDescent="0.2">
      <c r="A38" s="74"/>
      <c r="B38" s="32"/>
      <c r="C38" s="49"/>
      <c r="D38" s="13"/>
      <c r="E38" s="15"/>
      <c r="F38" s="9"/>
      <c r="G38" s="9"/>
      <c r="H38" s="9"/>
      <c r="I38" s="9">
        <v>30500</v>
      </c>
      <c r="J38" s="9" t="s">
        <v>345</v>
      </c>
      <c r="K38" s="9"/>
      <c r="L3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-30500</v>
      </c>
      <c r="M38" s="9"/>
      <c r="N38" s="9"/>
    </row>
    <row r="39" spans="1:14" ht="19" x14ac:dyDescent="0.2">
      <c r="A39" s="74"/>
      <c r="B39" s="32"/>
      <c r="C39" s="49"/>
      <c r="D39" s="13"/>
      <c r="E39" s="15"/>
      <c r="F39" s="9"/>
      <c r="G39" s="9"/>
      <c r="H39" s="9"/>
      <c r="I39" s="9">
        <v>12500</v>
      </c>
      <c r="J39" s="9" t="s">
        <v>346</v>
      </c>
      <c r="K39" s="9"/>
      <c r="L3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-12500</v>
      </c>
      <c r="M39" s="9"/>
      <c r="N39" s="9"/>
    </row>
    <row r="40" spans="1:14" ht="19" x14ac:dyDescent="0.2">
      <c r="A40" s="74"/>
      <c r="B40" s="32"/>
      <c r="C40" s="49"/>
      <c r="D40" s="13"/>
      <c r="E40" s="15"/>
      <c r="F40" s="9"/>
      <c r="G40" s="9"/>
      <c r="H40" s="9"/>
      <c r="I40" s="9">
        <v>20500</v>
      </c>
      <c r="J40" s="9" t="s">
        <v>347</v>
      </c>
      <c r="K40" s="9"/>
      <c r="L4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-20500</v>
      </c>
      <c r="M40" s="9"/>
      <c r="N40" s="9"/>
    </row>
    <row r="41" spans="1:14" ht="19" x14ac:dyDescent="0.2">
      <c r="A41" s="74"/>
      <c r="B41" s="32"/>
      <c r="C41" s="49"/>
      <c r="D41" s="13"/>
      <c r="E41" s="15"/>
      <c r="F41" s="9"/>
      <c r="G41" s="9"/>
      <c r="H41" s="9"/>
      <c r="I41" s="9">
        <v>27500</v>
      </c>
      <c r="J41" s="9" t="s">
        <v>348</v>
      </c>
      <c r="K41" s="9"/>
      <c r="L4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-27500</v>
      </c>
      <c r="M41" s="9"/>
      <c r="N41" s="9"/>
    </row>
    <row r="42" spans="1:14" ht="19" x14ac:dyDescent="0.2">
      <c r="A42" s="74"/>
      <c r="B42" s="32"/>
      <c r="C42" s="49"/>
      <c r="D42" s="13"/>
      <c r="E42" s="15"/>
      <c r="F42" s="9"/>
      <c r="G42" s="9"/>
      <c r="H42" s="9"/>
      <c r="I42" s="9">
        <v>89000</v>
      </c>
      <c r="J42" s="9" t="s">
        <v>349</v>
      </c>
      <c r="K42" s="9"/>
      <c r="L4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-89000</v>
      </c>
      <c r="M42" s="9"/>
      <c r="N42" s="9"/>
    </row>
    <row r="43" spans="1:14" ht="19" x14ac:dyDescent="0.2">
      <c r="A43" s="74"/>
      <c r="B43" s="32"/>
      <c r="C43" s="49"/>
      <c r="D43" s="13"/>
      <c r="E43" s="15"/>
      <c r="F43" s="9"/>
      <c r="G43" s="9"/>
      <c r="H43" s="9"/>
      <c r="I43" s="9">
        <v>5000</v>
      </c>
      <c r="J43" s="9" t="s">
        <v>350</v>
      </c>
      <c r="K43" s="9"/>
      <c r="L4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-5000</v>
      </c>
      <c r="M43" s="9"/>
      <c r="N43" s="9"/>
    </row>
    <row r="44" spans="1:14" ht="19" x14ac:dyDescent="0.2">
      <c r="A44" s="74">
        <v>224000</v>
      </c>
      <c r="B44" s="33"/>
      <c r="C44" s="2" t="s">
        <v>10</v>
      </c>
      <c r="D44" s="13" t="s">
        <v>28</v>
      </c>
      <c r="E44" s="9">
        <v>180000</v>
      </c>
      <c r="F44" s="9">
        <v>44000</v>
      </c>
      <c r="G44" s="9"/>
      <c r="H44" s="9"/>
      <c r="I44" s="9">
        <v>10000</v>
      </c>
      <c r="J44" s="9" t="s">
        <v>352</v>
      </c>
      <c r="K44" s="9"/>
      <c r="L4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214000</v>
      </c>
      <c r="M44" s="9"/>
      <c r="N44" s="9"/>
    </row>
    <row r="45" spans="1:14" ht="19" x14ac:dyDescent="0.2">
      <c r="A45" s="74">
        <v>1058000</v>
      </c>
      <c r="B45" s="32">
        <v>44600</v>
      </c>
      <c r="C45" s="3" t="s">
        <v>9</v>
      </c>
      <c r="D45" s="13" t="s">
        <v>105</v>
      </c>
      <c r="E45" s="15">
        <v>974000</v>
      </c>
      <c r="F45" s="9">
        <v>84000</v>
      </c>
      <c r="G45" s="9"/>
      <c r="H45" s="9"/>
      <c r="I45" s="9">
        <v>10000</v>
      </c>
      <c r="J45" s="9" t="s">
        <v>353</v>
      </c>
      <c r="K45" s="9"/>
      <c r="L4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1048000</v>
      </c>
      <c r="M45" s="9"/>
      <c r="N45" s="9"/>
    </row>
    <row r="46" spans="1:14" ht="19" x14ac:dyDescent="0.2">
      <c r="A46" s="74">
        <v>331000</v>
      </c>
      <c r="B46" s="33"/>
      <c r="C46" s="2" t="s">
        <v>10</v>
      </c>
      <c r="D46" s="13" t="s">
        <v>28</v>
      </c>
      <c r="E46" s="15">
        <v>221000</v>
      </c>
      <c r="F46" s="9">
        <v>110000</v>
      </c>
      <c r="G46" s="9"/>
      <c r="H46" s="9"/>
      <c r="I46" s="9"/>
      <c r="J46" s="9"/>
      <c r="K46" s="9"/>
      <c r="L4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331000</v>
      </c>
      <c r="M46" s="9"/>
      <c r="N46" s="9"/>
    </row>
    <row r="47" spans="1:14" ht="19" x14ac:dyDescent="0.2">
      <c r="A47" s="74"/>
      <c r="B47" s="33"/>
      <c r="C47" s="35"/>
      <c r="D47" s="13"/>
      <c r="E47" s="15"/>
      <c r="F47" s="9"/>
      <c r="G47" s="9"/>
      <c r="H47" s="9"/>
      <c r="I47" s="9"/>
      <c r="J47" s="9"/>
      <c r="K47" s="9"/>
      <c r="L4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47" s="9"/>
      <c r="N47" s="9"/>
    </row>
    <row r="48" spans="1:14" ht="19" x14ac:dyDescent="0.2">
      <c r="A48" s="61">
        <v>753000</v>
      </c>
      <c r="B48" s="58">
        <v>44601</v>
      </c>
      <c r="C48" s="3" t="s">
        <v>9</v>
      </c>
      <c r="D48" s="13" t="s">
        <v>105</v>
      </c>
      <c r="E48" s="15">
        <v>500000</v>
      </c>
      <c r="F48" s="9">
        <v>253000</v>
      </c>
      <c r="G48" s="9">
        <v>994000</v>
      </c>
      <c r="H48" s="59" t="s">
        <v>351</v>
      </c>
      <c r="I48" s="9"/>
      <c r="J48" s="9"/>
      <c r="K48" s="9"/>
      <c r="L4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-241000</v>
      </c>
      <c r="M48" s="9"/>
      <c r="N48" s="9"/>
    </row>
    <row r="49" spans="1:14" ht="19" x14ac:dyDescent="0.2">
      <c r="A49" s="61">
        <v>607000</v>
      </c>
      <c r="B49" s="75"/>
      <c r="C49" s="2" t="s">
        <v>10</v>
      </c>
      <c r="D49" s="13" t="s">
        <v>28</v>
      </c>
      <c r="E49" s="15">
        <v>537000</v>
      </c>
      <c r="F49" s="9">
        <v>70000</v>
      </c>
      <c r="G49" s="9"/>
      <c r="H49" s="9"/>
      <c r="I49" s="9">
        <v>200000</v>
      </c>
      <c r="J49" s="9" t="s">
        <v>354</v>
      </c>
      <c r="K49" s="9"/>
      <c r="L4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407000</v>
      </c>
      <c r="M49" s="9"/>
      <c r="N49" s="9"/>
    </row>
    <row r="50" spans="1:14" ht="19" x14ac:dyDescent="0.2">
      <c r="A50" s="61"/>
      <c r="B50" s="75"/>
      <c r="C50" s="35"/>
      <c r="D50" s="13"/>
      <c r="E50" s="15"/>
      <c r="F50" s="9"/>
      <c r="G50" s="9"/>
      <c r="H50" s="47"/>
      <c r="I50" s="9">
        <v>30000</v>
      </c>
      <c r="J50" s="9" t="s">
        <v>317</v>
      </c>
      <c r="K50" s="9"/>
      <c r="L5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-30000</v>
      </c>
      <c r="M50" s="9"/>
      <c r="N50" s="9"/>
    </row>
    <row r="51" spans="1:14" ht="19" x14ac:dyDescent="0.2">
      <c r="A51" s="61"/>
      <c r="B51" s="75"/>
      <c r="C51" s="35"/>
      <c r="D51" s="13"/>
      <c r="E51" s="15"/>
      <c r="F51" s="9"/>
      <c r="G51" s="9"/>
      <c r="H51" s="9"/>
      <c r="I51" s="9">
        <v>56000</v>
      </c>
      <c r="J51" s="9" t="s">
        <v>334</v>
      </c>
      <c r="K51" s="9"/>
      <c r="L5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-56000</v>
      </c>
      <c r="M51" s="9"/>
      <c r="N51" s="9"/>
    </row>
    <row r="52" spans="1:14" ht="19" x14ac:dyDescent="0.2">
      <c r="A52" s="61"/>
      <c r="B52" s="75"/>
      <c r="C52" s="35"/>
      <c r="D52" s="13"/>
      <c r="E52" s="15"/>
      <c r="F52" s="9"/>
      <c r="G52" s="9"/>
      <c r="H52" s="9"/>
      <c r="I52" s="9">
        <v>120000</v>
      </c>
      <c r="J52" s="9" t="s">
        <v>153</v>
      </c>
      <c r="K52" s="9"/>
      <c r="L5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-120000</v>
      </c>
      <c r="M52" s="9"/>
      <c r="N52" s="9"/>
    </row>
    <row r="53" spans="1:14" ht="19" x14ac:dyDescent="0.2">
      <c r="A53" s="61">
        <v>444000</v>
      </c>
      <c r="B53" s="58">
        <v>44602</v>
      </c>
      <c r="C53" s="3" t="s">
        <v>9</v>
      </c>
      <c r="D53" s="13" t="s">
        <v>105</v>
      </c>
      <c r="E53" s="15">
        <v>408000</v>
      </c>
      <c r="F53" s="9">
        <v>36000</v>
      </c>
      <c r="G53" s="60"/>
      <c r="H53" s="59"/>
      <c r="I53" s="9">
        <v>20000</v>
      </c>
      <c r="J53" s="9" t="s">
        <v>355</v>
      </c>
      <c r="K53" s="9"/>
      <c r="L5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424000</v>
      </c>
      <c r="M53" s="9"/>
      <c r="N53" s="9"/>
    </row>
    <row r="54" spans="1:14" ht="19" x14ac:dyDescent="0.2">
      <c r="A54" s="61">
        <v>464000</v>
      </c>
      <c r="B54" s="75"/>
      <c r="C54" s="2" t="s">
        <v>10</v>
      </c>
      <c r="D54" s="13" t="s">
        <v>28</v>
      </c>
      <c r="E54" s="15">
        <v>398000</v>
      </c>
      <c r="F54" s="9">
        <v>66000</v>
      </c>
      <c r="G54" s="9"/>
      <c r="H54" s="9"/>
      <c r="I54" s="9">
        <v>36000</v>
      </c>
      <c r="J54" s="9" t="s">
        <v>356</v>
      </c>
      <c r="K54" s="9"/>
      <c r="L5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428000</v>
      </c>
      <c r="M54" s="9"/>
      <c r="N54" s="9"/>
    </row>
    <row r="55" spans="1:14" ht="19" x14ac:dyDescent="0.2">
      <c r="A55" s="61">
        <v>723000</v>
      </c>
      <c r="B55" s="58">
        <v>44603</v>
      </c>
      <c r="C55" s="3" t="s">
        <v>9</v>
      </c>
      <c r="D55" s="13" t="s">
        <v>105</v>
      </c>
      <c r="E55" s="15">
        <v>697000</v>
      </c>
      <c r="F55" s="9">
        <v>26000</v>
      </c>
      <c r="G55" s="9"/>
      <c r="H55" s="9"/>
      <c r="I55" s="9">
        <v>18000</v>
      </c>
      <c r="J55" s="9" t="s">
        <v>357</v>
      </c>
      <c r="K55" s="9"/>
      <c r="L5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705000</v>
      </c>
      <c r="M55" s="9"/>
      <c r="N55" s="9"/>
    </row>
    <row r="56" spans="1:14" ht="19" x14ac:dyDescent="0.2">
      <c r="A56" s="61"/>
      <c r="B56" s="58"/>
      <c r="C56" s="49"/>
      <c r="D56" s="13"/>
      <c r="E56" s="15"/>
      <c r="F56" s="9"/>
      <c r="G56" s="9"/>
      <c r="H56" s="9"/>
      <c r="I56" s="9">
        <v>48000</v>
      </c>
      <c r="J56" s="9" t="s">
        <v>335</v>
      </c>
      <c r="K56" s="9"/>
      <c r="L5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-48000</v>
      </c>
      <c r="M56" s="9"/>
      <c r="N56" s="9"/>
    </row>
    <row r="57" spans="1:14" ht="19" x14ac:dyDescent="0.2">
      <c r="A57" s="61"/>
      <c r="B57" s="58"/>
      <c r="C57" s="49"/>
      <c r="D57" s="13"/>
      <c r="E57" s="15"/>
      <c r="F57" s="9"/>
      <c r="G57" s="9"/>
      <c r="H57" s="9"/>
      <c r="I57" s="9">
        <v>14000</v>
      </c>
      <c r="J57" s="9" t="s">
        <v>358</v>
      </c>
      <c r="K57" s="9"/>
      <c r="L5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-14000</v>
      </c>
      <c r="M57" s="9"/>
      <c r="N57" s="9"/>
    </row>
    <row r="58" spans="1:14" ht="19" x14ac:dyDescent="0.2">
      <c r="A58" s="61"/>
      <c r="B58" s="58"/>
      <c r="C58" s="49"/>
      <c r="D58" s="13"/>
      <c r="E58" s="15"/>
      <c r="F58" s="9"/>
      <c r="G58" s="9"/>
      <c r="H58" s="9"/>
      <c r="I58" s="9">
        <v>77000</v>
      </c>
      <c r="J58" s="9" t="s">
        <v>359</v>
      </c>
      <c r="K58" s="9"/>
      <c r="L5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-77000</v>
      </c>
      <c r="M58" s="9"/>
      <c r="N58" s="9"/>
    </row>
    <row r="59" spans="1:14" ht="19" x14ac:dyDescent="0.2">
      <c r="A59" s="61"/>
      <c r="B59" s="58"/>
      <c r="C59" s="49"/>
      <c r="D59" s="13"/>
      <c r="E59" s="15"/>
      <c r="F59" s="9"/>
      <c r="G59" s="9"/>
      <c r="H59" s="9"/>
      <c r="I59" s="9">
        <v>128000</v>
      </c>
      <c r="J59" s="9" t="s">
        <v>318</v>
      </c>
      <c r="K59" s="9"/>
      <c r="L5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-128000</v>
      </c>
      <c r="M59" s="9"/>
      <c r="N59" s="9"/>
    </row>
    <row r="60" spans="1:14" ht="19" x14ac:dyDescent="0.2">
      <c r="A60" s="61"/>
      <c r="B60" s="58"/>
      <c r="C60" s="49"/>
      <c r="D60" s="13"/>
      <c r="E60" s="15"/>
      <c r="F60" s="9"/>
      <c r="G60" s="9"/>
      <c r="H60" s="9"/>
      <c r="I60" s="9">
        <v>56000</v>
      </c>
      <c r="J60" s="9" t="s">
        <v>334</v>
      </c>
      <c r="K60" s="9"/>
      <c r="L6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-56000</v>
      </c>
      <c r="M60" s="9"/>
      <c r="N60" s="9"/>
    </row>
    <row r="61" spans="1:14" ht="19" x14ac:dyDescent="0.2">
      <c r="A61" s="61"/>
      <c r="B61" s="58"/>
      <c r="C61" s="49"/>
      <c r="D61" s="13"/>
      <c r="E61" s="15"/>
      <c r="F61" s="9"/>
      <c r="G61" s="9"/>
      <c r="H61" s="9"/>
      <c r="I61" s="9">
        <v>30000</v>
      </c>
      <c r="J61" s="9" t="s">
        <v>317</v>
      </c>
      <c r="K61" s="9"/>
      <c r="L6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-30000</v>
      </c>
      <c r="M61" s="9"/>
      <c r="N61" s="9"/>
    </row>
    <row r="62" spans="1:14" ht="19" x14ac:dyDescent="0.2">
      <c r="A62" s="61"/>
      <c r="B62" s="58"/>
      <c r="C62" s="49"/>
      <c r="D62" s="13"/>
      <c r="E62" s="15"/>
      <c r="F62" s="9"/>
      <c r="G62" s="9"/>
      <c r="H62" s="9"/>
      <c r="I62" s="9">
        <v>200000</v>
      </c>
      <c r="J62" s="9" t="s">
        <v>276</v>
      </c>
      <c r="K62" s="9"/>
      <c r="L6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-200000</v>
      </c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>
        <v>70000</v>
      </c>
      <c r="J63" s="9" t="s">
        <v>96</v>
      </c>
      <c r="K63" s="9"/>
      <c r="L6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-70000</v>
      </c>
      <c r="M63" s="9"/>
      <c r="N63" s="9"/>
    </row>
    <row r="64" spans="1:14" ht="19" x14ac:dyDescent="0.2">
      <c r="A64" s="61"/>
      <c r="B64" s="75"/>
      <c r="C64" s="2"/>
      <c r="D64" s="13"/>
      <c r="E64" s="15"/>
      <c r="F64" s="9"/>
      <c r="G64" s="9"/>
      <c r="H64" s="9"/>
      <c r="I64" s="9"/>
      <c r="J64" s="47"/>
      <c r="K64" s="9"/>
      <c r="L6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64" s="9"/>
      <c r="N64" s="9"/>
    </row>
    <row r="65" spans="1:14" ht="19" x14ac:dyDescent="0.2">
      <c r="A65" s="61">
        <v>838000</v>
      </c>
      <c r="B65" s="58">
        <v>44604</v>
      </c>
      <c r="C65" s="3" t="s">
        <v>360</v>
      </c>
      <c r="D65" s="13" t="s">
        <v>28</v>
      </c>
      <c r="E65" s="15">
        <v>533000</v>
      </c>
      <c r="F65" s="9">
        <v>305000</v>
      </c>
      <c r="G65" s="9"/>
      <c r="H65" s="9"/>
      <c r="I65" s="9">
        <v>11000</v>
      </c>
      <c r="J65" s="9" t="s">
        <v>361</v>
      </c>
      <c r="K65" s="9"/>
      <c r="L6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827000</v>
      </c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>
        <v>50000</v>
      </c>
      <c r="J66" s="9" t="s">
        <v>362</v>
      </c>
      <c r="K66" s="9"/>
      <c r="L6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-50000</v>
      </c>
      <c r="M66" s="9"/>
      <c r="N66" s="9"/>
    </row>
    <row r="67" spans="1:14" ht="19" x14ac:dyDescent="0.2">
      <c r="A67" s="61">
        <v>737000</v>
      </c>
      <c r="B67" s="75"/>
      <c r="C67" s="2" t="s">
        <v>363</v>
      </c>
      <c r="D67" s="13" t="s">
        <v>105</v>
      </c>
      <c r="E67" s="15">
        <v>649000</v>
      </c>
      <c r="F67" s="9">
        <v>88000</v>
      </c>
      <c r="G67" s="9"/>
      <c r="H67" s="9"/>
      <c r="I67" s="9"/>
      <c r="J67" s="9"/>
      <c r="K67" s="9"/>
      <c r="L6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737000</v>
      </c>
      <c r="M67" s="9"/>
      <c r="N67" s="9"/>
    </row>
    <row r="68" spans="1:14" ht="19" x14ac:dyDescent="0.2">
      <c r="A68" s="61">
        <v>156000</v>
      </c>
      <c r="B68" s="58">
        <v>44605</v>
      </c>
      <c r="C68" s="3" t="s">
        <v>9</v>
      </c>
      <c r="D68" s="13" t="s">
        <v>105</v>
      </c>
      <c r="E68" s="15">
        <v>156000</v>
      </c>
      <c r="F68" s="9"/>
      <c r="G68" s="9"/>
      <c r="H68" s="9"/>
      <c r="I68" s="9"/>
      <c r="J68" s="9"/>
      <c r="K68" s="9"/>
      <c r="L6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156000</v>
      </c>
      <c r="M68" s="9"/>
      <c r="N68" s="9"/>
    </row>
    <row r="69" spans="1:14" ht="19" x14ac:dyDescent="0.2">
      <c r="A69" s="61"/>
      <c r="B69" s="58"/>
      <c r="C69" s="49"/>
      <c r="D69" s="13"/>
      <c r="E69" s="15"/>
      <c r="F69" s="9"/>
      <c r="G69" s="9"/>
      <c r="H69" s="9"/>
      <c r="I69" s="9"/>
      <c r="J69" s="47"/>
      <c r="K69" s="9"/>
      <c r="L6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69" s="9"/>
      <c r="N69" s="9"/>
    </row>
    <row r="70" spans="1:14" ht="19" x14ac:dyDescent="0.2">
      <c r="A70" s="61">
        <v>649000</v>
      </c>
      <c r="B70" s="75"/>
      <c r="C70" s="2" t="s">
        <v>10</v>
      </c>
      <c r="D70" s="13" t="s">
        <v>28</v>
      </c>
      <c r="E70" s="15">
        <v>547000</v>
      </c>
      <c r="F70" s="9">
        <v>102000</v>
      </c>
      <c r="G70" s="9"/>
      <c r="H70" s="9"/>
      <c r="I70" s="9">
        <v>50000</v>
      </c>
      <c r="J70" s="9" t="s">
        <v>59</v>
      </c>
      <c r="K70" s="9"/>
      <c r="L7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599000</v>
      </c>
      <c r="M70" s="9"/>
      <c r="N70" s="9"/>
    </row>
    <row r="71" spans="1:14" ht="19" x14ac:dyDescent="0.2">
      <c r="A71" s="61"/>
      <c r="B71" s="75"/>
      <c r="C71" s="35"/>
      <c r="D71" s="13"/>
      <c r="E71" s="15"/>
      <c r="F71" s="9"/>
      <c r="G71" s="9"/>
      <c r="H71" s="9"/>
      <c r="I71" s="9"/>
      <c r="J71" s="9"/>
      <c r="K71" s="9"/>
      <c r="L7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71" s="9"/>
      <c r="N71" s="9"/>
    </row>
    <row r="72" spans="1:14" ht="19" x14ac:dyDescent="0.2">
      <c r="A72" s="61">
        <v>626000</v>
      </c>
      <c r="B72" s="58">
        <v>44606</v>
      </c>
      <c r="C72" s="3" t="s">
        <v>9</v>
      </c>
      <c r="D72" s="13" t="s">
        <v>105</v>
      </c>
      <c r="E72" s="15">
        <v>626000</v>
      </c>
      <c r="F72" s="9"/>
      <c r="G72" s="60"/>
      <c r="H72" s="59" t="s">
        <v>181</v>
      </c>
      <c r="I72" s="9">
        <v>128000</v>
      </c>
      <c r="J72" s="9" t="s">
        <v>318</v>
      </c>
      <c r="K72" s="9"/>
      <c r="L7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498000</v>
      </c>
      <c r="M72" s="9"/>
      <c r="N72" s="9"/>
    </row>
    <row r="73" spans="1:14" ht="32" x14ac:dyDescent="0.2">
      <c r="A73" s="61">
        <v>479000</v>
      </c>
      <c r="B73" s="75"/>
      <c r="C73" s="2" t="s">
        <v>10</v>
      </c>
      <c r="D73" s="13" t="s">
        <v>28</v>
      </c>
      <c r="E73" s="15">
        <v>371000</v>
      </c>
      <c r="F73" s="9">
        <v>108000</v>
      </c>
      <c r="G73" s="9">
        <v>888000</v>
      </c>
      <c r="H73" s="47" t="s">
        <v>365</v>
      </c>
      <c r="I73" s="9"/>
      <c r="J73" s="9"/>
      <c r="K73" s="9"/>
      <c r="L7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-409000</v>
      </c>
      <c r="M73" s="9"/>
      <c r="N73" s="9"/>
    </row>
    <row r="74" spans="1:14" ht="19" x14ac:dyDescent="0.2">
      <c r="A74" s="61">
        <v>950000</v>
      </c>
      <c r="B74" s="58">
        <v>44607</v>
      </c>
      <c r="C74" s="3" t="s">
        <v>9</v>
      </c>
      <c r="D74" s="13" t="s">
        <v>105</v>
      </c>
      <c r="E74" s="15">
        <v>646000</v>
      </c>
      <c r="F74" s="9">
        <v>304000</v>
      </c>
      <c r="G74" s="9">
        <v>1920000</v>
      </c>
      <c r="H74" s="9" t="s">
        <v>364</v>
      </c>
      <c r="I74" s="9"/>
      <c r="J74" s="47"/>
      <c r="K74" s="9"/>
      <c r="L7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-970000</v>
      </c>
      <c r="M74" s="9"/>
      <c r="N74" s="9"/>
    </row>
    <row r="75" spans="1:14" ht="19" x14ac:dyDescent="0.2">
      <c r="A75" s="61">
        <v>643000</v>
      </c>
      <c r="B75" s="75"/>
      <c r="C75" s="2" t="s">
        <v>10</v>
      </c>
      <c r="D75" s="13" t="s">
        <v>28</v>
      </c>
      <c r="E75" s="15">
        <v>560000</v>
      </c>
      <c r="F75" s="9">
        <v>83000</v>
      </c>
      <c r="G75" s="9"/>
      <c r="H75" s="47"/>
      <c r="I75" s="9"/>
      <c r="J75" s="9"/>
      <c r="K75" s="9"/>
      <c r="L7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643000</v>
      </c>
      <c r="M75" s="9"/>
      <c r="N75" s="9"/>
    </row>
    <row r="76" spans="1:14" ht="19" x14ac:dyDescent="0.2">
      <c r="A76" s="61"/>
      <c r="B76" s="75"/>
      <c r="C76" s="35"/>
      <c r="D76" s="13"/>
      <c r="E76" s="15"/>
      <c r="F76" s="9"/>
      <c r="G76" s="9"/>
      <c r="H76" s="9"/>
      <c r="I76" s="9"/>
      <c r="J76" s="9"/>
      <c r="K76" s="9"/>
      <c r="L7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76" s="9"/>
      <c r="N76" s="9"/>
    </row>
    <row r="77" spans="1:14" ht="19" x14ac:dyDescent="0.2">
      <c r="A77" s="61">
        <v>850000</v>
      </c>
      <c r="B77" s="58">
        <v>44608</v>
      </c>
      <c r="C77" s="3" t="s">
        <v>9</v>
      </c>
      <c r="D77" s="13" t="s">
        <v>105</v>
      </c>
      <c r="E77" s="15">
        <v>817000</v>
      </c>
      <c r="F77" s="9">
        <v>33000</v>
      </c>
      <c r="G77" s="9"/>
      <c r="H77" s="9"/>
      <c r="I77" s="9">
        <v>90000</v>
      </c>
      <c r="J77" s="9" t="s">
        <v>366</v>
      </c>
      <c r="K77" s="9"/>
      <c r="L7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760000</v>
      </c>
      <c r="M77" s="9"/>
      <c r="N77" s="9"/>
    </row>
    <row r="78" spans="1:14" ht="19" x14ac:dyDescent="0.2">
      <c r="A78" s="61"/>
      <c r="B78" s="58"/>
      <c r="C78" s="49"/>
      <c r="D78" s="13"/>
      <c r="E78" s="15"/>
      <c r="F78" s="9"/>
      <c r="G78" s="9">
        <v>2604000</v>
      </c>
      <c r="H78" s="9" t="s">
        <v>326</v>
      </c>
      <c r="I78" s="9"/>
      <c r="J78" s="9"/>
      <c r="K78" s="9"/>
      <c r="L7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-2604000</v>
      </c>
      <c r="M78" s="9"/>
      <c r="N78" s="9"/>
    </row>
    <row r="79" spans="1:14" ht="19" x14ac:dyDescent="0.2">
      <c r="A79" s="61"/>
      <c r="B79" s="58"/>
      <c r="C79" s="49"/>
      <c r="D79" s="13"/>
      <c r="E79" s="15"/>
      <c r="F79" s="9"/>
      <c r="G79" s="9"/>
      <c r="H79" s="9"/>
      <c r="I79" s="9">
        <v>240000</v>
      </c>
      <c r="J79" s="9" t="s">
        <v>367</v>
      </c>
      <c r="K79" s="9"/>
      <c r="L7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-240000</v>
      </c>
      <c r="M79" s="9"/>
      <c r="N79" s="9"/>
    </row>
    <row r="80" spans="1:14" ht="19" x14ac:dyDescent="0.2">
      <c r="A80" s="61">
        <v>580000</v>
      </c>
      <c r="B80" s="75"/>
      <c r="C80" s="2" t="s">
        <v>10</v>
      </c>
      <c r="D80" s="13" t="s">
        <v>28</v>
      </c>
      <c r="E80" s="15">
        <v>476000</v>
      </c>
      <c r="F80" s="9">
        <v>104000</v>
      </c>
      <c r="G80" s="9"/>
      <c r="H80" s="9"/>
      <c r="I80" s="9"/>
      <c r="J80" s="9"/>
      <c r="K80" s="9"/>
      <c r="L8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580000</v>
      </c>
      <c r="M80" s="9"/>
      <c r="N80" s="9"/>
    </row>
    <row r="81" spans="1:14" ht="19" x14ac:dyDescent="0.2">
      <c r="A81" s="61">
        <v>924000</v>
      </c>
      <c r="B81" s="58">
        <v>44609</v>
      </c>
      <c r="C81" s="3" t="s">
        <v>9</v>
      </c>
      <c r="D81" s="13" t="s">
        <v>105</v>
      </c>
      <c r="E81" s="9">
        <v>754000</v>
      </c>
      <c r="F81" s="9">
        <v>170000</v>
      </c>
      <c r="G81" s="9"/>
      <c r="H81" s="9"/>
      <c r="I81" s="9">
        <v>55000</v>
      </c>
      <c r="J81" s="9" t="s">
        <v>368</v>
      </c>
      <c r="K81" s="9"/>
      <c r="L8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869000</v>
      </c>
      <c r="M81" s="9"/>
      <c r="N81" s="9"/>
    </row>
    <row r="82" spans="1:14" ht="19" x14ac:dyDescent="0.2">
      <c r="A82" s="61"/>
      <c r="B82" s="58"/>
      <c r="C82" s="49"/>
      <c r="D82" s="13"/>
      <c r="E82" s="15"/>
      <c r="F82" s="9"/>
      <c r="G82" s="9"/>
      <c r="H82" s="9"/>
      <c r="I82" s="9">
        <v>36000</v>
      </c>
      <c r="J82" s="9" t="s">
        <v>369</v>
      </c>
      <c r="K82" s="9"/>
      <c r="L8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-36000</v>
      </c>
      <c r="M82" s="9"/>
      <c r="N82" s="9"/>
    </row>
    <row r="83" spans="1:14" ht="19" x14ac:dyDescent="0.2">
      <c r="A83" s="61"/>
      <c r="B83" s="58"/>
      <c r="C83" s="49"/>
      <c r="D83" s="13"/>
      <c r="E83" s="15"/>
      <c r="F83" s="9"/>
      <c r="G83" s="9"/>
      <c r="H83" s="9"/>
      <c r="I83" s="9">
        <v>70000</v>
      </c>
      <c r="J83" s="9" t="s">
        <v>370</v>
      </c>
      <c r="K83" s="9"/>
      <c r="L8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-70000</v>
      </c>
      <c r="M83" s="9"/>
      <c r="N83" s="9"/>
    </row>
    <row r="84" spans="1:14" ht="19" x14ac:dyDescent="0.2">
      <c r="A84" s="61"/>
      <c r="B84" s="58"/>
      <c r="C84" s="49"/>
      <c r="D84" s="13"/>
      <c r="E84" s="15"/>
      <c r="F84" s="9"/>
      <c r="G84" s="9"/>
      <c r="H84" s="9"/>
      <c r="I84" s="9">
        <v>128000</v>
      </c>
      <c r="J84" s="9" t="s">
        <v>318</v>
      </c>
      <c r="K84" s="9"/>
      <c r="L8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-128000</v>
      </c>
      <c r="M84" s="9"/>
      <c r="N84" s="9"/>
    </row>
    <row r="85" spans="1:14" ht="19" x14ac:dyDescent="0.2">
      <c r="A85" s="61">
        <v>270000</v>
      </c>
      <c r="B85" s="75"/>
      <c r="C85" s="2" t="s">
        <v>10</v>
      </c>
      <c r="D85" s="13" t="s">
        <v>28</v>
      </c>
      <c r="E85" s="9">
        <v>252000</v>
      </c>
      <c r="F85" s="9">
        <v>18000</v>
      </c>
      <c r="G85" s="9"/>
      <c r="H85" s="9"/>
      <c r="I85" s="9"/>
      <c r="J85" s="9"/>
      <c r="K85" s="9"/>
      <c r="L8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270000</v>
      </c>
      <c r="M85" s="9"/>
      <c r="N85" s="9"/>
    </row>
    <row r="86" spans="1:14" ht="19" x14ac:dyDescent="0.2">
      <c r="A86" s="61"/>
      <c r="B86" s="75"/>
      <c r="C86" s="35"/>
      <c r="D86" s="13"/>
      <c r="E86" s="15"/>
      <c r="F86" s="9"/>
      <c r="G86" s="9"/>
      <c r="H86" s="9"/>
      <c r="I86" s="9"/>
      <c r="J86" s="9"/>
      <c r="K86" s="9"/>
      <c r="L8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86" s="9"/>
      <c r="N86" s="9"/>
    </row>
    <row r="87" spans="1:14" ht="19" x14ac:dyDescent="0.2">
      <c r="A87" s="61">
        <v>932000</v>
      </c>
      <c r="B87" s="58">
        <v>44610</v>
      </c>
      <c r="C87" s="3" t="s">
        <v>9</v>
      </c>
      <c r="D87" s="13" t="s">
        <v>105</v>
      </c>
      <c r="E87" s="9">
        <v>770000</v>
      </c>
      <c r="F87" s="9">
        <v>162000</v>
      </c>
      <c r="G87" s="9"/>
      <c r="H87" s="9"/>
      <c r="I87" s="9"/>
      <c r="J87" s="9"/>
      <c r="K87" s="9"/>
      <c r="L8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932000</v>
      </c>
      <c r="M87" s="9"/>
      <c r="N87" s="9"/>
    </row>
    <row r="88" spans="1:14" ht="19" x14ac:dyDescent="0.2">
      <c r="A88" s="61">
        <v>681000</v>
      </c>
      <c r="B88" s="75"/>
      <c r="C88" s="2" t="s">
        <v>10</v>
      </c>
      <c r="D88" s="13" t="s">
        <v>28</v>
      </c>
      <c r="E88" s="9">
        <v>608000</v>
      </c>
      <c r="F88" s="9">
        <v>73000</v>
      </c>
      <c r="G88" s="9"/>
      <c r="H88" s="9"/>
      <c r="I88" s="9">
        <v>620000</v>
      </c>
      <c r="J88" s="9" t="s">
        <v>151</v>
      </c>
      <c r="K88" s="9"/>
      <c r="L8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61000</v>
      </c>
      <c r="M88" s="9"/>
      <c r="N88" s="9"/>
    </row>
    <row r="89" spans="1:14" ht="19" x14ac:dyDescent="0.2">
      <c r="A89" s="74"/>
      <c r="B89" s="75"/>
      <c r="C89" s="35"/>
      <c r="D89" s="13"/>
      <c r="E89" s="15"/>
      <c r="F89" s="9"/>
      <c r="G89" s="9"/>
      <c r="H89" s="9"/>
      <c r="I89" s="9">
        <v>620000</v>
      </c>
      <c r="J89" s="47" t="s">
        <v>371</v>
      </c>
      <c r="K89" s="9"/>
      <c r="L8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-620000</v>
      </c>
      <c r="M89" s="9"/>
      <c r="N89" s="9"/>
    </row>
    <row r="90" spans="1:14" ht="19" x14ac:dyDescent="0.2">
      <c r="A90" s="74"/>
      <c r="B90" s="75"/>
      <c r="C90" s="35"/>
      <c r="D90" s="13"/>
      <c r="E90" s="15"/>
      <c r="F90" s="9"/>
      <c r="G90" s="9"/>
      <c r="H90" s="9"/>
      <c r="I90" s="9">
        <v>120000</v>
      </c>
      <c r="J90" s="9" t="s">
        <v>372</v>
      </c>
      <c r="K90" s="9"/>
      <c r="L9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-120000</v>
      </c>
      <c r="M90" s="9"/>
      <c r="N90" s="9"/>
    </row>
    <row r="91" spans="1:14" ht="19" x14ac:dyDescent="0.2">
      <c r="A91" s="61">
        <v>897000</v>
      </c>
      <c r="B91" s="58">
        <v>44611</v>
      </c>
      <c r="C91" s="3" t="s">
        <v>9</v>
      </c>
      <c r="D91" s="13" t="s">
        <v>105</v>
      </c>
      <c r="E91" s="9">
        <v>769000</v>
      </c>
      <c r="F91" s="9">
        <v>128000</v>
      </c>
      <c r="G91" s="9"/>
      <c r="H91" s="9"/>
      <c r="I91" s="9"/>
      <c r="J91" s="9"/>
      <c r="K91" s="9"/>
      <c r="L9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897000</v>
      </c>
      <c r="M91" s="9"/>
      <c r="N91" s="9"/>
    </row>
    <row r="92" spans="1:14" ht="19" x14ac:dyDescent="0.2">
      <c r="A92" s="61">
        <v>332000</v>
      </c>
      <c r="B92" s="75"/>
      <c r="C92" s="2" t="s">
        <v>10</v>
      </c>
      <c r="D92" s="13" t="s">
        <v>28</v>
      </c>
      <c r="E92" s="9">
        <v>258000</v>
      </c>
      <c r="F92" s="9">
        <v>74000</v>
      </c>
      <c r="G92" s="9"/>
      <c r="H92" s="9"/>
      <c r="I92" s="9"/>
      <c r="J92" s="47"/>
      <c r="K92" s="9"/>
      <c r="L9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332000</v>
      </c>
      <c r="M92" s="9"/>
      <c r="N92" s="9"/>
    </row>
    <row r="93" spans="1:14" ht="19" x14ac:dyDescent="0.2">
      <c r="A93" s="61">
        <v>491000</v>
      </c>
      <c r="B93" s="58">
        <v>44612</v>
      </c>
      <c r="C93" s="3" t="s">
        <v>9</v>
      </c>
      <c r="D93" s="13" t="s">
        <v>105</v>
      </c>
      <c r="E93" s="9">
        <v>491000</v>
      </c>
      <c r="F93" s="9"/>
      <c r="G93" s="9"/>
      <c r="H93" s="9" t="s">
        <v>403</v>
      </c>
      <c r="I93" s="9">
        <v>200000</v>
      </c>
      <c r="J93" s="47" t="s">
        <v>373</v>
      </c>
      <c r="K93" s="9"/>
      <c r="L9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291000</v>
      </c>
      <c r="M93" s="9"/>
      <c r="N93" s="9"/>
    </row>
    <row r="94" spans="1:14" ht="19" x14ac:dyDescent="0.2">
      <c r="A94" s="61"/>
      <c r="B94" s="58"/>
      <c r="C94" s="49"/>
      <c r="D94" s="13"/>
      <c r="E94" s="15"/>
      <c r="F94" s="9"/>
      <c r="G94" s="9"/>
      <c r="H94" s="9"/>
      <c r="I94" s="9">
        <v>70000</v>
      </c>
      <c r="J94" s="47" t="s">
        <v>96</v>
      </c>
      <c r="K94" s="9"/>
      <c r="L9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-70000</v>
      </c>
      <c r="M94" s="9"/>
      <c r="N94" s="9"/>
    </row>
    <row r="95" spans="1:14" ht="19" x14ac:dyDescent="0.2">
      <c r="A95" s="61">
        <v>455000</v>
      </c>
      <c r="B95" s="75"/>
      <c r="C95" s="2" t="s">
        <v>10</v>
      </c>
      <c r="D95" s="13" t="s">
        <v>28</v>
      </c>
      <c r="E95" s="9">
        <v>455000</v>
      </c>
      <c r="F95" s="9"/>
      <c r="G95" s="9"/>
      <c r="H95" s="9" t="s">
        <v>181</v>
      </c>
      <c r="I95" s="9">
        <v>50000</v>
      </c>
      <c r="J95" s="9" t="s">
        <v>59</v>
      </c>
      <c r="K95" s="9"/>
      <c r="L9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405000</v>
      </c>
      <c r="M95" s="9"/>
      <c r="N95" s="9"/>
    </row>
    <row r="96" spans="1:14" ht="19" x14ac:dyDescent="0.2">
      <c r="A96" s="74"/>
      <c r="B96" s="75"/>
      <c r="C96" s="35"/>
      <c r="D96" s="13"/>
      <c r="E96" s="15"/>
      <c r="F96" s="9"/>
      <c r="G96" s="9"/>
      <c r="H96" s="9"/>
      <c r="I96" s="9">
        <v>70000</v>
      </c>
      <c r="J96" s="9" t="s">
        <v>370</v>
      </c>
      <c r="K96" s="9"/>
      <c r="L9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-70000</v>
      </c>
      <c r="M96" s="9"/>
      <c r="N96" s="9"/>
    </row>
    <row r="97" spans="1:14" ht="19" x14ac:dyDescent="0.2">
      <c r="A97" s="74">
        <v>1013000</v>
      </c>
      <c r="B97" s="58">
        <v>44613</v>
      </c>
      <c r="C97" s="35" t="s">
        <v>9</v>
      </c>
      <c r="D97" s="13" t="s">
        <v>105</v>
      </c>
      <c r="E97" s="15">
        <v>959000</v>
      </c>
      <c r="F97" s="9">
        <v>54000</v>
      </c>
      <c r="G97" s="9"/>
      <c r="H97" s="9"/>
      <c r="I97" s="9">
        <v>30000</v>
      </c>
      <c r="J97" s="9" t="s">
        <v>317</v>
      </c>
      <c r="K97" s="9"/>
      <c r="L9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983000</v>
      </c>
      <c r="M97" s="9"/>
      <c r="N97" s="9"/>
    </row>
    <row r="98" spans="1:14" ht="19" x14ac:dyDescent="0.2">
      <c r="A98" s="61">
        <v>490000</v>
      </c>
      <c r="B98" s="75"/>
      <c r="C98" s="2" t="s">
        <v>10</v>
      </c>
      <c r="D98" s="13" t="s">
        <v>28</v>
      </c>
      <c r="E98" s="9">
        <v>440000</v>
      </c>
      <c r="F98" s="9">
        <v>50000</v>
      </c>
      <c r="G98" s="9"/>
      <c r="H98" s="9"/>
      <c r="I98" s="76">
        <v>36000</v>
      </c>
      <c r="J98" s="76" t="s">
        <v>369</v>
      </c>
      <c r="K98" s="9"/>
      <c r="L9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454000</v>
      </c>
      <c r="M98" s="9"/>
      <c r="N98" s="9"/>
    </row>
    <row r="99" spans="1:14" ht="19" x14ac:dyDescent="0.2">
      <c r="A99" s="61"/>
      <c r="B99" s="75"/>
      <c r="C99" s="35"/>
      <c r="D99" s="13"/>
      <c r="E99" s="15"/>
      <c r="F99" s="9"/>
      <c r="G99" s="9"/>
      <c r="H99" s="9"/>
      <c r="I99" s="77">
        <v>59500</v>
      </c>
      <c r="J99" s="77" t="s">
        <v>374</v>
      </c>
      <c r="K99" s="9"/>
      <c r="L9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-59500</v>
      </c>
      <c r="M99" s="9"/>
      <c r="N99" s="9"/>
    </row>
    <row r="100" spans="1:14" ht="19" x14ac:dyDescent="0.2">
      <c r="A100" s="61">
        <v>802000</v>
      </c>
      <c r="B100" s="58">
        <v>44614</v>
      </c>
      <c r="C100" s="3" t="s">
        <v>9</v>
      </c>
      <c r="D100" s="13" t="s">
        <v>105</v>
      </c>
      <c r="E100" s="15">
        <v>752000</v>
      </c>
      <c r="F100" s="9">
        <v>50000</v>
      </c>
      <c r="G100" s="9"/>
      <c r="H100" s="9"/>
      <c r="I100" s="76">
        <v>90500</v>
      </c>
      <c r="J100" s="76" t="s">
        <v>375</v>
      </c>
      <c r="K100" s="9"/>
      <c r="L10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711500</v>
      </c>
      <c r="M100" s="9"/>
      <c r="N100" s="9"/>
    </row>
    <row r="101" spans="1:14" ht="19" x14ac:dyDescent="0.2">
      <c r="A101" s="61">
        <v>402000</v>
      </c>
      <c r="B101" s="75"/>
      <c r="C101" s="2" t="s">
        <v>10</v>
      </c>
      <c r="D101" s="13" t="s">
        <v>28</v>
      </c>
      <c r="E101" s="15">
        <v>307000</v>
      </c>
      <c r="F101" s="9">
        <v>95000</v>
      </c>
      <c r="G101" s="9"/>
      <c r="H101" s="76"/>
      <c r="I101" s="77">
        <v>90000</v>
      </c>
      <c r="J101" s="78" t="s">
        <v>366</v>
      </c>
      <c r="K101" s="9"/>
      <c r="L10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312000</v>
      </c>
      <c r="M101" s="9"/>
      <c r="N101" s="9"/>
    </row>
    <row r="102" spans="1:14" ht="19" x14ac:dyDescent="0.2">
      <c r="A102" s="61">
        <v>953000</v>
      </c>
      <c r="B102" s="58">
        <v>44615</v>
      </c>
      <c r="C102" s="3" t="s">
        <v>9</v>
      </c>
      <c r="D102" s="13" t="s">
        <v>105</v>
      </c>
      <c r="E102" s="15">
        <v>709000</v>
      </c>
      <c r="F102" s="9">
        <v>244000</v>
      </c>
      <c r="G102" s="9">
        <v>3282000</v>
      </c>
      <c r="H102" s="59" t="s">
        <v>376</v>
      </c>
      <c r="I102" s="9">
        <v>32000</v>
      </c>
      <c r="J102" s="9" t="s">
        <v>377</v>
      </c>
      <c r="K102" s="9"/>
      <c r="L10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-2361000</v>
      </c>
      <c r="M102" s="9"/>
      <c r="N102" s="9"/>
    </row>
    <row r="103" spans="1:14" ht="19" x14ac:dyDescent="0.2">
      <c r="A103" s="61"/>
      <c r="B103" s="58"/>
      <c r="C103" s="3"/>
      <c r="D103" s="13"/>
      <c r="E103" s="15"/>
      <c r="F103" s="9"/>
      <c r="G103" s="9"/>
      <c r="H103" s="59"/>
      <c r="I103" s="9">
        <v>136000</v>
      </c>
      <c r="J103" s="9" t="s">
        <v>378</v>
      </c>
      <c r="K103" s="9"/>
      <c r="L10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-136000</v>
      </c>
      <c r="M103" s="9"/>
      <c r="N103" s="9"/>
    </row>
    <row r="104" spans="1:14" ht="19" x14ac:dyDescent="0.2">
      <c r="A104" s="61"/>
      <c r="B104" s="58"/>
      <c r="C104" s="3"/>
      <c r="D104" s="13"/>
      <c r="E104" s="15"/>
      <c r="F104" s="9"/>
      <c r="G104" s="9"/>
      <c r="H104" s="59"/>
      <c r="I104" s="9">
        <v>56000</v>
      </c>
      <c r="J104" s="9" t="s">
        <v>334</v>
      </c>
      <c r="K104" s="9"/>
      <c r="L10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-56000</v>
      </c>
      <c r="M104" s="9"/>
      <c r="N104" s="9"/>
    </row>
    <row r="105" spans="1:14" ht="19" x14ac:dyDescent="0.2">
      <c r="A105" s="61"/>
      <c r="B105" s="58"/>
      <c r="C105" s="3"/>
      <c r="D105" s="13"/>
      <c r="E105" s="15"/>
      <c r="F105" s="9"/>
      <c r="G105" s="9"/>
      <c r="H105" s="59"/>
      <c r="I105" s="9">
        <v>30000</v>
      </c>
      <c r="J105" s="9" t="s">
        <v>317</v>
      </c>
      <c r="K105" s="9"/>
      <c r="L10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-30000</v>
      </c>
      <c r="M105" s="9"/>
      <c r="N105" s="9"/>
    </row>
    <row r="106" spans="1:14" ht="19" x14ac:dyDescent="0.2">
      <c r="A106" s="61"/>
      <c r="B106" s="58"/>
      <c r="C106" s="3"/>
      <c r="D106" s="13"/>
      <c r="E106" s="15"/>
      <c r="F106" s="9"/>
      <c r="G106" s="9"/>
      <c r="H106" s="59"/>
      <c r="I106" s="9">
        <v>16000</v>
      </c>
      <c r="J106" s="9" t="s">
        <v>381</v>
      </c>
      <c r="K106" s="9"/>
      <c r="L10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-16000</v>
      </c>
      <c r="M106" s="9"/>
      <c r="N106" s="9"/>
    </row>
    <row r="107" spans="1:14" ht="19" x14ac:dyDescent="0.2">
      <c r="A107" s="61"/>
      <c r="B107" s="58"/>
      <c r="C107" s="3"/>
      <c r="D107" s="13"/>
      <c r="E107" s="15"/>
      <c r="F107" s="9"/>
      <c r="G107" s="9"/>
      <c r="H107" s="59"/>
      <c r="I107" s="9">
        <v>330000</v>
      </c>
      <c r="J107" s="9" t="s">
        <v>380</v>
      </c>
      <c r="K107" s="9"/>
      <c r="L10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-330000</v>
      </c>
      <c r="M107" s="9"/>
      <c r="N107" s="9"/>
    </row>
    <row r="108" spans="1:14" ht="19" x14ac:dyDescent="0.2">
      <c r="A108" s="61">
        <v>512000</v>
      </c>
      <c r="B108" s="75"/>
      <c r="C108" s="2" t="s">
        <v>10</v>
      </c>
      <c r="D108" s="13" t="s">
        <v>28</v>
      </c>
      <c r="E108" s="15">
        <v>422000</v>
      </c>
      <c r="F108" s="9">
        <v>90000</v>
      </c>
      <c r="G108" s="9"/>
      <c r="H108" s="9"/>
      <c r="I108" s="9">
        <v>90000</v>
      </c>
      <c r="J108" s="47" t="s">
        <v>379</v>
      </c>
      <c r="K108" s="9"/>
      <c r="L10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422000</v>
      </c>
      <c r="M108" s="9"/>
      <c r="N108" s="9"/>
    </row>
    <row r="109" spans="1:14" ht="19" x14ac:dyDescent="0.2">
      <c r="A109" s="61">
        <v>763000</v>
      </c>
      <c r="B109" s="58">
        <v>44585</v>
      </c>
      <c r="C109" s="3" t="s">
        <v>9</v>
      </c>
      <c r="D109" s="13" t="s">
        <v>105</v>
      </c>
      <c r="E109" s="15">
        <v>641000</v>
      </c>
      <c r="F109" s="9">
        <v>122000</v>
      </c>
      <c r="G109" s="9"/>
      <c r="H109" s="9"/>
      <c r="I109" s="9">
        <v>34000</v>
      </c>
      <c r="J109" s="9" t="s">
        <v>369</v>
      </c>
      <c r="K109" s="9"/>
      <c r="L10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729000</v>
      </c>
      <c r="M109" s="9"/>
      <c r="N109" s="9"/>
    </row>
    <row r="110" spans="1:14" ht="19" x14ac:dyDescent="0.2">
      <c r="A110" s="61"/>
      <c r="B110" s="58"/>
      <c r="C110" s="49"/>
      <c r="D110" s="13"/>
      <c r="E110" s="15"/>
      <c r="F110" s="9"/>
      <c r="G110" s="9"/>
      <c r="H110" s="9"/>
      <c r="I110" s="9">
        <v>64000</v>
      </c>
      <c r="J110" s="9" t="s">
        <v>383</v>
      </c>
      <c r="K110" s="9"/>
      <c r="L11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-64000</v>
      </c>
      <c r="M110" s="9"/>
      <c r="N110" s="9"/>
    </row>
    <row r="111" spans="1:14" ht="19" x14ac:dyDescent="0.2">
      <c r="A111" s="61"/>
      <c r="B111" s="58"/>
      <c r="C111" s="49"/>
      <c r="D111" s="13"/>
      <c r="E111" s="15"/>
      <c r="F111" s="9"/>
      <c r="G111" s="9"/>
      <c r="H111" s="9"/>
      <c r="I111" s="9"/>
      <c r="J111" s="9"/>
      <c r="K111" s="9"/>
      <c r="L11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11" s="9"/>
      <c r="N111" s="9"/>
    </row>
    <row r="112" spans="1:14" ht="19" x14ac:dyDescent="0.2">
      <c r="A112" s="61"/>
      <c r="B112" s="58"/>
      <c r="C112" s="49"/>
      <c r="D112" s="13"/>
      <c r="E112" s="15"/>
      <c r="F112" s="9"/>
      <c r="G112" s="9"/>
      <c r="H112" s="9"/>
      <c r="I112" s="9"/>
      <c r="J112" s="9"/>
      <c r="K112" s="9"/>
      <c r="L11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12" s="9"/>
      <c r="N112" s="9"/>
    </row>
    <row r="113" spans="1:14" ht="19" x14ac:dyDescent="0.2">
      <c r="A113" s="61">
        <v>262000</v>
      </c>
      <c r="B113" s="75"/>
      <c r="C113" s="2" t="s">
        <v>10</v>
      </c>
      <c r="D113" s="13" t="s">
        <v>28</v>
      </c>
      <c r="E113" s="15">
        <v>192000</v>
      </c>
      <c r="F113" s="9">
        <v>70000</v>
      </c>
      <c r="G113" s="9"/>
      <c r="H113" s="9"/>
      <c r="I113" s="9"/>
      <c r="J113" s="9"/>
      <c r="K113" s="9"/>
      <c r="L11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262000</v>
      </c>
      <c r="M113" s="9"/>
      <c r="N113" s="9"/>
    </row>
    <row r="114" spans="1:14" ht="19" x14ac:dyDescent="0.2">
      <c r="A114" s="61">
        <v>1268000</v>
      </c>
      <c r="B114" s="58">
        <v>44617</v>
      </c>
      <c r="C114" s="3" t="s">
        <v>9</v>
      </c>
      <c r="D114" s="13" t="s">
        <v>105</v>
      </c>
      <c r="E114" s="15">
        <v>1168000</v>
      </c>
      <c r="F114" s="9">
        <v>100000</v>
      </c>
      <c r="G114" s="9"/>
      <c r="H114" s="9"/>
      <c r="I114" s="9">
        <v>50000</v>
      </c>
      <c r="J114" s="9" t="s">
        <v>384</v>
      </c>
      <c r="K114" s="9"/>
      <c r="L11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1218000</v>
      </c>
      <c r="M114" s="9"/>
      <c r="N114" s="9"/>
    </row>
    <row r="115" spans="1:14" ht="19" x14ac:dyDescent="0.2">
      <c r="A115" s="61">
        <v>803000</v>
      </c>
      <c r="B115" s="75"/>
      <c r="C115" s="2" t="s">
        <v>10</v>
      </c>
      <c r="D115" s="13" t="s">
        <v>28</v>
      </c>
      <c r="E115" s="15">
        <v>775000</v>
      </c>
      <c r="F115" s="9">
        <v>28000</v>
      </c>
      <c r="G115" s="9"/>
      <c r="H115" s="9"/>
      <c r="I115" s="9"/>
      <c r="J115" s="47" t="s">
        <v>385</v>
      </c>
      <c r="K115" s="9"/>
      <c r="L11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803000</v>
      </c>
      <c r="M115" s="9"/>
      <c r="N115" s="9"/>
    </row>
    <row r="116" spans="1:14" ht="19" x14ac:dyDescent="0.2">
      <c r="A116" s="61">
        <v>504000</v>
      </c>
      <c r="B116" s="58">
        <v>44618</v>
      </c>
      <c r="C116" s="3" t="s">
        <v>9</v>
      </c>
      <c r="D116" s="13" t="s">
        <v>105</v>
      </c>
      <c r="E116" s="9">
        <v>486000</v>
      </c>
      <c r="F116" s="9">
        <v>18000</v>
      </c>
      <c r="G116" s="9"/>
      <c r="H116" s="9"/>
      <c r="I116" s="9"/>
      <c r="J116" s="47" t="s">
        <v>386</v>
      </c>
      <c r="K116" s="9"/>
      <c r="L11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504000</v>
      </c>
      <c r="M116" s="9"/>
      <c r="N116" s="9"/>
    </row>
    <row r="117" spans="1:14" ht="19" x14ac:dyDescent="0.2">
      <c r="A117" s="61">
        <v>847000</v>
      </c>
      <c r="B117" s="75"/>
      <c r="C117" s="2" t="s">
        <v>10</v>
      </c>
      <c r="D117" s="13" t="s">
        <v>28</v>
      </c>
      <c r="E117" s="9">
        <v>835000</v>
      </c>
      <c r="F117" s="9">
        <v>12000</v>
      </c>
      <c r="G117" s="9">
        <v>100000</v>
      </c>
      <c r="H117" s="9" t="s">
        <v>387</v>
      </c>
      <c r="I117" s="9"/>
      <c r="J117" s="9"/>
      <c r="K117" s="9"/>
      <c r="L11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747000</v>
      </c>
      <c r="M117" s="9"/>
      <c r="N117" s="9"/>
    </row>
    <row r="118" spans="1:14" ht="19" x14ac:dyDescent="0.2">
      <c r="A118" s="61"/>
      <c r="B118" s="75"/>
      <c r="C118" s="35"/>
      <c r="D118" s="13"/>
      <c r="E118" s="15"/>
      <c r="F118" s="9"/>
      <c r="G118" s="9"/>
      <c r="H118" s="9"/>
      <c r="I118" s="9"/>
      <c r="J118" s="9"/>
      <c r="K118" s="9"/>
      <c r="L11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18" s="9"/>
      <c r="N118" s="9"/>
    </row>
    <row r="119" spans="1:14" ht="19" x14ac:dyDescent="0.2">
      <c r="A119" s="61"/>
      <c r="B119" s="75"/>
      <c r="C119" s="35"/>
      <c r="D119" s="13"/>
      <c r="E119" s="15"/>
      <c r="F119" s="9"/>
      <c r="G119" s="9"/>
      <c r="H119" s="9"/>
      <c r="I119" s="9"/>
      <c r="J119" s="9"/>
      <c r="K119" s="9"/>
      <c r="L11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19" s="9"/>
      <c r="N119" s="9"/>
    </row>
    <row r="120" spans="1:14" ht="19" x14ac:dyDescent="0.2">
      <c r="A120" s="61"/>
      <c r="B120" s="75"/>
      <c r="C120" s="35"/>
      <c r="D120" s="13"/>
      <c r="E120" s="15"/>
      <c r="F120" s="9"/>
      <c r="G120" s="9"/>
      <c r="H120" s="9"/>
      <c r="I120" s="9"/>
      <c r="J120" s="9"/>
      <c r="K120" s="9"/>
      <c r="L12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20" s="9"/>
      <c r="N120" s="9"/>
    </row>
    <row r="121" spans="1:14" ht="19" x14ac:dyDescent="0.2">
      <c r="A121" s="61"/>
      <c r="B121" s="75"/>
      <c r="C121" s="35"/>
      <c r="D121" s="13"/>
      <c r="E121" s="15"/>
      <c r="F121" s="9"/>
      <c r="G121" s="9"/>
      <c r="H121" s="9"/>
      <c r="I121" s="9"/>
      <c r="J121" s="9"/>
      <c r="K121" s="9"/>
      <c r="L12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21" s="9"/>
      <c r="N121" s="9"/>
    </row>
    <row r="122" spans="1:14" ht="19" x14ac:dyDescent="0.2">
      <c r="A122" s="61"/>
      <c r="B122" s="75"/>
      <c r="C122" s="35"/>
      <c r="D122" s="13"/>
      <c r="E122" s="15"/>
      <c r="F122" s="9"/>
      <c r="G122" s="9"/>
      <c r="H122" s="9"/>
      <c r="I122" s="9"/>
      <c r="J122" s="9"/>
      <c r="K122" s="9"/>
      <c r="L12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22" s="9"/>
      <c r="N122" s="9"/>
    </row>
    <row r="123" spans="1:14" ht="19" x14ac:dyDescent="0.2">
      <c r="A123" s="61"/>
      <c r="B123" s="75"/>
      <c r="C123" s="35"/>
      <c r="D123" s="13"/>
      <c r="E123" s="15"/>
      <c r="F123" s="9"/>
      <c r="G123" s="9"/>
      <c r="H123" s="9"/>
      <c r="I123" s="9"/>
      <c r="J123" s="9"/>
      <c r="K123" s="9"/>
      <c r="L12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0</v>
      </c>
      <c r="M123" s="9"/>
      <c r="N123" s="9"/>
    </row>
    <row r="124" spans="1:14" ht="19" x14ac:dyDescent="0.2">
      <c r="A124" s="61">
        <v>936000</v>
      </c>
      <c r="B124" s="58">
        <v>44619</v>
      </c>
      <c r="C124" s="3" t="s">
        <v>9</v>
      </c>
      <c r="D124" s="13" t="s">
        <v>105</v>
      </c>
      <c r="E124" s="9">
        <v>816000</v>
      </c>
      <c r="F124" s="9">
        <v>120000</v>
      </c>
      <c r="G124" s="9"/>
      <c r="H124" s="9" t="s">
        <v>403</v>
      </c>
      <c r="I124" s="9">
        <v>8000</v>
      </c>
      <c r="J124" s="47" t="s">
        <v>400</v>
      </c>
      <c r="K124" s="9"/>
      <c r="L12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928000</v>
      </c>
      <c r="M124" s="9"/>
      <c r="N124" s="9"/>
    </row>
    <row r="125" spans="1:14" ht="19" x14ac:dyDescent="0.2">
      <c r="A125" s="61">
        <v>304000</v>
      </c>
      <c r="B125" s="75"/>
      <c r="C125" s="2" t="s">
        <v>10</v>
      </c>
      <c r="D125" s="13" t="s">
        <v>28</v>
      </c>
      <c r="E125" s="9">
        <v>304000</v>
      </c>
      <c r="F125" s="9"/>
      <c r="G125" s="9"/>
      <c r="H125" s="9" t="s">
        <v>404</v>
      </c>
      <c r="I125" s="9">
        <v>50000</v>
      </c>
      <c r="J125" s="9" t="s">
        <v>59</v>
      </c>
      <c r="K125" s="9"/>
      <c r="L12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254000</v>
      </c>
      <c r="M125" s="9"/>
      <c r="N125" s="9"/>
    </row>
    <row r="126" spans="1:14" ht="19" x14ac:dyDescent="0.2">
      <c r="A126" s="61">
        <v>913000</v>
      </c>
      <c r="B126" s="58">
        <v>44620</v>
      </c>
      <c r="C126" s="3" t="s">
        <v>9</v>
      </c>
      <c r="D126" s="13" t="s">
        <v>105</v>
      </c>
      <c r="E126" s="15">
        <v>831000</v>
      </c>
      <c r="F126" s="9">
        <v>82000</v>
      </c>
      <c r="G126" s="9">
        <v>294000</v>
      </c>
      <c r="H126" s="9" t="s">
        <v>388</v>
      </c>
      <c r="I126" s="9">
        <v>12500</v>
      </c>
      <c r="J126" s="9" t="s">
        <v>346</v>
      </c>
      <c r="K126" s="9"/>
      <c r="L12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606500</v>
      </c>
      <c r="M126" s="9"/>
      <c r="N126" s="9"/>
    </row>
    <row r="127" spans="1:14" ht="19" x14ac:dyDescent="0.2">
      <c r="A127" s="61"/>
      <c r="B127" s="58"/>
      <c r="C127" s="49"/>
      <c r="D127" s="13"/>
      <c r="E127" s="15"/>
      <c r="F127" s="9"/>
      <c r="G127" s="9"/>
      <c r="H127" s="9"/>
      <c r="I127" s="9">
        <v>56000</v>
      </c>
      <c r="J127" s="9" t="s">
        <v>334</v>
      </c>
      <c r="K127" s="9"/>
      <c r="L12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-56000</v>
      </c>
      <c r="M127" s="9"/>
      <c r="N127" s="9"/>
    </row>
    <row r="128" spans="1:14" ht="19" x14ac:dyDescent="0.2">
      <c r="A128" s="61"/>
      <c r="B128" s="58"/>
      <c r="C128" s="49"/>
      <c r="D128" s="13"/>
      <c r="E128" s="15"/>
      <c r="F128" s="9"/>
      <c r="G128" s="9"/>
      <c r="H128" s="9"/>
      <c r="I128" s="9">
        <v>30000</v>
      </c>
      <c r="J128" s="9" t="s">
        <v>317</v>
      </c>
      <c r="K128" s="9"/>
      <c r="L12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-30000</v>
      </c>
      <c r="M128" s="9"/>
      <c r="N128" s="9"/>
    </row>
    <row r="129" spans="1:14" ht="19" x14ac:dyDescent="0.2">
      <c r="A129" s="61"/>
      <c r="B129" s="58"/>
      <c r="C129" s="49"/>
      <c r="D129" s="13"/>
      <c r="E129" s="15"/>
      <c r="F129" s="9"/>
      <c r="G129" s="9"/>
      <c r="H129" s="9"/>
      <c r="I129" s="9">
        <v>200000</v>
      </c>
      <c r="J129" s="9" t="s">
        <v>276</v>
      </c>
      <c r="K129" s="9"/>
      <c r="L12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-200000</v>
      </c>
      <c r="M129" s="9"/>
      <c r="N129" s="9"/>
    </row>
    <row r="130" spans="1:14" ht="19" x14ac:dyDescent="0.2">
      <c r="A130" s="61"/>
      <c r="B130" s="58"/>
      <c r="C130" s="49"/>
      <c r="D130" s="13"/>
      <c r="E130" s="15"/>
      <c r="F130" s="9"/>
      <c r="G130" s="9"/>
      <c r="H130" s="9"/>
      <c r="I130" s="9">
        <v>15500</v>
      </c>
      <c r="J130" s="9" t="s">
        <v>401</v>
      </c>
      <c r="K130" s="9"/>
      <c r="L130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-15500</v>
      </c>
      <c r="M130" s="9"/>
      <c r="N130" s="9"/>
    </row>
    <row r="131" spans="1:14" ht="19" x14ac:dyDescent="0.2">
      <c r="A131" s="61"/>
      <c r="B131" s="58"/>
      <c r="C131" s="49"/>
      <c r="D131" s="13"/>
      <c r="E131" s="15"/>
      <c r="F131" s="9"/>
      <c r="G131" s="9">
        <v>1560000</v>
      </c>
      <c r="H131" s="9" t="s">
        <v>390</v>
      </c>
      <c r="I131" s="9">
        <v>144000</v>
      </c>
      <c r="J131" s="9" t="s">
        <v>393</v>
      </c>
      <c r="K131" s="9"/>
      <c r="L131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-1704000</v>
      </c>
      <c r="M131" s="9"/>
      <c r="N131" s="9"/>
    </row>
    <row r="132" spans="1:14" ht="19" x14ac:dyDescent="0.2">
      <c r="A132" s="61"/>
      <c r="B132" s="58"/>
      <c r="C132" s="49"/>
      <c r="D132" s="13"/>
      <c r="E132" s="15"/>
      <c r="F132" s="9"/>
      <c r="G132" s="9"/>
      <c r="H132" s="9"/>
      <c r="I132" s="9">
        <v>100000</v>
      </c>
      <c r="J132" s="9" t="s">
        <v>384</v>
      </c>
      <c r="K132" s="9"/>
      <c r="L132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-100000</v>
      </c>
      <c r="M132" s="9"/>
      <c r="N132" s="9"/>
    </row>
    <row r="133" spans="1:14" ht="19" x14ac:dyDescent="0.2">
      <c r="A133" s="61"/>
      <c r="B133" s="58"/>
      <c r="C133" s="49"/>
      <c r="D133" s="13"/>
      <c r="E133" s="15"/>
      <c r="F133" s="9"/>
      <c r="G133" s="9"/>
      <c r="H133" s="9"/>
      <c r="I133" s="9">
        <v>59500</v>
      </c>
      <c r="J133" s="9" t="s">
        <v>374</v>
      </c>
      <c r="K133" s="9"/>
      <c r="L133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-59500</v>
      </c>
      <c r="M133" s="9"/>
      <c r="N133" s="9"/>
    </row>
    <row r="134" spans="1:14" ht="19" x14ac:dyDescent="0.2">
      <c r="A134" s="61">
        <v>467000</v>
      </c>
      <c r="B134" s="75"/>
      <c r="C134" s="2" t="s">
        <v>10</v>
      </c>
      <c r="D134" s="13" t="s">
        <v>28</v>
      </c>
      <c r="E134" s="15">
        <v>467000</v>
      </c>
      <c r="F134" s="9"/>
      <c r="G134" s="9">
        <v>1580000</v>
      </c>
      <c r="H134" s="9" t="s">
        <v>389</v>
      </c>
      <c r="I134" s="9">
        <v>18500</v>
      </c>
      <c r="J134" s="9" t="s">
        <v>394</v>
      </c>
      <c r="K134" s="9"/>
      <c r="L134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-1131500</v>
      </c>
      <c r="M134" s="9"/>
      <c r="N134" s="9"/>
    </row>
    <row r="135" spans="1:14" ht="19" x14ac:dyDescent="0.2">
      <c r="A135" s="61"/>
      <c r="B135" s="75"/>
      <c r="C135" s="35"/>
      <c r="D135" s="13"/>
      <c r="E135" s="15"/>
      <c r="F135" s="9"/>
      <c r="G135" s="9"/>
      <c r="H135" s="9" t="s">
        <v>404</v>
      </c>
      <c r="I135" s="9">
        <v>45000</v>
      </c>
      <c r="J135" s="9" t="s">
        <v>402</v>
      </c>
      <c r="K135" s="9"/>
      <c r="L135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-45000</v>
      </c>
      <c r="M135" s="9"/>
      <c r="N135" s="9"/>
    </row>
    <row r="136" spans="1:14" ht="19" x14ac:dyDescent="0.2">
      <c r="A136" s="61"/>
      <c r="B136" s="75"/>
      <c r="C136" s="35"/>
      <c r="D136" s="13"/>
      <c r="E136" s="15"/>
      <c r="F136" s="9"/>
      <c r="G136" s="9">
        <v>2200800</v>
      </c>
      <c r="H136" s="9" t="s">
        <v>392</v>
      </c>
      <c r="I136" s="9">
        <v>38000</v>
      </c>
      <c r="J136" s="9" t="s">
        <v>356</v>
      </c>
      <c r="K136" s="9"/>
      <c r="L136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-2238800</v>
      </c>
      <c r="M136" s="9"/>
      <c r="N136" s="9"/>
    </row>
    <row r="137" spans="1:14" ht="19" x14ac:dyDescent="0.2">
      <c r="A137" s="61"/>
      <c r="B137" s="75"/>
      <c r="C137" s="35"/>
      <c r="D137" s="13"/>
      <c r="E137" s="15"/>
      <c r="F137" s="9"/>
      <c r="G137" s="9"/>
      <c r="H137" s="9"/>
      <c r="I137" s="9">
        <v>28000</v>
      </c>
      <c r="J137" s="9" t="s">
        <v>395</v>
      </c>
      <c r="K137" s="9"/>
      <c r="L137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-28000</v>
      </c>
      <c r="M137" s="9"/>
      <c r="N137" s="9"/>
    </row>
    <row r="138" spans="1:14" ht="19" x14ac:dyDescent="0.2">
      <c r="A138" s="61"/>
      <c r="B138" s="75"/>
      <c r="C138" s="35"/>
      <c r="D138" s="13"/>
      <c r="E138" s="15"/>
      <c r="F138" s="9"/>
      <c r="G138" s="9"/>
      <c r="H138" s="9"/>
      <c r="I138" s="9">
        <v>17500</v>
      </c>
      <c r="J138" s="9" t="s">
        <v>396</v>
      </c>
      <c r="K138" s="9"/>
      <c r="L138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-17500</v>
      </c>
      <c r="M138" s="9"/>
      <c r="N138" s="9"/>
    </row>
    <row r="139" spans="1:14" ht="19" x14ac:dyDescent="0.2">
      <c r="A139" s="61"/>
      <c r="B139" s="75"/>
      <c r="C139" s="35"/>
      <c r="D139" s="13" t="s">
        <v>171</v>
      </c>
      <c r="E139" s="15"/>
      <c r="F139" s="9"/>
      <c r="G139" s="9">
        <v>1000000</v>
      </c>
      <c r="H139" s="9" t="s">
        <v>391</v>
      </c>
      <c r="I139" s="9"/>
      <c r="J139" s="9"/>
      <c r="K139" s="9"/>
      <c r="L139" s="9">
        <f>Таблица13456[[#This Row],[Нал]]+Таблица13456[[#This Row],[Терминал]]-Таблица13456[[#This Row],[Расход]]-Таблица13456[[#This Row],[Закуп]]-Таблица13456[[#This Row],[Расход со счета]]</f>
        <v>-1000000</v>
      </c>
      <c r="M139" s="10"/>
      <c r="N139" s="10"/>
    </row>
    <row r="141" spans="1:14" ht="32" x14ac:dyDescent="0.2">
      <c r="G141" s="9">
        <v>9700000</v>
      </c>
      <c r="H141" s="47" t="s">
        <v>382</v>
      </c>
    </row>
  </sheetData>
  <mergeCells count="1">
    <mergeCell ref="F4:G4"/>
  </mergeCells>
  <phoneticPr fontId="1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N152"/>
  <sheetViews>
    <sheetView workbookViewId="0">
      <selection activeCell="L18" sqref="L18"/>
    </sheetView>
  </sheetViews>
  <sheetFormatPr baseColWidth="10" defaultColWidth="8.83203125" defaultRowHeight="15" x14ac:dyDescent="0.2"/>
  <cols>
    <col min="1" max="1" width="23.5" bestFit="1" customWidth="1"/>
    <col min="2" max="2" width="10.6640625" customWidth="1"/>
    <col min="3" max="3" width="14.1640625" customWidth="1"/>
    <col min="4" max="4" width="12" bestFit="1" customWidth="1"/>
    <col min="5" max="5" width="23.6640625" bestFit="1" customWidth="1"/>
    <col min="6" max="6" width="22.1640625" bestFit="1" customWidth="1"/>
    <col min="7" max="7" width="22" customWidth="1"/>
    <col min="8" max="8" width="47" bestFit="1" customWidth="1"/>
    <col min="9" max="9" width="22.83203125" bestFit="1" customWidth="1"/>
    <col min="10" max="10" width="31.83203125" bestFit="1" customWidth="1"/>
    <col min="11" max="11" width="18.5" bestFit="1" customWidth="1"/>
    <col min="12" max="12" width="23.6640625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0.15986507044116674</v>
      </c>
    </row>
    <row r="4" spans="1:14" ht="21" x14ac:dyDescent="0.2">
      <c r="F4" s="304" t="s">
        <v>411</v>
      </c>
      <c r="G4" s="305"/>
      <c r="H4" s="71" t="s">
        <v>175</v>
      </c>
      <c r="I4" s="71">
        <v>5075700</v>
      </c>
      <c r="J4" s="72">
        <f>I4/10820</f>
        <v>469.10351201478744</v>
      </c>
    </row>
    <row r="5" spans="1:14" ht="21" x14ac:dyDescent="0.2">
      <c r="G5" s="73"/>
      <c r="H5" s="71" t="s">
        <v>176</v>
      </c>
      <c r="I5" s="71">
        <v>2175300</v>
      </c>
      <c r="J5" s="72">
        <f>I5/10820</f>
        <v>201.04436229205174</v>
      </c>
    </row>
    <row r="6" spans="1:14" ht="21" x14ac:dyDescent="0.25">
      <c r="G6" s="73"/>
      <c r="H6" s="71" t="s">
        <v>178</v>
      </c>
      <c r="I6" s="71"/>
      <c r="J6" s="72"/>
      <c r="L6" s="85">
        <v>870000</v>
      </c>
      <c r="M6" s="85" t="s">
        <v>507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SUM(A11:A150)</f>
        <v>45357000</v>
      </c>
      <c r="B10" s="65"/>
      <c r="C10" s="66" t="s">
        <v>13</v>
      </c>
      <c r="D10" s="67"/>
      <c r="E10" s="68">
        <f>SUM(E11:E150)</f>
        <v>41216000</v>
      </c>
      <c r="F10" s="69">
        <f>SUM(F11:F150)</f>
        <v>4141000</v>
      </c>
      <c r="G10" s="69">
        <f>SUM(G11:G150)</f>
        <v>25079000</v>
      </c>
      <c r="H10" s="69"/>
      <c r="I10" s="69">
        <f>SUM(I11:I150)</f>
        <v>9684000</v>
      </c>
      <c r="J10" s="69"/>
      <c r="K10" s="69">
        <f>SUBTOTAL(109,K11:K139)</f>
        <v>0</v>
      </c>
      <c r="L10" s="69">
        <v>7251000</v>
      </c>
      <c r="M10" s="8"/>
      <c r="N10" s="8"/>
    </row>
    <row r="11" spans="1:14" ht="19" x14ac:dyDescent="0.2">
      <c r="A11" s="61">
        <v>1050000</v>
      </c>
      <c r="B11" s="58">
        <v>44621</v>
      </c>
      <c r="C11" s="3" t="s">
        <v>9</v>
      </c>
      <c r="D11" s="13" t="s">
        <v>405</v>
      </c>
      <c r="E11" s="9">
        <v>953000</v>
      </c>
      <c r="F11" s="9">
        <v>97000</v>
      </c>
      <c r="G11" s="9"/>
      <c r="H11" s="9"/>
      <c r="I11" s="9">
        <v>51500</v>
      </c>
      <c r="J11" s="9" t="s">
        <v>407</v>
      </c>
      <c r="K11" s="9"/>
      <c r="L11" s="44"/>
      <c r="M11" s="9"/>
      <c r="N11" s="9"/>
    </row>
    <row r="12" spans="1:14" ht="19" x14ac:dyDescent="0.2">
      <c r="A12" s="61">
        <v>670000</v>
      </c>
      <c r="B12" s="75"/>
      <c r="C12" s="2" t="s">
        <v>10</v>
      </c>
      <c r="D12" s="13" t="s">
        <v>406</v>
      </c>
      <c r="E12" s="9">
        <v>659000</v>
      </c>
      <c r="F12" s="9">
        <v>11000</v>
      </c>
      <c r="G12" s="9"/>
      <c r="H12" s="9"/>
      <c r="I12" s="9">
        <v>36000</v>
      </c>
      <c r="J12" s="9" t="s">
        <v>369</v>
      </c>
      <c r="K12" s="9"/>
      <c r="L12" s="44"/>
      <c r="M12" s="9"/>
      <c r="N12" s="9"/>
    </row>
    <row r="13" spans="1:14" ht="19" x14ac:dyDescent="0.2">
      <c r="A13" s="74"/>
      <c r="B13" s="75"/>
      <c r="C13" s="35"/>
      <c r="D13" s="13"/>
      <c r="E13" s="15"/>
      <c r="F13" s="9"/>
      <c r="G13" s="9"/>
      <c r="H13" s="9"/>
      <c r="I13" s="9">
        <v>128000</v>
      </c>
      <c r="J13" s="9" t="s">
        <v>408</v>
      </c>
      <c r="K13" s="9"/>
      <c r="L13" s="9"/>
      <c r="M13" s="9"/>
      <c r="N13" s="9"/>
    </row>
    <row r="14" spans="1:14" ht="19" x14ac:dyDescent="0.2">
      <c r="A14" s="74"/>
      <c r="B14" s="75"/>
      <c r="C14" s="35"/>
      <c r="D14" s="13"/>
      <c r="E14" s="15"/>
      <c r="F14" s="9"/>
      <c r="G14" s="9"/>
      <c r="H14" s="9"/>
      <c r="I14" s="9">
        <v>620000</v>
      </c>
      <c r="J14" s="9" t="s">
        <v>266</v>
      </c>
      <c r="K14" s="9"/>
      <c r="L14" s="9"/>
      <c r="M14" s="9"/>
      <c r="N14" s="9"/>
    </row>
    <row r="15" spans="1:14" ht="19" x14ac:dyDescent="0.2">
      <c r="A15" s="74"/>
      <c r="B15" s="75"/>
      <c r="C15" s="35"/>
      <c r="D15" s="13"/>
      <c r="E15" s="15"/>
      <c r="F15" s="9"/>
      <c r="G15" s="9"/>
      <c r="H15" s="9"/>
      <c r="I15" s="9">
        <v>125000</v>
      </c>
      <c r="J15" s="9" t="s">
        <v>416</v>
      </c>
      <c r="K15" s="9"/>
      <c r="L15" s="9"/>
      <c r="M15" s="9"/>
      <c r="N15" s="9"/>
    </row>
    <row r="16" spans="1:14" ht="19" x14ac:dyDescent="0.2">
      <c r="A16" s="61"/>
      <c r="B16" s="75"/>
      <c r="C16" s="35"/>
      <c r="D16" s="13"/>
      <c r="E16" s="15"/>
      <c r="F16" s="9"/>
      <c r="G16" s="9"/>
      <c r="H16" s="9"/>
      <c r="I16" s="9">
        <v>60000</v>
      </c>
      <c r="J16" s="9" t="s">
        <v>409</v>
      </c>
      <c r="K16" s="9"/>
      <c r="L16" s="9"/>
      <c r="M16" s="9"/>
      <c r="N16" s="9"/>
    </row>
    <row r="17" spans="1:14" ht="19" x14ac:dyDescent="0.2">
      <c r="A17" s="61">
        <v>751000</v>
      </c>
      <c r="B17" s="58">
        <v>44622</v>
      </c>
      <c r="C17" s="35" t="s">
        <v>9</v>
      </c>
      <c r="D17" s="13" t="s">
        <v>405</v>
      </c>
      <c r="E17" s="15">
        <v>715000</v>
      </c>
      <c r="F17" s="9">
        <v>36000</v>
      </c>
      <c r="G17" s="9"/>
      <c r="H17" s="9"/>
      <c r="I17" s="9">
        <v>15000</v>
      </c>
      <c r="J17" s="47" t="s">
        <v>417</v>
      </c>
      <c r="K17" s="9"/>
      <c r="L17" s="9"/>
      <c r="M17" s="9"/>
      <c r="N17" s="9"/>
    </row>
    <row r="18" spans="1:14" ht="19" x14ac:dyDescent="0.2">
      <c r="A18" s="61">
        <v>259000</v>
      </c>
      <c r="B18" s="58"/>
      <c r="C18" s="3" t="s">
        <v>10</v>
      </c>
      <c r="D18" s="13" t="s">
        <v>406</v>
      </c>
      <c r="E18" s="9">
        <v>248000</v>
      </c>
      <c r="F18" s="9">
        <v>11000</v>
      </c>
      <c r="G18" s="9"/>
      <c r="H18" s="9"/>
      <c r="I18" s="9">
        <v>34500</v>
      </c>
      <c r="J18" s="9" t="s">
        <v>410</v>
      </c>
      <c r="K18" s="9"/>
      <c r="L18" s="9"/>
      <c r="M18" s="9"/>
      <c r="N18" s="9"/>
    </row>
    <row r="19" spans="1:14" ht="19" x14ac:dyDescent="0.2">
      <c r="A19" s="61">
        <v>1120000</v>
      </c>
      <c r="B19" s="58">
        <v>44623</v>
      </c>
      <c r="C19" s="49" t="s">
        <v>9</v>
      </c>
      <c r="D19" s="13" t="s">
        <v>405</v>
      </c>
      <c r="E19" s="15">
        <v>1104000</v>
      </c>
      <c r="F19" s="9">
        <v>16000</v>
      </c>
      <c r="G19" s="9"/>
      <c r="H19" s="9"/>
      <c r="I19" s="9">
        <v>80000</v>
      </c>
      <c r="J19" s="9" t="s">
        <v>412</v>
      </c>
      <c r="K19" s="9"/>
      <c r="L19" s="9"/>
      <c r="M19" s="9"/>
      <c r="N19" s="9"/>
    </row>
    <row r="20" spans="1:14" ht="19" x14ac:dyDescent="0.2">
      <c r="A20" s="61"/>
      <c r="B20" s="58"/>
      <c r="C20" s="49"/>
      <c r="D20" s="13"/>
      <c r="E20" s="15"/>
      <c r="F20" s="9"/>
      <c r="G20" s="9"/>
      <c r="H20" s="9"/>
      <c r="I20" s="9">
        <v>28000</v>
      </c>
      <c r="J20" s="9" t="s">
        <v>413</v>
      </c>
      <c r="K20" s="9"/>
      <c r="L20" s="9"/>
      <c r="M20" s="9"/>
      <c r="N20" s="9"/>
    </row>
    <row r="21" spans="1:14" ht="19" x14ac:dyDescent="0.2">
      <c r="A21" s="61"/>
      <c r="B21" s="75"/>
      <c r="C21" s="2"/>
      <c r="D21" s="13"/>
      <c r="E21" s="9"/>
      <c r="F21" s="9"/>
      <c r="G21" s="9"/>
      <c r="H21" s="9"/>
      <c r="I21" s="9">
        <v>23500</v>
      </c>
      <c r="J21" s="47" t="s">
        <v>414</v>
      </c>
      <c r="K21" s="9"/>
      <c r="L21" s="9"/>
      <c r="M21" s="9"/>
      <c r="N21" s="9"/>
    </row>
    <row r="22" spans="1:14" ht="19" x14ac:dyDescent="0.2">
      <c r="A22" s="61"/>
      <c r="B22" s="58"/>
      <c r="C22" s="3"/>
      <c r="D22" s="13"/>
      <c r="E22" s="9"/>
      <c r="F22" s="9"/>
      <c r="G22" s="9"/>
      <c r="H22" s="9"/>
      <c r="I22" s="9">
        <v>49000</v>
      </c>
      <c r="J22" s="9" t="s">
        <v>415</v>
      </c>
      <c r="K22" s="9"/>
      <c r="L22" s="9"/>
      <c r="M22" s="9"/>
      <c r="N22" s="9"/>
    </row>
    <row r="23" spans="1:14" ht="19" x14ac:dyDescent="0.2">
      <c r="A23" s="61"/>
      <c r="B23" s="75"/>
      <c r="C23" s="2"/>
      <c r="D23" s="13"/>
      <c r="E23" s="9"/>
      <c r="F23" s="9"/>
      <c r="G23" s="9"/>
      <c r="H23" s="9"/>
      <c r="I23" s="9">
        <v>35500</v>
      </c>
      <c r="J23" s="9" t="s">
        <v>369</v>
      </c>
      <c r="K23" s="9"/>
      <c r="L23" s="9"/>
      <c r="M23" s="9"/>
      <c r="N23" s="9"/>
    </row>
    <row r="24" spans="1:14" ht="19" x14ac:dyDescent="0.2">
      <c r="A24" s="61">
        <v>403000</v>
      </c>
      <c r="B24" s="58"/>
      <c r="C24" s="3" t="s">
        <v>10</v>
      </c>
      <c r="D24" s="13" t="s">
        <v>406</v>
      </c>
      <c r="E24" s="9">
        <v>403000</v>
      </c>
      <c r="F24" s="9"/>
      <c r="G24" s="9"/>
      <c r="H24" s="9"/>
      <c r="I24" s="9"/>
      <c r="J24" s="9"/>
      <c r="K24" s="9"/>
      <c r="L24" s="9"/>
      <c r="M24" s="9"/>
      <c r="N24" s="9"/>
    </row>
    <row r="25" spans="1:14" ht="19" x14ac:dyDescent="0.2">
      <c r="A25" s="61">
        <v>1535000</v>
      </c>
      <c r="B25" s="58">
        <v>44624</v>
      </c>
      <c r="C25" s="49" t="s">
        <v>9</v>
      </c>
      <c r="D25" s="13" t="s">
        <v>405</v>
      </c>
      <c r="E25" s="15">
        <v>1316000</v>
      </c>
      <c r="F25" s="9">
        <v>219000</v>
      </c>
      <c r="G25" s="9"/>
      <c r="H25" s="9" t="s">
        <v>418</v>
      </c>
      <c r="I25" s="9">
        <v>240000</v>
      </c>
      <c r="J25" s="9" t="s">
        <v>419</v>
      </c>
      <c r="K25" s="9"/>
      <c r="L25" s="9"/>
      <c r="M25" s="9"/>
      <c r="N25" s="9"/>
    </row>
    <row r="26" spans="1:14" ht="19" x14ac:dyDescent="0.2">
      <c r="A26" s="61"/>
      <c r="B26" s="75"/>
      <c r="C26" s="2"/>
      <c r="D26" s="13"/>
      <c r="E26" s="9"/>
      <c r="F26" s="9"/>
      <c r="G26" s="9"/>
      <c r="H26" s="9"/>
      <c r="I26" s="9">
        <v>139000</v>
      </c>
      <c r="J26" s="9" t="s">
        <v>420</v>
      </c>
      <c r="K26" s="9"/>
      <c r="L26" s="9"/>
      <c r="M26" s="9"/>
      <c r="N26" s="9"/>
    </row>
    <row r="27" spans="1:14" ht="19" x14ac:dyDescent="0.2">
      <c r="A27" s="74"/>
      <c r="B27" s="32"/>
      <c r="C27" s="3"/>
      <c r="D27" s="13"/>
      <c r="E27" s="9"/>
      <c r="F27" s="9"/>
      <c r="G27" s="9"/>
      <c r="H27" s="9"/>
      <c r="I27" s="9">
        <v>28000</v>
      </c>
      <c r="J27" s="9" t="s">
        <v>421</v>
      </c>
      <c r="K27" s="9"/>
      <c r="L27" s="9"/>
      <c r="M27" s="9"/>
      <c r="N27" s="9"/>
    </row>
    <row r="28" spans="1:14" ht="19" x14ac:dyDescent="0.2">
      <c r="A28" s="74">
        <v>679000</v>
      </c>
      <c r="B28" s="32"/>
      <c r="C28" s="49" t="s">
        <v>10</v>
      </c>
      <c r="D28" s="13" t="s">
        <v>406</v>
      </c>
      <c r="E28" s="15">
        <v>632000</v>
      </c>
      <c r="F28" s="9">
        <v>47000</v>
      </c>
      <c r="G28" s="9"/>
      <c r="H28" s="9" t="s">
        <v>422</v>
      </c>
      <c r="I28" s="9"/>
      <c r="J28" s="47"/>
      <c r="K28" s="9"/>
      <c r="L28" s="9"/>
      <c r="M28" s="9"/>
      <c r="N28" s="9"/>
    </row>
    <row r="29" spans="1:14" ht="19" x14ac:dyDescent="0.2">
      <c r="A29" s="74">
        <v>567000</v>
      </c>
      <c r="B29" s="32">
        <v>44625</v>
      </c>
      <c r="C29" s="49" t="s">
        <v>9</v>
      </c>
      <c r="D29" s="13" t="s">
        <v>105</v>
      </c>
      <c r="E29" s="15">
        <v>521000</v>
      </c>
      <c r="F29" s="9">
        <v>46000</v>
      </c>
      <c r="G29" s="9"/>
      <c r="H29" s="9"/>
      <c r="I29" s="9">
        <v>35000</v>
      </c>
      <c r="J29" s="9" t="s">
        <v>423</v>
      </c>
      <c r="K29" s="9"/>
      <c r="L29" s="9"/>
      <c r="M29" s="9"/>
      <c r="N29" s="9"/>
    </row>
    <row r="30" spans="1:14" ht="19" x14ac:dyDescent="0.2">
      <c r="A30" s="74"/>
      <c r="B30" s="32"/>
      <c r="C30" s="49"/>
      <c r="D30" s="13"/>
      <c r="E30" s="15"/>
      <c r="F30" s="9"/>
      <c r="G30" s="9"/>
      <c r="H30" s="9"/>
      <c r="I30" s="9">
        <v>200000</v>
      </c>
      <c r="J30" s="9" t="s">
        <v>424</v>
      </c>
      <c r="K30" s="9"/>
      <c r="L30" s="9"/>
      <c r="M30" s="9"/>
      <c r="N30" s="9"/>
    </row>
    <row r="31" spans="1:14" ht="19" x14ac:dyDescent="0.2">
      <c r="A31" s="61"/>
      <c r="B31" s="58"/>
      <c r="C31" s="49"/>
      <c r="D31" s="13"/>
      <c r="E31" s="15"/>
      <c r="F31" s="9"/>
      <c r="G31" s="9"/>
      <c r="H31" s="9"/>
      <c r="I31" s="9">
        <v>56000</v>
      </c>
      <c r="J31" s="9" t="s">
        <v>425</v>
      </c>
      <c r="K31" s="9"/>
      <c r="L31" s="9"/>
      <c r="M31" s="9"/>
      <c r="N31" s="9"/>
    </row>
    <row r="32" spans="1:14" ht="19" x14ac:dyDescent="0.2">
      <c r="A32" s="61"/>
      <c r="B32" s="58"/>
      <c r="C32" s="49"/>
      <c r="D32" s="13"/>
      <c r="E32" s="15"/>
      <c r="F32" s="9"/>
      <c r="G32" s="9"/>
      <c r="H32" s="9"/>
      <c r="I32" s="9">
        <v>30000</v>
      </c>
      <c r="J32" s="9" t="s">
        <v>426</v>
      </c>
      <c r="K32" s="9"/>
      <c r="L32" s="9"/>
      <c r="M32" s="9"/>
      <c r="N32" s="9"/>
    </row>
    <row r="33" spans="1:14" ht="19" x14ac:dyDescent="0.2">
      <c r="A33" s="61"/>
      <c r="B33" s="75"/>
      <c r="C33" s="2"/>
      <c r="D33" s="13"/>
      <c r="E33" s="9"/>
      <c r="F33" s="9"/>
      <c r="G33" s="9"/>
      <c r="H33" s="9"/>
      <c r="I33" s="9">
        <v>128000</v>
      </c>
      <c r="J33" s="9" t="s">
        <v>408</v>
      </c>
      <c r="K33" s="9"/>
      <c r="L33" s="9"/>
      <c r="M33" s="9"/>
      <c r="N33" s="9"/>
    </row>
    <row r="34" spans="1:14" ht="19" x14ac:dyDescent="0.2">
      <c r="A34" s="61"/>
      <c r="B34" s="58"/>
      <c r="C34" s="3"/>
      <c r="D34" s="13"/>
      <c r="E34" s="9"/>
      <c r="F34" s="9"/>
      <c r="G34" s="9"/>
      <c r="H34" s="9"/>
      <c r="I34" s="9">
        <v>40000</v>
      </c>
      <c r="J34" s="47" t="s">
        <v>428</v>
      </c>
      <c r="K34" s="9"/>
      <c r="L34" s="9"/>
      <c r="M34" s="9"/>
      <c r="N34" s="9"/>
    </row>
    <row r="35" spans="1:14" ht="19" x14ac:dyDescent="0.2">
      <c r="A35" s="61"/>
      <c r="B35" s="58"/>
      <c r="C35" s="49"/>
      <c r="D35" s="13"/>
      <c r="E35" s="15"/>
      <c r="F35" s="9"/>
      <c r="G35" s="9"/>
      <c r="H35" s="9"/>
      <c r="I35" s="9">
        <v>30000</v>
      </c>
      <c r="J35" s="47" t="s">
        <v>427</v>
      </c>
      <c r="K35" s="9"/>
      <c r="L35" s="9"/>
      <c r="M35" s="9"/>
      <c r="N35" s="9"/>
    </row>
    <row r="36" spans="1:14" ht="32" x14ac:dyDescent="0.2">
      <c r="A36" s="61">
        <v>343000</v>
      </c>
      <c r="B36" s="58"/>
      <c r="C36" s="49" t="s">
        <v>10</v>
      </c>
      <c r="D36" s="13" t="s">
        <v>406</v>
      </c>
      <c r="E36" s="15">
        <v>281000</v>
      </c>
      <c r="F36" s="9">
        <v>62000</v>
      </c>
      <c r="G36" s="9"/>
      <c r="H36" s="9"/>
      <c r="I36" s="9">
        <v>52000</v>
      </c>
      <c r="J36" s="47" t="s">
        <v>429</v>
      </c>
      <c r="K36" s="9"/>
      <c r="L36" s="9"/>
      <c r="M36" s="9"/>
      <c r="N36" s="9"/>
    </row>
    <row r="37" spans="1:14" ht="19" x14ac:dyDescent="0.2">
      <c r="A37" s="61">
        <v>574000</v>
      </c>
      <c r="B37" s="58">
        <v>44626</v>
      </c>
      <c r="C37" s="2" t="s">
        <v>9</v>
      </c>
      <c r="D37" s="13" t="s">
        <v>405</v>
      </c>
      <c r="E37" s="9">
        <v>522000</v>
      </c>
      <c r="F37" s="9">
        <v>52000</v>
      </c>
      <c r="G37" s="9"/>
      <c r="H37" s="9"/>
      <c r="I37" s="9"/>
      <c r="J37" s="9"/>
      <c r="K37" s="9"/>
      <c r="L37" s="9"/>
      <c r="M37" s="9"/>
      <c r="N37" s="9"/>
    </row>
    <row r="38" spans="1:14" ht="19" x14ac:dyDescent="0.2">
      <c r="A38" s="61">
        <v>239000</v>
      </c>
      <c r="B38" s="58"/>
      <c r="C38" s="3" t="s">
        <v>10</v>
      </c>
      <c r="D38" s="13" t="s">
        <v>406</v>
      </c>
      <c r="E38" s="9">
        <v>239000</v>
      </c>
      <c r="F38" s="9"/>
      <c r="G38" s="9"/>
      <c r="H38" s="9"/>
      <c r="I38" s="9">
        <v>50000</v>
      </c>
      <c r="J38" s="9" t="s">
        <v>123</v>
      </c>
      <c r="K38" s="9"/>
      <c r="L38" s="9"/>
      <c r="M38" s="9"/>
      <c r="N38" s="9"/>
    </row>
    <row r="39" spans="1:14" ht="19" x14ac:dyDescent="0.2">
      <c r="A39" s="74">
        <v>1526000</v>
      </c>
      <c r="B39" s="32">
        <v>44627</v>
      </c>
      <c r="C39" s="49" t="s">
        <v>9</v>
      </c>
      <c r="D39" s="13" t="s">
        <v>405</v>
      </c>
      <c r="E39" s="15">
        <v>1159000</v>
      </c>
      <c r="F39" s="9">
        <v>367000</v>
      </c>
      <c r="G39" s="9"/>
      <c r="H39" s="9" t="s">
        <v>430</v>
      </c>
      <c r="I39" s="9">
        <v>11500</v>
      </c>
      <c r="J39" s="9" t="s">
        <v>431</v>
      </c>
      <c r="K39" s="9"/>
      <c r="L39" s="9"/>
      <c r="M39" s="9"/>
      <c r="N39" s="9"/>
    </row>
    <row r="40" spans="1:14" ht="19" x14ac:dyDescent="0.2">
      <c r="A40" s="74"/>
      <c r="B40" s="32"/>
      <c r="C40" s="49"/>
      <c r="D40" s="13"/>
      <c r="E40" s="15"/>
      <c r="F40" s="9"/>
      <c r="G40" s="9"/>
      <c r="H40" s="9"/>
      <c r="I40" s="9">
        <v>26000</v>
      </c>
      <c r="J40" s="9" t="s">
        <v>432</v>
      </c>
      <c r="K40" s="9"/>
      <c r="L40" s="9"/>
      <c r="M40" s="9"/>
      <c r="N40" s="9"/>
    </row>
    <row r="41" spans="1:14" ht="19" x14ac:dyDescent="0.2">
      <c r="A41" s="74"/>
      <c r="B41" s="32"/>
      <c r="C41" s="49"/>
      <c r="D41" s="13"/>
      <c r="E41" s="15"/>
      <c r="F41" s="9"/>
      <c r="G41" s="9"/>
      <c r="H41" s="9"/>
      <c r="I41" s="9">
        <v>57000</v>
      </c>
      <c r="J41" s="9" t="s">
        <v>433</v>
      </c>
      <c r="K41" s="9"/>
      <c r="L41" s="9"/>
      <c r="M41" s="9"/>
      <c r="N41" s="9"/>
    </row>
    <row r="42" spans="1:14" ht="19" x14ac:dyDescent="0.2">
      <c r="A42" s="74"/>
      <c r="B42" s="32"/>
      <c r="C42" s="49"/>
      <c r="D42" s="13"/>
      <c r="E42" s="15"/>
      <c r="F42" s="9"/>
      <c r="G42" s="9"/>
      <c r="H42" s="9"/>
      <c r="I42" s="9">
        <v>30000</v>
      </c>
      <c r="J42" s="9" t="s">
        <v>434</v>
      </c>
      <c r="K42" s="9"/>
      <c r="L42" s="9"/>
      <c r="M42" s="9"/>
      <c r="N42" s="9"/>
    </row>
    <row r="43" spans="1:14" ht="19" x14ac:dyDescent="0.2">
      <c r="A43" s="74">
        <v>551000</v>
      </c>
      <c r="B43" s="32"/>
      <c r="C43" s="49" t="s">
        <v>10</v>
      </c>
      <c r="D43" s="13" t="s">
        <v>406</v>
      </c>
      <c r="E43" s="15">
        <v>519000</v>
      </c>
      <c r="F43" s="9">
        <v>32000</v>
      </c>
      <c r="G43" s="9"/>
      <c r="H43" s="9"/>
      <c r="I43" s="9"/>
      <c r="J43" s="9"/>
      <c r="K43" s="9"/>
      <c r="L43" s="9"/>
      <c r="M43" s="9"/>
      <c r="N43" s="9"/>
    </row>
    <row r="44" spans="1:14" ht="19" x14ac:dyDescent="0.2">
      <c r="A44" s="74">
        <v>703000</v>
      </c>
      <c r="B44" s="32">
        <v>44628</v>
      </c>
      <c r="C44" s="49" t="s">
        <v>9</v>
      </c>
      <c r="D44" s="13" t="s">
        <v>405</v>
      </c>
      <c r="E44" s="15">
        <v>628000</v>
      </c>
      <c r="F44" s="9">
        <v>75000</v>
      </c>
      <c r="G44" s="9"/>
      <c r="H44" s="9"/>
      <c r="I44" s="9">
        <v>200000</v>
      </c>
      <c r="J44" s="9" t="s">
        <v>449</v>
      </c>
      <c r="K44" s="9"/>
      <c r="L44" s="9"/>
      <c r="M44" s="9"/>
      <c r="N44" s="9"/>
    </row>
    <row r="45" spans="1:14" ht="19" x14ac:dyDescent="0.2">
      <c r="A45" s="74">
        <v>936000</v>
      </c>
      <c r="B45" s="33"/>
      <c r="C45" s="2" t="s">
        <v>10</v>
      </c>
      <c r="D45" s="13" t="s">
        <v>406</v>
      </c>
      <c r="E45" s="9">
        <v>900000</v>
      </c>
      <c r="F45" s="9">
        <v>36000</v>
      </c>
      <c r="G45" s="9"/>
      <c r="H45" s="9"/>
      <c r="I45" s="9">
        <v>27000</v>
      </c>
      <c r="J45" s="9" t="s">
        <v>435</v>
      </c>
      <c r="K45" s="9"/>
      <c r="L45" s="9"/>
      <c r="M45" s="9"/>
      <c r="N45" s="9"/>
    </row>
    <row r="46" spans="1:14" ht="19" x14ac:dyDescent="0.2">
      <c r="A46" s="74"/>
      <c r="B46" s="32"/>
      <c r="C46" s="3"/>
      <c r="D46" s="13"/>
      <c r="E46" s="15"/>
      <c r="F46" s="9"/>
      <c r="G46" s="9">
        <v>803000</v>
      </c>
      <c r="H46" s="59" t="s">
        <v>437</v>
      </c>
      <c r="I46" s="9">
        <v>65000</v>
      </c>
      <c r="J46" s="9" t="s">
        <v>436</v>
      </c>
      <c r="K46" s="9"/>
      <c r="L46" s="9"/>
      <c r="M46" s="9"/>
      <c r="N46" s="9"/>
    </row>
    <row r="47" spans="1:14" ht="19" x14ac:dyDescent="0.2">
      <c r="A47" s="74"/>
      <c r="B47" s="33"/>
      <c r="C47" s="2"/>
      <c r="D47" s="13"/>
      <c r="E47" s="15"/>
      <c r="F47" s="9"/>
      <c r="G47" s="9">
        <v>2621000</v>
      </c>
      <c r="H47" s="9" t="s">
        <v>479</v>
      </c>
      <c r="I47" s="9">
        <v>27000</v>
      </c>
      <c r="J47" s="9" t="s">
        <v>438</v>
      </c>
      <c r="K47" s="9"/>
      <c r="L47" s="9"/>
      <c r="M47" s="9"/>
      <c r="N47" s="9"/>
    </row>
    <row r="48" spans="1:14" ht="19" x14ac:dyDescent="0.2">
      <c r="A48" s="74">
        <v>885000</v>
      </c>
      <c r="B48" s="32">
        <v>44629</v>
      </c>
      <c r="C48" s="35" t="s">
        <v>9</v>
      </c>
      <c r="D48" s="13" t="s">
        <v>405</v>
      </c>
      <c r="E48" s="15">
        <v>808000</v>
      </c>
      <c r="F48" s="9">
        <v>77000</v>
      </c>
      <c r="G48" s="9"/>
      <c r="H48" s="9"/>
      <c r="I48" s="9">
        <v>81500</v>
      </c>
      <c r="J48" s="9" t="s">
        <v>439</v>
      </c>
      <c r="K48" s="9"/>
      <c r="L48" s="9"/>
      <c r="M48" s="9"/>
      <c r="N48" s="9"/>
    </row>
    <row r="49" spans="1:14" ht="19" x14ac:dyDescent="0.2">
      <c r="A49" s="61"/>
      <c r="B49" s="58"/>
      <c r="C49" s="3"/>
      <c r="D49" s="13"/>
      <c r="E49" s="15"/>
      <c r="F49" s="9"/>
      <c r="G49" s="9"/>
      <c r="H49" s="59"/>
      <c r="I49" s="9">
        <v>44500</v>
      </c>
      <c r="J49" s="9" t="s">
        <v>448</v>
      </c>
      <c r="K49" s="9"/>
      <c r="L49" s="9"/>
      <c r="M49" s="9"/>
      <c r="N49" s="9"/>
    </row>
    <row r="50" spans="1:14" ht="19" x14ac:dyDescent="0.2">
      <c r="A50" s="61"/>
      <c r="B50" s="75"/>
      <c r="C50" s="2"/>
      <c r="D50" s="13"/>
      <c r="E50" s="15"/>
      <c r="F50" s="9"/>
      <c r="G50" s="9"/>
      <c r="H50" s="9"/>
      <c r="I50" s="9">
        <v>128000</v>
      </c>
      <c r="J50" s="9" t="s">
        <v>408</v>
      </c>
      <c r="K50" s="9"/>
      <c r="L50" s="9"/>
      <c r="M50" s="9"/>
      <c r="N50" s="9"/>
    </row>
    <row r="51" spans="1:14" ht="19" x14ac:dyDescent="0.2">
      <c r="A51" s="61"/>
      <c r="B51" s="75"/>
      <c r="C51" s="35"/>
      <c r="D51" s="13"/>
      <c r="E51" s="15"/>
      <c r="F51" s="9"/>
      <c r="G51" s="9"/>
      <c r="H51" s="47"/>
      <c r="I51" s="9">
        <v>30000</v>
      </c>
      <c r="J51" s="9" t="s">
        <v>426</v>
      </c>
      <c r="K51" s="9"/>
      <c r="L51" s="9"/>
      <c r="M51" s="9"/>
      <c r="N51" s="9"/>
    </row>
    <row r="52" spans="1:14" ht="19" x14ac:dyDescent="0.2">
      <c r="A52" s="61"/>
      <c r="B52" s="75"/>
      <c r="C52" s="35"/>
      <c r="D52" s="13"/>
      <c r="E52" s="15"/>
      <c r="F52" s="9"/>
      <c r="G52" s="9"/>
      <c r="H52" s="9"/>
      <c r="I52" s="9">
        <v>56000</v>
      </c>
      <c r="J52" s="9" t="s">
        <v>425</v>
      </c>
      <c r="K52" s="9"/>
      <c r="L52" s="9"/>
      <c r="M52" s="9"/>
      <c r="N52" s="9"/>
    </row>
    <row r="53" spans="1:14" ht="19" x14ac:dyDescent="0.2">
      <c r="A53" s="61">
        <v>388000</v>
      </c>
      <c r="B53" s="75"/>
      <c r="C53" s="35" t="s">
        <v>10</v>
      </c>
      <c r="D53" s="13" t="s">
        <v>406</v>
      </c>
      <c r="E53" s="15">
        <v>326000</v>
      </c>
      <c r="F53" s="9">
        <v>62000</v>
      </c>
      <c r="G53" s="9"/>
      <c r="H53" s="9"/>
      <c r="I53" s="9">
        <v>25000</v>
      </c>
      <c r="J53" s="9" t="s">
        <v>450</v>
      </c>
      <c r="K53" s="9"/>
      <c r="L53" s="9"/>
      <c r="M53" s="9"/>
      <c r="N53" s="9"/>
    </row>
    <row r="54" spans="1:14" ht="19" x14ac:dyDescent="0.2">
      <c r="A54" s="61"/>
      <c r="B54" s="58"/>
      <c r="C54" s="3"/>
      <c r="D54" s="13"/>
      <c r="E54" s="15"/>
      <c r="F54" s="9"/>
      <c r="G54" s="60"/>
      <c r="H54" s="59"/>
      <c r="I54" s="9"/>
      <c r="J54" s="9"/>
      <c r="K54" s="9"/>
      <c r="L54" s="9"/>
      <c r="M54" s="9"/>
      <c r="N54" s="9"/>
    </row>
    <row r="55" spans="1:14" ht="19" x14ac:dyDescent="0.2">
      <c r="A55" s="61">
        <v>1102000</v>
      </c>
      <c r="B55" s="58">
        <v>44630</v>
      </c>
      <c r="C55" s="2" t="s">
        <v>440</v>
      </c>
      <c r="D55" s="13" t="s">
        <v>405</v>
      </c>
      <c r="E55" s="15">
        <v>954000</v>
      </c>
      <c r="F55" s="9">
        <v>148000</v>
      </c>
      <c r="G55" s="9"/>
      <c r="H55" s="9"/>
      <c r="I55" s="9">
        <v>30000</v>
      </c>
      <c r="J55" s="9" t="s">
        <v>458</v>
      </c>
      <c r="K55" s="9"/>
      <c r="L55" s="9"/>
      <c r="M55" s="9"/>
      <c r="N55" s="9"/>
    </row>
    <row r="56" spans="1:14" ht="19" x14ac:dyDescent="0.2">
      <c r="A56" s="61"/>
      <c r="B56" s="58"/>
      <c r="C56" s="3"/>
      <c r="D56" s="13"/>
      <c r="E56" s="15"/>
      <c r="F56" s="9"/>
      <c r="G56" s="9"/>
      <c r="H56" s="9"/>
      <c r="I56" s="9">
        <v>40000</v>
      </c>
      <c r="J56" s="9" t="s">
        <v>441</v>
      </c>
      <c r="K56" s="9"/>
      <c r="L56" s="9"/>
      <c r="M56" s="9"/>
      <c r="N56" s="9"/>
    </row>
    <row r="57" spans="1:14" ht="19" x14ac:dyDescent="0.2">
      <c r="A57" s="61"/>
      <c r="B57" s="58"/>
      <c r="C57" s="49"/>
      <c r="D57" s="13"/>
      <c r="E57" s="15"/>
      <c r="F57" s="9"/>
      <c r="G57" s="9"/>
      <c r="H57" s="9"/>
      <c r="I57" s="9"/>
      <c r="J57" s="9"/>
      <c r="K57" s="9"/>
      <c r="L57" s="9"/>
      <c r="M57" s="9"/>
      <c r="N57" s="9"/>
    </row>
    <row r="58" spans="1:14" ht="19" x14ac:dyDescent="0.2">
      <c r="A58" s="61">
        <v>260000</v>
      </c>
      <c r="B58" s="58"/>
      <c r="C58" s="49" t="s">
        <v>363</v>
      </c>
      <c r="D58" s="13" t="s">
        <v>406</v>
      </c>
      <c r="E58" s="15">
        <v>212000</v>
      </c>
      <c r="F58" s="9">
        <v>48000</v>
      </c>
      <c r="G58" s="9"/>
      <c r="H58" s="9"/>
      <c r="I58" s="9"/>
      <c r="J58" s="9"/>
      <c r="K58" s="9"/>
      <c r="L58" s="9"/>
      <c r="M58" s="9"/>
      <c r="N58" s="9"/>
    </row>
    <row r="59" spans="1:14" ht="19" x14ac:dyDescent="0.2">
      <c r="A59" s="61">
        <v>1103000</v>
      </c>
      <c r="B59" s="58">
        <v>44631</v>
      </c>
      <c r="C59" s="49" t="s">
        <v>9</v>
      </c>
      <c r="D59" s="13" t="s">
        <v>405</v>
      </c>
      <c r="E59" s="15">
        <v>996000</v>
      </c>
      <c r="F59" s="9">
        <v>107000</v>
      </c>
      <c r="G59" s="9"/>
      <c r="H59" s="9"/>
      <c r="I59" s="9"/>
      <c r="J59" s="9"/>
      <c r="K59" s="9"/>
      <c r="L59" s="9"/>
      <c r="M59" s="9"/>
      <c r="N59" s="9"/>
    </row>
    <row r="60" spans="1:14" ht="19" x14ac:dyDescent="0.2">
      <c r="A60" s="61">
        <v>453000</v>
      </c>
      <c r="B60" s="58"/>
      <c r="C60" s="49" t="s">
        <v>10</v>
      </c>
      <c r="D60" s="13" t="s">
        <v>406</v>
      </c>
      <c r="E60" s="15">
        <v>417000</v>
      </c>
      <c r="F60" s="9">
        <v>36000</v>
      </c>
      <c r="G60" s="9"/>
      <c r="H60" s="9"/>
      <c r="I60" s="9"/>
      <c r="J60" s="9"/>
      <c r="K60" s="9"/>
      <c r="L60" s="9"/>
      <c r="M60" s="9"/>
      <c r="N60" s="9"/>
    </row>
    <row r="61" spans="1:14" ht="19" x14ac:dyDescent="0.2">
      <c r="A61" s="61">
        <v>855000</v>
      </c>
      <c r="B61" s="58">
        <v>44573</v>
      </c>
      <c r="C61" s="49" t="s">
        <v>9</v>
      </c>
      <c r="D61" s="13" t="s">
        <v>405</v>
      </c>
      <c r="E61" s="15">
        <v>734000</v>
      </c>
      <c r="F61" s="9">
        <v>121000</v>
      </c>
      <c r="G61" s="9"/>
      <c r="H61" s="9"/>
      <c r="I61" s="9">
        <v>35500</v>
      </c>
      <c r="J61" s="9" t="s">
        <v>369</v>
      </c>
      <c r="K61" s="9"/>
      <c r="L61" s="9"/>
      <c r="M61" s="9"/>
      <c r="N61" s="9"/>
    </row>
    <row r="62" spans="1:14" ht="19" x14ac:dyDescent="0.2">
      <c r="A62" s="61"/>
      <c r="B62" s="58"/>
      <c r="C62" s="49"/>
      <c r="D62" s="13"/>
      <c r="E62" s="15"/>
      <c r="F62" s="9"/>
      <c r="G62" s="9"/>
      <c r="H62" s="9"/>
      <c r="I62" s="9">
        <v>38000</v>
      </c>
      <c r="J62" s="9" t="s">
        <v>442</v>
      </c>
      <c r="K62" s="9"/>
      <c r="L62" s="9"/>
      <c r="M62" s="9"/>
      <c r="N62" s="9"/>
    </row>
    <row r="63" spans="1:14" ht="19" x14ac:dyDescent="0.2">
      <c r="A63" s="61"/>
      <c r="B63" s="58"/>
      <c r="C63" s="49"/>
      <c r="D63" s="13"/>
      <c r="E63" s="15"/>
      <c r="F63" s="9"/>
      <c r="G63" s="9"/>
      <c r="H63" s="9"/>
      <c r="I63" s="9"/>
      <c r="J63" s="9" t="s">
        <v>443</v>
      </c>
      <c r="K63" s="9"/>
      <c r="L63" s="9"/>
      <c r="M63" s="9"/>
      <c r="N63" s="9"/>
    </row>
    <row r="64" spans="1:14" ht="19" x14ac:dyDescent="0.2">
      <c r="A64" s="74">
        <v>540000</v>
      </c>
      <c r="B64" s="58"/>
      <c r="C64" s="49" t="s">
        <v>10</v>
      </c>
      <c r="D64" s="13" t="s">
        <v>406</v>
      </c>
      <c r="E64" s="15">
        <v>406000</v>
      </c>
      <c r="F64" s="9">
        <v>134000</v>
      </c>
      <c r="G64" s="9"/>
      <c r="H64" s="9"/>
      <c r="I64" s="9">
        <v>200000</v>
      </c>
      <c r="J64" s="9" t="s">
        <v>424</v>
      </c>
      <c r="K64" s="9"/>
      <c r="L64" s="9"/>
      <c r="M64" s="9"/>
      <c r="N64" s="9"/>
    </row>
    <row r="65" spans="1:14" ht="19" x14ac:dyDescent="0.2">
      <c r="A65" s="61"/>
      <c r="B65" s="75"/>
      <c r="C65" s="2"/>
      <c r="D65" s="13"/>
      <c r="E65" s="15"/>
      <c r="F65" s="9"/>
      <c r="G65" s="9"/>
      <c r="H65" s="9"/>
      <c r="I65" s="9">
        <v>40000</v>
      </c>
      <c r="J65" s="47" t="s">
        <v>444</v>
      </c>
      <c r="K65" s="9"/>
      <c r="L65" s="9"/>
      <c r="M65" s="9"/>
      <c r="N65" s="9"/>
    </row>
    <row r="66" spans="1:14" ht="19" x14ac:dyDescent="0.2">
      <c r="A66" s="61"/>
      <c r="B66" s="58"/>
      <c r="C66" s="3"/>
      <c r="D66" s="13"/>
      <c r="E66" s="15"/>
      <c r="F66" s="9"/>
      <c r="G66" s="9"/>
      <c r="H66" s="9"/>
      <c r="I66" s="9">
        <v>35000</v>
      </c>
      <c r="J66" s="9" t="s">
        <v>423</v>
      </c>
      <c r="K66" s="9"/>
      <c r="L66" s="9"/>
      <c r="M66" s="9"/>
      <c r="N66" s="9"/>
    </row>
    <row r="67" spans="1:14" ht="19" x14ac:dyDescent="0.2">
      <c r="A67" s="74">
        <v>742000</v>
      </c>
      <c r="B67" s="58">
        <v>44633</v>
      </c>
      <c r="C67" s="49" t="s">
        <v>9</v>
      </c>
      <c r="D67" s="13" t="s">
        <v>105</v>
      </c>
      <c r="E67" s="15">
        <v>742000</v>
      </c>
      <c r="F67" s="9"/>
      <c r="G67" s="9"/>
      <c r="H67" s="9" t="s">
        <v>137</v>
      </c>
      <c r="I67" s="9"/>
      <c r="J67" s="9"/>
      <c r="K67" s="9"/>
      <c r="L67" s="9"/>
      <c r="M67" s="9"/>
      <c r="N67" s="9"/>
    </row>
    <row r="68" spans="1:14" ht="19" x14ac:dyDescent="0.2">
      <c r="A68" s="61">
        <v>657000</v>
      </c>
      <c r="B68" s="75"/>
      <c r="C68" s="2" t="s">
        <v>10</v>
      </c>
      <c r="D68" s="13" t="s">
        <v>406</v>
      </c>
      <c r="E68" s="15">
        <v>576000</v>
      </c>
      <c r="F68" s="9">
        <v>81000</v>
      </c>
      <c r="G68" s="9"/>
      <c r="H68" s="9"/>
      <c r="I68" s="9">
        <v>50000</v>
      </c>
      <c r="J68" s="9" t="s">
        <v>123</v>
      </c>
      <c r="K68" s="9"/>
      <c r="L68" s="9"/>
      <c r="M68" s="9"/>
      <c r="N68" s="9"/>
    </row>
    <row r="69" spans="1:14" ht="19" x14ac:dyDescent="0.2">
      <c r="A69" s="61">
        <v>155000</v>
      </c>
      <c r="B69" s="58">
        <v>44634</v>
      </c>
      <c r="C69" s="3" t="s">
        <v>9</v>
      </c>
      <c r="D69" s="13" t="s">
        <v>405</v>
      </c>
      <c r="E69" s="15">
        <v>112000</v>
      </c>
      <c r="F69" s="9">
        <v>43000</v>
      </c>
      <c r="G69" s="9"/>
      <c r="H69" s="9"/>
      <c r="I69" s="9">
        <v>120000</v>
      </c>
      <c r="J69" s="9" t="s">
        <v>445</v>
      </c>
      <c r="K69" s="9"/>
      <c r="L69" s="9"/>
      <c r="M69" s="9"/>
      <c r="N69" s="9"/>
    </row>
    <row r="70" spans="1:14" ht="19" x14ac:dyDescent="0.2">
      <c r="A70" s="61"/>
      <c r="B70" s="58"/>
      <c r="C70" s="49"/>
      <c r="D70" s="13"/>
      <c r="E70" s="15"/>
      <c r="F70" s="9"/>
      <c r="G70" s="9"/>
      <c r="H70" s="9"/>
      <c r="I70" s="9">
        <v>56000</v>
      </c>
      <c r="J70" s="47" t="s">
        <v>425</v>
      </c>
      <c r="K70" s="9"/>
      <c r="L70" s="9"/>
      <c r="M70" s="9"/>
      <c r="N70" s="9"/>
    </row>
    <row r="71" spans="1:14" ht="19" x14ac:dyDescent="0.2">
      <c r="A71" s="61"/>
      <c r="B71" s="75"/>
      <c r="C71" s="2"/>
      <c r="D71" s="13"/>
      <c r="E71" s="15"/>
      <c r="F71" s="9"/>
      <c r="G71" s="9"/>
      <c r="H71" s="9"/>
      <c r="I71" s="9">
        <v>30000</v>
      </c>
      <c r="J71" s="9" t="s">
        <v>426</v>
      </c>
      <c r="K71" s="9"/>
      <c r="L71" s="9"/>
      <c r="M71" s="9"/>
      <c r="N71" s="9"/>
    </row>
    <row r="72" spans="1:14" ht="19" x14ac:dyDescent="0.2">
      <c r="A72" s="61"/>
      <c r="B72" s="75"/>
      <c r="C72" s="35"/>
      <c r="D72" s="13"/>
      <c r="E72" s="15"/>
      <c r="F72" s="9"/>
      <c r="G72" s="9"/>
      <c r="H72" s="9"/>
      <c r="I72" s="9">
        <v>49500</v>
      </c>
      <c r="J72" s="9" t="s">
        <v>446</v>
      </c>
      <c r="K72" s="9"/>
      <c r="L72" s="9"/>
      <c r="M72" s="9"/>
      <c r="N72" s="9"/>
    </row>
    <row r="73" spans="1:14" ht="19" x14ac:dyDescent="0.2">
      <c r="A73" s="61"/>
      <c r="B73" s="58"/>
      <c r="C73" s="3"/>
      <c r="D73" s="13"/>
      <c r="E73" s="15"/>
      <c r="F73" s="9"/>
      <c r="G73" s="60"/>
      <c r="H73" s="59"/>
      <c r="I73" s="9">
        <v>32500</v>
      </c>
      <c r="J73" s="9" t="s">
        <v>447</v>
      </c>
      <c r="K73" s="9"/>
      <c r="L73" s="9"/>
      <c r="M73" s="9"/>
      <c r="N73" s="9"/>
    </row>
    <row r="74" spans="1:14" ht="32" x14ac:dyDescent="0.2">
      <c r="A74" s="61">
        <v>514000</v>
      </c>
      <c r="B74" s="75"/>
      <c r="C74" s="2" t="s">
        <v>10</v>
      </c>
      <c r="D74" s="13" t="s">
        <v>406</v>
      </c>
      <c r="E74" s="15">
        <v>432000</v>
      </c>
      <c r="F74" s="9">
        <v>82000</v>
      </c>
      <c r="G74" s="9">
        <v>710000</v>
      </c>
      <c r="H74" s="47" t="s">
        <v>461</v>
      </c>
      <c r="I74" s="9"/>
      <c r="J74" s="9"/>
      <c r="K74" s="9"/>
      <c r="L74" s="9"/>
      <c r="M74" s="9"/>
      <c r="N74" s="9"/>
    </row>
    <row r="75" spans="1:14" ht="32" x14ac:dyDescent="0.2">
      <c r="A75" s="61">
        <v>1594000</v>
      </c>
      <c r="B75" s="58">
        <v>44635</v>
      </c>
      <c r="C75" s="3" t="s">
        <v>9</v>
      </c>
      <c r="D75" s="13" t="s">
        <v>405</v>
      </c>
      <c r="E75" s="15">
        <v>1391000</v>
      </c>
      <c r="F75" s="9">
        <v>203000</v>
      </c>
      <c r="G75" s="9">
        <v>891000</v>
      </c>
      <c r="H75" s="47" t="s">
        <v>462</v>
      </c>
      <c r="I75" s="9"/>
      <c r="J75" s="47"/>
      <c r="K75" s="9"/>
      <c r="L75" s="9"/>
      <c r="M75" s="9"/>
      <c r="N75" s="9"/>
    </row>
    <row r="76" spans="1:14" ht="19" x14ac:dyDescent="0.2">
      <c r="A76" s="61">
        <v>947000</v>
      </c>
      <c r="B76" s="75"/>
      <c r="C76" s="2" t="s">
        <v>10</v>
      </c>
      <c r="D76" s="13" t="s">
        <v>406</v>
      </c>
      <c r="E76" s="15">
        <v>757000</v>
      </c>
      <c r="F76" s="9">
        <v>190000</v>
      </c>
      <c r="G76" s="9">
        <v>240000</v>
      </c>
      <c r="H76" s="47" t="s">
        <v>463</v>
      </c>
      <c r="I76" s="9"/>
      <c r="J76" s="9"/>
      <c r="K76" s="9"/>
      <c r="L76" s="9"/>
      <c r="M76" s="9"/>
      <c r="N76" s="9"/>
    </row>
    <row r="77" spans="1:14" ht="19" x14ac:dyDescent="0.2">
      <c r="A77" s="61">
        <v>475000</v>
      </c>
      <c r="B77" s="58">
        <v>44636</v>
      </c>
      <c r="C77" s="35" t="s">
        <v>9</v>
      </c>
      <c r="D77" s="13" t="s">
        <v>405</v>
      </c>
      <c r="E77" s="15">
        <v>399000</v>
      </c>
      <c r="F77" s="9">
        <v>76000</v>
      </c>
      <c r="G77" s="9">
        <v>120000</v>
      </c>
      <c r="H77" s="9" t="s">
        <v>464</v>
      </c>
      <c r="I77" s="9"/>
      <c r="J77" s="9"/>
      <c r="K77" s="9"/>
      <c r="L77" s="9"/>
      <c r="M77" s="9"/>
      <c r="N77" s="9"/>
    </row>
    <row r="78" spans="1:14" ht="19" x14ac:dyDescent="0.2">
      <c r="A78" s="61">
        <v>212000</v>
      </c>
      <c r="B78" s="58"/>
      <c r="C78" s="3" t="s">
        <v>10</v>
      </c>
      <c r="D78" s="13" t="s">
        <v>406</v>
      </c>
      <c r="E78" s="15">
        <v>196000</v>
      </c>
      <c r="F78" s="9">
        <v>16000</v>
      </c>
      <c r="G78" s="9">
        <v>2310000</v>
      </c>
      <c r="H78" s="59" t="s">
        <v>466</v>
      </c>
      <c r="I78" s="9">
        <v>12000</v>
      </c>
      <c r="J78" s="9" t="s">
        <v>451</v>
      </c>
      <c r="K78" s="9"/>
      <c r="L78" s="9"/>
      <c r="M78" s="9"/>
      <c r="N78" s="9"/>
    </row>
    <row r="79" spans="1:14" ht="19" x14ac:dyDescent="0.2">
      <c r="A79" s="61"/>
      <c r="B79" s="58"/>
      <c r="C79" s="49"/>
      <c r="D79" s="13"/>
      <c r="E79" s="15"/>
      <c r="F79" s="9"/>
      <c r="G79" s="9">
        <v>1871000</v>
      </c>
      <c r="H79" s="9" t="s">
        <v>465</v>
      </c>
      <c r="I79" s="9">
        <v>44500</v>
      </c>
      <c r="J79" s="9" t="s">
        <v>448</v>
      </c>
      <c r="K79" s="9"/>
      <c r="L79" s="9"/>
      <c r="M79" s="9"/>
      <c r="N79" s="9"/>
    </row>
    <row r="80" spans="1:14" ht="19" x14ac:dyDescent="0.2">
      <c r="A80" s="61"/>
      <c r="B80" s="58"/>
      <c r="C80" s="49"/>
      <c r="D80" s="13"/>
      <c r="E80" s="15"/>
      <c r="F80" s="9"/>
      <c r="G80" s="9"/>
      <c r="H80" s="9"/>
      <c r="I80" s="9">
        <v>53500</v>
      </c>
      <c r="J80" s="9" t="s">
        <v>452</v>
      </c>
      <c r="K80" s="9"/>
      <c r="L80" s="9"/>
      <c r="M80" s="9"/>
      <c r="N80" s="9"/>
    </row>
    <row r="81" spans="1:14" ht="19" x14ac:dyDescent="0.2">
      <c r="A81" s="61"/>
      <c r="B81" s="75"/>
      <c r="C81" s="2"/>
      <c r="D81" s="13"/>
      <c r="E81" s="15"/>
      <c r="F81" s="9"/>
      <c r="G81" s="9"/>
      <c r="H81" s="9"/>
      <c r="I81" s="9">
        <v>24000</v>
      </c>
      <c r="J81" s="9" t="s">
        <v>453</v>
      </c>
      <c r="K81" s="9"/>
      <c r="L81" s="9"/>
      <c r="M81" s="9"/>
      <c r="N81" s="9"/>
    </row>
    <row r="82" spans="1:14" ht="19" x14ac:dyDescent="0.2">
      <c r="A82" s="61"/>
      <c r="B82" s="58"/>
      <c r="C82" s="3"/>
      <c r="D82" s="13"/>
      <c r="E82" s="9"/>
      <c r="F82" s="9"/>
      <c r="G82" s="9"/>
      <c r="H82" s="9"/>
      <c r="I82" s="9">
        <v>311000</v>
      </c>
      <c r="J82" s="9" t="s">
        <v>454</v>
      </c>
      <c r="K82" s="9"/>
      <c r="L82" s="9"/>
      <c r="M82" s="9"/>
      <c r="N82" s="9"/>
    </row>
    <row r="83" spans="1:14" ht="19" x14ac:dyDescent="0.2">
      <c r="A83" s="61"/>
      <c r="B83" s="58"/>
      <c r="C83" s="49"/>
      <c r="D83" s="13"/>
      <c r="E83" s="15"/>
      <c r="F83" s="9"/>
      <c r="G83" s="9"/>
      <c r="H83" s="9"/>
      <c r="I83" s="9">
        <v>60000</v>
      </c>
      <c r="J83" s="9" t="s">
        <v>455</v>
      </c>
      <c r="K83" s="9"/>
      <c r="L83" s="9"/>
      <c r="M83" s="9"/>
      <c r="N83" s="9"/>
    </row>
    <row r="84" spans="1:14" ht="19" x14ac:dyDescent="0.2">
      <c r="A84" s="61"/>
      <c r="B84" s="58"/>
      <c r="C84" s="49"/>
      <c r="D84" s="13"/>
      <c r="E84" s="15"/>
      <c r="F84" s="9"/>
      <c r="G84" s="9"/>
      <c r="H84" s="9"/>
      <c r="I84" s="9">
        <v>12500</v>
      </c>
      <c r="J84" s="9" t="s">
        <v>456</v>
      </c>
      <c r="K84" s="9"/>
      <c r="L84" s="9"/>
      <c r="M84" s="9"/>
      <c r="N84" s="9"/>
    </row>
    <row r="85" spans="1:14" ht="19" x14ac:dyDescent="0.2">
      <c r="A85" s="61"/>
      <c r="B85" s="58"/>
      <c r="C85" s="49"/>
      <c r="D85" s="13"/>
      <c r="E85" s="15"/>
      <c r="F85" s="9"/>
      <c r="G85" s="9"/>
      <c r="H85" s="9"/>
      <c r="I85" s="9">
        <v>30000</v>
      </c>
      <c r="J85" s="9" t="s">
        <v>457</v>
      </c>
      <c r="K85" s="9"/>
      <c r="L85" s="9"/>
      <c r="M85" s="9"/>
      <c r="N85" s="9"/>
    </row>
    <row r="86" spans="1:14" ht="19" x14ac:dyDescent="0.2">
      <c r="A86" s="61"/>
      <c r="B86" s="75"/>
      <c r="C86" s="2"/>
      <c r="D86" s="13"/>
      <c r="E86" s="9"/>
      <c r="F86" s="9"/>
      <c r="G86" s="9"/>
      <c r="H86" s="9"/>
      <c r="I86" s="9">
        <v>40000</v>
      </c>
      <c r="J86" s="9" t="s">
        <v>441</v>
      </c>
      <c r="K86" s="9"/>
      <c r="L86" s="9"/>
      <c r="M86" s="9"/>
      <c r="N86" s="9"/>
    </row>
    <row r="87" spans="1:14" ht="19" x14ac:dyDescent="0.2">
      <c r="A87" s="61"/>
      <c r="B87" s="75"/>
      <c r="C87" s="35"/>
      <c r="D87" s="13"/>
      <c r="E87" s="15"/>
      <c r="F87" s="9"/>
      <c r="G87" s="9"/>
      <c r="H87" s="9"/>
      <c r="I87" s="9">
        <v>620000</v>
      </c>
      <c r="J87" s="9" t="s">
        <v>266</v>
      </c>
      <c r="K87" s="9"/>
      <c r="L87" s="9"/>
      <c r="M87" s="9"/>
      <c r="N87" s="9"/>
    </row>
    <row r="88" spans="1:14" ht="19" x14ac:dyDescent="0.2">
      <c r="A88" s="61"/>
      <c r="B88" s="58"/>
      <c r="C88" s="3"/>
      <c r="D88" s="13"/>
      <c r="E88" s="9"/>
      <c r="F88" s="9"/>
      <c r="G88" s="9"/>
      <c r="H88" s="9"/>
      <c r="I88" s="9">
        <v>310000</v>
      </c>
      <c r="J88" s="9" t="s">
        <v>459</v>
      </c>
      <c r="K88" s="9"/>
      <c r="L88" s="9"/>
      <c r="M88" s="9"/>
      <c r="N88" s="9"/>
    </row>
    <row r="89" spans="1:14" ht="19" x14ac:dyDescent="0.2">
      <c r="A89" s="61"/>
      <c r="B89" s="75"/>
      <c r="C89" s="2"/>
      <c r="D89" s="13"/>
      <c r="E89" s="9"/>
      <c r="F89" s="9"/>
      <c r="G89" s="9"/>
      <c r="H89" s="9"/>
      <c r="I89" s="9">
        <v>90000</v>
      </c>
      <c r="J89" s="9" t="s">
        <v>460</v>
      </c>
      <c r="K89" s="9"/>
      <c r="L89" s="9"/>
      <c r="M89" s="9"/>
      <c r="N89" s="9"/>
    </row>
    <row r="90" spans="1:14" ht="19" x14ac:dyDescent="0.2">
      <c r="A90" s="74">
        <v>1227000</v>
      </c>
      <c r="B90" s="58">
        <v>44637</v>
      </c>
      <c r="C90" s="35" t="s">
        <v>9</v>
      </c>
      <c r="D90" s="13" t="s">
        <v>405</v>
      </c>
      <c r="E90" s="15">
        <v>1043000</v>
      </c>
      <c r="F90" s="9">
        <v>184000</v>
      </c>
      <c r="G90" s="9">
        <v>2631000</v>
      </c>
      <c r="H90" s="77" t="s">
        <v>478</v>
      </c>
      <c r="I90" s="9">
        <v>200000</v>
      </c>
      <c r="J90" s="47" t="s">
        <v>449</v>
      </c>
      <c r="K90" s="9"/>
      <c r="L90" s="9"/>
      <c r="M90" s="9"/>
      <c r="N90" s="9"/>
    </row>
    <row r="91" spans="1:14" ht="19" x14ac:dyDescent="0.2">
      <c r="A91" s="74">
        <v>358000</v>
      </c>
      <c r="B91" s="75"/>
      <c r="C91" s="35" t="s">
        <v>10</v>
      </c>
      <c r="D91" s="13" t="s">
        <v>406</v>
      </c>
      <c r="E91" s="15">
        <v>324000</v>
      </c>
      <c r="F91" s="9">
        <v>34000</v>
      </c>
      <c r="G91" s="9"/>
      <c r="H91" s="9"/>
      <c r="I91" s="9">
        <v>40000</v>
      </c>
      <c r="J91" s="9" t="s">
        <v>444</v>
      </c>
      <c r="K91" s="9"/>
      <c r="L91" s="9"/>
      <c r="M91" s="9"/>
      <c r="N91" s="9"/>
    </row>
    <row r="92" spans="1:14" ht="19" x14ac:dyDescent="0.2">
      <c r="A92" s="61">
        <v>618000</v>
      </c>
      <c r="B92" s="58" t="s">
        <v>467</v>
      </c>
      <c r="C92" s="3" t="s">
        <v>9</v>
      </c>
      <c r="D92" s="13" t="s">
        <v>405</v>
      </c>
      <c r="E92" s="9">
        <v>582000</v>
      </c>
      <c r="F92" s="9">
        <v>36000</v>
      </c>
      <c r="G92" s="9"/>
      <c r="H92" s="9" t="s">
        <v>469</v>
      </c>
      <c r="I92" s="9">
        <v>38000</v>
      </c>
      <c r="J92" s="9" t="s">
        <v>369</v>
      </c>
      <c r="K92" s="9"/>
      <c r="L92" s="9"/>
      <c r="M92" s="9"/>
      <c r="N92" s="9"/>
    </row>
    <row r="93" spans="1:14" ht="19" x14ac:dyDescent="0.2">
      <c r="A93" s="61">
        <v>830000</v>
      </c>
      <c r="B93" s="75"/>
      <c r="C93" s="2" t="s">
        <v>10</v>
      </c>
      <c r="D93" s="13" t="s">
        <v>406</v>
      </c>
      <c r="E93" s="9">
        <v>778000</v>
      </c>
      <c r="F93" s="9">
        <v>52000</v>
      </c>
      <c r="G93" s="9"/>
      <c r="H93" s="9" t="s">
        <v>470</v>
      </c>
      <c r="I93" s="9">
        <v>49500</v>
      </c>
      <c r="J93" s="47" t="s">
        <v>468</v>
      </c>
      <c r="K93" s="9"/>
      <c r="L93" s="9"/>
      <c r="M93" s="9"/>
      <c r="N93" s="9"/>
    </row>
    <row r="94" spans="1:14" ht="19" x14ac:dyDescent="0.2">
      <c r="A94" s="61">
        <v>734000</v>
      </c>
      <c r="B94" s="58">
        <v>44639</v>
      </c>
      <c r="C94" s="3" t="s">
        <v>9</v>
      </c>
      <c r="D94" s="13" t="s">
        <v>405</v>
      </c>
      <c r="E94" s="9">
        <v>638000</v>
      </c>
      <c r="F94" s="9">
        <v>96000</v>
      </c>
      <c r="G94" s="9"/>
      <c r="H94" s="9" t="s">
        <v>471</v>
      </c>
      <c r="I94" s="9"/>
      <c r="J94" s="47"/>
      <c r="K94" s="9"/>
      <c r="L94" s="9"/>
      <c r="M94" s="9"/>
      <c r="N94" s="9"/>
    </row>
    <row r="95" spans="1:14" ht="19" x14ac:dyDescent="0.2">
      <c r="A95" s="61">
        <v>505000</v>
      </c>
      <c r="B95" s="58"/>
      <c r="C95" s="49" t="s">
        <v>10</v>
      </c>
      <c r="D95" s="13" t="s">
        <v>406</v>
      </c>
      <c r="E95" s="15">
        <v>445000</v>
      </c>
      <c r="F95" s="9">
        <v>60000</v>
      </c>
      <c r="G95" s="9"/>
      <c r="H95" s="9" t="s">
        <v>472</v>
      </c>
      <c r="I95" s="9">
        <v>128000</v>
      </c>
      <c r="J95" s="47" t="s">
        <v>408</v>
      </c>
      <c r="K95" s="9"/>
      <c r="L95" s="9"/>
      <c r="M95" s="9"/>
      <c r="N95" s="9"/>
    </row>
    <row r="96" spans="1:14" ht="19" x14ac:dyDescent="0.2">
      <c r="A96" s="61"/>
      <c r="B96" s="75"/>
      <c r="C96" s="2"/>
      <c r="D96" s="13"/>
      <c r="E96" s="9"/>
      <c r="F96" s="9"/>
      <c r="G96" s="9"/>
      <c r="H96" s="9"/>
      <c r="I96" s="9">
        <v>30000</v>
      </c>
      <c r="J96" s="9" t="s">
        <v>426</v>
      </c>
      <c r="K96" s="9"/>
      <c r="L96" s="9"/>
      <c r="M96" s="9"/>
      <c r="N96" s="9"/>
    </row>
    <row r="97" spans="1:14" ht="19" x14ac:dyDescent="0.2">
      <c r="A97" s="74"/>
      <c r="B97" s="75"/>
      <c r="C97" s="35"/>
      <c r="D97" s="13"/>
      <c r="E97" s="15"/>
      <c r="F97" s="9"/>
      <c r="G97" s="9"/>
      <c r="H97" s="9"/>
      <c r="I97" s="9">
        <v>56000</v>
      </c>
      <c r="J97" s="9" t="s">
        <v>425</v>
      </c>
      <c r="K97" s="9"/>
      <c r="L97" s="9"/>
      <c r="M97" s="9"/>
      <c r="N97" s="9"/>
    </row>
    <row r="98" spans="1:14" ht="19" x14ac:dyDescent="0.2">
      <c r="A98" s="74">
        <v>642000</v>
      </c>
      <c r="B98" s="58">
        <v>44640</v>
      </c>
      <c r="C98" s="35" t="s">
        <v>9</v>
      </c>
      <c r="D98" s="13" t="s">
        <v>105</v>
      </c>
      <c r="E98" s="15">
        <v>486000</v>
      </c>
      <c r="F98" s="9">
        <v>156000</v>
      </c>
      <c r="G98" s="9"/>
      <c r="H98" s="9"/>
      <c r="I98" s="9"/>
      <c r="J98" s="9"/>
      <c r="K98" s="9"/>
      <c r="L98" s="9"/>
      <c r="M98" s="9"/>
      <c r="N98" s="9"/>
    </row>
    <row r="99" spans="1:14" ht="19" x14ac:dyDescent="0.2">
      <c r="A99" s="61">
        <v>414000</v>
      </c>
      <c r="B99" s="75"/>
      <c r="C99" s="2" t="s">
        <v>10</v>
      </c>
      <c r="D99" s="13" t="s">
        <v>406</v>
      </c>
      <c r="E99" s="9">
        <v>334000</v>
      </c>
      <c r="F99" s="9">
        <v>80000</v>
      </c>
      <c r="G99" s="9"/>
      <c r="H99" s="9"/>
      <c r="I99" s="76">
        <v>50000</v>
      </c>
      <c r="J99" s="76" t="s">
        <v>123</v>
      </c>
      <c r="K99" s="9"/>
      <c r="L99" s="9"/>
      <c r="M99" s="9"/>
      <c r="N99" s="9"/>
    </row>
    <row r="100" spans="1:14" ht="19" x14ac:dyDescent="0.2">
      <c r="A100" s="61"/>
      <c r="B100" s="75"/>
      <c r="C100" s="35"/>
      <c r="D100" s="13"/>
      <c r="E100" s="15"/>
      <c r="F100" s="9"/>
      <c r="G100" s="9"/>
      <c r="H100" s="9"/>
      <c r="I100" s="77">
        <v>200000</v>
      </c>
      <c r="J100" s="77" t="s">
        <v>449</v>
      </c>
      <c r="K100" s="9"/>
      <c r="L100" s="9"/>
      <c r="M100" s="9"/>
      <c r="N100" s="9"/>
    </row>
    <row r="101" spans="1:14" ht="19" x14ac:dyDescent="0.2">
      <c r="A101" s="61"/>
      <c r="B101" s="58"/>
      <c r="C101" s="3"/>
      <c r="D101" s="13"/>
      <c r="E101" s="15"/>
      <c r="F101" s="9"/>
      <c r="G101" s="9"/>
      <c r="H101" s="9"/>
      <c r="I101" s="76">
        <v>40000</v>
      </c>
      <c r="J101" s="76" t="s">
        <v>444</v>
      </c>
      <c r="K101" s="9"/>
      <c r="L101" s="9"/>
      <c r="M101" s="9"/>
      <c r="N101" s="9"/>
    </row>
    <row r="102" spans="1:14" ht="19" x14ac:dyDescent="0.2">
      <c r="A102" s="61">
        <v>709000</v>
      </c>
      <c r="B102" s="58">
        <v>44641</v>
      </c>
      <c r="C102" s="2" t="s">
        <v>9</v>
      </c>
      <c r="D102" s="13" t="s">
        <v>405</v>
      </c>
      <c r="E102" s="15">
        <v>709000</v>
      </c>
      <c r="F102" s="9"/>
      <c r="G102" s="9"/>
      <c r="H102" s="76"/>
      <c r="I102" s="77"/>
      <c r="J102" s="78"/>
      <c r="K102" s="9"/>
      <c r="L102" s="9"/>
      <c r="M102" s="9"/>
      <c r="N102" s="9"/>
    </row>
    <row r="103" spans="1:14" ht="19" x14ac:dyDescent="0.2">
      <c r="A103" s="61">
        <v>496000</v>
      </c>
      <c r="B103" s="58"/>
      <c r="C103" s="3" t="s">
        <v>10</v>
      </c>
      <c r="D103" s="13" t="s">
        <v>28</v>
      </c>
      <c r="E103" s="15">
        <v>496000</v>
      </c>
      <c r="F103" s="9"/>
      <c r="G103" s="9"/>
      <c r="H103" s="59"/>
      <c r="I103" s="9"/>
      <c r="J103" s="9"/>
      <c r="K103" s="9"/>
      <c r="L103" s="9"/>
      <c r="M103" s="9"/>
      <c r="N103" s="9"/>
    </row>
    <row r="104" spans="1:14" ht="19" x14ac:dyDescent="0.2">
      <c r="A104" s="61">
        <v>785000</v>
      </c>
      <c r="B104" s="58">
        <v>44642</v>
      </c>
      <c r="C104" s="3" t="s">
        <v>9</v>
      </c>
      <c r="D104" s="13" t="s">
        <v>105</v>
      </c>
      <c r="E104" s="15">
        <v>681000</v>
      </c>
      <c r="F104" s="9">
        <v>104000</v>
      </c>
      <c r="G104" s="9"/>
      <c r="H104" s="59"/>
      <c r="I104" s="9"/>
      <c r="J104" s="9"/>
      <c r="K104" s="9"/>
      <c r="L104" s="9"/>
      <c r="M104" s="9"/>
      <c r="N104" s="9"/>
    </row>
    <row r="105" spans="1:14" ht="19" x14ac:dyDescent="0.2">
      <c r="A105" s="61">
        <v>428000</v>
      </c>
      <c r="B105" s="58"/>
      <c r="C105" s="3" t="s">
        <v>10</v>
      </c>
      <c r="D105" s="13" t="s">
        <v>28</v>
      </c>
      <c r="E105" s="15">
        <v>414000</v>
      </c>
      <c r="F105" s="9">
        <v>14000</v>
      </c>
      <c r="G105" s="9">
        <v>240000</v>
      </c>
      <c r="H105" s="59" t="s">
        <v>473</v>
      </c>
      <c r="I105" s="9"/>
      <c r="J105" s="9"/>
      <c r="K105" s="9"/>
      <c r="L105" s="9"/>
      <c r="M105" s="9"/>
      <c r="N105" s="9"/>
    </row>
    <row r="106" spans="1:14" ht="19" x14ac:dyDescent="0.2">
      <c r="A106" s="61">
        <v>1029000</v>
      </c>
      <c r="B106" s="58">
        <v>44643</v>
      </c>
      <c r="C106" s="3" t="s">
        <v>9</v>
      </c>
      <c r="D106" s="13" t="s">
        <v>405</v>
      </c>
      <c r="E106" s="15">
        <v>999000</v>
      </c>
      <c r="F106" s="9">
        <v>30000</v>
      </c>
      <c r="G106" s="9"/>
      <c r="H106" s="59"/>
      <c r="I106" s="9">
        <v>32000</v>
      </c>
      <c r="J106" s="9" t="s">
        <v>474</v>
      </c>
      <c r="K106" s="9"/>
      <c r="L106" s="9"/>
      <c r="M106" s="9"/>
      <c r="N106" s="9"/>
    </row>
    <row r="107" spans="1:14" ht="19" x14ac:dyDescent="0.2">
      <c r="A107" s="61"/>
      <c r="B107" s="58"/>
      <c r="C107" s="3"/>
      <c r="D107" s="13"/>
      <c r="E107" s="15"/>
      <c r="F107" s="9"/>
      <c r="G107" s="9"/>
      <c r="H107" s="59"/>
      <c r="I107" s="9">
        <v>37500</v>
      </c>
      <c r="J107" s="9" t="s">
        <v>475</v>
      </c>
      <c r="K107" s="9"/>
      <c r="L107" s="9"/>
      <c r="M107" s="9"/>
      <c r="N107" s="9"/>
    </row>
    <row r="108" spans="1:14" ht="19" x14ac:dyDescent="0.2">
      <c r="A108" s="61"/>
      <c r="B108" s="58"/>
      <c r="C108" s="3"/>
      <c r="D108" s="13"/>
      <c r="E108" s="15"/>
      <c r="F108" s="9"/>
      <c r="G108" s="9"/>
      <c r="H108" s="59"/>
      <c r="I108" s="9">
        <v>8000</v>
      </c>
      <c r="J108" s="9" t="s">
        <v>476</v>
      </c>
      <c r="K108" s="9"/>
      <c r="L108" s="9"/>
      <c r="M108" s="9"/>
      <c r="N108" s="9"/>
    </row>
    <row r="109" spans="1:14" ht="19" x14ac:dyDescent="0.2">
      <c r="A109" s="61">
        <v>499000</v>
      </c>
      <c r="B109" s="75"/>
      <c r="C109" s="2" t="s">
        <v>10</v>
      </c>
      <c r="D109" s="13" t="s">
        <v>406</v>
      </c>
      <c r="E109" s="15">
        <v>499000</v>
      </c>
      <c r="F109" s="9"/>
      <c r="G109" s="9">
        <v>2765000</v>
      </c>
      <c r="H109" s="77" t="s">
        <v>477</v>
      </c>
      <c r="I109" s="9"/>
      <c r="J109" s="47"/>
      <c r="K109" s="9"/>
      <c r="L109" s="9"/>
      <c r="M109" s="9"/>
      <c r="N109" s="9"/>
    </row>
    <row r="110" spans="1:14" ht="19" x14ac:dyDescent="0.2">
      <c r="A110" s="61">
        <v>1228000</v>
      </c>
      <c r="B110" s="58">
        <v>44644</v>
      </c>
      <c r="C110" s="3" t="s">
        <v>9</v>
      </c>
      <c r="D110" s="13" t="s">
        <v>405</v>
      </c>
      <c r="E110" s="15">
        <v>1156000</v>
      </c>
      <c r="F110" s="9">
        <v>72000</v>
      </c>
      <c r="G110" s="9"/>
      <c r="H110" s="9"/>
      <c r="I110" s="9"/>
      <c r="J110" s="9"/>
      <c r="K110" s="9"/>
      <c r="L110" s="9"/>
      <c r="M110" s="9"/>
      <c r="N110" s="9"/>
    </row>
    <row r="111" spans="1:14" ht="19" x14ac:dyDescent="0.2">
      <c r="A111" s="61">
        <v>587000</v>
      </c>
      <c r="B111" s="58"/>
      <c r="C111" s="49" t="s">
        <v>10</v>
      </c>
      <c r="D111" s="13" t="s">
        <v>406</v>
      </c>
      <c r="E111" s="15">
        <v>553000</v>
      </c>
      <c r="F111" s="9">
        <v>34000</v>
      </c>
      <c r="G111" s="9"/>
      <c r="H111" s="9"/>
      <c r="I111" s="9">
        <v>20000</v>
      </c>
      <c r="J111" s="9" t="s">
        <v>480</v>
      </c>
      <c r="K111" s="9"/>
      <c r="L111" s="9"/>
      <c r="M111" s="9"/>
      <c r="N111" s="9"/>
    </row>
    <row r="112" spans="1:14" ht="19" x14ac:dyDescent="0.2">
      <c r="A112" s="61">
        <v>1357000</v>
      </c>
      <c r="B112" s="58">
        <v>44645</v>
      </c>
      <c r="C112" s="49" t="s">
        <v>9</v>
      </c>
      <c r="D112" s="13" t="s">
        <v>405</v>
      </c>
      <c r="E112" s="15">
        <v>1322000</v>
      </c>
      <c r="F112" s="9">
        <v>35000</v>
      </c>
      <c r="G112" s="9"/>
      <c r="H112" s="60" t="s">
        <v>488</v>
      </c>
      <c r="I112" s="9">
        <v>18000</v>
      </c>
      <c r="J112" s="9" t="s">
        <v>481</v>
      </c>
      <c r="K112" s="9"/>
      <c r="L112" s="9"/>
      <c r="M112" s="9"/>
      <c r="N112" s="9"/>
    </row>
    <row r="113" spans="1:14" ht="19" x14ac:dyDescent="0.2">
      <c r="A113" s="61"/>
      <c r="B113" s="58"/>
      <c r="C113" s="49"/>
      <c r="D113" s="13"/>
      <c r="E113" s="15"/>
      <c r="F113" s="9"/>
      <c r="G113" s="9"/>
      <c r="H113" s="9"/>
      <c r="I113" s="9">
        <v>128000</v>
      </c>
      <c r="J113" s="9" t="s">
        <v>408</v>
      </c>
      <c r="K113" s="9">
        <f>SUBTOTAL(109,K115:K248)</f>
        <v>0</v>
      </c>
      <c r="L113" s="9">
        <f>Таблица134567[[#This Row],[Нал]]+Таблица134567[[#This Row],[Терминал]]-Таблица134567[[#This Row],[Расход]]-Таблица134567[[#This Row],[Закуп]]-Таблица134567[[#This Row],[Расход со счета]]</f>
        <v>-128000</v>
      </c>
      <c r="M113" s="9"/>
      <c r="N113" s="9"/>
    </row>
    <row r="114" spans="1:14" ht="19" x14ac:dyDescent="0.2">
      <c r="A114" s="61"/>
      <c r="B114" s="58"/>
      <c r="C114" s="49"/>
      <c r="D114" s="13"/>
      <c r="E114" s="15"/>
      <c r="F114" s="9"/>
      <c r="G114" s="9"/>
      <c r="H114" s="9"/>
      <c r="I114" s="9">
        <v>30000</v>
      </c>
      <c r="J114" s="9" t="s">
        <v>426</v>
      </c>
      <c r="K114" s="9">
        <f>SUBTOTAL(109,K116:K249)</f>
        <v>0</v>
      </c>
      <c r="L114" s="9">
        <f>Таблица134567[[#This Row],[Нал]]+Таблица134567[[#This Row],[Терминал]]-Таблица134567[[#This Row],[Расход]]-Таблица134567[[#This Row],[Закуп]]-Таблица134567[[#This Row],[Расход со счета]]</f>
        <v>-30000</v>
      </c>
      <c r="M114" s="9"/>
      <c r="N114" s="9"/>
    </row>
    <row r="115" spans="1:14" ht="19" x14ac:dyDescent="0.2">
      <c r="A115" s="61"/>
      <c r="B115" s="58"/>
      <c r="C115" s="49"/>
      <c r="D115" s="13"/>
      <c r="E115" s="15"/>
      <c r="F115" s="9"/>
      <c r="G115" s="9"/>
      <c r="H115" s="9"/>
      <c r="I115" s="9">
        <v>70000</v>
      </c>
      <c r="J115" s="9" t="s">
        <v>485</v>
      </c>
      <c r="K115" s="9">
        <f>SUBTOTAL(109,K117:K250)</f>
        <v>0</v>
      </c>
      <c r="L115" s="9">
        <f>Таблица134567[[#This Row],[Нал]]+Таблица134567[[#This Row],[Терминал]]-Таблица134567[[#This Row],[Расход]]-Таблица134567[[#This Row],[Закуп]]-Таблица134567[[#This Row],[Расход со счета]]</f>
        <v>-70000</v>
      </c>
      <c r="M115" s="9"/>
      <c r="N115" s="9"/>
    </row>
    <row r="116" spans="1:14" ht="19" x14ac:dyDescent="0.2">
      <c r="A116" s="61">
        <v>613000</v>
      </c>
      <c r="B116" s="58"/>
      <c r="C116" s="49" t="s">
        <v>10</v>
      </c>
      <c r="D116" s="13" t="s">
        <v>406</v>
      </c>
      <c r="E116" s="15">
        <v>581000</v>
      </c>
      <c r="F116" s="9">
        <v>32000</v>
      </c>
      <c r="G116" s="9"/>
      <c r="H116" s="9"/>
      <c r="I116" s="9">
        <v>200000</v>
      </c>
      <c r="J116" s="9" t="s">
        <v>449</v>
      </c>
      <c r="K116" s="9">
        <f>SUBTOTAL(109,K118:K251)</f>
        <v>0</v>
      </c>
      <c r="L116" s="9">
        <f>Таблица134567[[#This Row],[Нал]]+Таблица134567[[#This Row],[Терминал]]-Таблица134567[[#This Row],[Расход]]-Таблица134567[[#This Row],[Закуп]]-Таблица134567[[#This Row],[Расход со счета]]</f>
        <v>413000</v>
      </c>
      <c r="M116" s="9"/>
      <c r="N116" s="9"/>
    </row>
    <row r="117" spans="1:14" ht="19" x14ac:dyDescent="0.2">
      <c r="A117" s="79"/>
      <c r="B117" s="75"/>
      <c r="C117" s="35"/>
      <c r="D117" s="13"/>
      <c r="E117" s="15"/>
      <c r="F117" s="9"/>
      <c r="G117" s="9"/>
      <c r="H117" s="9"/>
      <c r="I117" s="9">
        <v>35000</v>
      </c>
      <c r="J117" s="9" t="s">
        <v>423</v>
      </c>
      <c r="K117" s="9"/>
      <c r="L117" s="9"/>
      <c r="M117" s="9"/>
      <c r="N117" s="9"/>
    </row>
    <row r="118" spans="1:14" ht="19" x14ac:dyDescent="0.2">
      <c r="A118" s="61"/>
      <c r="B118" s="75"/>
      <c r="C118" s="2"/>
      <c r="D118" s="13"/>
      <c r="E118" s="15"/>
      <c r="F118" s="9"/>
      <c r="G118" s="9"/>
      <c r="H118" s="9"/>
      <c r="I118" s="9">
        <v>40000</v>
      </c>
      <c r="J118" s="9" t="s">
        <v>444</v>
      </c>
      <c r="K118" s="9"/>
      <c r="L118" s="9"/>
      <c r="M118" s="9"/>
      <c r="N118" s="9"/>
    </row>
    <row r="119" spans="1:14" ht="19" x14ac:dyDescent="0.2">
      <c r="A119" s="61">
        <v>1066000</v>
      </c>
      <c r="B119" s="58">
        <v>44646</v>
      </c>
      <c r="C119" s="49" t="s">
        <v>9</v>
      </c>
      <c r="D119" s="13" t="s">
        <v>405</v>
      </c>
      <c r="E119" s="15">
        <v>1066000</v>
      </c>
      <c r="F119" s="9"/>
      <c r="G119" s="9"/>
      <c r="H119" s="60" t="s">
        <v>489</v>
      </c>
      <c r="I119" s="9"/>
      <c r="J119" s="9"/>
      <c r="K119" s="9"/>
      <c r="L119" s="9"/>
      <c r="M119" s="9"/>
      <c r="N119" s="9"/>
    </row>
    <row r="120" spans="1:14" ht="19" x14ac:dyDescent="0.2">
      <c r="A120" s="61">
        <v>211000</v>
      </c>
      <c r="B120" s="75"/>
      <c r="C120" s="2" t="s">
        <v>10</v>
      </c>
      <c r="D120" s="13" t="s">
        <v>406</v>
      </c>
      <c r="E120" s="15">
        <v>203000</v>
      </c>
      <c r="F120" s="9">
        <v>8000</v>
      </c>
      <c r="G120" s="9"/>
      <c r="H120" s="9"/>
      <c r="I120" s="9"/>
      <c r="J120" s="47"/>
      <c r="K120" s="9"/>
      <c r="L120" s="9"/>
      <c r="M120" s="9"/>
      <c r="N120" s="9"/>
    </row>
    <row r="121" spans="1:14" ht="19" x14ac:dyDescent="0.2">
      <c r="A121" s="61">
        <v>468000</v>
      </c>
      <c r="B121" s="58">
        <v>44619</v>
      </c>
      <c r="C121" s="3" t="s">
        <v>9</v>
      </c>
      <c r="D121" s="13" t="s">
        <v>105</v>
      </c>
      <c r="E121" s="9">
        <v>400000</v>
      </c>
      <c r="F121" s="9">
        <v>68000</v>
      </c>
      <c r="G121" s="9"/>
      <c r="H121" s="9"/>
      <c r="I121" s="9"/>
      <c r="J121" s="47"/>
      <c r="K121" s="9"/>
      <c r="L121" s="9"/>
      <c r="M121" s="9"/>
      <c r="N121" s="9"/>
    </row>
    <row r="122" spans="1:14" ht="19" x14ac:dyDescent="0.2">
      <c r="A122" s="61">
        <v>533000</v>
      </c>
      <c r="B122" s="75"/>
      <c r="C122" s="2" t="s">
        <v>10</v>
      </c>
      <c r="D122" s="13" t="s">
        <v>406</v>
      </c>
      <c r="E122" s="9">
        <v>533000</v>
      </c>
      <c r="F122" s="9"/>
      <c r="G122" s="9"/>
      <c r="H122" s="9"/>
      <c r="I122" s="9">
        <v>50000</v>
      </c>
      <c r="J122" s="9" t="s">
        <v>123</v>
      </c>
      <c r="K122" s="9"/>
      <c r="L122" s="9"/>
      <c r="M122" s="9"/>
      <c r="N122" s="9"/>
    </row>
    <row r="123" spans="1:14" ht="19" x14ac:dyDescent="0.2">
      <c r="A123" s="61">
        <v>1061000</v>
      </c>
      <c r="B123" s="58">
        <v>44648</v>
      </c>
      <c r="C123" s="2" t="s">
        <v>9</v>
      </c>
      <c r="D123" s="13" t="s">
        <v>405</v>
      </c>
      <c r="E123" s="15">
        <v>1030000</v>
      </c>
      <c r="F123" s="9">
        <v>31000</v>
      </c>
      <c r="G123" s="9"/>
      <c r="H123" s="9"/>
      <c r="I123" s="9">
        <v>44500</v>
      </c>
      <c r="J123" s="47" t="s">
        <v>448</v>
      </c>
      <c r="K123" s="9"/>
      <c r="L123" s="9"/>
      <c r="M123" s="9"/>
      <c r="N123" s="9"/>
    </row>
    <row r="124" spans="1:14" ht="19" x14ac:dyDescent="0.2">
      <c r="A124" s="61"/>
      <c r="B124" s="75"/>
      <c r="C124" s="35"/>
      <c r="D124" s="13"/>
      <c r="E124" s="15"/>
      <c r="F124" s="9"/>
      <c r="G124" s="9"/>
      <c r="H124" s="9"/>
      <c r="I124" s="9">
        <v>18500</v>
      </c>
      <c r="J124" s="47" t="s">
        <v>480</v>
      </c>
      <c r="K124" s="9"/>
      <c r="L124" s="9"/>
      <c r="M124" s="9"/>
      <c r="N124" s="9"/>
    </row>
    <row r="125" spans="1:14" ht="19" x14ac:dyDescent="0.2">
      <c r="A125" s="61"/>
      <c r="B125" s="75"/>
      <c r="C125" s="35"/>
      <c r="D125" s="13"/>
      <c r="E125" s="15"/>
      <c r="F125" s="9"/>
      <c r="G125" s="9"/>
      <c r="H125" s="9"/>
      <c r="I125" s="9">
        <v>21000</v>
      </c>
      <c r="J125" s="9" t="s">
        <v>482</v>
      </c>
      <c r="K125" s="9"/>
      <c r="L125" s="9"/>
      <c r="M125" s="9"/>
      <c r="N125" s="9"/>
    </row>
    <row r="126" spans="1:14" ht="19" x14ac:dyDescent="0.2">
      <c r="A126" s="61"/>
      <c r="B126" s="75"/>
      <c r="C126" s="35"/>
      <c r="D126" s="13"/>
      <c r="E126" s="15"/>
      <c r="F126" s="9"/>
      <c r="G126" s="9"/>
      <c r="H126" s="9"/>
      <c r="I126" s="9">
        <v>31500</v>
      </c>
      <c r="J126" s="9" t="s">
        <v>483</v>
      </c>
      <c r="K126" s="9"/>
      <c r="L126" s="9"/>
      <c r="M126" s="9"/>
      <c r="N126" s="9"/>
    </row>
    <row r="127" spans="1:14" ht="19" x14ac:dyDescent="0.2">
      <c r="A127" s="61"/>
      <c r="B127" s="75"/>
      <c r="C127" s="35"/>
      <c r="D127" s="13"/>
      <c r="E127" s="15"/>
      <c r="F127" s="9"/>
      <c r="G127" s="9"/>
      <c r="H127" s="9"/>
      <c r="I127" s="9">
        <v>23000</v>
      </c>
      <c r="J127" s="9" t="s">
        <v>484</v>
      </c>
      <c r="K127" s="9"/>
      <c r="L127" s="9"/>
      <c r="M127" s="9"/>
      <c r="N127" s="9"/>
    </row>
    <row r="128" spans="1:14" ht="19" x14ac:dyDescent="0.2">
      <c r="A128" s="61"/>
      <c r="B128" s="75"/>
      <c r="C128" s="35"/>
      <c r="D128" s="13"/>
      <c r="E128" s="15"/>
      <c r="F128" s="9"/>
      <c r="G128" s="9"/>
      <c r="H128" s="9"/>
      <c r="I128" s="9">
        <v>38000</v>
      </c>
      <c r="J128" s="9" t="s">
        <v>369</v>
      </c>
      <c r="K128" s="9"/>
      <c r="L128" s="9"/>
      <c r="M128" s="9"/>
      <c r="N128" s="9"/>
    </row>
    <row r="129" spans="1:14" ht="19" x14ac:dyDescent="0.2">
      <c r="A129" s="61"/>
      <c r="B129" s="58"/>
      <c r="C129" s="3"/>
      <c r="D129" s="13"/>
      <c r="E129" s="9"/>
      <c r="F129" s="9"/>
      <c r="G129" s="9"/>
      <c r="H129" s="9"/>
      <c r="I129" s="9">
        <v>38000</v>
      </c>
      <c r="J129" s="9" t="s">
        <v>369</v>
      </c>
      <c r="K129" s="9"/>
      <c r="L129" s="9"/>
      <c r="M129" s="9"/>
      <c r="N129" s="9"/>
    </row>
    <row r="130" spans="1:14" ht="19" x14ac:dyDescent="0.2">
      <c r="A130" s="61"/>
      <c r="B130" s="58"/>
      <c r="C130" s="2"/>
      <c r="D130" s="13"/>
      <c r="E130" s="9"/>
      <c r="F130" s="9"/>
      <c r="G130" s="9">
        <v>4000000</v>
      </c>
      <c r="H130" s="9" t="s">
        <v>486</v>
      </c>
      <c r="I130" s="9">
        <v>440000</v>
      </c>
      <c r="J130" s="9" t="s">
        <v>443</v>
      </c>
      <c r="K130" s="9"/>
      <c r="L130" s="9"/>
      <c r="M130" s="9"/>
      <c r="N130" s="9"/>
    </row>
    <row r="131" spans="1:14" ht="19" x14ac:dyDescent="0.2">
      <c r="A131" s="61"/>
      <c r="B131" s="58"/>
      <c r="C131" s="3"/>
      <c r="D131" s="13"/>
      <c r="E131" s="15"/>
      <c r="F131" s="9"/>
      <c r="G131" s="9"/>
      <c r="H131" s="9"/>
      <c r="I131" s="9">
        <v>128000</v>
      </c>
      <c r="J131" s="9" t="s">
        <v>408</v>
      </c>
      <c r="K131" s="9"/>
      <c r="L131" s="9"/>
      <c r="M131" s="9"/>
      <c r="N131" s="9"/>
    </row>
    <row r="132" spans="1:14" ht="19" x14ac:dyDescent="0.2">
      <c r="A132" s="61"/>
      <c r="B132" s="58"/>
      <c r="C132" s="49"/>
      <c r="D132" s="13"/>
      <c r="E132" s="15"/>
      <c r="F132" s="9"/>
      <c r="G132" s="9"/>
      <c r="H132" s="9"/>
      <c r="I132" s="9">
        <v>8000</v>
      </c>
      <c r="J132" s="9" t="s">
        <v>476</v>
      </c>
      <c r="K132" s="9"/>
      <c r="L132" s="9"/>
      <c r="M132" s="9"/>
      <c r="N132" s="9"/>
    </row>
    <row r="133" spans="1:14" ht="19" x14ac:dyDescent="0.2">
      <c r="A133" s="61">
        <v>620000</v>
      </c>
      <c r="B133" s="58"/>
      <c r="C133" s="49" t="s">
        <v>10</v>
      </c>
      <c r="D133" s="13" t="s">
        <v>406</v>
      </c>
      <c r="E133" s="15">
        <v>604000</v>
      </c>
      <c r="F133" s="9">
        <v>16000</v>
      </c>
      <c r="G133" s="9"/>
      <c r="H133" s="9"/>
      <c r="I133" s="9">
        <v>56000</v>
      </c>
      <c r="J133" s="9" t="s">
        <v>487</v>
      </c>
      <c r="K133" s="9"/>
      <c r="L133" s="9"/>
      <c r="M133" s="9"/>
      <c r="N133" s="9"/>
    </row>
    <row r="134" spans="1:14" ht="19" x14ac:dyDescent="0.2">
      <c r="A134" s="61"/>
      <c r="B134" s="58"/>
      <c r="C134" s="49"/>
      <c r="D134" s="13"/>
      <c r="E134" s="15"/>
      <c r="F134" s="9"/>
      <c r="G134" s="9">
        <v>200000</v>
      </c>
      <c r="H134" s="9" t="s">
        <v>491</v>
      </c>
      <c r="I134" s="9">
        <v>24000</v>
      </c>
      <c r="J134" s="9" t="s">
        <v>490</v>
      </c>
      <c r="K134" s="9"/>
      <c r="L134" s="9"/>
      <c r="M134" s="9"/>
      <c r="N134" s="9"/>
    </row>
    <row r="135" spans="1:14" ht="19" x14ac:dyDescent="0.2">
      <c r="A135" s="61">
        <v>1656000</v>
      </c>
      <c r="B135" s="58">
        <v>44649</v>
      </c>
      <c r="C135" s="49" t="s">
        <v>9</v>
      </c>
      <c r="D135" s="13" t="s">
        <v>405</v>
      </c>
      <c r="E135" s="15">
        <v>1602000</v>
      </c>
      <c r="F135" s="9">
        <v>54000</v>
      </c>
      <c r="G135" s="9"/>
      <c r="H135" s="9"/>
      <c r="I135" s="9">
        <v>620000</v>
      </c>
      <c r="J135" s="9" t="s">
        <v>266</v>
      </c>
      <c r="K135" s="9"/>
      <c r="L135" s="9"/>
      <c r="M135" s="9"/>
      <c r="N135" s="9"/>
    </row>
    <row r="136" spans="1:14" ht="19" x14ac:dyDescent="0.2">
      <c r="A136" s="61"/>
      <c r="B136" s="58"/>
      <c r="C136" s="49"/>
      <c r="D136" s="13"/>
      <c r="E136" s="15"/>
      <c r="F136" s="9"/>
      <c r="G136" s="9"/>
      <c r="H136" s="9"/>
      <c r="I136" s="9">
        <v>310000</v>
      </c>
      <c r="J136" s="9" t="s">
        <v>459</v>
      </c>
      <c r="K136" s="9"/>
      <c r="L136" s="9"/>
      <c r="M136" s="9"/>
      <c r="N136" s="9"/>
    </row>
    <row r="137" spans="1:14" ht="19" x14ac:dyDescent="0.2">
      <c r="A137" s="61"/>
      <c r="B137" s="58"/>
      <c r="C137" s="49"/>
      <c r="D137" s="13"/>
      <c r="E137" s="15"/>
      <c r="F137" s="9"/>
      <c r="G137" s="9"/>
      <c r="H137" s="9"/>
      <c r="I137" s="9">
        <v>90000</v>
      </c>
      <c r="J137" s="9" t="s">
        <v>460</v>
      </c>
      <c r="K137" s="9"/>
      <c r="L137" s="9"/>
      <c r="M137" s="9"/>
      <c r="N137" s="9"/>
    </row>
    <row r="138" spans="1:14" ht="19" x14ac:dyDescent="0.2">
      <c r="A138" s="61">
        <v>504000</v>
      </c>
      <c r="B138" s="58"/>
      <c r="C138" s="49" t="s">
        <v>10</v>
      </c>
      <c r="D138" s="13" t="s">
        <v>406</v>
      </c>
      <c r="E138" s="15">
        <v>504000</v>
      </c>
      <c r="F138" s="9"/>
      <c r="G138" s="9"/>
      <c r="H138" s="9"/>
      <c r="I138" s="9">
        <v>7000</v>
      </c>
      <c r="J138" s="9" t="s">
        <v>492</v>
      </c>
      <c r="K138" s="9"/>
      <c r="L138" s="9"/>
      <c r="M138" s="9"/>
      <c r="N138" s="9"/>
    </row>
    <row r="139" spans="1:14" ht="19" x14ac:dyDescent="0.2">
      <c r="A139" s="61">
        <v>1164000</v>
      </c>
      <c r="B139" s="58">
        <v>44650</v>
      </c>
      <c r="C139" s="2" t="s">
        <v>9</v>
      </c>
      <c r="D139" s="13" t="s">
        <v>405</v>
      </c>
      <c r="E139" s="15">
        <v>1078000</v>
      </c>
      <c r="F139" s="9">
        <v>86000</v>
      </c>
      <c r="G139" s="9"/>
      <c r="H139" s="9"/>
      <c r="I139" s="9">
        <v>128000</v>
      </c>
      <c r="J139" s="9" t="s">
        <v>408</v>
      </c>
      <c r="K139" s="9"/>
      <c r="L139" s="9"/>
      <c r="M139" s="9"/>
      <c r="N139" s="9"/>
    </row>
    <row r="140" spans="1:14" ht="19" x14ac:dyDescent="0.2">
      <c r="A140" s="61"/>
      <c r="B140" s="75"/>
      <c r="C140" s="35"/>
      <c r="D140" s="13"/>
      <c r="E140" s="15"/>
      <c r="F140" s="9"/>
      <c r="G140" s="9"/>
      <c r="H140" s="9"/>
      <c r="I140" s="9">
        <v>56000</v>
      </c>
      <c r="J140" s="9" t="s">
        <v>493</v>
      </c>
      <c r="K140" s="9"/>
      <c r="L140" s="9"/>
      <c r="M140" s="9"/>
      <c r="N140" s="9"/>
    </row>
    <row r="141" spans="1:14" ht="19" x14ac:dyDescent="0.2">
      <c r="A141" s="61">
        <v>753000</v>
      </c>
      <c r="B141" s="75"/>
      <c r="C141" s="35" t="s">
        <v>10</v>
      </c>
      <c r="D141" s="13" t="s">
        <v>105</v>
      </c>
      <c r="E141" s="15">
        <v>607000</v>
      </c>
      <c r="F141" s="9">
        <v>146000</v>
      </c>
      <c r="G141" s="9"/>
      <c r="H141" s="9"/>
      <c r="I141" s="9">
        <v>5000</v>
      </c>
      <c r="J141" s="9" t="s">
        <v>494</v>
      </c>
      <c r="K141" s="9"/>
      <c r="L141" s="9"/>
      <c r="M141" s="9"/>
      <c r="N141" s="9"/>
    </row>
    <row r="142" spans="1:14" ht="19" x14ac:dyDescent="0.2">
      <c r="A142" s="61">
        <v>1009000</v>
      </c>
      <c r="B142" s="58">
        <v>44651</v>
      </c>
      <c r="C142" s="35" t="s">
        <v>9</v>
      </c>
      <c r="D142" s="13" t="s">
        <v>405</v>
      </c>
      <c r="E142" s="15">
        <v>918000</v>
      </c>
      <c r="F142" s="9">
        <v>91000</v>
      </c>
      <c r="G142" s="9"/>
      <c r="H142" s="60"/>
      <c r="I142" s="9">
        <v>31000</v>
      </c>
      <c r="J142" s="9" t="s">
        <v>495</v>
      </c>
      <c r="K142" s="9"/>
      <c r="L142" s="9"/>
      <c r="M142" s="9"/>
      <c r="N142" s="9"/>
    </row>
    <row r="143" spans="1:14" ht="19" x14ac:dyDescent="0.2">
      <c r="A143" s="61"/>
      <c r="B143" s="75"/>
      <c r="C143" s="35"/>
      <c r="D143" s="13"/>
      <c r="E143" s="15"/>
      <c r="F143" s="9"/>
      <c r="G143" s="9"/>
      <c r="H143" s="9" t="s">
        <v>506</v>
      </c>
      <c r="I143" s="9">
        <v>28000</v>
      </c>
      <c r="J143" s="9" t="s">
        <v>496</v>
      </c>
      <c r="K143" s="9"/>
      <c r="L143" s="9"/>
      <c r="M143" s="9"/>
      <c r="N143" s="9"/>
    </row>
    <row r="144" spans="1:14" ht="19" x14ac:dyDescent="0.2">
      <c r="A144" s="61"/>
      <c r="B144" s="75"/>
      <c r="C144" s="35"/>
      <c r="D144" s="13"/>
      <c r="E144" s="15"/>
      <c r="F144" s="9"/>
      <c r="G144" s="9"/>
      <c r="H144" s="9"/>
      <c r="I144" s="9">
        <v>29000</v>
      </c>
      <c r="J144" s="9" t="s">
        <v>497</v>
      </c>
      <c r="K144" s="9"/>
      <c r="L144" s="9"/>
      <c r="M144" s="10"/>
      <c r="N144" s="10"/>
    </row>
    <row r="145" spans="1:14" ht="19" x14ac:dyDescent="0.2">
      <c r="A145" s="61"/>
      <c r="B145" s="75"/>
      <c r="C145" s="35"/>
      <c r="D145" s="13"/>
      <c r="E145" s="15"/>
      <c r="F145" s="9"/>
      <c r="G145" s="9"/>
      <c r="H145" s="9"/>
      <c r="I145" s="9">
        <v>100000</v>
      </c>
      <c r="J145" s="9" t="s">
        <v>498</v>
      </c>
      <c r="K145" s="9"/>
      <c r="L145" s="9"/>
      <c r="M145" s="10"/>
      <c r="N145" s="10"/>
    </row>
    <row r="146" spans="1:14" ht="19" x14ac:dyDescent="0.2">
      <c r="A146" s="61"/>
      <c r="B146" s="75"/>
      <c r="C146" s="35"/>
      <c r="D146" s="13"/>
      <c r="E146" s="15"/>
      <c r="F146" s="9"/>
      <c r="G146" s="9">
        <v>1747000</v>
      </c>
      <c r="H146" s="9" t="s">
        <v>508</v>
      </c>
      <c r="I146" s="9">
        <v>124500</v>
      </c>
      <c r="J146" s="9" t="s">
        <v>499</v>
      </c>
      <c r="K146" s="9"/>
      <c r="L146" s="9"/>
      <c r="M146" s="10"/>
      <c r="N146" s="10"/>
    </row>
    <row r="147" spans="1:14" ht="19" x14ac:dyDescent="0.2">
      <c r="A147" s="61">
        <v>465000</v>
      </c>
      <c r="B147" s="75"/>
      <c r="C147" s="35" t="s">
        <v>10</v>
      </c>
      <c r="D147" s="13" t="s">
        <v>406</v>
      </c>
      <c r="E147" s="15">
        <v>374000</v>
      </c>
      <c r="F147" s="9">
        <v>91000</v>
      </c>
      <c r="G147" s="9"/>
      <c r="H147" s="60" t="s">
        <v>500</v>
      </c>
      <c r="I147" s="9">
        <v>200000</v>
      </c>
      <c r="J147" s="9" t="s">
        <v>449</v>
      </c>
      <c r="K147" s="9"/>
      <c r="L147" s="9"/>
      <c r="M147" s="10"/>
      <c r="N147" s="10"/>
    </row>
    <row r="148" spans="1:14" ht="19" x14ac:dyDescent="0.2">
      <c r="A148" s="61"/>
      <c r="B148" s="75"/>
      <c r="C148" s="35"/>
      <c r="D148" s="13"/>
      <c r="E148" s="15"/>
      <c r="F148" s="9"/>
      <c r="G148" s="9">
        <v>1000000</v>
      </c>
      <c r="H148" s="9" t="s">
        <v>501</v>
      </c>
      <c r="I148" s="9">
        <v>40000</v>
      </c>
      <c r="J148" s="9" t="s">
        <v>444</v>
      </c>
      <c r="K148" s="9"/>
      <c r="L148" s="9"/>
      <c r="M148" s="10"/>
      <c r="N148" s="10"/>
    </row>
    <row r="149" spans="1:14" ht="19" x14ac:dyDescent="0.2">
      <c r="A149" s="61"/>
      <c r="B149" s="75"/>
      <c r="C149" s="35"/>
      <c r="D149" s="13"/>
      <c r="E149" s="15"/>
      <c r="F149" s="9"/>
      <c r="G149" s="9">
        <v>1441000</v>
      </c>
      <c r="H149" s="9" t="s">
        <v>503</v>
      </c>
      <c r="I149" s="9">
        <v>58500</v>
      </c>
      <c r="J149" s="9" t="s">
        <v>502</v>
      </c>
      <c r="K149" s="9"/>
      <c r="L149" s="9"/>
      <c r="M149" s="10"/>
      <c r="N149" s="10"/>
    </row>
    <row r="150" spans="1:14" ht="19" x14ac:dyDescent="0.2">
      <c r="A150" s="61"/>
      <c r="B150" s="75"/>
      <c r="C150" s="35"/>
      <c r="D150" s="13"/>
      <c r="E150" s="15"/>
      <c r="F150" s="9"/>
      <c r="G150" s="9">
        <v>1489000</v>
      </c>
      <c r="H150" s="9" t="s">
        <v>504</v>
      </c>
      <c r="I150" s="9"/>
      <c r="J150" s="9"/>
      <c r="K150" s="9"/>
      <c r="L150" s="9"/>
      <c r="M150" s="10"/>
      <c r="N150" s="10"/>
    </row>
    <row r="151" spans="1:14" ht="19" x14ac:dyDescent="0.2">
      <c r="A151" s="80"/>
      <c r="B151" s="81"/>
      <c r="C151" s="82"/>
      <c r="D151" s="83"/>
      <c r="E151" s="84"/>
      <c r="F151" s="10"/>
      <c r="G151" s="10">
        <v>456000</v>
      </c>
      <c r="H151" s="10" t="s">
        <v>505</v>
      </c>
      <c r="I151" s="10"/>
      <c r="J151" s="10"/>
      <c r="K151" s="10">
        <f>SUBTOTAL(109,K153:K280)</f>
        <v>0</v>
      </c>
      <c r="L151" s="10">
        <f>Таблица134567[[#This Row],[Нал]]+Таблица134567[[#This Row],[Терминал]]-Таблица134567[[#This Row],[Расход]]-Таблица134567[[#This Row],[Закуп]]-Таблица134567[[#This Row],[Расход со счета]]</f>
        <v>-456000</v>
      </c>
      <c r="M151" s="10"/>
      <c r="N151" s="10"/>
    </row>
    <row r="152" spans="1:14" x14ac:dyDescent="0.2">
      <c r="G152" s="9"/>
      <c r="H152" s="47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180"/>
  <sheetViews>
    <sheetView workbookViewId="0">
      <selection activeCell="G172" sqref="G172"/>
    </sheetView>
  </sheetViews>
  <sheetFormatPr baseColWidth="10" defaultColWidth="8.83203125" defaultRowHeight="15" x14ac:dyDescent="0.2"/>
  <cols>
    <col min="1" max="1" width="23.83203125" bestFit="1" customWidth="1"/>
    <col min="2" max="2" width="9.6640625" bestFit="1" customWidth="1"/>
    <col min="3" max="3" width="11.83203125" bestFit="1" customWidth="1"/>
    <col min="4" max="4" width="11.33203125" bestFit="1" customWidth="1"/>
    <col min="5" max="5" width="23.83203125" bestFit="1" customWidth="1"/>
    <col min="6" max="6" width="22.33203125" bestFit="1" customWidth="1"/>
    <col min="7" max="7" width="23.83203125" bestFit="1" customWidth="1"/>
    <col min="8" max="8" width="35.5" bestFit="1" customWidth="1"/>
    <col min="9" max="9" width="22.6640625" bestFit="1" customWidth="1"/>
    <col min="10" max="10" width="35.5" bestFit="1" customWidth="1"/>
    <col min="11" max="11" width="19.33203125" bestFit="1" customWidth="1"/>
    <col min="12" max="12" width="22.33203125" bestFit="1" customWidth="1"/>
    <col min="13" max="13" width="31.6640625" bestFit="1" customWidth="1"/>
    <col min="14" max="14" width="12.6640625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4" t="s">
        <v>516</v>
      </c>
      <c r="G4" s="305"/>
      <c r="H4" s="71" t="s">
        <v>175</v>
      </c>
      <c r="I4" s="71">
        <v>296870</v>
      </c>
      <c r="J4" s="72">
        <f>I4/10820</f>
        <v>27.437153419593347</v>
      </c>
    </row>
    <row r="5" spans="1:14" ht="29" x14ac:dyDescent="0.35">
      <c r="G5" s="73"/>
      <c r="H5" s="71" t="s">
        <v>176</v>
      </c>
      <c r="I5" s="71">
        <v>127230</v>
      </c>
      <c r="J5" s="72">
        <f>I5/10820</f>
        <v>11.758780036968577</v>
      </c>
      <c r="L5" s="86" t="s">
        <v>628</v>
      </c>
    </row>
    <row r="6" spans="1:14" ht="21" x14ac:dyDescent="0.25">
      <c r="G6" s="73"/>
      <c r="H6" s="71" t="s">
        <v>178</v>
      </c>
      <c r="I6" s="71">
        <v>9626000</v>
      </c>
      <c r="J6" s="72" t="s">
        <v>629</v>
      </c>
      <c r="L6" s="85"/>
      <c r="M6" s="85"/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SUM(A11:A178)</f>
        <v>36081000</v>
      </c>
      <c r="B10" s="65"/>
      <c r="C10" s="66" t="s">
        <v>13</v>
      </c>
      <c r="D10" s="67"/>
      <c r="E10" s="68">
        <f>SUM(E11:E178)</f>
        <v>29004000</v>
      </c>
      <c r="F10" s="69">
        <f>SUM(F11:F178)</f>
        <v>7077000</v>
      </c>
      <c r="G10" s="69">
        <f>SUM(G11:G178)</f>
        <v>20587000</v>
      </c>
      <c r="H10" s="69"/>
      <c r="I10" s="69">
        <f>SUM(I11:I178)</f>
        <v>8322900</v>
      </c>
      <c r="J10" s="69"/>
      <c r="K10" s="69">
        <f>SUBTOTAL(109,K11:K167)</f>
        <v>0</v>
      </c>
      <c r="L10" s="69"/>
      <c r="M10" s="8"/>
      <c r="N10" s="8"/>
    </row>
    <row r="11" spans="1:14" ht="19" x14ac:dyDescent="0.2">
      <c r="A11" s="61">
        <v>1257000</v>
      </c>
      <c r="B11" s="58">
        <v>44652</v>
      </c>
      <c r="C11" s="3" t="s">
        <v>9</v>
      </c>
      <c r="D11" s="13" t="s">
        <v>405</v>
      </c>
      <c r="E11" s="9">
        <v>1123000</v>
      </c>
      <c r="F11" s="9">
        <v>134000</v>
      </c>
      <c r="G11" s="9"/>
      <c r="H11" s="9" t="s">
        <v>509</v>
      </c>
      <c r="I11" s="9">
        <v>70000</v>
      </c>
      <c r="J11" s="9" t="s">
        <v>510</v>
      </c>
      <c r="K11" s="9"/>
      <c r="L11" s="9">
        <v>70000</v>
      </c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>
        <v>410000</v>
      </c>
      <c r="H12" s="9" t="s">
        <v>603</v>
      </c>
      <c r="I12" s="9">
        <v>45000</v>
      </c>
      <c r="J12" s="9" t="s">
        <v>511</v>
      </c>
      <c r="K12" s="9"/>
      <c r="L12" s="9">
        <v>45000</v>
      </c>
      <c r="M12" s="9"/>
      <c r="N12" s="9"/>
    </row>
    <row r="13" spans="1:14" ht="19" x14ac:dyDescent="0.2">
      <c r="A13" s="74"/>
      <c r="B13" s="58"/>
      <c r="C13" s="49"/>
      <c r="D13" s="13"/>
      <c r="E13" s="15"/>
      <c r="F13" s="9"/>
      <c r="G13" s="9"/>
      <c r="H13" s="9"/>
      <c r="I13" s="9">
        <v>128000</v>
      </c>
      <c r="J13" s="9" t="s">
        <v>512</v>
      </c>
      <c r="K13" s="9">
        <f>SUBTOTAL(109,K18:K169)</f>
        <v>0</v>
      </c>
      <c r="L1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-128000</v>
      </c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>
        <v>72000</v>
      </c>
      <c r="J14" s="9" t="s">
        <v>513</v>
      </c>
      <c r="K14" s="9">
        <f>SUBTOTAL(109,K18:K169)</f>
        <v>0</v>
      </c>
      <c r="L1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-72000</v>
      </c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>
        <v>18000</v>
      </c>
      <c r="J15" s="9" t="s">
        <v>627</v>
      </c>
      <c r="K15" s="9">
        <f>SUBTOTAL(109,K18:K169)</f>
        <v>0</v>
      </c>
      <c r="L1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-18000</v>
      </c>
      <c r="M15" s="9"/>
      <c r="N15" s="9"/>
    </row>
    <row r="16" spans="1:14" ht="19" x14ac:dyDescent="0.2">
      <c r="A16" s="61">
        <v>304000</v>
      </c>
      <c r="B16" s="75"/>
      <c r="C16" s="2" t="s">
        <v>10</v>
      </c>
      <c r="D16" s="13" t="s">
        <v>406</v>
      </c>
      <c r="E16" s="9">
        <v>255000</v>
      </c>
      <c r="F16" s="9">
        <v>49000</v>
      </c>
      <c r="G16" s="9"/>
      <c r="H16" s="9"/>
      <c r="I16" s="9">
        <v>110000</v>
      </c>
      <c r="J16" s="9" t="s">
        <v>514</v>
      </c>
      <c r="K16" s="9"/>
      <c r="L16" s="44"/>
      <c r="M16" s="9"/>
      <c r="N16" s="9"/>
    </row>
    <row r="17" spans="1:14" ht="19" x14ac:dyDescent="0.2">
      <c r="A17" s="74"/>
      <c r="B17" s="75"/>
      <c r="C17" s="35"/>
      <c r="D17" s="13"/>
      <c r="E17" s="15"/>
      <c r="F17" s="9"/>
      <c r="G17" s="9"/>
      <c r="H17" s="9"/>
      <c r="I17" s="9"/>
      <c r="J17" s="9"/>
      <c r="K17" s="9"/>
      <c r="L17" s="9"/>
      <c r="M17" s="9"/>
      <c r="N17" s="9"/>
    </row>
    <row r="18" spans="1:14" ht="19" x14ac:dyDescent="0.2">
      <c r="A18" s="74"/>
      <c r="B18" s="75"/>
      <c r="C18" s="35"/>
      <c r="D18" s="13"/>
      <c r="E18" s="15"/>
      <c r="F18" s="9"/>
      <c r="G18" s="9"/>
      <c r="H18" s="9"/>
      <c r="I18" s="9"/>
      <c r="J18" s="9"/>
      <c r="K18" s="9"/>
      <c r="L18" s="9"/>
      <c r="M18" s="9"/>
      <c r="N18" s="9"/>
    </row>
    <row r="19" spans="1:14" ht="19" x14ac:dyDescent="0.2">
      <c r="A19" s="74"/>
      <c r="B19" s="75"/>
      <c r="C19" s="35"/>
      <c r="D19" s="13"/>
      <c r="E19" s="15"/>
      <c r="F19" s="9"/>
      <c r="G19" s="9"/>
      <c r="H19" s="9"/>
      <c r="I19" s="9"/>
      <c r="J19" s="9"/>
      <c r="K19" s="9"/>
      <c r="L19" s="9"/>
      <c r="M19" s="9"/>
      <c r="N19" s="9"/>
    </row>
    <row r="20" spans="1:14" ht="19" x14ac:dyDescent="0.2">
      <c r="A20" s="61"/>
      <c r="B20" s="75"/>
      <c r="C20" s="35"/>
      <c r="D20" s="13"/>
      <c r="E20" s="15"/>
      <c r="F20" s="9"/>
      <c r="G20" s="9"/>
      <c r="H20" s="9"/>
      <c r="I20" s="9"/>
      <c r="J20" s="9"/>
      <c r="K20" s="9"/>
      <c r="L20" s="9"/>
      <c r="M20" s="9"/>
      <c r="N20" s="9"/>
    </row>
    <row r="21" spans="1:14" ht="19" x14ac:dyDescent="0.2">
      <c r="A21" s="61">
        <v>529000</v>
      </c>
      <c r="B21" s="58">
        <v>44653</v>
      </c>
      <c r="C21" s="35" t="s">
        <v>9</v>
      </c>
      <c r="D21" s="13" t="s">
        <v>405</v>
      </c>
      <c r="E21" s="15">
        <v>491000</v>
      </c>
      <c r="F21" s="9">
        <v>38000</v>
      </c>
      <c r="G21" s="9"/>
      <c r="H21" s="9"/>
      <c r="I21" s="9"/>
      <c r="J21" s="47"/>
      <c r="K21" s="9"/>
      <c r="L21" s="9"/>
      <c r="M21" s="9"/>
      <c r="N21" s="9"/>
    </row>
    <row r="22" spans="1:14" ht="19" x14ac:dyDescent="0.2">
      <c r="A22" s="61">
        <v>325000</v>
      </c>
      <c r="B22" s="58"/>
      <c r="C22" s="3" t="s">
        <v>10</v>
      </c>
      <c r="D22" s="13" t="s">
        <v>105</v>
      </c>
      <c r="E22" s="9">
        <v>235000</v>
      </c>
      <c r="F22" s="9">
        <v>90000</v>
      </c>
      <c r="G22" s="9"/>
      <c r="H22" s="9"/>
      <c r="I22" s="9"/>
      <c r="J22" s="9"/>
      <c r="K22" s="9"/>
      <c r="L22" s="9"/>
      <c r="M22" s="9"/>
      <c r="N22" s="9"/>
    </row>
    <row r="23" spans="1:14" ht="19" x14ac:dyDescent="0.2">
      <c r="A23" s="61">
        <v>680000</v>
      </c>
      <c r="B23" s="58">
        <v>44654</v>
      </c>
      <c r="C23" s="49" t="s">
        <v>9</v>
      </c>
      <c r="D23" s="13" t="s">
        <v>405</v>
      </c>
      <c r="E23" s="15">
        <v>462000</v>
      </c>
      <c r="F23" s="9">
        <v>218000</v>
      </c>
      <c r="G23" s="9"/>
      <c r="H23" s="9"/>
      <c r="I23" s="9"/>
      <c r="J23" s="9"/>
      <c r="K23" s="9"/>
      <c r="L23" s="9"/>
      <c r="M23" s="9"/>
      <c r="N23" s="9"/>
    </row>
    <row r="24" spans="1:14" ht="19" x14ac:dyDescent="0.2">
      <c r="A24" s="74"/>
      <c r="B24" s="58"/>
      <c r="C24" s="49"/>
      <c r="D24" s="13"/>
      <c r="E24" s="15"/>
      <c r="F24" s="9"/>
      <c r="G24" s="9"/>
      <c r="H24" s="9"/>
      <c r="I24" s="9">
        <f>SUBTOTAL(109,I23)</f>
        <v>0</v>
      </c>
      <c r="J24" s="9"/>
      <c r="K24" s="9">
        <f>SUBTOTAL(109,K32:K181)</f>
        <v>0</v>
      </c>
      <c r="L2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24" s="9"/>
      <c r="N24" s="9"/>
    </row>
    <row r="25" spans="1:14" ht="19" x14ac:dyDescent="0.2">
      <c r="A25" s="61">
        <v>245000</v>
      </c>
      <c r="B25" s="58"/>
      <c r="C25" s="3" t="s">
        <v>10</v>
      </c>
      <c r="D25" s="13" t="s">
        <v>105</v>
      </c>
      <c r="E25" s="9">
        <v>231000</v>
      </c>
      <c r="F25" s="9">
        <v>14000</v>
      </c>
      <c r="G25" s="9"/>
      <c r="H25" s="9"/>
      <c r="I25" s="9"/>
      <c r="J25" s="9"/>
      <c r="K25" s="9"/>
      <c r="L25" s="9"/>
      <c r="M25" s="9"/>
      <c r="N25" s="9"/>
    </row>
    <row r="26" spans="1:14" ht="19" x14ac:dyDescent="0.2">
      <c r="A26" s="61">
        <v>703000</v>
      </c>
      <c r="B26" s="58">
        <v>44655</v>
      </c>
      <c r="C26" s="49" t="s">
        <v>9</v>
      </c>
      <c r="D26" s="13" t="s">
        <v>405</v>
      </c>
      <c r="E26" s="15">
        <v>455000</v>
      </c>
      <c r="F26" s="9">
        <v>248000</v>
      </c>
      <c r="G26" s="9"/>
      <c r="H26" s="9" t="s">
        <v>517</v>
      </c>
      <c r="I26" s="9">
        <v>38000</v>
      </c>
      <c r="J26" s="9" t="s">
        <v>515</v>
      </c>
      <c r="K26" s="9"/>
      <c r="L26" s="9">
        <v>38000</v>
      </c>
      <c r="M26" s="9"/>
      <c r="N26" s="9"/>
    </row>
    <row r="27" spans="1:14" ht="19" x14ac:dyDescent="0.2">
      <c r="A27" s="61"/>
      <c r="B27" s="75"/>
      <c r="C27" s="2"/>
      <c r="D27" s="13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9" x14ac:dyDescent="0.2">
      <c r="A28" s="74"/>
      <c r="B28" s="32"/>
      <c r="C28" s="3"/>
      <c r="D28" s="13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74">
        <v>598000</v>
      </c>
      <c r="B29" s="32"/>
      <c r="C29" s="49" t="s">
        <v>10</v>
      </c>
      <c r="D29" s="13" t="s">
        <v>105</v>
      </c>
      <c r="E29" s="15">
        <v>377000</v>
      </c>
      <c r="F29" s="9">
        <v>221000</v>
      </c>
      <c r="G29" s="9"/>
      <c r="H29" s="9" t="s">
        <v>137</v>
      </c>
      <c r="I29" s="9">
        <v>50000</v>
      </c>
      <c r="J29" s="47" t="s">
        <v>59</v>
      </c>
      <c r="K29" s="9"/>
      <c r="L29" s="9">
        <v>50000</v>
      </c>
      <c r="M29" s="9"/>
      <c r="N29" s="9"/>
    </row>
    <row r="30" spans="1:14" ht="19" x14ac:dyDescent="0.2">
      <c r="A30" s="74"/>
      <c r="B30" s="58"/>
      <c r="C30" s="49"/>
      <c r="D30" s="13"/>
      <c r="E30" s="15"/>
      <c r="F30" s="9"/>
      <c r="G30" s="9"/>
      <c r="H30" s="9"/>
      <c r="I30" s="9"/>
      <c r="J30" s="47"/>
      <c r="K30" s="9">
        <f>SUBTOTAL(109,K47:K187)</f>
        <v>0</v>
      </c>
      <c r="L30" s="9"/>
      <c r="M30" s="9"/>
      <c r="N30" s="9"/>
    </row>
    <row r="31" spans="1:14" ht="19" x14ac:dyDescent="0.2">
      <c r="A31" s="74"/>
      <c r="B31" s="58"/>
      <c r="C31" s="49"/>
      <c r="D31" s="13"/>
      <c r="E31" s="15"/>
      <c r="F31" s="9"/>
      <c r="G31" s="9"/>
      <c r="H31" s="9"/>
      <c r="I31" s="9"/>
      <c r="J31" s="47"/>
      <c r="K31" s="9">
        <f>SUBTOTAL(109,K48:K187)</f>
        <v>0</v>
      </c>
      <c r="L31" s="9"/>
      <c r="M31" s="9"/>
      <c r="N31" s="9"/>
    </row>
    <row r="32" spans="1:14" ht="19" x14ac:dyDescent="0.2">
      <c r="A32" s="74">
        <v>529000</v>
      </c>
      <c r="B32" s="32">
        <v>44656</v>
      </c>
      <c r="C32" s="49" t="s">
        <v>9</v>
      </c>
      <c r="D32" s="13" t="s">
        <v>405</v>
      </c>
      <c r="E32" s="15">
        <v>343000</v>
      </c>
      <c r="F32" s="9">
        <v>186000</v>
      </c>
      <c r="G32" s="9"/>
      <c r="H32" s="9" t="s">
        <v>137</v>
      </c>
      <c r="I32" s="9">
        <v>160000</v>
      </c>
      <c r="J32" s="9" t="s">
        <v>518</v>
      </c>
      <c r="K32" s="9"/>
      <c r="L32" s="9">
        <v>160000</v>
      </c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>
        <v>22500</v>
      </c>
      <c r="J33" s="9" t="s">
        <v>519</v>
      </c>
      <c r="K33" s="9">
        <f>SUBTOTAL(109,K47:K190)</f>
        <v>0</v>
      </c>
      <c r="L3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-22500</v>
      </c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>
        <v>2735000</v>
      </c>
      <c r="H34" s="9" t="s">
        <v>553</v>
      </c>
      <c r="I34" s="9">
        <v>8000</v>
      </c>
      <c r="J34" s="9" t="s">
        <v>520</v>
      </c>
      <c r="K34" s="9">
        <f>SUBTOTAL(109,K48:K190)</f>
        <v>0</v>
      </c>
      <c r="L3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-2743000</v>
      </c>
      <c r="M34" s="9"/>
      <c r="N34" s="9"/>
    </row>
    <row r="35" spans="1:14" ht="19" x14ac:dyDescent="0.2">
      <c r="A35" s="74"/>
      <c r="B35" s="58"/>
      <c r="C35" s="49"/>
      <c r="D35" s="13"/>
      <c r="E35" s="15"/>
      <c r="F35" s="9"/>
      <c r="G35" s="9"/>
      <c r="H35" s="9"/>
      <c r="I35" s="9">
        <v>200000</v>
      </c>
      <c r="J35" s="9" t="s">
        <v>521</v>
      </c>
      <c r="K35" s="9">
        <f>SUBTOTAL(109,K49:K190)</f>
        <v>0</v>
      </c>
      <c r="L3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-200000</v>
      </c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40000</v>
      </c>
      <c r="J36" s="9" t="s">
        <v>522</v>
      </c>
      <c r="K36" s="9">
        <f>SUBTOTAL(109,K48:K193)</f>
        <v>0</v>
      </c>
      <c r="L36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-40000</v>
      </c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35000</v>
      </c>
      <c r="J37" s="9" t="s">
        <v>523</v>
      </c>
      <c r="K37" s="9">
        <f>SUBTOTAL(109,K49:K193)</f>
        <v>0</v>
      </c>
      <c r="L37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-35000</v>
      </c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/>
      <c r="J38" s="9"/>
      <c r="K38" s="9">
        <f>SUBTOTAL(109,K49:K195)</f>
        <v>0</v>
      </c>
      <c r="L3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38" s="9"/>
      <c r="N38" s="9"/>
    </row>
    <row r="39" spans="1:14" ht="19" x14ac:dyDescent="0.2">
      <c r="A39" s="61">
        <v>600000</v>
      </c>
      <c r="B39" s="58"/>
      <c r="C39" s="49" t="s">
        <v>10</v>
      </c>
      <c r="D39" s="13" t="s">
        <v>105</v>
      </c>
      <c r="E39" s="15">
        <v>481000</v>
      </c>
      <c r="F39" s="9">
        <v>119000</v>
      </c>
      <c r="G39" s="9"/>
      <c r="H39" s="9"/>
      <c r="I39" s="9"/>
      <c r="J39" s="47"/>
      <c r="K39" s="9"/>
      <c r="L39" s="9"/>
      <c r="M39" s="9"/>
      <c r="N39" s="9"/>
    </row>
    <row r="40" spans="1:14" ht="19" x14ac:dyDescent="0.2">
      <c r="A40" s="61">
        <v>1061000</v>
      </c>
      <c r="B40" s="58">
        <v>44657</v>
      </c>
      <c r="C40" s="2" t="s">
        <v>9</v>
      </c>
      <c r="D40" s="13" t="s">
        <v>405</v>
      </c>
      <c r="E40" s="9">
        <v>727000</v>
      </c>
      <c r="F40" s="9">
        <v>334000</v>
      </c>
      <c r="G40" s="9"/>
      <c r="H40" s="9" t="s">
        <v>137</v>
      </c>
      <c r="I40" s="9">
        <v>20700</v>
      </c>
      <c r="J40" s="9" t="s">
        <v>524</v>
      </c>
      <c r="K40" s="9"/>
      <c r="L40" s="9"/>
      <c r="M40" s="9"/>
      <c r="N40" s="9"/>
    </row>
    <row r="41" spans="1:14" ht="19" x14ac:dyDescent="0.2">
      <c r="A41" s="74"/>
      <c r="B41" s="58"/>
      <c r="C41" s="35"/>
      <c r="D41" s="13"/>
      <c r="E41" s="15"/>
      <c r="F41" s="9"/>
      <c r="G41" s="9"/>
      <c r="H41" s="9"/>
      <c r="I41" s="9">
        <v>8700</v>
      </c>
      <c r="J41" s="9" t="s">
        <v>525</v>
      </c>
      <c r="K41" s="9">
        <f>SUBTOTAL(109,K47:K198)</f>
        <v>0</v>
      </c>
      <c r="L41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-8700</v>
      </c>
      <c r="M41" s="9"/>
      <c r="N41" s="9"/>
    </row>
    <row r="42" spans="1:14" ht="19" x14ac:dyDescent="0.2">
      <c r="A42" s="74"/>
      <c r="B42" s="58"/>
      <c r="C42" s="35"/>
      <c r="D42" s="13"/>
      <c r="E42" s="15"/>
      <c r="F42" s="9"/>
      <c r="G42" s="9"/>
      <c r="H42" s="9"/>
      <c r="I42" s="9">
        <v>6500</v>
      </c>
      <c r="J42" s="9" t="s">
        <v>526</v>
      </c>
      <c r="K42" s="9">
        <f>SUBTOTAL(109,K48:K198)</f>
        <v>0</v>
      </c>
      <c r="L42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-6500</v>
      </c>
      <c r="M42" s="9"/>
      <c r="N42" s="9"/>
    </row>
    <row r="43" spans="1:14" ht="19" x14ac:dyDescent="0.2">
      <c r="A43" s="74"/>
      <c r="B43" s="58"/>
      <c r="C43" s="35"/>
      <c r="D43" s="13"/>
      <c r="E43" s="15"/>
      <c r="F43" s="9"/>
      <c r="G43" s="9"/>
      <c r="H43" s="9"/>
      <c r="I43" s="9">
        <v>13000</v>
      </c>
      <c r="J43" s="9" t="s">
        <v>527</v>
      </c>
      <c r="K43" s="9">
        <f>SUBTOTAL(109,K49:K198)</f>
        <v>0</v>
      </c>
      <c r="L4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-13000</v>
      </c>
      <c r="M43" s="9"/>
      <c r="N43" s="9"/>
    </row>
    <row r="44" spans="1:14" ht="19" x14ac:dyDescent="0.2">
      <c r="A44" s="74"/>
      <c r="B44" s="58"/>
      <c r="C44" s="35"/>
      <c r="D44" s="13"/>
      <c r="E44" s="15"/>
      <c r="F44" s="9"/>
      <c r="G44" s="9"/>
      <c r="H44" s="9"/>
      <c r="I44" s="9">
        <v>128000</v>
      </c>
      <c r="J44" s="9" t="s">
        <v>512</v>
      </c>
      <c r="K44" s="9">
        <f>SUBTOTAL(109,K50:K198)</f>
        <v>0</v>
      </c>
      <c r="L4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-128000</v>
      </c>
      <c r="M44" s="9"/>
      <c r="N44" s="9"/>
    </row>
    <row r="45" spans="1:14" ht="19" x14ac:dyDescent="0.2">
      <c r="A45" s="74"/>
      <c r="B45" s="58"/>
      <c r="C45" s="35"/>
      <c r="D45" s="13"/>
      <c r="E45" s="15"/>
      <c r="F45" s="9"/>
      <c r="G45" s="9"/>
      <c r="H45" s="9"/>
      <c r="I45" s="9"/>
      <c r="J45" s="9"/>
      <c r="K45" s="9">
        <f>SUBTOTAL(109,K52:K198)</f>
        <v>0</v>
      </c>
      <c r="L4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45" s="9"/>
      <c r="N45" s="9"/>
    </row>
    <row r="46" spans="1:14" ht="19" x14ac:dyDescent="0.2">
      <c r="A46" s="61">
        <v>460000</v>
      </c>
      <c r="B46" s="58"/>
      <c r="C46" s="3" t="s">
        <v>10</v>
      </c>
      <c r="D46" s="13" t="s">
        <v>105</v>
      </c>
      <c r="E46" s="9">
        <v>291000</v>
      </c>
      <c r="F46" s="9">
        <v>169000</v>
      </c>
      <c r="G46" s="9"/>
      <c r="H46" s="9"/>
      <c r="I46" s="9"/>
      <c r="J46" s="9"/>
      <c r="K46" s="9"/>
      <c r="L46" s="9"/>
      <c r="M46" s="9"/>
      <c r="N46" s="9"/>
    </row>
    <row r="47" spans="1:14" ht="19" x14ac:dyDescent="0.2">
      <c r="A47" s="74">
        <v>519000</v>
      </c>
      <c r="B47" s="32">
        <v>44658</v>
      </c>
      <c r="C47" s="49" t="s">
        <v>9</v>
      </c>
      <c r="D47" s="13" t="s">
        <v>405</v>
      </c>
      <c r="E47" s="15">
        <v>409000</v>
      </c>
      <c r="F47" s="9">
        <v>110000</v>
      </c>
      <c r="G47" s="9"/>
      <c r="H47" s="9"/>
      <c r="I47" s="9">
        <v>14000</v>
      </c>
      <c r="J47" s="9" t="s">
        <v>528</v>
      </c>
      <c r="K47" s="9"/>
      <c r="L47" s="9"/>
      <c r="M47" s="9"/>
      <c r="N47" s="9"/>
    </row>
    <row r="48" spans="1:14" ht="19" x14ac:dyDescent="0.2">
      <c r="A48" s="74"/>
      <c r="B48" s="32"/>
      <c r="C48" s="49"/>
      <c r="D48" s="13"/>
      <c r="E48" s="15"/>
      <c r="F48" s="9"/>
      <c r="G48" s="9"/>
      <c r="H48" s="9"/>
      <c r="I48" s="9">
        <v>21000</v>
      </c>
      <c r="J48" s="9" t="s">
        <v>529</v>
      </c>
      <c r="K48" s="9"/>
      <c r="L48" s="9"/>
      <c r="M48" s="9"/>
      <c r="N48" s="9"/>
    </row>
    <row r="49" spans="1:14" ht="19" x14ac:dyDescent="0.2">
      <c r="A49" s="74"/>
      <c r="B49" s="32"/>
      <c r="C49" s="49"/>
      <c r="D49" s="13"/>
      <c r="E49" s="15"/>
      <c r="F49" s="9"/>
      <c r="G49" s="9"/>
      <c r="H49" s="9"/>
      <c r="I49" s="9">
        <v>10000</v>
      </c>
      <c r="J49" s="9" t="s">
        <v>531</v>
      </c>
      <c r="K49" s="9"/>
      <c r="L49" s="9"/>
      <c r="M49" s="9"/>
      <c r="N49" s="9"/>
    </row>
    <row r="50" spans="1:14" ht="19" x14ac:dyDescent="0.2">
      <c r="A50" s="74"/>
      <c r="B50" s="32"/>
      <c r="C50" s="49"/>
      <c r="D50" s="13"/>
      <c r="E50" s="15"/>
      <c r="F50" s="9"/>
      <c r="G50" s="9"/>
      <c r="H50" s="9"/>
      <c r="I50" s="9">
        <v>30500</v>
      </c>
      <c r="J50" s="9" t="s">
        <v>64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>
        <v>44500</v>
      </c>
      <c r="J51" s="9" t="s">
        <v>530</v>
      </c>
      <c r="K51" s="9">
        <f>SUBTOTAL(109,K57:K208)</f>
        <v>0</v>
      </c>
      <c r="L51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-44500</v>
      </c>
      <c r="M51" s="9"/>
      <c r="N51" s="9"/>
    </row>
    <row r="52" spans="1:14" ht="19" x14ac:dyDescent="0.2">
      <c r="A52" s="74">
        <v>713000</v>
      </c>
      <c r="B52" s="32"/>
      <c r="C52" s="49" t="s">
        <v>10</v>
      </c>
      <c r="D52" s="13" t="s">
        <v>105</v>
      </c>
      <c r="E52" s="15">
        <v>713000</v>
      </c>
      <c r="F52" s="9"/>
      <c r="G52" s="9"/>
      <c r="H52" s="9"/>
      <c r="I52" s="9"/>
      <c r="J52" s="9"/>
      <c r="K52" s="9"/>
      <c r="L52" s="9"/>
      <c r="M52" s="9"/>
      <c r="N52" s="9"/>
    </row>
    <row r="53" spans="1:14" ht="19" x14ac:dyDescent="0.2">
      <c r="A53" s="74">
        <v>879000</v>
      </c>
      <c r="B53" s="32">
        <v>44659</v>
      </c>
      <c r="C53" s="49" t="s">
        <v>9</v>
      </c>
      <c r="D53" s="13" t="s">
        <v>405</v>
      </c>
      <c r="E53" s="15">
        <v>610000</v>
      </c>
      <c r="F53" s="9">
        <v>269000</v>
      </c>
      <c r="G53" s="9"/>
      <c r="H53" s="9" t="s">
        <v>137</v>
      </c>
      <c r="I53" s="9">
        <v>21000</v>
      </c>
      <c r="J53" s="9" t="s">
        <v>48</v>
      </c>
      <c r="K53" s="9"/>
      <c r="L53" s="9"/>
      <c r="M53" s="9"/>
      <c r="N53" s="9"/>
    </row>
    <row r="54" spans="1:14" ht="19" x14ac:dyDescent="0.2">
      <c r="A54" s="74">
        <v>306000</v>
      </c>
      <c r="B54" s="33"/>
      <c r="C54" s="2" t="s">
        <v>10</v>
      </c>
      <c r="D54" s="13" t="s">
        <v>105</v>
      </c>
      <c r="E54" s="9">
        <v>306000</v>
      </c>
      <c r="F54" s="9"/>
      <c r="G54" s="9"/>
      <c r="H54" s="9"/>
      <c r="I54" s="9"/>
      <c r="J54" s="9"/>
      <c r="K54" s="9"/>
      <c r="L54" s="9"/>
      <c r="M54" s="9"/>
      <c r="N54" s="9"/>
    </row>
    <row r="55" spans="1:14" ht="19" x14ac:dyDescent="0.2">
      <c r="A55" s="74"/>
      <c r="B55" s="32"/>
      <c r="C55" s="3"/>
      <c r="D55" s="13"/>
      <c r="E55" s="15"/>
      <c r="F55" s="9"/>
      <c r="G55" s="9"/>
      <c r="H55" s="59"/>
      <c r="I55" s="9"/>
      <c r="J55" s="9"/>
      <c r="K55" s="9"/>
      <c r="L55" s="9"/>
      <c r="M55" s="9"/>
      <c r="N55" s="9"/>
    </row>
    <row r="56" spans="1:14" ht="19" x14ac:dyDescent="0.2">
      <c r="A56" s="74"/>
      <c r="B56" s="33"/>
      <c r="C56" s="2"/>
      <c r="D56" s="13"/>
      <c r="E56" s="15"/>
      <c r="F56" s="9"/>
      <c r="G56" s="9"/>
      <c r="H56" s="9"/>
      <c r="I56" s="9"/>
      <c r="J56" s="9"/>
      <c r="K56" s="9"/>
      <c r="L56" s="9"/>
      <c r="M56" s="9"/>
      <c r="N56" s="9"/>
    </row>
    <row r="57" spans="1:14" ht="19" x14ac:dyDescent="0.2">
      <c r="A57" s="74">
        <v>370000</v>
      </c>
      <c r="B57" s="32">
        <v>44660</v>
      </c>
      <c r="C57" s="35" t="s">
        <v>9</v>
      </c>
      <c r="D57" s="13" t="s">
        <v>28</v>
      </c>
      <c r="E57" s="15">
        <v>318000</v>
      </c>
      <c r="F57" s="9">
        <v>52000</v>
      </c>
      <c r="G57" s="9"/>
      <c r="H57" s="9" t="s">
        <v>532</v>
      </c>
      <c r="I57" s="9"/>
      <c r="J57" s="9"/>
      <c r="K57" s="9"/>
      <c r="L57" s="9"/>
      <c r="M57" s="9"/>
      <c r="N57" s="9"/>
    </row>
    <row r="58" spans="1:14" ht="19" x14ac:dyDescent="0.2">
      <c r="A58" s="61"/>
      <c r="B58" s="58"/>
      <c r="C58" s="3"/>
      <c r="D58" s="13"/>
      <c r="E58" s="15"/>
      <c r="F58" s="9"/>
      <c r="G58" s="9"/>
      <c r="H58" s="59"/>
      <c r="I58" s="9"/>
      <c r="J58" s="9"/>
      <c r="K58" s="9"/>
      <c r="L58" s="9"/>
      <c r="M58" s="9"/>
      <c r="N58" s="9"/>
    </row>
    <row r="59" spans="1:14" ht="19" x14ac:dyDescent="0.2">
      <c r="A59" s="61"/>
      <c r="B59" s="75"/>
      <c r="C59" s="2"/>
      <c r="D59" s="13"/>
      <c r="E59" s="15"/>
      <c r="F59" s="9"/>
      <c r="G59" s="9"/>
      <c r="H59" s="9"/>
      <c r="I59" s="9"/>
      <c r="J59" s="9"/>
      <c r="K59" s="9"/>
      <c r="L59" s="9"/>
      <c r="M59" s="9"/>
      <c r="N59" s="9"/>
    </row>
    <row r="60" spans="1:14" ht="19" x14ac:dyDescent="0.2">
      <c r="A60" s="61"/>
      <c r="B60" s="75"/>
      <c r="C60" s="35"/>
      <c r="D60" s="13"/>
      <c r="E60" s="15"/>
      <c r="F60" s="9"/>
      <c r="G60" s="9"/>
      <c r="H60" s="47"/>
      <c r="I60" s="9"/>
      <c r="J60" s="9"/>
      <c r="K60" s="9"/>
      <c r="L60" s="9"/>
      <c r="M60" s="9"/>
      <c r="N60" s="9"/>
    </row>
    <row r="61" spans="1:14" ht="19" x14ac:dyDescent="0.2">
      <c r="A61" s="61"/>
      <c r="B61" s="75"/>
      <c r="C61" s="35"/>
      <c r="D61" s="13"/>
      <c r="E61" s="15"/>
      <c r="F61" s="9"/>
      <c r="G61" s="9"/>
      <c r="H61" s="9"/>
      <c r="I61" s="9"/>
      <c r="J61" s="9"/>
      <c r="K61" s="9"/>
      <c r="L61" s="9"/>
      <c r="M61" s="9"/>
      <c r="N61" s="9"/>
    </row>
    <row r="62" spans="1:14" ht="19" x14ac:dyDescent="0.2">
      <c r="A62" s="61">
        <v>234000</v>
      </c>
      <c r="B62" s="75"/>
      <c r="C62" s="35" t="s">
        <v>10</v>
      </c>
      <c r="D62" s="13" t="s">
        <v>105</v>
      </c>
      <c r="E62" s="15">
        <v>164000</v>
      </c>
      <c r="F62" s="9">
        <v>70000</v>
      </c>
      <c r="G62" s="9"/>
      <c r="H62" s="9" t="s">
        <v>137</v>
      </c>
      <c r="I62" s="9"/>
      <c r="J62" s="9"/>
      <c r="K62" s="9"/>
      <c r="L62" s="9"/>
      <c r="M62" s="9"/>
      <c r="N62" s="9"/>
    </row>
    <row r="63" spans="1:14" ht="19" x14ac:dyDescent="0.2">
      <c r="A63" s="61"/>
      <c r="B63" s="58"/>
      <c r="C63" s="3"/>
      <c r="D63" s="13"/>
      <c r="E63" s="15"/>
      <c r="F63" s="9"/>
      <c r="G63" s="60"/>
      <c r="H63" s="59"/>
      <c r="I63" s="9"/>
      <c r="J63" s="9"/>
      <c r="K63" s="9"/>
      <c r="L63" s="9"/>
      <c r="M63" s="9"/>
      <c r="N63" s="9"/>
    </row>
    <row r="64" spans="1:14" ht="19" x14ac:dyDescent="0.2">
      <c r="A64" s="61">
        <v>595000</v>
      </c>
      <c r="B64" s="58">
        <v>44661</v>
      </c>
      <c r="C64" s="2" t="s">
        <v>440</v>
      </c>
      <c r="D64" s="13" t="s">
        <v>28</v>
      </c>
      <c r="E64" s="15">
        <v>421000</v>
      </c>
      <c r="F64" s="9">
        <v>174000</v>
      </c>
      <c r="G64" s="9"/>
      <c r="H64" s="9" t="s">
        <v>137</v>
      </c>
      <c r="I64" s="9"/>
      <c r="J64" s="9"/>
      <c r="K64" s="9"/>
      <c r="L64" s="9"/>
      <c r="M64" s="9"/>
      <c r="N64" s="9"/>
    </row>
    <row r="65" spans="1:14" ht="19" x14ac:dyDescent="0.2">
      <c r="A65" s="61"/>
      <c r="B65" s="58"/>
      <c r="C65" s="3"/>
      <c r="D65" s="13"/>
      <c r="E65" s="15"/>
      <c r="F65" s="9"/>
      <c r="G65" s="9">
        <v>240000</v>
      </c>
      <c r="H65" s="9" t="s">
        <v>533</v>
      </c>
      <c r="I65" s="9"/>
      <c r="J65" s="9"/>
      <c r="K65" s="9"/>
      <c r="L65" s="9"/>
      <c r="M65" s="9"/>
      <c r="N65" s="9"/>
    </row>
    <row r="66" spans="1:14" ht="19" x14ac:dyDescent="0.2">
      <c r="A66" s="61"/>
      <c r="B66" s="58"/>
      <c r="C66" s="49"/>
      <c r="D66" s="13"/>
      <c r="E66" s="15"/>
      <c r="F66" s="9"/>
      <c r="G66" s="9"/>
      <c r="H66" s="9"/>
      <c r="I66" s="9"/>
      <c r="J66" s="9"/>
      <c r="K66" s="9"/>
      <c r="L66" s="9"/>
      <c r="M66" s="9"/>
      <c r="N66" s="9"/>
    </row>
    <row r="67" spans="1:14" ht="19" x14ac:dyDescent="0.2">
      <c r="A67" s="61">
        <v>666000</v>
      </c>
      <c r="B67" s="58"/>
      <c r="C67" s="49" t="s">
        <v>363</v>
      </c>
      <c r="D67" s="13" t="s">
        <v>105</v>
      </c>
      <c r="E67" s="15">
        <v>393000</v>
      </c>
      <c r="F67" s="9">
        <v>273000</v>
      </c>
      <c r="G67" s="9"/>
      <c r="H67" s="9" t="s">
        <v>137</v>
      </c>
      <c r="I67" s="9">
        <v>43000</v>
      </c>
      <c r="J67" s="9" t="s">
        <v>535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>
        <v>50000</v>
      </c>
      <c r="J68" s="9" t="s">
        <v>59</v>
      </c>
      <c r="K68" s="9">
        <f>SUBTOTAL(109,K80:K225)</f>
        <v>0</v>
      </c>
      <c r="L6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-50000</v>
      </c>
      <c r="M68" s="9"/>
      <c r="N68" s="9"/>
    </row>
    <row r="69" spans="1:14" ht="19" x14ac:dyDescent="0.2">
      <c r="A69" s="61">
        <v>825000</v>
      </c>
      <c r="B69" s="58">
        <v>44662</v>
      </c>
      <c r="C69" s="49" t="s">
        <v>9</v>
      </c>
      <c r="D69" s="13" t="s">
        <v>405</v>
      </c>
      <c r="E69" s="15">
        <v>663000</v>
      </c>
      <c r="F69" s="9">
        <v>162000</v>
      </c>
      <c r="G69" s="9">
        <v>768000</v>
      </c>
      <c r="H69" s="9" t="s">
        <v>568</v>
      </c>
      <c r="I69" s="9">
        <v>312000</v>
      </c>
      <c r="J69" s="9" t="s">
        <v>534</v>
      </c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9"/>
      <c r="H70" s="9" t="s">
        <v>137</v>
      </c>
      <c r="I70" s="9">
        <v>200000</v>
      </c>
      <c r="J70" s="9" t="s">
        <v>521</v>
      </c>
      <c r="K70" s="9">
        <f>SUBTOTAL(109,K76:K227)</f>
        <v>0</v>
      </c>
      <c r="L70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-200000</v>
      </c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9"/>
      <c r="H71" s="9"/>
      <c r="I71" s="9">
        <v>35000</v>
      </c>
      <c r="J71" s="9" t="s">
        <v>536</v>
      </c>
      <c r="K71" s="9">
        <f>SUBTOTAL(109,K80:K227)</f>
        <v>0</v>
      </c>
      <c r="L71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-35000</v>
      </c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9"/>
      <c r="H72" s="9"/>
      <c r="I72" s="9">
        <v>40000</v>
      </c>
      <c r="J72" s="9" t="s">
        <v>522</v>
      </c>
      <c r="K72" s="9">
        <f>SUBTOTAL(109,K81:K227)</f>
        <v>0</v>
      </c>
      <c r="L72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-40000</v>
      </c>
      <c r="M72" s="9"/>
      <c r="N72" s="9"/>
    </row>
    <row r="73" spans="1:14" ht="19" x14ac:dyDescent="0.2">
      <c r="A73" s="61">
        <v>259000</v>
      </c>
      <c r="B73" s="58"/>
      <c r="C73" s="49" t="s">
        <v>10</v>
      </c>
      <c r="D73" s="13" t="s">
        <v>105</v>
      </c>
      <c r="E73" s="15">
        <v>259000</v>
      </c>
      <c r="F73" s="9"/>
      <c r="G73" s="9"/>
      <c r="H73" s="9" t="s">
        <v>137</v>
      </c>
      <c r="I73" s="9"/>
      <c r="J73" s="9"/>
      <c r="K73" s="9"/>
      <c r="L73" s="9"/>
      <c r="M73" s="9"/>
      <c r="N73" s="9"/>
    </row>
    <row r="74" spans="1:14" ht="19" x14ac:dyDescent="0.2">
      <c r="A74" s="61">
        <v>524000</v>
      </c>
      <c r="B74" s="58">
        <v>44663</v>
      </c>
      <c r="C74" s="49" t="s">
        <v>9</v>
      </c>
      <c r="D74" s="13" t="s">
        <v>405</v>
      </c>
      <c r="E74" s="15">
        <v>360000</v>
      </c>
      <c r="F74" s="9">
        <v>164000</v>
      </c>
      <c r="G74" s="9"/>
      <c r="H74" s="9" t="s">
        <v>137</v>
      </c>
      <c r="I74" s="9">
        <v>56000</v>
      </c>
      <c r="J74" s="9" t="s">
        <v>537</v>
      </c>
      <c r="K74" s="9"/>
      <c r="L74" s="9"/>
      <c r="M74" s="9"/>
      <c r="N74" s="9"/>
    </row>
    <row r="75" spans="1:14" ht="19" x14ac:dyDescent="0.2">
      <c r="A75" s="61"/>
      <c r="B75" s="58"/>
      <c r="C75" s="49"/>
      <c r="D75" s="13"/>
      <c r="E75" s="15"/>
      <c r="F75" s="9"/>
      <c r="G75" s="9"/>
      <c r="H75" s="9"/>
      <c r="I75" s="9">
        <v>15000</v>
      </c>
      <c r="J75" s="9" t="s">
        <v>538</v>
      </c>
      <c r="K75" s="9"/>
      <c r="L75" s="9"/>
      <c r="M75" s="9"/>
      <c r="N75" s="9"/>
    </row>
    <row r="76" spans="1:14" ht="19" x14ac:dyDescent="0.2">
      <c r="A76" s="61"/>
      <c r="B76" s="58"/>
      <c r="C76" s="49"/>
      <c r="D76" s="13"/>
      <c r="E76" s="15"/>
      <c r="F76" s="9"/>
      <c r="G76" s="9">
        <v>3408000</v>
      </c>
      <c r="H76" s="9" t="s">
        <v>554</v>
      </c>
      <c r="I76" s="9">
        <v>32000</v>
      </c>
      <c r="J76" s="9" t="s">
        <v>539</v>
      </c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9" t="s">
        <v>547</v>
      </c>
      <c r="H77" s="9"/>
      <c r="I77" s="9">
        <v>620000</v>
      </c>
      <c r="J77" s="9" t="s">
        <v>294</v>
      </c>
      <c r="K77" s="9">
        <f>SUBTOTAL(109,K84:K234)</f>
        <v>0</v>
      </c>
      <c r="L77" s="9" t="e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#VALUE!</v>
      </c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9"/>
      <c r="H78" s="9"/>
      <c r="I78" s="9">
        <v>310000</v>
      </c>
      <c r="J78" s="9" t="s">
        <v>371</v>
      </c>
      <c r="K78" s="9">
        <f>SUBTOTAL(109,K85:K234)</f>
        <v>0</v>
      </c>
      <c r="L7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-310000</v>
      </c>
      <c r="M78" s="9"/>
      <c r="N78" s="9"/>
    </row>
    <row r="79" spans="1:14" ht="19" x14ac:dyDescent="0.2">
      <c r="A79" s="74"/>
      <c r="B79" s="58"/>
      <c r="C79" s="49"/>
      <c r="D79" s="13"/>
      <c r="E79" s="15"/>
      <c r="F79" s="9"/>
      <c r="G79" s="9"/>
      <c r="H79" s="9"/>
      <c r="I79" s="9">
        <v>30000</v>
      </c>
      <c r="J79" s="9" t="s">
        <v>540</v>
      </c>
      <c r="K79" s="9">
        <f>SUBTOTAL(109,K85:K236)</f>
        <v>0</v>
      </c>
      <c r="L79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-30000</v>
      </c>
      <c r="M79" s="9"/>
      <c r="N79" s="9"/>
    </row>
    <row r="80" spans="1:14" ht="19" x14ac:dyDescent="0.2">
      <c r="A80" s="74">
        <v>528000</v>
      </c>
      <c r="B80" s="58"/>
      <c r="C80" s="49" t="s">
        <v>10</v>
      </c>
      <c r="D80" s="13" t="s">
        <v>105</v>
      </c>
      <c r="E80" s="15">
        <v>454000</v>
      </c>
      <c r="F80" s="9">
        <v>74000</v>
      </c>
      <c r="G80" s="9"/>
      <c r="H80" s="9"/>
      <c r="I80" s="9">
        <v>45000</v>
      </c>
      <c r="J80" s="9" t="s">
        <v>541</v>
      </c>
      <c r="K80" s="9"/>
      <c r="L80" s="9"/>
      <c r="M80" s="9"/>
      <c r="N80" s="9"/>
    </row>
    <row r="81" spans="1:14" ht="19" x14ac:dyDescent="0.2">
      <c r="A81" s="61"/>
      <c r="B81" s="75"/>
      <c r="C81" s="2"/>
      <c r="D81" s="13"/>
      <c r="E81" s="15"/>
      <c r="F81" s="9"/>
      <c r="G81" s="9"/>
      <c r="H81" s="9"/>
      <c r="I81" s="9">
        <v>56000</v>
      </c>
      <c r="J81" s="47" t="s">
        <v>542</v>
      </c>
      <c r="K81" s="9"/>
      <c r="L81" s="9"/>
      <c r="M81" s="9"/>
      <c r="N81" s="9"/>
    </row>
    <row r="82" spans="1:14" ht="19" x14ac:dyDescent="0.2">
      <c r="A82" s="61"/>
      <c r="B82" s="58"/>
      <c r="C82" s="3"/>
      <c r="D82" s="13"/>
      <c r="E82" s="15"/>
      <c r="F82" s="9"/>
      <c r="G82" s="9"/>
      <c r="H82" s="9"/>
      <c r="I82" s="9">
        <v>128000</v>
      </c>
      <c r="J82" s="9" t="s">
        <v>512</v>
      </c>
      <c r="K82" s="9"/>
      <c r="L82" s="9"/>
      <c r="M82" s="9"/>
      <c r="N82" s="9"/>
    </row>
    <row r="83" spans="1:14" ht="19" x14ac:dyDescent="0.2">
      <c r="A83" s="74">
        <v>564000</v>
      </c>
      <c r="B83" s="58">
        <v>44664</v>
      </c>
      <c r="C83" s="49" t="s">
        <v>9</v>
      </c>
      <c r="D83" s="13" t="s">
        <v>405</v>
      </c>
      <c r="E83" s="15">
        <v>474000</v>
      </c>
      <c r="F83" s="9">
        <v>90000</v>
      </c>
      <c r="G83" s="9"/>
      <c r="H83" s="9" t="s">
        <v>137</v>
      </c>
      <c r="I83" s="9">
        <v>21000</v>
      </c>
      <c r="J83" s="9" t="s">
        <v>543</v>
      </c>
      <c r="K83" s="9"/>
      <c r="L83" s="9"/>
      <c r="M83" s="9"/>
      <c r="N83" s="9"/>
    </row>
    <row r="84" spans="1:14" ht="19" x14ac:dyDescent="0.2">
      <c r="A84" s="61">
        <v>509000</v>
      </c>
      <c r="B84" s="75"/>
      <c r="C84" s="2" t="s">
        <v>10</v>
      </c>
      <c r="D84" s="13" t="s">
        <v>105</v>
      </c>
      <c r="E84" s="15">
        <v>446000</v>
      </c>
      <c r="F84" s="9">
        <v>63000</v>
      </c>
      <c r="G84" s="9"/>
      <c r="H84" s="9"/>
      <c r="I84" s="9"/>
      <c r="J84" s="9"/>
      <c r="K84" s="9"/>
      <c r="L84" s="9"/>
      <c r="M84" s="9"/>
      <c r="N84" s="9"/>
    </row>
    <row r="85" spans="1:14" ht="19" x14ac:dyDescent="0.2">
      <c r="A85" s="61">
        <v>782000</v>
      </c>
      <c r="B85" s="58">
        <v>44665</v>
      </c>
      <c r="C85" s="3" t="s">
        <v>9</v>
      </c>
      <c r="D85" s="13" t="s">
        <v>405</v>
      </c>
      <c r="E85" s="15">
        <v>735000</v>
      </c>
      <c r="F85" s="9">
        <v>47000</v>
      </c>
      <c r="G85" s="9"/>
      <c r="H85" s="9" t="s">
        <v>137</v>
      </c>
      <c r="I85" s="9">
        <v>48500</v>
      </c>
      <c r="J85" s="9" t="s">
        <v>544</v>
      </c>
      <c r="K85" s="9"/>
      <c r="L85" s="9"/>
      <c r="M85" s="9"/>
      <c r="N85" s="9"/>
    </row>
    <row r="86" spans="1:14" ht="32" x14ac:dyDescent="0.2">
      <c r="A86" s="61"/>
      <c r="B86" s="58"/>
      <c r="C86" s="49"/>
      <c r="D86" s="13"/>
      <c r="E86" s="15"/>
      <c r="F86" s="9"/>
      <c r="G86" s="9">
        <v>641000</v>
      </c>
      <c r="H86" s="47" t="s">
        <v>548</v>
      </c>
      <c r="I86" s="9">
        <v>19000</v>
      </c>
      <c r="J86" s="47" t="s">
        <v>268</v>
      </c>
      <c r="K86" s="9"/>
      <c r="L86" s="9"/>
      <c r="M86" s="9"/>
      <c r="N86" s="9"/>
    </row>
    <row r="87" spans="1:14" ht="19" x14ac:dyDescent="0.2">
      <c r="A87" s="61"/>
      <c r="B87" s="75"/>
      <c r="C87" s="2"/>
      <c r="D87" s="13"/>
      <c r="E87" s="15"/>
      <c r="F87" s="9"/>
      <c r="G87" s="9"/>
      <c r="H87" s="9"/>
      <c r="I87" s="9">
        <v>17500</v>
      </c>
      <c r="J87" s="9" t="s">
        <v>545</v>
      </c>
      <c r="K87" s="9"/>
      <c r="L87" s="9"/>
      <c r="M87" s="9"/>
      <c r="N87" s="9"/>
    </row>
    <row r="88" spans="1:14" ht="19" x14ac:dyDescent="0.2">
      <c r="A88" s="61"/>
      <c r="B88" s="75"/>
      <c r="C88" s="35"/>
      <c r="D88" s="13"/>
      <c r="E88" s="15"/>
      <c r="F88" s="9"/>
      <c r="G88" s="9"/>
      <c r="H88" s="9"/>
      <c r="I88" s="9">
        <v>51000</v>
      </c>
      <c r="J88" s="9" t="s">
        <v>546</v>
      </c>
      <c r="K88" s="9"/>
      <c r="L88" s="9"/>
      <c r="M88" s="9"/>
      <c r="N88" s="9"/>
    </row>
    <row r="89" spans="1:14" ht="19" x14ac:dyDescent="0.2">
      <c r="A89" s="61"/>
      <c r="B89" s="58"/>
      <c r="C89" s="3"/>
      <c r="D89" s="13"/>
      <c r="E89" s="15"/>
      <c r="F89" s="9"/>
      <c r="G89" s="60"/>
      <c r="H89" s="59"/>
      <c r="I89" s="9"/>
      <c r="J89" s="9"/>
      <c r="K89" s="9"/>
      <c r="L89" s="9"/>
      <c r="M89" s="9"/>
      <c r="N89" s="9"/>
    </row>
    <row r="90" spans="1:14" ht="19" x14ac:dyDescent="0.2">
      <c r="A90" s="61">
        <v>530000</v>
      </c>
      <c r="B90" s="75"/>
      <c r="C90" s="2" t="s">
        <v>10</v>
      </c>
      <c r="D90" s="13" t="s">
        <v>105</v>
      </c>
      <c r="E90" s="15">
        <v>484000</v>
      </c>
      <c r="F90" s="9">
        <v>46000</v>
      </c>
      <c r="G90" s="9"/>
      <c r="H90" s="9" t="s">
        <v>137</v>
      </c>
      <c r="I90" s="9"/>
      <c r="J90" s="9"/>
      <c r="K90" s="9"/>
      <c r="L90" s="9"/>
      <c r="M90" s="9"/>
      <c r="N90" s="9"/>
    </row>
    <row r="91" spans="1:14" ht="19" x14ac:dyDescent="0.2">
      <c r="A91" s="61">
        <v>766000</v>
      </c>
      <c r="B91" s="58">
        <v>44666</v>
      </c>
      <c r="C91" s="3" t="s">
        <v>9</v>
      </c>
      <c r="D91" s="13" t="s">
        <v>405</v>
      </c>
      <c r="E91" s="15">
        <v>579000</v>
      </c>
      <c r="F91" s="9">
        <v>187000</v>
      </c>
      <c r="G91" s="9"/>
      <c r="H91" s="47"/>
      <c r="I91" s="9">
        <v>30500</v>
      </c>
      <c r="J91" s="47" t="s">
        <v>549</v>
      </c>
      <c r="K91" s="9"/>
      <c r="L91" s="9"/>
      <c r="M91" s="9"/>
      <c r="N91" s="9"/>
    </row>
    <row r="92" spans="1:14" ht="19" x14ac:dyDescent="0.2">
      <c r="A92" s="74"/>
      <c r="B92" s="58"/>
      <c r="C92" s="49"/>
      <c r="D92" s="13"/>
      <c r="E92" s="15"/>
      <c r="F92" s="9"/>
      <c r="G92" s="9">
        <v>1638000</v>
      </c>
      <c r="H92" s="9" t="s">
        <v>552</v>
      </c>
      <c r="I92" s="9">
        <v>19000</v>
      </c>
      <c r="J92" s="47" t="s">
        <v>550</v>
      </c>
      <c r="K92" s="9">
        <f>SUBTOTAL(109,K98:K249)</f>
        <v>0</v>
      </c>
      <c r="L92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-1657000</v>
      </c>
      <c r="M92" s="9"/>
      <c r="N92" s="9"/>
    </row>
    <row r="93" spans="1:14" ht="19" x14ac:dyDescent="0.2">
      <c r="A93" s="74"/>
      <c r="B93" s="58"/>
      <c r="C93" s="49"/>
      <c r="D93" s="13"/>
      <c r="E93" s="15"/>
      <c r="F93" s="9"/>
      <c r="G93" s="9"/>
      <c r="H93" s="9" t="s">
        <v>137</v>
      </c>
      <c r="I93" s="9">
        <v>15000</v>
      </c>
      <c r="J93" s="47" t="s">
        <v>551</v>
      </c>
      <c r="K93" s="9">
        <f>SUBTOTAL(109,K99:K249)</f>
        <v>0</v>
      </c>
      <c r="L9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-15000</v>
      </c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/>
      <c r="J94" s="47"/>
      <c r="K94" s="9">
        <f>SUBTOTAL(109,K100:K249)</f>
        <v>0</v>
      </c>
      <c r="L9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/>
      <c r="J95" s="47"/>
      <c r="K95" s="9">
        <f>SUBTOTAL(109,K101:K249)</f>
        <v>0</v>
      </c>
      <c r="L9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95" s="9"/>
      <c r="N95" s="9"/>
    </row>
    <row r="96" spans="1:14" ht="19" x14ac:dyDescent="0.2">
      <c r="A96" s="61">
        <v>684000</v>
      </c>
      <c r="B96" s="75"/>
      <c r="C96" s="2" t="s">
        <v>10</v>
      </c>
      <c r="D96" s="13" t="s">
        <v>105</v>
      </c>
      <c r="E96" s="15">
        <v>684000</v>
      </c>
      <c r="F96" s="9"/>
      <c r="G96" s="9"/>
      <c r="H96" s="9" t="s">
        <v>137</v>
      </c>
      <c r="I96" s="9"/>
      <c r="J96" s="9"/>
      <c r="K96" s="9"/>
      <c r="L96" s="9"/>
      <c r="M96" s="9"/>
      <c r="N96" s="9"/>
    </row>
    <row r="97" spans="1:14" ht="19" x14ac:dyDescent="0.2">
      <c r="A97" s="61">
        <v>890000</v>
      </c>
      <c r="B97" s="58">
        <v>44667</v>
      </c>
      <c r="C97" s="35" t="s">
        <v>9</v>
      </c>
      <c r="D97" s="13" t="s">
        <v>405</v>
      </c>
      <c r="E97" s="15">
        <v>795000</v>
      </c>
      <c r="F97" s="9">
        <v>95000</v>
      </c>
      <c r="G97" s="9"/>
      <c r="H97" s="9" t="s">
        <v>137</v>
      </c>
      <c r="I97" s="9">
        <v>40000</v>
      </c>
      <c r="J97" s="9" t="s">
        <v>555</v>
      </c>
      <c r="K97" s="9"/>
      <c r="L97" s="9"/>
      <c r="M97" s="9"/>
      <c r="N97" s="9"/>
    </row>
    <row r="98" spans="1:14" ht="19" x14ac:dyDescent="0.2">
      <c r="A98" s="61">
        <v>543000</v>
      </c>
      <c r="B98" s="58"/>
      <c r="C98" s="3" t="s">
        <v>10</v>
      </c>
      <c r="D98" s="13" t="s">
        <v>105</v>
      </c>
      <c r="E98" s="15">
        <v>443000</v>
      </c>
      <c r="F98" s="9">
        <v>100000</v>
      </c>
      <c r="G98" s="9"/>
      <c r="H98" s="9" t="s">
        <v>137</v>
      </c>
      <c r="I98" s="9">
        <v>900000</v>
      </c>
      <c r="J98" s="9" t="s">
        <v>557</v>
      </c>
      <c r="K98" s="9"/>
      <c r="L98" s="9"/>
      <c r="M98" s="9"/>
      <c r="N98" s="9"/>
    </row>
    <row r="99" spans="1:14" ht="19" x14ac:dyDescent="0.2">
      <c r="A99" s="61"/>
      <c r="B99" s="58"/>
      <c r="C99" s="49"/>
      <c r="D99" s="13"/>
      <c r="E99" s="15"/>
      <c r="F99" s="9"/>
      <c r="G99" s="9"/>
      <c r="H99" s="9"/>
      <c r="I99" s="9">
        <v>344000</v>
      </c>
      <c r="J99" s="9" t="s">
        <v>558</v>
      </c>
      <c r="K99" s="9"/>
      <c r="L99" s="9"/>
      <c r="M99" s="9"/>
      <c r="N99" s="9"/>
    </row>
    <row r="100" spans="1:14" ht="19" x14ac:dyDescent="0.2">
      <c r="A100" s="61"/>
      <c r="B100" s="58"/>
      <c r="C100" s="49"/>
      <c r="D100" s="13"/>
      <c r="E100" s="15"/>
      <c r="F100" s="9"/>
      <c r="G100" s="9"/>
      <c r="H100" s="9"/>
      <c r="I100" s="9">
        <v>3000</v>
      </c>
      <c r="J100" s="9" t="s">
        <v>559</v>
      </c>
      <c r="K100" s="9"/>
      <c r="L100" s="9"/>
      <c r="M100" s="9"/>
      <c r="N100" s="9"/>
    </row>
    <row r="101" spans="1:14" ht="19" x14ac:dyDescent="0.2">
      <c r="A101" s="61"/>
      <c r="B101" s="75"/>
      <c r="C101" s="2"/>
      <c r="D101" s="13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ht="19" x14ac:dyDescent="0.2">
      <c r="A102" s="74">
        <v>514000</v>
      </c>
      <c r="B102" s="58">
        <v>44668</v>
      </c>
      <c r="C102" s="35" t="s">
        <v>9</v>
      </c>
      <c r="D102" s="13" t="s">
        <v>405</v>
      </c>
      <c r="E102" s="15">
        <v>466000</v>
      </c>
      <c r="F102" s="9">
        <v>48000</v>
      </c>
      <c r="G102" s="9"/>
      <c r="H102" s="9" t="s">
        <v>137</v>
      </c>
      <c r="I102" s="9">
        <v>39000</v>
      </c>
      <c r="J102" s="9" t="s">
        <v>556</v>
      </c>
      <c r="K102" s="9"/>
      <c r="L102" s="9"/>
      <c r="M102" s="9"/>
      <c r="N102" s="9"/>
    </row>
    <row r="103" spans="1:14" ht="19" x14ac:dyDescent="0.2">
      <c r="A103" s="74">
        <v>642000</v>
      </c>
      <c r="B103" s="75"/>
      <c r="C103" s="35" t="s">
        <v>10</v>
      </c>
      <c r="D103" s="13" t="s">
        <v>105</v>
      </c>
      <c r="E103" s="15">
        <v>560000</v>
      </c>
      <c r="F103" s="9">
        <v>82000</v>
      </c>
      <c r="G103" s="9"/>
      <c r="H103" s="9" t="s">
        <v>137</v>
      </c>
      <c r="I103" s="9">
        <v>50000</v>
      </c>
      <c r="J103" s="9" t="s">
        <v>59</v>
      </c>
      <c r="K103" s="9"/>
      <c r="L103" s="9"/>
      <c r="M103" s="9"/>
      <c r="N103" s="9"/>
    </row>
    <row r="104" spans="1:14" ht="19" x14ac:dyDescent="0.2">
      <c r="A104" s="61">
        <v>468000</v>
      </c>
      <c r="B104" s="58">
        <v>44669</v>
      </c>
      <c r="C104" s="3" t="s">
        <v>9</v>
      </c>
      <c r="D104" s="13" t="s">
        <v>405</v>
      </c>
      <c r="E104" s="9">
        <v>391000</v>
      </c>
      <c r="F104" s="9">
        <v>77000</v>
      </c>
      <c r="G104" s="9"/>
      <c r="H104" s="9" t="s">
        <v>137</v>
      </c>
      <c r="I104" s="9">
        <v>122500</v>
      </c>
      <c r="J104" s="9" t="s">
        <v>560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41500</v>
      </c>
      <c r="J105" s="9" t="s">
        <v>561</v>
      </c>
      <c r="K105" s="9">
        <f>SUBTOTAL(109,K120:K270)</f>
        <v>0</v>
      </c>
      <c r="L10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-41500</v>
      </c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>
        <v>102000</v>
      </c>
      <c r="J106" s="9" t="s">
        <v>564</v>
      </c>
      <c r="K106" s="9">
        <f>SUBTOTAL(109,K121:K270)</f>
        <v>0</v>
      </c>
      <c r="L106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-102000</v>
      </c>
      <c r="M106" s="9"/>
      <c r="N106" s="9"/>
    </row>
    <row r="107" spans="1:14" ht="19" x14ac:dyDescent="0.2">
      <c r="A107" s="74"/>
      <c r="B107" s="58"/>
      <c r="C107" s="49"/>
      <c r="D107" s="13"/>
      <c r="E107" s="15"/>
      <c r="F107" s="9"/>
      <c r="G107" s="9"/>
      <c r="H107" s="9"/>
      <c r="I107" s="9">
        <v>34500</v>
      </c>
      <c r="J107" s="9" t="s">
        <v>562</v>
      </c>
      <c r="K107" s="9">
        <f>SUBTOTAL(109,K122:K270)</f>
        <v>0</v>
      </c>
      <c r="L107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-34500</v>
      </c>
      <c r="M107" s="9"/>
      <c r="N107" s="9"/>
    </row>
    <row r="108" spans="1:14" ht="19" x14ac:dyDescent="0.2">
      <c r="A108" s="74"/>
      <c r="B108" s="58"/>
      <c r="C108" s="49"/>
      <c r="D108" s="13"/>
      <c r="E108" s="15"/>
      <c r="F108" s="9"/>
      <c r="G108" s="9"/>
      <c r="H108" s="9"/>
      <c r="I108" s="9">
        <v>20000</v>
      </c>
      <c r="J108" s="9" t="s">
        <v>563</v>
      </c>
      <c r="K108" s="9">
        <f>SUBTOTAL(109,K123:K270)</f>
        <v>0</v>
      </c>
      <c r="L10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-20000</v>
      </c>
      <c r="M108" s="9"/>
      <c r="N108" s="9"/>
    </row>
    <row r="109" spans="1:14" ht="19" x14ac:dyDescent="0.2">
      <c r="A109" s="74"/>
      <c r="B109" s="58"/>
      <c r="C109" s="49"/>
      <c r="D109" s="13"/>
      <c r="E109" s="15"/>
      <c r="F109" s="9"/>
      <c r="G109" s="9"/>
      <c r="H109" s="9"/>
      <c r="I109" s="9">
        <v>70000</v>
      </c>
      <c r="J109" s="9" t="s">
        <v>510</v>
      </c>
      <c r="K109" s="9">
        <f>SUBTOTAL(109,K121:K266)</f>
        <v>0</v>
      </c>
      <c r="L109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-70000</v>
      </c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/>
      <c r="H110" s="9"/>
      <c r="I110" s="9">
        <v>45000</v>
      </c>
      <c r="J110" s="9" t="s">
        <v>541</v>
      </c>
      <c r="K110" s="9">
        <f>SUBTOTAL(109,K122:K266)</f>
        <v>0</v>
      </c>
      <c r="L110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-45000</v>
      </c>
      <c r="M110" s="9"/>
      <c r="N110" s="9"/>
    </row>
    <row r="111" spans="1:14" ht="19" x14ac:dyDescent="0.2">
      <c r="A111" s="74"/>
      <c r="B111" s="58"/>
      <c r="C111" s="49"/>
      <c r="D111" s="13"/>
      <c r="E111" s="15"/>
      <c r="F111" s="9"/>
      <c r="G111" s="9"/>
      <c r="H111" s="9"/>
      <c r="I111" s="9">
        <v>128000</v>
      </c>
      <c r="J111" s="9" t="s">
        <v>512</v>
      </c>
      <c r="K111" s="9">
        <f>SUBTOTAL(109,K123:K266)</f>
        <v>0</v>
      </c>
      <c r="L111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-128000</v>
      </c>
      <c r="M111" s="9"/>
      <c r="N111" s="9"/>
    </row>
    <row r="112" spans="1:14" ht="19" x14ac:dyDescent="0.2">
      <c r="A112" s="61">
        <v>736000</v>
      </c>
      <c r="B112" s="75"/>
      <c r="C112" s="2" t="s">
        <v>10</v>
      </c>
      <c r="D112" s="13" t="s">
        <v>565</v>
      </c>
      <c r="E112" s="9">
        <v>580000</v>
      </c>
      <c r="F112" s="9">
        <v>156000</v>
      </c>
      <c r="G112" s="9"/>
      <c r="H112" s="9" t="s">
        <v>137</v>
      </c>
      <c r="I112" s="9">
        <v>200000</v>
      </c>
      <c r="J112" s="47" t="s">
        <v>521</v>
      </c>
      <c r="K112" s="9"/>
      <c r="L112" s="9"/>
      <c r="M112" s="9"/>
      <c r="N112" s="9"/>
    </row>
    <row r="113" spans="1:14" ht="19" x14ac:dyDescent="0.2">
      <c r="A113" s="74"/>
      <c r="B113" s="75"/>
      <c r="C113" s="35"/>
      <c r="D113" s="13"/>
      <c r="E113" s="15"/>
      <c r="F113" s="9"/>
      <c r="G113" s="9"/>
      <c r="H113" s="9"/>
      <c r="I113" s="9">
        <v>40000</v>
      </c>
      <c r="J113" s="47" t="s">
        <v>522</v>
      </c>
      <c r="K113" s="9">
        <f>SUBTOTAL(109,K122:K270)</f>
        <v>0</v>
      </c>
      <c r="L11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-40000</v>
      </c>
      <c r="M113" s="9"/>
      <c r="N113" s="9"/>
    </row>
    <row r="114" spans="1:14" ht="19" x14ac:dyDescent="0.2">
      <c r="A114" s="74"/>
      <c r="B114" s="75"/>
      <c r="C114" s="35"/>
      <c r="D114" s="13"/>
      <c r="E114" s="15"/>
      <c r="F114" s="9"/>
      <c r="G114" s="9"/>
      <c r="H114" s="9"/>
      <c r="I114" s="9">
        <v>70000</v>
      </c>
      <c r="J114" s="47" t="s">
        <v>536</v>
      </c>
      <c r="K114" s="9">
        <f>SUBTOTAL(109,K123:K270)</f>
        <v>0</v>
      </c>
      <c r="L11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-70000</v>
      </c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/>
      <c r="H115" s="9"/>
      <c r="I115" s="9">
        <v>20000</v>
      </c>
      <c r="J115" s="47" t="s">
        <v>566</v>
      </c>
      <c r="K115" s="9">
        <f>SUBTOTAL(109,K124:K270)</f>
        <v>0</v>
      </c>
      <c r="L11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-20000</v>
      </c>
      <c r="M115" s="9"/>
      <c r="N115" s="9"/>
    </row>
    <row r="116" spans="1:14" ht="19" x14ac:dyDescent="0.2">
      <c r="A116" s="61">
        <v>1005000</v>
      </c>
      <c r="B116" s="58">
        <v>44670</v>
      </c>
      <c r="C116" s="3" t="s">
        <v>9</v>
      </c>
      <c r="D116" s="13" t="s">
        <v>405</v>
      </c>
      <c r="E116" s="9">
        <v>825000</v>
      </c>
      <c r="F116" s="9">
        <v>180000</v>
      </c>
      <c r="G116" s="9">
        <v>2714000</v>
      </c>
      <c r="H116" s="9" t="s">
        <v>567</v>
      </c>
      <c r="I116" s="9"/>
      <c r="J116" s="47"/>
      <c r="K116" s="9"/>
      <c r="L116" s="9"/>
      <c r="M116" s="9"/>
      <c r="N116" s="9"/>
    </row>
    <row r="117" spans="1:14" ht="19" x14ac:dyDescent="0.2">
      <c r="A117" s="74"/>
      <c r="B117" s="58"/>
      <c r="C117" s="49"/>
      <c r="D117" s="13"/>
      <c r="E117" s="15"/>
      <c r="F117" s="9"/>
      <c r="G117" s="9"/>
      <c r="H117" s="9"/>
      <c r="I117" s="9"/>
      <c r="J117" s="47"/>
      <c r="K117" s="9">
        <f>SUBTOTAL(109,K123:K274)</f>
        <v>0</v>
      </c>
      <c r="L117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117" s="9"/>
      <c r="N117" s="9"/>
    </row>
    <row r="118" spans="1:14" ht="19" x14ac:dyDescent="0.2">
      <c r="A118" s="74"/>
      <c r="B118" s="58"/>
      <c r="C118" s="49"/>
      <c r="D118" s="13"/>
      <c r="E118" s="15"/>
      <c r="F118" s="9"/>
      <c r="G118" s="9"/>
      <c r="H118" s="9" t="s">
        <v>137</v>
      </c>
      <c r="I118" s="9"/>
      <c r="J118" s="47"/>
      <c r="K118" s="9">
        <f>SUBTOTAL(109,K124:K274)</f>
        <v>0</v>
      </c>
      <c r="L11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118" s="9"/>
      <c r="N118" s="9"/>
    </row>
    <row r="119" spans="1:14" ht="19" x14ac:dyDescent="0.2">
      <c r="A119" s="74"/>
      <c r="B119" s="58"/>
      <c r="C119" s="49"/>
      <c r="D119" s="13"/>
      <c r="E119" s="15"/>
      <c r="F119" s="9"/>
      <c r="G119" s="9"/>
      <c r="H119" s="9"/>
      <c r="I119" s="9">
        <v>17000</v>
      </c>
      <c r="J119" s="9" t="s">
        <v>569</v>
      </c>
      <c r="K119" s="9">
        <f>SUBTOTAL(109,K125:K274)</f>
        <v>0</v>
      </c>
      <c r="L119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-17000</v>
      </c>
      <c r="M119" s="9"/>
      <c r="N119" s="9"/>
    </row>
    <row r="120" spans="1:14" ht="19" x14ac:dyDescent="0.2">
      <c r="A120" s="61">
        <v>745000</v>
      </c>
      <c r="B120" s="58"/>
      <c r="C120" s="49" t="s">
        <v>10</v>
      </c>
      <c r="D120" s="13" t="s">
        <v>565</v>
      </c>
      <c r="E120" s="15">
        <v>647000</v>
      </c>
      <c r="F120" s="60">
        <v>98000</v>
      </c>
      <c r="G120" s="9"/>
      <c r="H120" s="9" t="s">
        <v>137</v>
      </c>
      <c r="I120" s="9">
        <v>41000</v>
      </c>
      <c r="J120" s="47" t="s">
        <v>570</v>
      </c>
      <c r="K120" s="9"/>
      <c r="L120" s="9"/>
      <c r="M120" s="9"/>
      <c r="N120" s="9"/>
    </row>
    <row r="121" spans="1:14" ht="19" x14ac:dyDescent="0.2">
      <c r="A121" s="61"/>
      <c r="B121" s="75"/>
      <c r="C121" s="2"/>
      <c r="D121" s="13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19" x14ac:dyDescent="0.2">
      <c r="A122" s="74"/>
      <c r="B122" s="75"/>
      <c r="C122" s="35"/>
      <c r="D122" s="13"/>
      <c r="E122" s="15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9" x14ac:dyDescent="0.2">
      <c r="A123" s="74">
        <v>465000</v>
      </c>
      <c r="B123" s="58">
        <v>44671</v>
      </c>
      <c r="C123" s="35" t="s">
        <v>9</v>
      </c>
      <c r="D123" s="13" t="s">
        <v>405</v>
      </c>
      <c r="E123" s="15">
        <v>305000</v>
      </c>
      <c r="F123" s="9">
        <v>160000</v>
      </c>
      <c r="G123" s="9"/>
      <c r="H123" s="9" t="s">
        <v>571</v>
      </c>
      <c r="I123" s="9"/>
      <c r="J123" s="9"/>
      <c r="K123" s="9"/>
      <c r="L123" s="9"/>
      <c r="M123" s="9"/>
      <c r="N123" s="9"/>
    </row>
    <row r="124" spans="1:14" ht="19" x14ac:dyDescent="0.2">
      <c r="A124" s="61">
        <v>734000</v>
      </c>
      <c r="B124" s="75"/>
      <c r="C124" s="2" t="s">
        <v>10</v>
      </c>
      <c r="D124" s="13" t="s">
        <v>565</v>
      </c>
      <c r="E124" s="9">
        <v>718000</v>
      </c>
      <c r="F124" s="9">
        <v>16000</v>
      </c>
      <c r="G124" s="9"/>
      <c r="H124" s="9" t="s">
        <v>137</v>
      </c>
      <c r="I124" s="76">
        <v>6000</v>
      </c>
      <c r="J124" s="76" t="s">
        <v>572</v>
      </c>
      <c r="K124" s="9"/>
      <c r="L124" s="9"/>
      <c r="M124" s="9"/>
      <c r="N124" s="9"/>
    </row>
    <row r="125" spans="1:14" ht="19" x14ac:dyDescent="0.2">
      <c r="A125" s="61"/>
      <c r="B125" s="75"/>
      <c r="C125" s="35"/>
      <c r="D125" s="13"/>
      <c r="E125" s="15"/>
      <c r="F125" s="9"/>
      <c r="G125" s="9"/>
      <c r="H125" s="9"/>
      <c r="I125" s="77">
        <v>80000</v>
      </c>
      <c r="J125" s="77" t="s">
        <v>573</v>
      </c>
      <c r="K125" s="9"/>
      <c r="L125" s="9"/>
      <c r="M125" s="9"/>
      <c r="N125" s="9"/>
    </row>
    <row r="126" spans="1:14" ht="19" x14ac:dyDescent="0.2">
      <c r="A126" s="61"/>
      <c r="B126" s="58"/>
      <c r="C126" s="3"/>
      <c r="D126" s="13"/>
      <c r="E126" s="15"/>
      <c r="F126" s="9"/>
      <c r="G126" s="9"/>
      <c r="H126" s="9"/>
      <c r="I126" s="76">
        <v>90000</v>
      </c>
      <c r="J126" s="76" t="s">
        <v>574</v>
      </c>
      <c r="K126" s="9"/>
      <c r="L126" s="9"/>
      <c r="M126" s="9"/>
      <c r="N126" s="9"/>
    </row>
    <row r="127" spans="1:14" ht="19" x14ac:dyDescent="0.2">
      <c r="A127" s="74"/>
      <c r="B127" s="58"/>
      <c r="C127" s="49"/>
      <c r="D127" s="13"/>
      <c r="E127" s="15"/>
      <c r="F127" s="9"/>
      <c r="G127" s="9"/>
      <c r="H127" s="9"/>
      <c r="I127" s="76">
        <v>19000</v>
      </c>
      <c r="J127" s="76" t="s">
        <v>268</v>
      </c>
      <c r="K127" s="9">
        <f>SUBTOTAL(109,K137:K284)</f>
        <v>0</v>
      </c>
      <c r="L127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-19000</v>
      </c>
      <c r="M127" s="9"/>
      <c r="N127" s="9"/>
    </row>
    <row r="128" spans="1:14" ht="19" x14ac:dyDescent="0.2">
      <c r="A128" s="74"/>
      <c r="B128" s="58"/>
      <c r="C128" s="49"/>
      <c r="D128" s="13"/>
      <c r="E128" s="15"/>
      <c r="F128" s="9"/>
      <c r="G128" s="9"/>
      <c r="H128" s="9"/>
      <c r="I128" s="76">
        <v>37500</v>
      </c>
      <c r="J128" s="76" t="s">
        <v>575</v>
      </c>
      <c r="K128" s="9">
        <f>SUBTOTAL(109,K138:K284)</f>
        <v>0</v>
      </c>
      <c r="L128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-37500</v>
      </c>
      <c r="M128" s="9"/>
      <c r="N128" s="9"/>
    </row>
    <row r="129" spans="1:14" ht="19" x14ac:dyDescent="0.2">
      <c r="A129" s="61">
        <v>827000</v>
      </c>
      <c r="B129" s="58">
        <v>44672</v>
      </c>
      <c r="C129" s="2" t="s">
        <v>9</v>
      </c>
      <c r="D129" s="13" t="s">
        <v>405</v>
      </c>
      <c r="E129" s="15">
        <v>478000</v>
      </c>
      <c r="F129" s="9">
        <v>349000</v>
      </c>
      <c r="G129" s="9"/>
      <c r="H129" s="76" t="s">
        <v>576</v>
      </c>
      <c r="I129" s="77">
        <v>43000</v>
      </c>
      <c r="J129" s="78" t="s">
        <v>577</v>
      </c>
      <c r="K129" s="9"/>
      <c r="L129" s="9"/>
      <c r="M129" s="9"/>
      <c r="N129" s="9"/>
    </row>
    <row r="130" spans="1:14" ht="19" x14ac:dyDescent="0.2">
      <c r="A130" s="61">
        <v>579000</v>
      </c>
      <c r="B130" s="58"/>
      <c r="C130" s="3" t="s">
        <v>10</v>
      </c>
      <c r="D130" s="13" t="s">
        <v>565</v>
      </c>
      <c r="E130" s="15">
        <v>487000</v>
      </c>
      <c r="F130" s="9">
        <v>92000</v>
      </c>
      <c r="G130" s="9"/>
      <c r="H130" s="9" t="s">
        <v>137</v>
      </c>
      <c r="I130" s="9"/>
      <c r="J130" s="9"/>
      <c r="K130" s="9"/>
      <c r="L130" s="9"/>
      <c r="M130" s="9"/>
      <c r="N130" s="9"/>
    </row>
    <row r="131" spans="1:14" ht="19" x14ac:dyDescent="0.2">
      <c r="A131" s="61">
        <v>691000</v>
      </c>
      <c r="B131" s="58">
        <v>44673</v>
      </c>
      <c r="C131" s="3" t="s">
        <v>9</v>
      </c>
      <c r="D131" s="13" t="s">
        <v>405</v>
      </c>
      <c r="E131" s="15">
        <v>648000</v>
      </c>
      <c r="F131" s="9">
        <v>43000</v>
      </c>
      <c r="G131" s="9"/>
      <c r="H131" s="47" t="s">
        <v>583</v>
      </c>
      <c r="I131" s="9">
        <v>90000</v>
      </c>
      <c r="J131" s="9" t="s">
        <v>578</v>
      </c>
      <c r="K131" s="9"/>
      <c r="L131" s="9"/>
      <c r="M131" s="9"/>
      <c r="N131" s="9"/>
    </row>
    <row r="132" spans="1:14" ht="19" x14ac:dyDescent="0.2">
      <c r="A132" s="74"/>
      <c r="B132" s="58"/>
      <c r="C132" s="49"/>
      <c r="D132" s="13"/>
      <c r="E132" s="15"/>
      <c r="F132" s="9"/>
      <c r="G132" s="9"/>
      <c r="H132" s="60"/>
      <c r="I132" s="9">
        <v>40000</v>
      </c>
      <c r="J132" s="9" t="s">
        <v>579</v>
      </c>
      <c r="K132" s="9">
        <f>SUBTOTAL(109,K138:K289)</f>
        <v>0</v>
      </c>
      <c r="L132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-40000</v>
      </c>
      <c r="M132" s="9"/>
      <c r="N132" s="9"/>
    </row>
    <row r="133" spans="1:14" ht="19" x14ac:dyDescent="0.2">
      <c r="A133" s="74"/>
      <c r="B133" s="58"/>
      <c r="C133" s="49"/>
      <c r="D133" s="13"/>
      <c r="E133" s="15"/>
      <c r="F133" s="9"/>
      <c r="G133" s="9"/>
      <c r="H133" s="60"/>
      <c r="I133" s="9">
        <v>12000</v>
      </c>
      <c r="J133" s="9" t="s">
        <v>580</v>
      </c>
      <c r="K133" s="9">
        <f>SUBTOTAL(109,K139:K289)</f>
        <v>0</v>
      </c>
      <c r="L13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-12000</v>
      </c>
      <c r="M133" s="9"/>
      <c r="N133" s="9"/>
    </row>
    <row r="134" spans="1:14" ht="19" x14ac:dyDescent="0.2">
      <c r="A134" s="74"/>
      <c r="B134" s="58"/>
      <c r="C134" s="49"/>
      <c r="D134" s="13"/>
      <c r="E134" s="15"/>
      <c r="F134" s="9"/>
      <c r="G134" s="9"/>
      <c r="H134" s="60"/>
      <c r="I134" s="9">
        <v>17000</v>
      </c>
      <c r="J134" s="9" t="s">
        <v>581</v>
      </c>
      <c r="K134" s="9">
        <f>SUBTOTAL(109,K140:K289)</f>
        <v>0</v>
      </c>
      <c r="L134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-17000</v>
      </c>
      <c r="M134" s="9"/>
      <c r="N134" s="9"/>
    </row>
    <row r="135" spans="1:14" ht="19" x14ac:dyDescent="0.2">
      <c r="A135" s="74"/>
      <c r="B135" s="58"/>
      <c r="C135" s="49"/>
      <c r="D135" s="13"/>
      <c r="E135" s="15"/>
      <c r="F135" s="9"/>
      <c r="G135" s="9"/>
      <c r="H135" s="60"/>
      <c r="I135" s="9">
        <v>25000</v>
      </c>
      <c r="J135" s="9" t="s">
        <v>582</v>
      </c>
      <c r="K135" s="9">
        <f>SUBTOTAL(109,K141:K289)</f>
        <v>0</v>
      </c>
      <c r="L135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-25000</v>
      </c>
      <c r="M135" s="9"/>
      <c r="N135" s="9"/>
    </row>
    <row r="136" spans="1:14" ht="19" x14ac:dyDescent="0.2">
      <c r="A136" s="61">
        <v>345000</v>
      </c>
      <c r="B136" s="58"/>
      <c r="C136" s="3" t="s">
        <v>10</v>
      </c>
      <c r="D136" s="13" t="s">
        <v>565</v>
      </c>
      <c r="E136" s="15">
        <v>234000</v>
      </c>
      <c r="F136" s="9">
        <v>111000</v>
      </c>
      <c r="G136" s="9"/>
      <c r="H136" s="9" t="s">
        <v>137</v>
      </c>
      <c r="I136" s="9"/>
      <c r="J136" s="9"/>
      <c r="K136" s="9"/>
      <c r="L136" s="9"/>
      <c r="M136" s="9"/>
      <c r="N136" s="9"/>
    </row>
    <row r="137" spans="1:14" ht="19" x14ac:dyDescent="0.2">
      <c r="A137" s="61">
        <v>646000</v>
      </c>
      <c r="B137" s="58">
        <v>44674</v>
      </c>
      <c r="C137" s="3" t="s">
        <v>9</v>
      </c>
      <c r="D137" s="13" t="s">
        <v>105</v>
      </c>
      <c r="E137" s="15">
        <v>468000</v>
      </c>
      <c r="F137" s="9">
        <v>178000</v>
      </c>
      <c r="G137" s="9"/>
      <c r="H137" s="9" t="s">
        <v>137</v>
      </c>
      <c r="I137" s="9">
        <v>620000</v>
      </c>
      <c r="J137" s="9" t="s">
        <v>371</v>
      </c>
      <c r="K137" s="9"/>
      <c r="L137" s="9"/>
      <c r="M137" s="9"/>
      <c r="N137" s="9"/>
    </row>
    <row r="138" spans="1:14" ht="19" x14ac:dyDescent="0.2">
      <c r="A138" s="61"/>
      <c r="B138" s="58"/>
      <c r="C138" s="3"/>
      <c r="D138" s="13"/>
      <c r="E138" s="15"/>
      <c r="F138" s="9"/>
      <c r="G138" s="9"/>
      <c r="H138" s="59"/>
      <c r="I138" s="9">
        <v>60000</v>
      </c>
      <c r="J138" s="9" t="s">
        <v>585</v>
      </c>
      <c r="K138" s="9"/>
      <c r="L138" s="9"/>
      <c r="M138" s="9"/>
      <c r="N138" s="9"/>
    </row>
    <row r="139" spans="1:14" ht="19" x14ac:dyDescent="0.2">
      <c r="A139" s="61"/>
      <c r="B139" s="58"/>
      <c r="C139" s="3"/>
      <c r="D139" s="13"/>
      <c r="E139" s="15"/>
      <c r="F139" s="9"/>
      <c r="G139" s="9"/>
      <c r="H139" s="59"/>
      <c r="I139" s="9"/>
      <c r="J139" s="9"/>
      <c r="K139" s="9"/>
      <c r="L139" s="9"/>
      <c r="M139" s="9"/>
      <c r="N139" s="9"/>
    </row>
    <row r="140" spans="1:14" ht="19" x14ac:dyDescent="0.2">
      <c r="A140" s="61">
        <v>260000</v>
      </c>
      <c r="B140" s="75"/>
      <c r="C140" s="2" t="s">
        <v>10</v>
      </c>
      <c r="D140" s="13" t="s">
        <v>28</v>
      </c>
      <c r="E140" s="15">
        <v>246000</v>
      </c>
      <c r="F140" s="9">
        <v>14000</v>
      </c>
      <c r="G140" s="9">
        <v>120000</v>
      </c>
      <c r="H140" s="77" t="s">
        <v>584</v>
      </c>
      <c r="I140" s="9"/>
      <c r="J140" s="47"/>
      <c r="K140" s="9"/>
      <c r="L140" s="9"/>
      <c r="M140" s="9"/>
      <c r="N140" s="9"/>
    </row>
    <row r="141" spans="1:14" ht="19" x14ac:dyDescent="0.2">
      <c r="A141" s="61">
        <v>1025000</v>
      </c>
      <c r="B141" s="58">
        <v>44675</v>
      </c>
      <c r="C141" s="3" t="s">
        <v>9</v>
      </c>
      <c r="D141" s="13" t="s">
        <v>105</v>
      </c>
      <c r="E141" s="15">
        <v>944000</v>
      </c>
      <c r="F141" s="9">
        <v>81000</v>
      </c>
      <c r="G141" s="9"/>
      <c r="H141" s="9" t="s">
        <v>137</v>
      </c>
      <c r="I141" s="9"/>
      <c r="J141" s="9"/>
      <c r="K141" s="9"/>
      <c r="L141" s="9"/>
      <c r="M141" s="9"/>
      <c r="N141" s="9"/>
    </row>
    <row r="142" spans="1:14" ht="19" x14ac:dyDescent="0.2">
      <c r="A142" s="61">
        <v>601000</v>
      </c>
      <c r="B142" s="58"/>
      <c r="C142" s="49" t="s">
        <v>10</v>
      </c>
      <c r="D142" s="13" t="s">
        <v>28</v>
      </c>
      <c r="E142" s="15">
        <v>394000</v>
      </c>
      <c r="F142" s="9">
        <v>207000</v>
      </c>
      <c r="G142" s="9">
        <v>120000</v>
      </c>
      <c r="H142" s="9" t="s">
        <v>584</v>
      </c>
      <c r="I142" s="9"/>
      <c r="J142" s="9"/>
      <c r="K142" s="9"/>
      <c r="L142" s="9"/>
      <c r="M142" s="9"/>
      <c r="N142" s="9"/>
    </row>
    <row r="143" spans="1:14" ht="19" x14ac:dyDescent="0.2">
      <c r="A143" s="74"/>
      <c r="B143" s="58"/>
      <c r="C143" s="49"/>
      <c r="D143" s="13"/>
      <c r="E143" s="15"/>
      <c r="F143" s="9"/>
      <c r="G143" s="9"/>
      <c r="H143" s="9" t="s">
        <v>137</v>
      </c>
      <c r="I143" s="9">
        <f>SUBTOTAL(109,I142)</f>
        <v>0</v>
      </c>
      <c r="J143" s="9"/>
      <c r="K143" s="9">
        <f>SUBTOTAL(109,K149:K300)</f>
        <v>0</v>
      </c>
      <c r="L14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0</v>
      </c>
      <c r="M143" s="9"/>
      <c r="N143" s="9"/>
    </row>
    <row r="144" spans="1:14" ht="19" x14ac:dyDescent="0.2">
      <c r="A144" s="61">
        <v>436000</v>
      </c>
      <c r="B144" s="58">
        <v>44676</v>
      </c>
      <c r="C144" s="49" t="s">
        <v>9</v>
      </c>
      <c r="D144" s="13" t="s">
        <v>405</v>
      </c>
      <c r="E144" s="15">
        <v>363000</v>
      </c>
      <c r="F144" s="9">
        <v>73000</v>
      </c>
      <c r="G144" s="9">
        <v>582000</v>
      </c>
      <c r="H144" s="9" t="s">
        <v>586</v>
      </c>
      <c r="I144" s="9">
        <v>25500</v>
      </c>
      <c r="J144" s="9" t="s">
        <v>587</v>
      </c>
      <c r="K144" s="9"/>
      <c r="L144" s="9"/>
      <c r="M144" s="9"/>
      <c r="N144" s="9"/>
    </row>
    <row r="145" spans="1:14" ht="19" x14ac:dyDescent="0.2">
      <c r="A145" s="61"/>
      <c r="B145" s="58"/>
      <c r="C145" s="49"/>
      <c r="D145" s="13"/>
      <c r="E145" s="15"/>
      <c r="F145" s="9"/>
      <c r="G145" s="9"/>
      <c r="H145" s="9" t="s">
        <v>589</v>
      </c>
      <c r="I145" s="9">
        <v>26000</v>
      </c>
      <c r="J145" s="9" t="s">
        <v>588</v>
      </c>
      <c r="K145" s="9"/>
      <c r="L145" s="9"/>
      <c r="M145" s="9"/>
      <c r="N145" s="9"/>
    </row>
    <row r="146" spans="1:14" ht="19" x14ac:dyDescent="0.2">
      <c r="A146" s="61"/>
      <c r="B146" s="58"/>
      <c r="C146" s="49"/>
      <c r="D146" s="13"/>
      <c r="E146" s="15"/>
      <c r="F146" s="9"/>
      <c r="G146" s="9"/>
      <c r="H146" s="9"/>
      <c r="I146" s="9">
        <v>40000</v>
      </c>
      <c r="J146" s="9" t="s">
        <v>522</v>
      </c>
      <c r="K146" s="9"/>
      <c r="L146" s="9"/>
      <c r="M146" s="9"/>
      <c r="N146" s="9"/>
    </row>
    <row r="147" spans="1:14" ht="19" x14ac:dyDescent="0.2">
      <c r="A147" s="61"/>
      <c r="B147" s="58"/>
      <c r="C147" s="49"/>
      <c r="D147" s="13"/>
      <c r="E147" s="15"/>
      <c r="F147" s="9"/>
      <c r="G147" s="9"/>
      <c r="H147" s="9"/>
      <c r="I147" s="9">
        <v>35000</v>
      </c>
      <c r="J147" s="9" t="s">
        <v>536</v>
      </c>
      <c r="K147" s="9"/>
      <c r="L147" s="9"/>
      <c r="M147" s="9"/>
      <c r="N147" s="9"/>
    </row>
    <row r="148" spans="1:14" ht="19" x14ac:dyDescent="0.2">
      <c r="A148" s="61">
        <v>566000</v>
      </c>
      <c r="B148" s="58"/>
      <c r="C148" s="49" t="s">
        <v>10</v>
      </c>
      <c r="D148" s="13" t="s">
        <v>565</v>
      </c>
      <c r="E148" s="15">
        <v>554000</v>
      </c>
      <c r="F148" s="9">
        <v>12000</v>
      </c>
      <c r="G148" s="9"/>
      <c r="H148" s="9" t="s">
        <v>137</v>
      </c>
      <c r="I148" s="9">
        <v>128000</v>
      </c>
      <c r="J148" s="9" t="s">
        <v>512</v>
      </c>
      <c r="K148" s="9"/>
      <c r="L148" s="9"/>
      <c r="M148" s="9"/>
      <c r="N148" s="9"/>
    </row>
    <row r="149" spans="1:14" ht="19" x14ac:dyDescent="0.2">
      <c r="A149" s="79"/>
      <c r="B149" s="75"/>
      <c r="C149" s="35"/>
      <c r="D149" s="13"/>
      <c r="E149" s="15"/>
      <c r="F149" s="9"/>
      <c r="G149" s="9"/>
      <c r="H149" s="9"/>
      <c r="I149" s="9"/>
      <c r="J149" s="9"/>
      <c r="K149" s="9"/>
      <c r="L149" s="9"/>
      <c r="M149" s="9"/>
      <c r="N149" s="9"/>
    </row>
    <row r="150" spans="1:14" ht="19" x14ac:dyDescent="0.2">
      <c r="A150" s="61"/>
      <c r="B150" s="75"/>
      <c r="C150" s="2"/>
      <c r="D150" s="13"/>
      <c r="E150" s="15"/>
      <c r="F150" s="9"/>
      <c r="G150" s="9"/>
      <c r="H150" s="9"/>
      <c r="I150" s="9"/>
      <c r="J150" s="9"/>
      <c r="K150" s="9"/>
      <c r="L150" s="9"/>
      <c r="M150" s="9"/>
      <c r="N150" s="9"/>
    </row>
    <row r="151" spans="1:14" ht="19" x14ac:dyDescent="0.2">
      <c r="A151" s="61">
        <v>238000</v>
      </c>
      <c r="B151" s="58">
        <v>44677</v>
      </c>
      <c r="C151" s="49" t="s">
        <v>9</v>
      </c>
      <c r="D151" s="13" t="s">
        <v>405</v>
      </c>
      <c r="E151" s="15">
        <v>190000</v>
      </c>
      <c r="F151" s="9">
        <v>48000</v>
      </c>
      <c r="G151" s="9"/>
      <c r="H151" s="9" t="s">
        <v>576</v>
      </c>
      <c r="I151" s="60">
        <v>50000</v>
      </c>
      <c r="J151" s="60" t="s">
        <v>590</v>
      </c>
      <c r="K151" s="9"/>
      <c r="L151" s="9"/>
      <c r="M151" s="9"/>
      <c r="N151" s="9"/>
    </row>
    <row r="152" spans="1:14" ht="19" x14ac:dyDescent="0.2">
      <c r="A152" s="61">
        <v>847000</v>
      </c>
      <c r="B152" s="75"/>
      <c r="C152" s="2" t="s">
        <v>10</v>
      </c>
      <c r="D152" s="13" t="s">
        <v>565</v>
      </c>
      <c r="E152" s="15">
        <v>788000</v>
      </c>
      <c r="F152" s="9">
        <v>59000</v>
      </c>
      <c r="G152" s="9"/>
      <c r="H152" s="9" t="s">
        <v>591</v>
      </c>
      <c r="I152" s="9">
        <v>50000</v>
      </c>
      <c r="J152" s="47" t="s">
        <v>59</v>
      </c>
      <c r="K152" s="9"/>
      <c r="L152" s="9"/>
      <c r="M152" s="9"/>
      <c r="N152" s="9"/>
    </row>
    <row r="153" spans="1:14" ht="19" x14ac:dyDescent="0.2">
      <c r="A153" s="74"/>
      <c r="B153" s="75"/>
      <c r="C153" s="35"/>
      <c r="D153" s="13"/>
      <c r="E153" s="15"/>
      <c r="F153" s="9"/>
      <c r="G153" s="9"/>
      <c r="H153" s="9"/>
      <c r="I153" s="9">
        <v>39500</v>
      </c>
      <c r="J153" s="47" t="s">
        <v>592</v>
      </c>
      <c r="K153" s="9">
        <f>SUBTOTAL(109,K159:K310)</f>
        <v>0</v>
      </c>
      <c r="L153" s="9">
        <f>Таблица1345678[[#This Row],[Нал]]+Таблица1345678[[#This Row],[Терминал]]-Таблица1345678[[#This Row],[Расход]]-Таблица1345678[[#This Row],[Закуп]]-Таблица1345678[[#This Row],[Расход со счета]]</f>
        <v>-39500</v>
      </c>
      <c r="M153" s="9"/>
      <c r="N153" s="9"/>
    </row>
    <row r="154" spans="1:14" ht="19" x14ac:dyDescent="0.2">
      <c r="A154" s="61">
        <v>402000</v>
      </c>
      <c r="B154" s="58">
        <v>44678</v>
      </c>
      <c r="C154" s="3" t="s">
        <v>9</v>
      </c>
      <c r="D154" s="13" t="s">
        <v>405</v>
      </c>
      <c r="E154" s="9">
        <v>294000</v>
      </c>
      <c r="F154" s="9">
        <v>108000</v>
      </c>
      <c r="G154" s="9"/>
      <c r="H154" s="9" t="s">
        <v>596</v>
      </c>
      <c r="I154" s="9"/>
      <c r="J154" s="47"/>
      <c r="K154" s="9"/>
      <c r="L154" s="9"/>
      <c r="M154" s="9"/>
      <c r="N154" s="9"/>
    </row>
    <row r="155" spans="1:14" ht="19" x14ac:dyDescent="0.2">
      <c r="A155" s="61">
        <v>804000</v>
      </c>
      <c r="B155" s="75"/>
      <c r="C155" s="2" t="s">
        <v>10</v>
      </c>
      <c r="D155" s="13" t="s">
        <v>565</v>
      </c>
      <c r="E155" s="9">
        <v>554000</v>
      </c>
      <c r="F155" s="9">
        <v>250000</v>
      </c>
      <c r="G155" s="9"/>
      <c r="H155" s="9" t="s">
        <v>137</v>
      </c>
      <c r="I155" s="60">
        <v>50000</v>
      </c>
      <c r="J155" s="60" t="s">
        <v>590</v>
      </c>
      <c r="K155" s="9"/>
      <c r="L155" s="9"/>
      <c r="M155" s="9"/>
      <c r="N155" s="9"/>
    </row>
    <row r="156" spans="1:14" ht="19" x14ac:dyDescent="0.2">
      <c r="A156" s="61">
        <v>490000</v>
      </c>
      <c r="B156" s="58">
        <v>44679</v>
      </c>
      <c r="C156" s="2" t="s">
        <v>9</v>
      </c>
      <c r="D156" s="13" t="s">
        <v>405</v>
      </c>
      <c r="E156" s="15">
        <v>374000</v>
      </c>
      <c r="F156" s="9">
        <v>116000</v>
      </c>
      <c r="G156" s="9"/>
      <c r="H156" s="9" t="s">
        <v>598</v>
      </c>
      <c r="I156" s="9">
        <v>80000</v>
      </c>
      <c r="J156" s="47" t="s">
        <v>573</v>
      </c>
      <c r="K156" s="9"/>
      <c r="L156" s="9"/>
      <c r="M156" s="9"/>
      <c r="N156" s="9"/>
    </row>
    <row r="157" spans="1:14" ht="19" x14ac:dyDescent="0.2">
      <c r="A157" s="61"/>
      <c r="B157" s="75"/>
      <c r="C157" s="35"/>
      <c r="D157" s="13"/>
      <c r="E157" s="15"/>
      <c r="F157" s="9"/>
      <c r="G157" s="9"/>
      <c r="H157" s="9"/>
      <c r="I157" s="9">
        <v>14000</v>
      </c>
      <c r="J157" s="47" t="s">
        <v>593</v>
      </c>
      <c r="K157" s="9"/>
      <c r="L157" s="9"/>
      <c r="M157" s="9"/>
      <c r="N157" s="9"/>
    </row>
    <row r="158" spans="1:14" ht="19" x14ac:dyDescent="0.2">
      <c r="A158" s="61"/>
      <c r="B158" s="75"/>
      <c r="C158" s="35"/>
      <c r="D158" s="13"/>
      <c r="E158" s="15"/>
      <c r="F158" s="9"/>
      <c r="G158" s="9"/>
      <c r="H158" s="9"/>
      <c r="I158" s="9">
        <v>23000</v>
      </c>
      <c r="J158" s="9" t="s">
        <v>594</v>
      </c>
      <c r="K158" s="9"/>
      <c r="L158" s="9"/>
      <c r="M158" s="9"/>
      <c r="N158" s="9"/>
    </row>
    <row r="159" spans="1:14" ht="19" x14ac:dyDescent="0.2">
      <c r="A159" s="61"/>
      <c r="B159" s="75"/>
      <c r="C159" s="35"/>
      <c r="D159" s="13"/>
      <c r="E159" s="15"/>
      <c r="F159" s="9"/>
      <c r="G159" s="9"/>
      <c r="H159" s="9"/>
      <c r="I159" s="9">
        <v>21500</v>
      </c>
      <c r="J159" s="9" t="s">
        <v>595</v>
      </c>
      <c r="K159" s="9"/>
      <c r="L159" s="9"/>
      <c r="M159" s="9"/>
      <c r="N159" s="9"/>
    </row>
    <row r="160" spans="1:14" ht="19" x14ac:dyDescent="0.2">
      <c r="A160" s="61"/>
      <c r="B160" s="75"/>
      <c r="C160" s="35"/>
      <c r="D160" s="13"/>
      <c r="E160" s="15"/>
      <c r="F160" s="9"/>
      <c r="G160" s="9"/>
      <c r="H160" s="9"/>
      <c r="I160" s="9">
        <v>6000</v>
      </c>
      <c r="J160" s="9" t="s">
        <v>572</v>
      </c>
      <c r="K160" s="9"/>
      <c r="L160" s="9"/>
      <c r="M160" s="9"/>
      <c r="N160" s="9"/>
    </row>
    <row r="161" spans="1:14" ht="19" x14ac:dyDescent="0.2">
      <c r="A161" s="61">
        <v>712000</v>
      </c>
      <c r="B161" s="58"/>
      <c r="C161" s="49" t="s">
        <v>10</v>
      </c>
      <c r="D161" s="13" t="s">
        <v>565</v>
      </c>
      <c r="E161" s="15">
        <v>472000</v>
      </c>
      <c r="F161" s="9">
        <v>240000</v>
      </c>
      <c r="G161" s="9"/>
      <c r="H161" s="9" t="s">
        <v>137</v>
      </c>
      <c r="I161" s="60">
        <v>50000</v>
      </c>
      <c r="J161" s="60" t="s">
        <v>590</v>
      </c>
      <c r="K161" s="9"/>
      <c r="L161" s="9"/>
      <c r="M161" s="9"/>
      <c r="N161" s="9"/>
    </row>
    <row r="162" spans="1:14" ht="19" x14ac:dyDescent="0.2">
      <c r="A162" s="61"/>
      <c r="B162" s="58"/>
      <c r="C162" s="49"/>
      <c r="D162" s="13"/>
      <c r="E162" s="15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9" x14ac:dyDescent="0.2">
      <c r="A163" s="61">
        <v>495000</v>
      </c>
      <c r="B163" s="58">
        <v>44680</v>
      </c>
      <c r="C163" s="49" t="s">
        <v>9</v>
      </c>
      <c r="D163" s="13" t="s">
        <v>405</v>
      </c>
      <c r="E163" s="15">
        <v>450000</v>
      </c>
      <c r="F163" s="9">
        <v>45000</v>
      </c>
      <c r="G163" s="9"/>
      <c r="H163" s="9" t="s">
        <v>137</v>
      </c>
      <c r="I163" s="9">
        <v>440000</v>
      </c>
      <c r="J163" s="9" t="s">
        <v>597</v>
      </c>
      <c r="K163" s="9"/>
      <c r="L163" s="9"/>
      <c r="M163" s="9"/>
      <c r="N163" s="9"/>
    </row>
    <row r="164" spans="1:14" ht="19" x14ac:dyDescent="0.2">
      <c r="A164" s="61"/>
      <c r="B164" s="58"/>
      <c r="C164" s="49"/>
      <c r="D164" s="13"/>
      <c r="E164" s="15"/>
      <c r="F164" s="9"/>
      <c r="G164" s="9"/>
      <c r="H164" s="9"/>
      <c r="I164" s="9">
        <v>56500</v>
      </c>
      <c r="J164" s="9" t="s">
        <v>599</v>
      </c>
      <c r="K164" s="9"/>
      <c r="L164" s="9"/>
      <c r="M164" s="9"/>
      <c r="N164" s="9"/>
    </row>
    <row r="165" spans="1:14" ht="19" x14ac:dyDescent="0.2">
      <c r="A165" s="61"/>
      <c r="B165" s="58"/>
      <c r="C165" s="49"/>
      <c r="D165" s="13"/>
      <c r="E165" s="15"/>
      <c r="F165" s="9"/>
      <c r="G165" s="9"/>
      <c r="H165" s="9"/>
      <c r="I165" s="9"/>
      <c r="J165" s="9"/>
      <c r="K165" s="9"/>
      <c r="L165" s="9"/>
      <c r="M165" s="9"/>
      <c r="N165" s="9"/>
    </row>
    <row r="166" spans="1:14" ht="19" x14ac:dyDescent="0.2">
      <c r="A166" s="61">
        <v>510000</v>
      </c>
      <c r="B166" s="58"/>
      <c r="C166" s="49" t="s">
        <v>10</v>
      </c>
      <c r="D166" s="13" t="s">
        <v>565</v>
      </c>
      <c r="E166" s="15">
        <v>441000</v>
      </c>
      <c r="F166" s="9">
        <v>69000</v>
      </c>
      <c r="G166" s="9"/>
      <c r="H166" s="9" t="s">
        <v>137</v>
      </c>
      <c r="I166" s="9"/>
      <c r="J166" s="9"/>
      <c r="K166" s="9"/>
      <c r="L166" s="9"/>
      <c r="M166" s="9"/>
      <c r="N166" s="9"/>
    </row>
    <row r="167" spans="1:14" ht="19" x14ac:dyDescent="0.2">
      <c r="A167" s="61">
        <v>807000</v>
      </c>
      <c r="B167" s="58">
        <v>44681</v>
      </c>
      <c r="C167" s="2" t="s">
        <v>9</v>
      </c>
      <c r="D167" s="13" t="s">
        <v>405</v>
      </c>
      <c r="E167" s="15">
        <v>487000</v>
      </c>
      <c r="F167" s="9">
        <v>320000</v>
      </c>
      <c r="G167" s="9">
        <v>1680000</v>
      </c>
      <c r="H167" s="47" t="s">
        <v>601</v>
      </c>
      <c r="I167" s="9">
        <v>121000</v>
      </c>
      <c r="J167" s="9" t="s">
        <v>604</v>
      </c>
      <c r="K167" s="9"/>
      <c r="L167" s="9"/>
      <c r="M167" s="9"/>
      <c r="N167" s="9"/>
    </row>
    <row r="168" spans="1:14" ht="19" x14ac:dyDescent="0.2">
      <c r="A168" s="61"/>
      <c r="B168" s="75"/>
      <c r="C168" s="35"/>
      <c r="D168" s="13"/>
      <c r="E168" s="15"/>
      <c r="F168" s="9"/>
      <c r="G168" s="9"/>
      <c r="H168" s="9" t="s">
        <v>598</v>
      </c>
      <c r="I168" s="60">
        <v>50000</v>
      </c>
      <c r="J168" s="60" t="s">
        <v>590</v>
      </c>
      <c r="K168" s="9"/>
      <c r="L168" s="9"/>
      <c r="M168" s="9"/>
      <c r="N168" s="9"/>
    </row>
    <row r="169" spans="1:14" ht="32" x14ac:dyDescent="0.2">
      <c r="A169" s="61">
        <v>514000</v>
      </c>
      <c r="B169" s="75"/>
      <c r="C169" s="35" t="s">
        <v>10</v>
      </c>
      <c r="D169" s="13" t="s">
        <v>565</v>
      </c>
      <c r="E169" s="15">
        <v>465000</v>
      </c>
      <c r="F169" s="9">
        <v>49000</v>
      </c>
      <c r="G169" s="9">
        <v>1720000</v>
      </c>
      <c r="H169" s="47" t="s">
        <v>600</v>
      </c>
      <c r="I169" s="9">
        <v>42000</v>
      </c>
      <c r="J169" s="9" t="s">
        <v>605</v>
      </c>
      <c r="K169" s="9"/>
      <c r="L169" s="9"/>
      <c r="M169" s="9"/>
      <c r="N169" s="9"/>
    </row>
    <row r="170" spans="1:14" ht="19" x14ac:dyDescent="0.2">
      <c r="A170" s="61"/>
      <c r="B170" s="58"/>
      <c r="C170" s="35"/>
      <c r="D170" s="13"/>
      <c r="E170" s="15"/>
      <c r="F170" s="9"/>
      <c r="G170" s="9">
        <v>1000000</v>
      </c>
      <c r="H170" s="9" t="s">
        <v>171</v>
      </c>
      <c r="I170" s="9"/>
      <c r="J170" s="9"/>
      <c r="K170" s="9"/>
      <c r="L170" s="9"/>
      <c r="M170" s="9"/>
      <c r="N170" s="9"/>
    </row>
    <row r="171" spans="1:14" ht="19" x14ac:dyDescent="0.2">
      <c r="A171" s="61"/>
      <c r="B171" s="75"/>
      <c r="C171" s="35"/>
      <c r="D171" s="13"/>
      <c r="E171" s="15"/>
      <c r="F171" s="9"/>
      <c r="G171" s="9">
        <v>1210000</v>
      </c>
      <c r="H171" s="9" t="s">
        <v>602</v>
      </c>
      <c r="I171" s="9"/>
      <c r="J171" s="9"/>
      <c r="K171" s="9"/>
      <c r="L171" s="9"/>
      <c r="M171" s="9"/>
      <c r="N171" s="9"/>
    </row>
    <row r="172" spans="1:14" ht="19" x14ac:dyDescent="0.2">
      <c r="A172" s="61"/>
      <c r="B172" s="75"/>
      <c r="C172" s="35"/>
      <c r="D172" s="13"/>
      <c r="E172" s="15"/>
      <c r="F172" s="9"/>
      <c r="G172" s="9">
        <v>1601000</v>
      </c>
      <c r="H172" s="9" t="s">
        <v>622</v>
      </c>
      <c r="I172" s="9"/>
      <c r="J172" s="9"/>
      <c r="K172" s="9"/>
      <c r="L172" s="9"/>
      <c r="M172" s="10"/>
      <c r="N172" s="10"/>
    </row>
    <row r="173" spans="1:14" ht="19" x14ac:dyDescent="0.2">
      <c r="A173" s="61"/>
      <c r="B173" s="75"/>
      <c r="C173" s="35"/>
      <c r="D173" s="13"/>
      <c r="E173" s="15"/>
      <c r="F173" s="9"/>
      <c r="G173" s="9"/>
      <c r="H173" s="9"/>
      <c r="I173" s="9"/>
      <c r="J173" s="9"/>
      <c r="K173" s="9"/>
      <c r="L173" s="9"/>
      <c r="M173" s="10"/>
      <c r="N173" s="10"/>
    </row>
    <row r="174" spans="1:14" ht="19" x14ac:dyDescent="0.2">
      <c r="A174" s="61"/>
      <c r="B174" s="75"/>
      <c r="C174" s="35"/>
      <c r="D174" s="13"/>
      <c r="E174" s="15"/>
      <c r="F174" s="9"/>
      <c r="G174" s="9"/>
      <c r="H174" s="9"/>
      <c r="I174" s="9"/>
      <c r="J174" s="9"/>
      <c r="K174" s="9"/>
      <c r="L174" s="9"/>
      <c r="M174" s="10"/>
      <c r="N174" s="10"/>
    </row>
    <row r="175" spans="1:14" ht="19" x14ac:dyDescent="0.2">
      <c r="A175" s="61"/>
      <c r="B175" s="75"/>
      <c r="C175" s="35"/>
      <c r="D175" s="13"/>
      <c r="E175" s="15"/>
      <c r="F175" s="9"/>
      <c r="G175" s="9"/>
      <c r="H175" s="60"/>
      <c r="I175" s="9"/>
      <c r="J175" s="9"/>
      <c r="K175" s="9"/>
      <c r="L175" s="9"/>
      <c r="M175" s="10"/>
      <c r="N175" s="10"/>
    </row>
    <row r="176" spans="1:14" ht="19" x14ac:dyDescent="0.2">
      <c r="A176" s="61"/>
      <c r="B176" s="75"/>
      <c r="C176" s="35"/>
      <c r="D176" s="13"/>
      <c r="E176" s="15"/>
      <c r="F176" s="9"/>
      <c r="G176" s="9"/>
      <c r="H176" s="9"/>
      <c r="I176" s="9"/>
      <c r="J176" s="9"/>
      <c r="K176" s="9"/>
      <c r="L176" s="9"/>
      <c r="M176" s="10"/>
      <c r="N176" s="10"/>
    </row>
    <row r="177" spans="1:14" ht="19" x14ac:dyDescent="0.2">
      <c r="A177" s="61"/>
      <c r="B177" s="75"/>
      <c r="C177" s="35"/>
      <c r="D177" s="13"/>
      <c r="E177" s="15"/>
      <c r="F177" s="9"/>
      <c r="G177" s="9"/>
      <c r="H177" s="9"/>
      <c r="I177" s="9"/>
      <c r="J177" s="9"/>
      <c r="K177" s="9"/>
      <c r="L177" s="9"/>
      <c r="M177" s="10"/>
      <c r="N177" s="10"/>
    </row>
    <row r="178" spans="1:14" ht="19" x14ac:dyDescent="0.2">
      <c r="A178" s="61"/>
      <c r="B178" s="75"/>
      <c r="C178" s="35"/>
      <c r="D178" s="13"/>
      <c r="E178" s="15"/>
      <c r="F178" s="9"/>
      <c r="G178" s="9"/>
      <c r="H178" s="9"/>
      <c r="I178" s="9"/>
      <c r="J178" s="9"/>
      <c r="K178" s="9"/>
      <c r="L178" s="9"/>
      <c r="M178" s="10"/>
      <c r="N178" s="10"/>
    </row>
    <row r="179" spans="1:14" ht="19" x14ac:dyDescent="0.2">
      <c r="A179" s="80"/>
      <c r="B179" s="81"/>
      <c r="C179" s="82"/>
      <c r="D179" s="83"/>
      <c r="E179" s="84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">
      <c r="G180" s="9"/>
      <c r="H180" s="47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215"/>
  <sheetViews>
    <sheetView zoomScaleNormal="150" zoomScaleSheetLayoutView="100" workbookViewId="0">
      <selection activeCell="H255" sqref="H255"/>
    </sheetView>
  </sheetViews>
  <sheetFormatPr baseColWidth="10" defaultColWidth="8.83203125" defaultRowHeight="15" x14ac:dyDescent="0.2"/>
  <cols>
    <col min="1" max="1" width="22.5" bestFit="1" customWidth="1"/>
    <col min="2" max="2" width="9.33203125" bestFit="1" customWidth="1"/>
    <col min="4" max="4" width="11.1640625" customWidth="1"/>
    <col min="5" max="5" width="22.5" bestFit="1" customWidth="1"/>
    <col min="6" max="6" width="20.83203125" bestFit="1" customWidth="1"/>
    <col min="7" max="7" width="22.5" bestFit="1" customWidth="1"/>
    <col min="8" max="8" width="36" bestFit="1" customWidth="1"/>
    <col min="9" max="9" width="24.33203125" customWidth="1"/>
    <col min="10" max="10" width="39.83203125" customWidth="1"/>
    <col min="11" max="11" width="18.6640625" bestFit="1" customWidth="1"/>
    <col min="12" max="12" width="20.6640625" bestFit="1" customWidth="1"/>
    <col min="13" max="13" width="12" customWidth="1"/>
    <col min="14" max="14" width="15.1640625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  <c r="L3" t="s">
        <v>735</v>
      </c>
    </row>
    <row r="4" spans="1:14" ht="21" x14ac:dyDescent="0.2">
      <c r="F4" s="304" t="s">
        <v>730</v>
      </c>
      <c r="G4" s="305"/>
      <c r="H4" s="71" t="s">
        <v>175</v>
      </c>
      <c r="I4" s="71">
        <v>2171400</v>
      </c>
      <c r="J4" s="72">
        <f>I4/10820</f>
        <v>200.68391866913123</v>
      </c>
      <c r="L4" t="s">
        <v>727</v>
      </c>
    </row>
    <row r="5" spans="1:14" ht="21" x14ac:dyDescent="0.2">
      <c r="G5" s="73"/>
      <c r="H5" s="71" t="s">
        <v>176</v>
      </c>
      <c r="I5" s="71">
        <v>930600</v>
      </c>
      <c r="J5" s="72">
        <f>I5/10820</f>
        <v>86.007393715341962</v>
      </c>
      <c r="L5" t="s">
        <v>726</v>
      </c>
    </row>
    <row r="6" spans="1:14" ht="21" x14ac:dyDescent="0.25">
      <c r="G6" s="73"/>
      <c r="H6" s="71" t="s">
        <v>178</v>
      </c>
      <c r="I6" s="71">
        <v>12098859</v>
      </c>
      <c r="J6" s="72" t="s">
        <v>729</v>
      </c>
      <c r="L6" s="85" t="s">
        <v>728</v>
      </c>
      <c r="M6" s="85"/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SUM(A11:A214)</f>
        <v>47367000</v>
      </c>
      <c r="B10" s="65"/>
      <c r="C10" s="66" t="s">
        <v>13</v>
      </c>
      <c r="D10" s="67"/>
      <c r="E10" s="68">
        <f>SUM(E11:E214)</f>
        <v>40517000</v>
      </c>
      <c r="F10" s="69">
        <f>SUM(F11:F214)</f>
        <v>6850000</v>
      </c>
      <c r="G10" s="69">
        <f>SUM(G11:G214)</f>
        <v>27481000</v>
      </c>
      <c r="H10" s="69"/>
      <c r="I10" s="69">
        <f>SUM(I11:I214)</f>
        <v>10932900</v>
      </c>
      <c r="J10" s="69"/>
      <c r="K10" s="69">
        <f>SUBTOTAL(109,K11:K202)</f>
        <v>0</v>
      </c>
      <c r="L10" s="69"/>
      <c r="M10" s="8"/>
      <c r="N10" s="8"/>
    </row>
    <row r="11" spans="1:14" ht="19" x14ac:dyDescent="0.2">
      <c r="A11" s="61">
        <v>1026000</v>
      </c>
      <c r="B11" s="58">
        <v>44682</v>
      </c>
      <c r="C11" s="3" t="s">
        <v>360</v>
      </c>
      <c r="D11" s="13" t="s">
        <v>105</v>
      </c>
      <c r="E11" s="9">
        <v>946000</v>
      </c>
      <c r="F11" s="9">
        <v>80000</v>
      </c>
      <c r="G11" s="9">
        <v>240000</v>
      </c>
      <c r="H11" s="9" t="s">
        <v>606</v>
      </c>
      <c r="I11" s="9"/>
      <c r="J11" s="9"/>
      <c r="K11" s="9"/>
      <c r="L11" s="9"/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>
        <v>405000</v>
      </c>
      <c r="H12" s="9" t="s">
        <v>603</v>
      </c>
      <c r="I12" s="9">
        <v>50000</v>
      </c>
      <c r="J12" s="9" t="s">
        <v>59</v>
      </c>
      <c r="K12" s="9"/>
      <c r="L12" s="9"/>
      <c r="M12" s="9"/>
      <c r="N12" s="9"/>
    </row>
    <row r="13" spans="1:14" ht="19" x14ac:dyDescent="0.2">
      <c r="A13" s="74"/>
      <c r="B13" s="58"/>
      <c r="C13" s="49"/>
      <c r="D13" s="13"/>
      <c r="E13" s="15"/>
      <c r="F13" s="9"/>
      <c r="G13" s="9"/>
      <c r="H13" s="9" t="s">
        <v>137</v>
      </c>
      <c r="I13" s="9"/>
      <c r="J13" s="9"/>
      <c r="K13" s="9"/>
      <c r="L13" s="9"/>
      <c r="M13" s="9"/>
      <c r="N13" s="9"/>
    </row>
    <row r="14" spans="1:14" ht="19" x14ac:dyDescent="0.2">
      <c r="A14" s="61">
        <v>743000</v>
      </c>
      <c r="B14" s="58">
        <v>44683</v>
      </c>
      <c r="C14" s="35" t="s">
        <v>9</v>
      </c>
      <c r="D14" s="13" t="s">
        <v>405</v>
      </c>
      <c r="E14" s="15">
        <v>718000</v>
      </c>
      <c r="F14" s="9">
        <v>25000</v>
      </c>
      <c r="G14" s="9">
        <v>806000</v>
      </c>
      <c r="H14" s="9" t="s">
        <v>725</v>
      </c>
      <c r="I14" s="9">
        <v>25000</v>
      </c>
      <c r="J14" s="47" t="s">
        <v>607</v>
      </c>
      <c r="K14" s="9"/>
      <c r="L14" s="9"/>
      <c r="M14" s="9"/>
      <c r="N14" s="9"/>
    </row>
    <row r="15" spans="1:14" ht="19" x14ac:dyDescent="0.2">
      <c r="A15" s="74"/>
      <c r="B15" s="58"/>
      <c r="C15" s="35"/>
      <c r="D15" s="13"/>
      <c r="E15" s="15"/>
      <c r="F15" s="9"/>
      <c r="G15" s="9"/>
      <c r="H15" s="9" t="s">
        <v>137</v>
      </c>
      <c r="I15" s="9">
        <v>59000</v>
      </c>
      <c r="J15" s="47" t="s">
        <v>289</v>
      </c>
      <c r="K15" s="9"/>
      <c r="L15" s="9"/>
      <c r="M15" s="9"/>
      <c r="N15" s="9"/>
    </row>
    <row r="16" spans="1:14" ht="19" x14ac:dyDescent="0.2">
      <c r="A16" s="74"/>
      <c r="B16" s="58"/>
      <c r="C16" s="35"/>
      <c r="D16" s="13"/>
      <c r="E16" s="15"/>
      <c r="F16" s="9"/>
      <c r="G16" s="9"/>
      <c r="H16" s="9"/>
      <c r="I16" s="9">
        <v>80000</v>
      </c>
      <c r="J16" s="47" t="s">
        <v>608</v>
      </c>
      <c r="K16" s="9"/>
      <c r="L16" s="9"/>
      <c r="M16" s="9"/>
      <c r="N16" s="9"/>
    </row>
    <row r="17" spans="1:14" ht="19" x14ac:dyDescent="0.2">
      <c r="A17" s="74"/>
      <c r="B17" s="58"/>
      <c r="C17" s="35"/>
      <c r="D17" s="13"/>
      <c r="E17" s="15"/>
      <c r="F17" s="9"/>
      <c r="G17" s="9"/>
      <c r="H17" s="9"/>
      <c r="I17" s="9">
        <v>31000</v>
      </c>
      <c r="J17" s="47" t="s">
        <v>609</v>
      </c>
      <c r="K17" s="9"/>
      <c r="L17" s="9"/>
      <c r="M17" s="9"/>
      <c r="N17" s="9"/>
    </row>
    <row r="18" spans="1:14" ht="19" x14ac:dyDescent="0.2">
      <c r="A18" s="74"/>
      <c r="B18" s="58"/>
      <c r="C18" s="35"/>
      <c r="D18" s="13"/>
      <c r="E18" s="15"/>
      <c r="F18" s="9"/>
      <c r="G18" s="9"/>
      <c r="H18" s="9"/>
      <c r="I18" s="9">
        <v>23500</v>
      </c>
      <c r="J18" s="47" t="s">
        <v>610</v>
      </c>
      <c r="K18" s="9"/>
      <c r="L18" s="9"/>
      <c r="M18" s="9"/>
      <c r="N18" s="9"/>
    </row>
    <row r="19" spans="1:14" ht="19" x14ac:dyDescent="0.2">
      <c r="A19" s="74"/>
      <c r="B19" s="58"/>
      <c r="C19" s="35"/>
      <c r="D19" s="13"/>
      <c r="E19" s="15"/>
      <c r="F19" s="9"/>
      <c r="G19" s="9"/>
      <c r="H19" s="9"/>
      <c r="I19" s="9">
        <v>25000</v>
      </c>
      <c r="J19" s="47" t="s">
        <v>611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24000</v>
      </c>
      <c r="J20" s="9" t="s">
        <v>612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>
        <v>180000</v>
      </c>
      <c r="J21" s="47" t="s">
        <v>613</v>
      </c>
      <c r="K21" s="9"/>
      <c r="L21" s="9"/>
      <c r="M21" s="9"/>
      <c r="N21" s="9"/>
    </row>
    <row r="22" spans="1:14" ht="19" x14ac:dyDescent="0.2">
      <c r="A22" s="74"/>
      <c r="B22" s="58"/>
      <c r="C22" s="35"/>
      <c r="D22" s="13"/>
      <c r="E22" s="15"/>
      <c r="F22" s="9"/>
      <c r="G22" s="9"/>
      <c r="H22" s="9"/>
      <c r="I22" s="9">
        <v>49000</v>
      </c>
      <c r="J22" s="47" t="s">
        <v>614</v>
      </c>
      <c r="K22" s="9"/>
      <c r="L22" s="9"/>
      <c r="M22" s="9"/>
      <c r="N22" s="9"/>
    </row>
    <row r="23" spans="1:14" ht="19" x14ac:dyDescent="0.2">
      <c r="A23" s="74"/>
      <c r="B23" s="58"/>
      <c r="C23" s="35"/>
      <c r="D23" s="13"/>
      <c r="E23" s="15"/>
      <c r="F23" s="9"/>
      <c r="G23" s="9"/>
      <c r="H23" s="9"/>
      <c r="I23" s="9">
        <v>66500</v>
      </c>
      <c r="J23" s="47" t="s">
        <v>616</v>
      </c>
      <c r="K23" s="9"/>
      <c r="L23" s="9"/>
      <c r="M23" s="9"/>
      <c r="N23" s="9"/>
    </row>
    <row r="24" spans="1:14" ht="19" x14ac:dyDescent="0.2">
      <c r="A24" s="74"/>
      <c r="B24" s="58"/>
      <c r="C24" s="35"/>
      <c r="D24" s="13"/>
      <c r="E24" s="15"/>
      <c r="F24" s="9"/>
      <c r="G24" s="9"/>
      <c r="H24" s="9"/>
      <c r="I24" s="9">
        <v>128000</v>
      </c>
      <c r="J24" s="47" t="s">
        <v>615</v>
      </c>
      <c r="K24" s="9"/>
      <c r="L24" s="9"/>
      <c r="M24" s="9"/>
      <c r="N24" s="9"/>
    </row>
    <row r="25" spans="1:14" ht="19" x14ac:dyDescent="0.2">
      <c r="A25" s="74"/>
      <c r="B25" s="58"/>
      <c r="C25" s="35"/>
      <c r="D25" s="13"/>
      <c r="E25" s="15"/>
      <c r="F25" s="9"/>
      <c r="G25" s="9"/>
      <c r="H25" s="9"/>
      <c r="I25" s="9">
        <v>45000</v>
      </c>
      <c r="J25" s="47" t="s">
        <v>617</v>
      </c>
      <c r="K25" s="9"/>
      <c r="L25" s="9"/>
      <c r="M25" s="9"/>
      <c r="N25" s="9"/>
    </row>
    <row r="26" spans="1:14" ht="19" x14ac:dyDescent="0.2">
      <c r="A26" s="61">
        <v>264000</v>
      </c>
      <c r="B26" s="58"/>
      <c r="C26" s="3" t="s">
        <v>10</v>
      </c>
      <c r="D26" s="13" t="s">
        <v>565</v>
      </c>
      <c r="E26" s="9">
        <v>198000</v>
      </c>
      <c r="F26" s="9">
        <v>66000</v>
      </c>
      <c r="G26" s="9"/>
      <c r="H26" s="9" t="s">
        <v>137</v>
      </c>
      <c r="I26" s="9">
        <v>44000</v>
      </c>
      <c r="J26" s="9" t="s">
        <v>609</v>
      </c>
      <c r="K26" s="9"/>
      <c r="L26" s="9"/>
      <c r="M26" s="9"/>
      <c r="N26" s="9"/>
    </row>
    <row r="27" spans="1:14" ht="19" x14ac:dyDescent="0.2">
      <c r="A27" s="61">
        <v>911000</v>
      </c>
      <c r="B27" s="58">
        <v>44684</v>
      </c>
      <c r="C27" s="49" t="s">
        <v>9</v>
      </c>
      <c r="D27" s="13" t="s">
        <v>405</v>
      </c>
      <c r="E27" s="15">
        <v>710000</v>
      </c>
      <c r="F27" s="9">
        <v>201000</v>
      </c>
      <c r="G27" s="9"/>
      <c r="H27" s="9" t="s">
        <v>137</v>
      </c>
      <c r="I27" s="9"/>
      <c r="J27" s="9"/>
      <c r="K27" s="9"/>
      <c r="L27" s="9"/>
      <c r="M27" s="9"/>
      <c r="N27" s="9"/>
    </row>
    <row r="28" spans="1:14" ht="19" x14ac:dyDescent="0.2">
      <c r="A28" s="74"/>
      <c r="B28" s="58"/>
      <c r="C28" s="49"/>
      <c r="D28" s="13"/>
      <c r="E28" s="15"/>
      <c r="F28" s="9"/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61">
        <v>377000</v>
      </c>
      <c r="B29" s="58"/>
      <c r="C29" s="3" t="s">
        <v>10</v>
      </c>
      <c r="D29" s="13" t="s">
        <v>565</v>
      </c>
      <c r="E29" s="9">
        <v>215000</v>
      </c>
      <c r="F29" s="9">
        <v>162000</v>
      </c>
      <c r="G29" s="9"/>
      <c r="H29" s="9" t="s">
        <v>137</v>
      </c>
      <c r="I29" s="9"/>
      <c r="J29" s="9"/>
      <c r="K29" s="9"/>
      <c r="L29" s="9"/>
      <c r="M29" s="9"/>
      <c r="N29" s="9"/>
    </row>
    <row r="30" spans="1:14" ht="19" x14ac:dyDescent="0.2">
      <c r="A30" s="61">
        <v>887000</v>
      </c>
      <c r="B30" s="58">
        <v>44685</v>
      </c>
      <c r="C30" s="49" t="s">
        <v>9</v>
      </c>
      <c r="D30" s="13" t="s">
        <v>405</v>
      </c>
      <c r="E30" s="15">
        <v>768000</v>
      </c>
      <c r="F30" s="9">
        <v>119000</v>
      </c>
      <c r="G30" s="9"/>
      <c r="H30" s="9" t="s">
        <v>137</v>
      </c>
      <c r="I30" s="9">
        <v>34000</v>
      </c>
      <c r="J30" s="9" t="s">
        <v>618</v>
      </c>
      <c r="K30" s="9"/>
      <c r="L30" s="9"/>
      <c r="M30" s="9"/>
      <c r="N30" s="9"/>
    </row>
    <row r="31" spans="1:14" ht="19" x14ac:dyDescent="0.2">
      <c r="A31" s="61"/>
      <c r="B31" s="75"/>
      <c r="C31" s="2"/>
      <c r="D31" s="13"/>
      <c r="E31" s="9"/>
      <c r="F31" s="9"/>
      <c r="G31" s="9"/>
      <c r="H31" s="9"/>
      <c r="I31" s="9">
        <v>125000</v>
      </c>
      <c r="J31" s="9" t="s">
        <v>619</v>
      </c>
      <c r="K31" s="9"/>
      <c r="L31" s="9"/>
      <c r="M31" s="9"/>
      <c r="N31" s="9"/>
    </row>
    <row r="32" spans="1:14" ht="19" x14ac:dyDescent="0.2">
      <c r="A32" s="74"/>
      <c r="B32" s="32"/>
      <c r="C32" s="3"/>
      <c r="D32" s="13"/>
      <c r="E32" s="9"/>
      <c r="F32" s="9"/>
      <c r="G32" s="9"/>
      <c r="H32" s="9"/>
      <c r="I32" s="9">
        <v>50000</v>
      </c>
      <c r="J32" s="9" t="s">
        <v>620</v>
      </c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>
        <v>30000</v>
      </c>
      <c r="J33" s="9" t="s">
        <v>621</v>
      </c>
      <c r="K33" s="9"/>
      <c r="L33" s="9"/>
      <c r="M33" s="9"/>
      <c r="N33" s="9"/>
    </row>
    <row r="34" spans="1:14" ht="19" x14ac:dyDescent="0.2">
      <c r="A34" s="74">
        <v>523000</v>
      </c>
      <c r="B34" s="32"/>
      <c r="C34" s="49" t="s">
        <v>10</v>
      </c>
      <c r="D34" s="13" t="s">
        <v>565</v>
      </c>
      <c r="E34" s="15">
        <v>491000</v>
      </c>
      <c r="F34" s="9">
        <v>32000</v>
      </c>
      <c r="G34" s="9"/>
      <c r="H34" s="9" t="s">
        <v>137</v>
      </c>
      <c r="I34" s="9">
        <v>5000</v>
      </c>
      <c r="J34" s="47" t="s">
        <v>623</v>
      </c>
      <c r="K34" s="9"/>
      <c r="L34" s="9"/>
      <c r="M34" s="9"/>
      <c r="N34" s="9"/>
    </row>
    <row r="35" spans="1:14" ht="19" x14ac:dyDescent="0.2">
      <c r="A35" s="74"/>
      <c r="B35" s="58"/>
      <c r="C35" s="49"/>
      <c r="D35" s="13"/>
      <c r="E35" s="15"/>
      <c r="F35" s="9"/>
      <c r="G35" s="9"/>
      <c r="H35" s="9"/>
      <c r="I35" s="9">
        <v>5000</v>
      </c>
      <c r="J35" s="47" t="s">
        <v>624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/>
      <c r="J36" s="47"/>
      <c r="K36" s="9"/>
      <c r="L36" s="9"/>
      <c r="M36" s="9"/>
      <c r="N36" s="9"/>
    </row>
    <row r="37" spans="1:14" ht="19" x14ac:dyDescent="0.2">
      <c r="A37" s="74">
        <v>671000</v>
      </c>
      <c r="B37" s="32">
        <v>44686</v>
      </c>
      <c r="C37" s="49" t="s">
        <v>9</v>
      </c>
      <c r="D37" s="13" t="s">
        <v>28</v>
      </c>
      <c r="E37" s="15">
        <v>593000</v>
      </c>
      <c r="F37" s="9">
        <v>78000</v>
      </c>
      <c r="G37" s="9"/>
      <c r="H37" s="9"/>
      <c r="I37" s="9">
        <v>620000</v>
      </c>
      <c r="J37" s="9" t="s">
        <v>625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>
        <v>60000</v>
      </c>
      <c r="J38" s="9" t="s">
        <v>626</v>
      </c>
      <c r="K38" s="9"/>
      <c r="L38" s="9"/>
      <c r="M38" s="9"/>
      <c r="N38" s="9"/>
    </row>
    <row r="39" spans="1:14" ht="19" x14ac:dyDescent="0.2">
      <c r="A39" s="61">
        <v>608000</v>
      </c>
      <c r="B39" s="58"/>
      <c r="C39" s="49" t="s">
        <v>10</v>
      </c>
      <c r="D39" s="13" t="s">
        <v>565</v>
      </c>
      <c r="E39" s="15">
        <v>400000</v>
      </c>
      <c r="F39" s="9">
        <v>208000</v>
      </c>
      <c r="G39" s="9"/>
      <c r="H39" s="9" t="s">
        <v>137</v>
      </c>
      <c r="I39" s="9"/>
      <c r="J39" s="47"/>
      <c r="K39" s="9"/>
      <c r="L39" s="9"/>
      <c r="M39" s="9"/>
      <c r="N39" s="9"/>
    </row>
    <row r="40" spans="1:14" ht="19" x14ac:dyDescent="0.2">
      <c r="A40" s="61">
        <v>1022000</v>
      </c>
      <c r="B40" s="58">
        <v>44687</v>
      </c>
      <c r="C40" s="2" t="s">
        <v>9</v>
      </c>
      <c r="D40" s="13" t="s">
        <v>405</v>
      </c>
      <c r="E40" s="9">
        <v>972000</v>
      </c>
      <c r="F40" s="9">
        <v>50000</v>
      </c>
      <c r="G40" s="9"/>
      <c r="H40" s="9" t="s">
        <v>137</v>
      </c>
      <c r="I40" s="9"/>
      <c r="J40" s="9"/>
      <c r="K40" s="9"/>
      <c r="L40" s="9"/>
      <c r="M40" s="9"/>
      <c r="N40" s="9"/>
    </row>
    <row r="41" spans="1:14" ht="19" x14ac:dyDescent="0.2">
      <c r="A41" s="61">
        <v>491000</v>
      </c>
      <c r="B41" s="58"/>
      <c r="C41" s="3" t="s">
        <v>10</v>
      </c>
      <c r="D41" s="13" t="s">
        <v>565</v>
      </c>
      <c r="E41" s="9">
        <v>423000</v>
      </c>
      <c r="F41" s="9">
        <v>68000</v>
      </c>
      <c r="G41" s="9"/>
      <c r="H41" s="9" t="s">
        <v>137</v>
      </c>
      <c r="I41" s="9"/>
      <c r="J41" s="9"/>
      <c r="K41" s="9"/>
      <c r="L41" s="9"/>
      <c r="M41" s="9"/>
      <c r="N41" s="9"/>
    </row>
    <row r="42" spans="1:14" ht="19" x14ac:dyDescent="0.2">
      <c r="A42" s="74">
        <v>782000</v>
      </c>
      <c r="B42" s="32">
        <v>44688</v>
      </c>
      <c r="C42" s="49" t="s">
        <v>9</v>
      </c>
      <c r="D42" s="13" t="s">
        <v>405</v>
      </c>
      <c r="E42" s="15">
        <v>569000</v>
      </c>
      <c r="F42" s="9">
        <v>213000</v>
      </c>
      <c r="G42" s="9"/>
      <c r="H42" s="9"/>
      <c r="I42" s="9">
        <v>21000</v>
      </c>
      <c r="J42" s="9" t="s">
        <v>630</v>
      </c>
      <c r="K42" s="9"/>
      <c r="L42" s="9"/>
      <c r="M42" s="9"/>
      <c r="N42" s="9"/>
    </row>
    <row r="43" spans="1:14" ht="19" x14ac:dyDescent="0.2">
      <c r="A43" s="74"/>
      <c r="B43" s="32"/>
      <c r="C43" s="49"/>
      <c r="D43" s="13"/>
      <c r="E43" s="15"/>
      <c r="F43" s="9"/>
      <c r="G43" s="9">
        <v>1500000</v>
      </c>
      <c r="H43" s="9" t="s">
        <v>698</v>
      </c>
      <c r="I43" s="9">
        <v>220000</v>
      </c>
      <c r="J43" s="9" t="s">
        <v>732</v>
      </c>
      <c r="K43" s="9"/>
      <c r="L43" s="9"/>
      <c r="M43" s="9"/>
      <c r="N43" s="9"/>
    </row>
    <row r="44" spans="1:14" ht="19" x14ac:dyDescent="0.2">
      <c r="A44" s="74"/>
      <c r="B44" s="32"/>
      <c r="C44" s="49"/>
      <c r="D44" s="13"/>
      <c r="E44" s="15"/>
      <c r="F44" s="9"/>
      <c r="G44" s="9"/>
      <c r="H44" s="9"/>
      <c r="I44" s="9">
        <v>57000</v>
      </c>
      <c r="J44" s="9" t="s">
        <v>631</v>
      </c>
      <c r="K44" s="9"/>
      <c r="L44" s="9"/>
      <c r="M44" s="9"/>
      <c r="N44" s="9"/>
    </row>
    <row r="45" spans="1:14" ht="19" x14ac:dyDescent="0.2">
      <c r="A45" s="74"/>
      <c r="B45" s="32"/>
      <c r="C45" s="49"/>
      <c r="D45" s="13"/>
      <c r="E45" s="15"/>
      <c r="F45" s="9"/>
      <c r="G45" s="9"/>
      <c r="H45" s="9"/>
      <c r="I45" s="9">
        <v>3800</v>
      </c>
      <c r="J45" s="9" t="s">
        <v>632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>
        <v>8500</v>
      </c>
      <c r="J46" s="9" t="s">
        <v>633</v>
      </c>
      <c r="K46" s="9"/>
      <c r="L46" s="9"/>
      <c r="M46" s="9"/>
      <c r="N46" s="9"/>
    </row>
    <row r="47" spans="1:14" ht="19" x14ac:dyDescent="0.2">
      <c r="A47" s="74">
        <v>782000</v>
      </c>
      <c r="B47" s="32"/>
      <c r="C47" s="49" t="s">
        <v>10</v>
      </c>
      <c r="D47" s="13" t="s">
        <v>28</v>
      </c>
      <c r="E47" s="15">
        <v>701000</v>
      </c>
      <c r="F47" s="9">
        <v>81000</v>
      </c>
      <c r="G47" s="9"/>
      <c r="H47" s="9"/>
      <c r="I47" s="9"/>
      <c r="J47" s="9"/>
      <c r="K47" s="9"/>
      <c r="L47" s="9"/>
      <c r="M47" s="9"/>
      <c r="N47" s="9"/>
    </row>
    <row r="48" spans="1:14" ht="19" x14ac:dyDescent="0.2">
      <c r="A48" s="74">
        <v>766000</v>
      </c>
      <c r="B48" s="32">
        <v>44689</v>
      </c>
      <c r="C48" s="49" t="s">
        <v>9</v>
      </c>
      <c r="D48" s="13" t="s">
        <v>405</v>
      </c>
      <c r="E48" s="15">
        <v>712000</v>
      </c>
      <c r="F48" s="9">
        <v>54000</v>
      </c>
      <c r="G48" s="9"/>
      <c r="H48" s="9"/>
      <c r="I48" s="9"/>
      <c r="J48" s="9"/>
      <c r="K48" s="9"/>
      <c r="L48" s="9"/>
      <c r="M48" s="9"/>
      <c r="N48" s="9"/>
    </row>
    <row r="49" spans="1:14" ht="19" x14ac:dyDescent="0.2">
      <c r="A49" s="74">
        <v>631000</v>
      </c>
      <c r="B49" s="33"/>
      <c r="C49" s="2" t="s">
        <v>10</v>
      </c>
      <c r="D49" s="13" t="s">
        <v>28</v>
      </c>
      <c r="E49" s="9">
        <v>461000</v>
      </c>
      <c r="F49" s="9">
        <v>170000</v>
      </c>
      <c r="G49" s="9">
        <v>120000</v>
      </c>
      <c r="H49" s="9" t="s">
        <v>634</v>
      </c>
      <c r="I49" s="9">
        <v>50000</v>
      </c>
      <c r="J49" s="9" t="s">
        <v>59</v>
      </c>
      <c r="K49" s="9"/>
      <c r="L49" s="9"/>
      <c r="M49" s="9"/>
      <c r="N49" s="9"/>
    </row>
    <row r="50" spans="1:14" ht="19" x14ac:dyDescent="0.2">
      <c r="A50" s="74"/>
      <c r="B50" s="32"/>
      <c r="C50" s="3"/>
      <c r="D50" s="13"/>
      <c r="E50" s="15"/>
      <c r="F50" s="9"/>
      <c r="G50" s="9"/>
      <c r="H50" s="59"/>
      <c r="I50" s="9"/>
      <c r="J50" s="9"/>
      <c r="K50" s="9"/>
      <c r="L50" s="9"/>
      <c r="M50" s="9"/>
      <c r="N50" s="9"/>
    </row>
    <row r="51" spans="1:14" ht="19" x14ac:dyDescent="0.2">
      <c r="A51" s="74"/>
      <c r="B51" s="33"/>
      <c r="C51" s="2"/>
      <c r="D51" s="13"/>
      <c r="E51" s="15"/>
      <c r="F51" s="9"/>
      <c r="G51" s="9"/>
      <c r="H51" s="9"/>
      <c r="I51" s="9"/>
      <c r="J51" s="9"/>
      <c r="K51" s="9"/>
      <c r="L51" s="9"/>
      <c r="M51" s="9"/>
      <c r="N51" s="9"/>
    </row>
    <row r="52" spans="1:14" ht="19" x14ac:dyDescent="0.2">
      <c r="A52" s="74">
        <v>663000</v>
      </c>
      <c r="B52" s="32">
        <v>44690</v>
      </c>
      <c r="C52" s="35" t="s">
        <v>9</v>
      </c>
      <c r="D52" s="13" t="s">
        <v>405</v>
      </c>
      <c r="E52" s="15">
        <v>615000</v>
      </c>
      <c r="F52" s="9">
        <v>48000</v>
      </c>
      <c r="G52" s="9"/>
      <c r="H52" s="9"/>
      <c r="I52" s="9"/>
      <c r="J52" s="9"/>
      <c r="K52" s="9"/>
      <c r="L52" s="9"/>
      <c r="M52" s="9"/>
      <c r="N52" s="9"/>
    </row>
    <row r="53" spans="1:14" ht="19" x14ac:dyDescent="0.2">
      <c r="A53" s="61"/>
      <c r="B53" s="75"/>
      <c r="C53" s="35"/>
      <c r="D53" s="13"/>
      <c r="E53" s="15"/>
      <c r="F53" s="9"/>
      <c r="G53" s="9"/>
      <c r="H53" s="9"/>
      <c r="I53" s="9"/>
      <c r="J53" s="9"/>
      <c r="K53" s="9"/>
      <c r="L53" s="9"/>
      <c r="M53" s="9"/>
      <c r="N53" s="9"/>
    </row>
    <row r="54" spans="1:14" ht="19" x14ac:dyDescent="0.2">
      <c r="A54" s="61">
        <v>813000</v>
      </c>
      <c r="B54" s="75"/>
      <c r="C54" s="35" t="s">
        <v>10</v>
      </c>
      <c r="D54" s="13" t="s">
        <v>565</v>
      </c>
      <c r="E54" s="15">
        <v>747000</v>
      </c>
      <c r="F54" s="9">
        <v>66000</v>
      </c>
      <c r="G54" s="9"/>
      <c r="H54" s="9"/>
      <c r="I54" s="9"/>
      <c r="J54" s="9"/>
      <c r="K54" s="9"/>
      <c r="L54" s="9"/>
      <c r="M54" s="9"/>
      <c r="N54" s="9"/>
    </row>
    <row r="55" spans="1:14" ht="19" x14ac:dyDescent="0.2">
      <c r="A55" s="61"/>
      <c r="B55" s="58"/>
      <c r="C55" s="3"/>
      <c r="D55" s="13"/>
      <c r="E55" s="15"/>
      <c r="F55" s="9"/>
      <c r="G55" s="60"/>
      <c r="H55" s="59"/>
      <c r="I55" s="9"/>
      <c r="J55" s="9"/>
      <c r="K55" s="9"/>
      <c r="L55" s="9"/>
      <c r="M55" s="9"/>
      <c r="N55" s="9"/>
    </row>
    <row r="56" spans="1:14" ht="19" x14ac:dyDescent="0.2">
      <c r="A56" s="61">
        <v>718000</v>
      </c>
      <c r="B56" s="58">
        <v>44691</v>
      </c>
      <c r="C56" s="2" t="s">
        <v>440</v>
      </c>
      <c r="D56" s="13" t="s">
        <v>28</v>
      </c>
      <c r="E56" s="15">
        <v>614000</v>
      </c>
      <c r="F56" s="9">
        <v>104000</v>
      </c>
      <c r="G56" s="9">
        <v>2686000</v>
      </c>
      <c r="H56" s="9" t="s">
        <v>635</v>
      </c>
      <c r="I56" s="9">
        <v>134000</v>
      </c>
      <c r="J56" s="47" t="s">
        <v>636</v>
      </c>
      <c r="K56" s="9"/>
      <c r="L56" s="9"/>
      <c r="M56" s="9"/>
      <c r="N56" s="9"/>
    </row>
    <row r="57" spans="1:14" ht="19" x14ac:dyDescent="0.2">
      <c r="A57" s="61"/>
      <c r="B57" s="58"/>
      <c r="C57" s="3"/>
      <c r="D57" s="13"/>
      <c r="E57" s="15"/>
      <c r="F57" s="9"/>
      <c r="G57" s="9"/>
      <c r="H57" s="9"/>
      <c r="I57" s="9">
        <v>134000</v>
      </c>
      <c r="J57" s="47" t="s">
        <v>637</v>
      </c>
      <c r="K57" s="9"/>
      <c r="L57" s="9"/>
      <c r="M57" s="9"/>
      <c r="N57" s="9"/>
    </row>
    <row r="58" spans="1:14" ht="19" x14ac:dyDescent="0.2">
      <c r="A58" s="61"/>
      <c r="B58" s="58"/>
      <c r="C58" s="49"/>
      <c r="D58" s="13"/>
      <c r="E58" s="15"/>
      <c r="F58" s="9"/>
      <c r="G58" s="9"/>
      <c r="H58" s="9"/>
      <c r="I58" s="9">
        <v>134000</v>
      </c>
      <c r="J58" s="47" t="s">
        <v>638</v>
      </c>
      <c r="K58" s="9"/>
      <c r="L58" s="9"/>
      <c r="M58" s="9"/>
      <c r="N58" s="9"/>
    </row>
    <row r="59" spans="1:14" ht="19" x14ac:dyDescent="0.2">
      <c r="A59" s="74"/>
      <c r="B59" s="58"/>
      <c r="C59" s="49"/>
      <c r="D59" s="13"/>
      <c r="E59" s="15"/>
      <c r="F59" s="9"/>
      <c r="G59" s="9"/>
      <c r="H59" s="9"/>
      <c r="I59" s="9">
        <v>33500</v>
      </c>
      <c r="J59" s="47" t="s">
        <v>639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>
        <v>32000</v>
      </c>
      <c r="J60" s="47" t="s">
        <v>640</v>
      </c>
      <c r="K60" s="9"/>
      <c r="L60" s="9"/>
      <c r="M60" s="9"/>
      <c r="N60" s="9"/>
    </row>
    <row r="61" spans="1:14" ht="19" x14ac:dyDescent="0.2">
      <c r="A61" s="74"/>
      <c r="B61" s="58"/>
      <c r="C61" s="49"/>
      <c r="D61" s="13"/>
      <c r="E61" s="15"/>
      <c r="F61" s="9"/>
      <c r="G61" s="9"/>
      <c r="H61" s="9"/>
      <c r="I61" s="9">
        <v>35600</v>
      </c>
      <c r="J61" s="47" t="s">
        <v>641</v>
      </c>
      <c r="K61" s="9"/>
      <c r="L61" s="9"/>
      <c r="M61" s="9"/>
      <c r="N61" s="9"/>
    </row>
    <row r="62" spans="1:14" ht="19" x14ac:dyDescent="0.2">
      <c r="A62" s="74"/>
      <c r="B62" s="58"/>
      <c r="C62" s="49"/>
      <c r="D62" s="13"/>
      <c r="E62" s="15"/>
      <c r="F62" s="9"/>
      <c r="G62" s="9"/>
      <c r="H62" s="9"/>
      <c r="I62" s="9">
        <v>3000</v>
      </c>
      <c r="J62" s="47" t="s">
        <v>642</v>
      </c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>
        <v>23000</v>
      </c>
      <c r="J63" s="47" t="s">
        <v>643</v>
      </c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9"/>
      <c r="H64" s="9"/>
      <c r="I64" s="9">
        <v>1300</v>
      </c>
      <c r="J64" s="47" t="s">
        <v>644</v>
      </c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9"/>
      <c r="H65" s="9"/>
      <c r="I65" s="9">
        <v>160000</v>
      </c>
      <c r="J65" s="47" t="s">
        <v>650</v>
      </c>
      <c r="K65" s="9"/>
      <c r="L65" s="9"/>
      <c r="M65" s="9"/>
      <c r="N65" s="9"/>
    </row>
    <row r="66" spans="1:14" ht="19" x14ac:dyDescent="0.2">
      <c r="A66" s="61">
        <v>385000</v>
      </c>
      <c r="B66" s="58"/>
      <c r="C66" s="49" t="s">
        <v>363</v>
      </c>
      <c r="D66" s="13" t="s">
        <v>565</v>
      </c>
      <c r="E66" s="15">
        <v>369000</v>
      </c>
      <c r="F66" s="9">
        <v>16000</v>
      </c>
      <c r="G66" s="9"/>
      <c r="H66" s="9"/>
      <c r="I66" s="9">
        <v>70000</v>
      </c>
      <c r="J66" s="9" t="s">
        <v>651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9"/>
      <c r="H67" s="9"/>
      <c r="I67" s="9">
        <v>30000</v>
      </c>
      <c r="J67" s="9" t="s">
        <v>652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>
        <v>128000</v>
      </c>
      <c r="J68" s="9" t="s">
        <v>615</v>
      </c>
      <c r="K68" s="9"/>
      <c r="L68" s="9"/>
      <c r="M68" s="9"/>
      <c r="N68" s="9"/>
    </row>
    <row r="69" spans="1:14" ht="19" x14ac:dyDescent="0.2">
      <c r="A69" s="61">
        <v>1139000</v>
      </c>
      <c r="B69" s="58">
        <v>44692</v>
      </c>
      <c r="C69" s="49" t="s">
        <v>9</v>
      </c>
      <c r="D69" s="13" t="s">
        <v>28</v>
      </c>
      <c r="E69" s="15">
        <v>1033000</v>
      </c>
      <c r="F69" s="9">
        <v>106000</v>
      </c>
      <c r="G69" s="9"/>
      <c r="H69" s="9"/>
      <c r="I69" s="9">
        <v>44500</v>
      </c>
      <c r="J69" s="9" t="s">
        <v>645</v>
      </c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9"/>
      <c r="H70" s="9"/>
      <c r="I70" s="9">
        <v>31700</v>
      </c>
      <c r="J70" s="9" t="s">
        <v>646</v>
      </c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9"/>
      <c r="H71" s="9"/>
      <c r="I71" s="9">
        <v>75000</v>
      </c>
      <c r="J71" s="9" t="s">
        <v>647</v>
      </c>
      <c r="K71" s="9"/>
      <c r="L71" s="9"/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9"/>
      <c r="H72" s="9"/>
      <c r="I72" s="9">
        <v>19000</v>
      </c>
      <c r="J72" s="9" t="s">
        <v>648</v>
      </c>
      <c r="K72" s="9"/>
      <c r="L72" s="9"/>
      <c r="M72" s="9"/>
      <c r="N72" s="9"/>
    </row>
    <row r="73" spans="1:14" ht="19" x14ac:dyDescent="0.2">
      <c r="A73" s="74"/>
      <c r="B73" s="58"/>
      <c r="C73" s="49"/>
      <c r="D73" s="13"/>
      <c r="E73" s="15"/>
      <c r="F73" s="9"/>
      <c r="G73" s="9"/>
      <c r="H73" s="9"/>
      <c r="I73" s="60"/>
      <c r="J73" s="60" t="s">
        <v>649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9"/>
      <c r="H74" s="9"/>
      <c r="I74" s="9">
        <v>200000</v>
      </c>
      <c r="J74" s="9" t="s">
        <v>653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9"/>
      <c r="H75" s="9"/>
      <c r="I75" s="9">
        <v>40000</v>
      </c>
      <c r="J75" s="9" t="s">
        <v>654</v>
      </c>
      <c r="K75" s="9"/>
      <c r="L75" s="9"/>
      <c r="M75" s="9"/>
      <c r="N75" s="9"/>
    </row>
    <row r="76" spans="1:14" ht="19" x14ac:dyDescent="0.2">
      <c r="A76" s="61">
        <v>676000</v>
      </c>
      <c r="B76" s="58"/>
      <c r="C76" s="49" t="s">
        <v>10</v>
      </c>
      <c r="D76" s="13" t="s">
        <v>565</v>
      </c>
      <c r="E76" s="15">
        <v>536000</v>
      </c>
      <c r="F76" s="9">
        <v>140000</v>
      </c>
      <c r="G76" s="9"/>
      <c r="H76" s="9"/>
      <c r="I76" s="9">
        <v>35000</v>
      </c>
      <c r="J76" s="9" t="s">
        <v>655</v>
      </c>
      <c r="K76" s="9"/>
      <c r="L76" s="9"/>
      <c r="M76" s="9"/>
      <c r="N76" s="9"/>
    </row>
    <row r="77" spans="1:14" ht="19" x14ac:dyDescent="0.2">
      <c r="A77" s="61">
        <v>841000</v>
      </c>
      <c r="B77" s="58">
        <v>44693</v>
      </c>
      <c r="C77" s="49" t="s">
        <v>9</v>
      </c>
      <c r="D77" s="13" t="s">
        <v>28</v>
      </c>
      <c r="E77" s="15">
        <v>786000</v>
      </c>
      <c r="F77" s="9">
        <v>55000</v>
      </c>
      <c r="G77" s="9">
        <v>682000</v>
      </c>
      <c r="H77" s="9" t="s">
        <v>657</v>
      </c>
      <c r="I77" s="9">
        <v>620000</v>
      </c>
      <c r="J77" s="9" t="s">
        <v>371</v>
      </c>
      <c r="K77" s="9"/>
      <c r="L77" s="9"/>
      <c r="M77" s="9"/>
      <c r="N77" s="9"/>
    </row>
    <row r="78" spans="1:14" ht="19" x14ac:dyDescent="0.2">
      <c r="A78" s="61"/>
      <c r="B78" s="58"/>
      <c r="C78" s="49"/>
      <c r="D78" s="13"/>
      <c r="E78" s="15"/>
      <c r="F78" s="9"/>
      <c r="G78" s="9">
        <v>3369000</v>
      </c>
      <c r="H78" s="9" t="s">
        <v>658</v>
      </c>
      <c r="I78" s="9">
        <v>60000</v>
      </c>
      <c r="J78" s="9" t="s">
        <v>626</v>
      </c>
      <c r="K78" s="9"/>
      <c r="L78" s="9"/>
      <c r="M78" s="9"/>
      <c r="N78" s="9"/>
    </row>
    <row r="79" spans="1:14" ht="19" x14ac:dyDescent="0.2">
      <c r="A79" s="61"/>
      <c r="B79" s="58"/>
      <c r="C79" s="49"/>
      <c r="D79" s="13"/>
      <c r="E79" s="15"/>
      <c r="F79" s="9"/>
      <c r="G79" s="9"/>
      <c r="H79" s="9"/>
      <c r="I79" s="9"/>
      <c r="J79" s="9"/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9"/>
      <c r="H80" s="9"/>
      <c r="I80" s="9"/>
      <c r="J80" s="9"/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9"/>
      <c r="H81" s="9"/>
      <c r="I81" s="9"/>
      <c r="J81" s="9"/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9"/>
      <c r="H82" s="9"/>
      <c r="I82" s="9"/>
      <c r="J82" s="9"/>
      <c r="K82" s="9"/>
      <c r="L82" s="9"/>
      <c r="M82" s="9"/>
      <c r="N82" s="9"/>
    </row>
    <row r="83" spans="1:14" ht="19" x14ac:dyDescent="0.2">
      <c r="A83" s="74">
        <v>666000</v>
      </c>
      <c r="B83" s="58"/>
      <c r="C83" s="49" t="s">
        <v>10</v>
      </c>
      <c r="D83" s="13" t="s">
        <v>565</v>
      </c>
      <c r="E83" s="15">
        <v>390000</v>
      </c>
      <c r="F83" s="9">
        <v>276000</v>
      </c>
      <c r="G83" s="9"/>
      <c r="H83" s="9"/>
      <c r="I83" s="9"/>
      <c r="J83" s="9"/>
      <c r="K83" s="9"/>
      <c r="L83" s="9"/>
      <c r="M83" s="9"/>
      <c r="N83" s="9"/>
    </row>
    <row r="84" spans="1:14" ht="19" x14ac:dyDescent="0.2">
      <c r="A84" s="61"/>
      <c r="B84" s="75"/>
      <c r="C84" s="2"/>
      <c r="D84" s="13"/>
      <c r="E84" s="15"/>
      <c r="F84" s="9"/>
      <c r="G84" s="9"/>
      <c r="H84" s="9"/>
      <c r="I84" s="9"/>
      <c r="J84" s="47"/>
      <c r="K84" s="9"/>
      <c r="L84" s="9"/>
      <c r="M84" s="9"/>
      <c r="N84" s="9"/>
    </row>
    <row r="85" spans="1:14" ht="19" x14ac:dyDescent="0.2">
      <c r="A85" s="61"/>
      <c r="B85" s="58"/>
      <c r="C85" s="3"/>
      <c r="D85" s="13"/>
      <c r="E85" s="15"/>
      <c r="F85" s="9"/>
      <c r="G85" s="9">
        <v>175000</v>
      </c>
      <c r="H85" s="9" t="s">
        <v>733</v>
      </c>
      <c r="I85" s="9"/>
      <c r="J85" s="9"/>
      <c r="K85" s="9"/>
      <c r="L85" s="9"/>
      <c r="M85" s="9"/>
      <c r="N85" s="9"/>
    </row>
    <row r="86" spans="1:14" ht="19" x14ac:dyDescent="0.2">
      <c r="A86" s="74">
        <v>991000</v>
      </c>
      <c r="B86" s="58">
        <v>44694</v>
      </c>
      <c r="C86" s="49" t="s">
        <v>9</v>
      </c>
      <c r="D86" s="13" t="s">
        <v>28</v>
      </c>
      <c r="E86" s="15">
        <v>905000</v>
      </c>
      <c r="F86" s="9">
        <v>86000</v>
      </c>
      <c r="G86" s="9">
        <v>170000</v>
      </c>
      <c r="H86" s="9" t="s">
        <v>734</v>
      </c>
      <c r="I86" s="9">
        <v>100000</v>
      </c>
      <c r="J86" s="9" t="s">
        <v>656</v>
      </c>
      <c r="K86" s="9"/>
      <c r="L86" s="9"/>
      <c r="M86" s="9"/>
      <c r="N86" s="9"/>
    </row>
    <row r="87" spans="1:14" ht="19" x14ac:dyDescent="0.2">
      <c r="A87" s="61">
        <v>462000</v>
      </c>
      <c r="B87" s="75"/>
      <c r="C87" s="2" t="s">
        <v>10</v>
      </c>
      <c r="D87" s="13" t="s">
        <v>565</v>
      </c>
      <c r="E87" s="15">
        <v>321000</v>
      </c>
      <c r="F87" s="9">
        <v>141000</v>
      </c>
      <c r="G87" s="9"/>
      <c r="H87" s="9"/>
      <c r="I87" s="9"/>
      <c r="J87" s="9"/>
      <c r="K87" s="9"/>
      <c r="L87" s="9"/>
      <c r="M87" s="9"/>
      <c r="N87" s="9"/>
    </row>
    <row r="88" spans="1:14" ht="19" x14ac:dyDescent="0.2">
      <c r="A88" s="61">
        <v>1237000</v>
      </c>
      <c r="B88" s="58">
        <v>44695</v>
      </c>
      <c r="C88" s="3" t="s">
        <v>9</v>
      </c>
      <c r="D88" s="13" t="s">
        <v>405</v>
      </c>
      <c r="E88" s="15">
        <v>1183000</v>
      </c>
      <c r="F88" s="9">
        <v>54000</v>
      </c>
      <c r="G88" s="9"/>
      <c r="H88" s="9"/>
      <c r="I88" s="9">
        <v>100000</v>
      </c>
      <c r="J88" s="9" t="s">
        <v>659</v>
      </c>
      <c r="K88" s="9"/>
      <c r="L88" s="9"/>
      <c r="M88" s="9"/>
      <c r="N88" s="9"/>
    </row>
    <row r="89" spans="1:14" ht="19" x14ac:dyDescent="0.2">
      <c r="A89" s="61"/>
      <c r="B89" s="58"/>
      <c r="C89" s="49"/>
      <c r="D89" s="13"/>
      <c r="E89" s="15"/>
      <c r="F89" s="9"/>
      <c r="G89" s="9"/>
      <c r="H89" s="47"/>
      <c r="I89" s="9">
        <v>40000</v>
      </c>
      <c r="J89" s="47" t="s">
        <v>654</v>
      </c>
      <c r="K89" s="9"/>
      <c r="L89" s="9"/>
      <c r="M89" s="9"/>
      <c r="N89" s="9"/>
    </row>
    <row r="90" spans="1:14" ht="19" x14ac:dyDescent="0.2">
      <c r="A90" s="61"/>
      <c r="B90" s="75"/>
      <c r="C90" s="2"/>
      <c r="D90" s="13"/>
      <c r="E90" s="15"/>
      <c r="F90" s="9"/>
      <c r="G90" s="9"/>
      <c r="H90" s="9"/>
      <c r="I90" s="9">
        <v>35000</v>
      </c>
      <c r="J90" s="9" t="s">
        <v>655</v>
      </c>
      <c r="K90" s="9"/>
      <c r="L90" s="9"/>
      <c r="M90" s="9"/>
      <c r="N90" s="9"/>
    </row>
    <row r="91" spans="1:14" ht="19" x14ac:dyDescent="0.2">
      <c r="A91" s="61"/>
      <c r="B91" s="75"/>
      <c r="C91" s="35"/>
      <c r="D91" s="13"/>
      <c r="E91" s="15"/>
      <c r="F91" s="9"/>
      <c r="G91" s="9"/>
      <c r="H91" s="9"/>
      <c r="I91" s="9">
        <v>70000</v>
      </c>
      <c r="J91" s="9" t="s">
        <v>651</v>
      </c>
      <c r="K91" s="9"/>
      <c r="L91" s="9"/>
      <c r="M91" s="9"/>
      <c r="N91" s="9"/>
    </row>
    <row r="92" spans="1:14" ht="19" x14ac:dyDescent="0.2">
      <c r="A92" s="61"/>
      <c r="B92" s="58"/>
      <c r="C92" s="3"/>
      <c r="D92" s="13"/>
      <c r="E92" s="15"/>
      <c r="F92" s="9"/>
      <c r="G92" s="60"/>
      <c r="H92" s="59"/>
      <c r="I92" s="9">
        <v>45000</v>
      </c>
      <c r="J92" s="9" t="s">
        <v>617</v>
      </c>
      <c r="K92" s="9"/>
      <c r="L92" s="9"/>
      <c r="M92" s="9"/>
      <c r="N92" s="9"/>
    </row>
    <row r="93" spans="1:14" ht="19" x14ac:dyDescent="0.2">
      <c r="A93" s="74"/>
      <c r="B93" s="58"/>
      <c r="C93" s="49"/>
      <c r="D93" s="13"/>
      <c r="E93" s="15"/>
      <c r="F93" s="9"/>
      <c r="G93" s="60"/>
      <c r="H93" s="60"/>
      <c r="I93" s="9">
        <v>128000</v>
      </c>
      <c r="J93" s="9" t="s">
        <v>615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60"/>
      <c r="H94" s="60"/>
      <c r="I94" s="60"/>
      <c r="J94" s="60"/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60"/>
      <c r="H95" s="60"/>
      <c r="I95" s="9">
        <v>40000</v>
      </c>
      <c r="J95" s="9" t="s">
        <v>660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60"/>
      <c r="H96" s="60"/>
      <c r="I96" s="9">
        <v>31000</v>
      </c>
      <c r="J96" s="9" t="s">
        <v>640</v>
      </c>
      <c r="K96" s="9"/>
      <c r="L96" s="9"/>
      <c r="M96" s="9"/>
      <c r="N96" s="9"/>
    </row>
    <row r="97" spans="1:14" ht="19" x14ac:dyDescent="0.2">
      <c r="A97" s="61">
        <v>497000</v>
      </c>
      <c r="B97" s="75"/>
      <c r="C97" s="2" t="s">
        <v>10</v>
      </c>
      <c r="D97" s="13" t="s">
        <v>28</v>
      </c>
      <c r="E97" s="15">
        <v>497000</v>
      </c>
      <c r="F97" s="9"/>
      <c r="G97" s="9"/>
      <c r="H97" s="9"/>
      <c r="I97" s="9"/>
      <c r="J97" s="9"/>
      <c r="K97" s="9"/>
      <c r="L97" s="9"/>
      <c r="M97" s="9"/>
      <c r="N97" s="9"/>
    </row>
    <row r="98" spans="1:14" ht="32" x14ac:dyDescent="0.2">
      <c r="A98" s="61">
        <v>768000</v>
      </c>
      <c r="B98" s="58">
        <v>44696</v>
      </c>
      <c r="C98" s="3" t="s">
        <v>9</v>
      </c>
      <c r="D98" s="13" t="s">
        <v>405</v>
      </c>
      <c r="E98" s="15">
        <v>623000</v>
      </c>
      <c r="F98" s="9">
        <v>145000</v>
      </c>
      <c r="G98" s="9">
        <v>273000</v>
      </c>
      <c r="H98" s="47" t="s">
        <v>661</v>
      </c>
      <c r="I98" s="60"/>
      <c r="J98" s="60"/>
      <c r="K98" s="9"/>
      <c r="L98" s="9"/>
      <c r="M98" s="9"/>
      <c r="N98" s="9"/>
    </row>
    <row r="99" spans="1:14" ht="19" x14ac:dyDescent="0.2">
      <c r="A99" s="74"/>
      <c r="B99" s="58"/>
      <c r="C99" s="49"/>
      <c r="D99" s="13"/>
      <c r="E99" s="15"/>
      <c r="F99" s="9"/>
      <c r="G99" s="9"/>
      <c r="H99" s="9"/>
      <c r="I99" s="9"/>
      <c r="J99" s="47"/>
      <c r="K99" s="9"/>
      <c r="L99" s="9"/>
      <c r="M99" s="9"/>
      <c r="N99" s="9"/>
    </row>
    <row r="100" spans="1:14" ht="19" x14ac:dyDescent="0.2">
      <c r="A100" s="74"/>
      <c r="B100" s="58"/>
      <c r="C100" s="49"/>
      <c r="D100" s="13"/>
      <c r="E100" s="15"/>
      <c r="F100" s="9"/>
      <c r="G100" s="9"/>
      <c r="H100" s="9"/>
      <c r="I100" s="9"/>
      <c r="J100" s="47"/>
      <c r="K100" s="9"/>
      <c r="L100" s="9"/>
      <c r="M100" s="9"/>
      <c r="N100" s="9"/>
    </row>
    <row r="101" spans="1:14" ht="19" x14ac:dyDescent="0.2">
      <c r="A101" s="74"/>
      <c r="B101" s="58"/>
      <c r="C101" s="49"/>
      <c r="D101" s="13"/>
      <c r="E101" s="15"/>
      <c r="F101" s="9"/>
      <c r="G101" s="9"/>
      <c r="H101" s="9"/>
      <c r="I101" s="9"/>
      <c r="J101" s="47"/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9"/>
      <c r="J102" s="47"/>
      <c r="K102" s="9"/>
      <c r="L102" s="9"/>
      <c r="M102" s="9"/>
      <c r="N102" s="9"/>
    </row>
    <row r="103" spans="1:14" ht="19" x14ac:dyDescent="0.2">
      <c r="A103" s="61">
        <v>852000</v>
      </c>
      <c r="B103" s="75"/>
      <c r="C103" s="2" t="s">
        <v>10</v>
      </c>
      <c r="D103" s="13" t="s">
        <v>28</v>
      </c>
      <c r="E103" s="15">
        <v>594000</v>
      </c>
      <c r="F103" s="9">
        <v>258000</v>
      </c>
      <c r="G103" s="9">
        <v>960000</v>
      </c>
      <c r="H103" s="9" t="s">
        <v>662</v>
      </c>
      <c r="I103" s="9">
        <v>50000</v>
      </c>
      <c r="J103" s="9" t="s">
        <v>59</v>
      </c>
      <c r="K103" s="9"/>
      <c r="L103" s="9"/>
      <c r="M103" s="9"/>
      <c r="N103" s="9"/>
    </row>
    <row r="104" spans="1:14" ht="19" x14ac:dyDescent="0.2">
      <c r="A104" s="61">
        <v>1101000</v>
      </c>
      <c r="B104" s="58">
        <v>44697</v>
      </c>
      <c r="C104" s="35" t="s">
        <v>9</v>
      </c>
      <c r="D104" s="13" t="s">
        <v>405</v>
      </c>
      <c r="E104" s="15">
        <v>1037000</v>
      </c>
      <c r="F104" s="9">
        <v>64000</v>
      </c>
      <c r="G104" s="9">
        <v>1200000</v>
      </c>
      <c r="H104" s="9" t="s">
        <v>663</v>
      </c>
      <c r="I104" s="9">
        <v>33000</v>
      </c>
      <c r="J104" s="9" t="s">
        <v>664</v>
      </c>
      <c r="K104" s="9"/>
      <c r="L104" s="9"/>
      <c r="M104" s="9"/>
      <c r="N104" s="9"/>
    </row>
    <row r="105" spans="1:14" ht="19" x14ac:dyDescent="0.2">
      <c r="A105" s="74"/>
      <c r="B105" s="58"/>
      <c r="C105" s="35"/>
      <c r="D105" s="13"/>
      <c r="E105" s="15"/>
      <c r="F105" s="9"/>
      <c r="G105" s="9"/>
      <c r="H105" s="9"/>
      <c r="I105" s="9">
        <v>33000</v>
      </c>
      <c r="J105" s="9" t="s">
        <v>665</v>
      </c>
      <c r="K105" s="9"/>
      <c r="L105" s="9"/>
      <c r="M105" s="9"/>
      <c r="N105" s="9"/>
    </row>
    <row r="106" spans="1:14" ht="19" x14ac:dyDescent="0.2">
      <c r="A106" s="74"/>
      <c r="B106" s="58"/>
      <c r="C106" s="35"/>
      <c r="D106" s="13"/>
      <c r="E106" s="15"/>
      <c r="F106" s="9"/>
      <c r="G106" s="9"/>
      <c r="H106" s="9"/>
      <c r="I106" s="9">
        <v>41000</v>
      </c>
      <c r="J106" s="9" t="s">
        <v>666</v>
      </c>
      <c r="K106" s="9"/>
      <c r="L106" s="9"/>
      <c r="M106" s="9"/>
      <c r="N106" s="9"/>
    </row>
    <row r="107" spans="1:14" ht="19" x14ac:dyDescent="0.2">
      <c r="A107" s="74"/>
      <c r="B107" s="58"/>
      <c r="C107" s="35"/>
      <c r="D107" s="13"/>
      <c r="E107" s="15"/>
      <c r="F107" s="9"/>
      <c r="G107" s="9"/>
      <c r="H107" s="9"/>
      <c r="I107" s="9">
        <v>29000</v>
      </c>
      <c r="J107" s="9" t="s">
        <v>667</v>
      </c>
      <c r="K107" s="9"/>
      <c r="L107" s="9"/>
      <c r="M107" s="9"/>
      <c r="N107" s="9"/>
    </row>
    <row r="108" spans="1:14" ht="19" x14ac:dyDescent="0.2">
      <c r="A108" s="74"/>
      <c r="B108" s="58"/>
      <c r="C108" s="35"/>
      <c r="D108" s="13"/>
      <c r="E108" s="15"/>
      <c r="F108" s="9"/>
      <c r="G108" s="9"/>
      <c r="H108" s="9"/>
      <c r="I108" s="60"/>
      <c r="J108" s="60"/>
      <c r="K108" s="9"/>
      <c r="L108" s="9"/>
      <c r="M108" s="9"/>
      <c r="N108" s="9"/>
    </row>
    <row r="109" spans="1:14" ht="19" x14ac:dyDescent="0.2">
      <c r="A109" s="61">
        <v>880000</v>
      </c>
      <c r="B109" s="58"/>
      <c r="C109" s="3" t="s">
        <v>10</v>
      </c>
      <c r="D109" s="13" t="s">
        <v>565</v>
      </c>
      <c r="E109" s="15">
        <v>736000</v>
      </c>
      <c r="F109" s="9">
        <v>144000</v>
      </c>
      <c r="G109" s="9"/>
      <c r="H109" s="9"/>
      <c r="I109" s="9"/>
      <c r="J109" s="9"/>
      <c r="K109" s="9"/>
      <c r="L109" s="9"/>
      <c r="M109" s="9"/>
      <c r="N109" s="9"/>
    </row>
    <row r="110" spans="1:14" ht="19" x14ac:dyDescent="0.2">
      <c r="A110" s="61"/>
      <c r="B110" s="58"/>
      <c r="C110" s="49"/>
      <c r="D110" s="13"/>
      <c r="E110" s="15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9" x14ac:dyDescent="0.2">
      <c r="A111" s="61"/>
      <c r="B111" s="58"/>
      <c r="C111" s="49"/>
      <c r="D111" s="13"/>
      <c r="E111" s="15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61"/>
      <c r="B112" s="75"/>
      <c r="C112" s="2"/>
      <c r="D112" s="13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ht="19" x14ac:dyDescent="0.2">
      <c r="A113" s="74">
        <v>705000</v>
      </c>
      <c r="B113" s="58">
        <v>44698</v>
      </c>
      <c r="C113" s="35" t="s">
        <v>9</v>
      </c>
      <c r="D113" s="13" t="s">
        <v>28</v>
      </c>
      <c r="E113" s="15">
        <v>482000</v>
      </c>
      <c r="F113" s="9">
        <v>223000</v>
      </c>
      <c r="G113" s="9"/>
      <c r="H113" s="9"/>
      <c r="I113" s="9"/>
      <c r="J113" s="9"/>
      <c r="K113" s="9"/>
      <c r="L113" s="9"/>
      <c r="M113" s="9"/>
      <c r="N113" s="9"/>
    </row>
    <row r="114" spans="1:14" ht="19" x14ac:dyDescent="0.2">
      <c r="A114" s="74">
        <v>860000</v>
      </c>
      <c r="B114" s="75"/>
      <c r="C114" s="35" t="s">
        <v>10</v>
      </c>
      <c r="D114" s="13" t="s">
        <v>565</v>
      </c>
      <c r="E114" s="15">
        <v>795000</v>
      </c>
      <c r="F114" s="9">
        <v>65000</v>
      </c>
      <c r="G114" s="9"/>
      <c r="H114" s="9"/>
      <c r="I114" s="60"/>
      <c r="J114" s="60"/>
      <c r="K114" s="9"/>
      <c r="L114" s="9"/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/>
      <c r="H115" s="9"/>
      <c r="I115" s="9">
        <v>620000</v>
      </c>
      <c r="J115" s="9" t="s">
        <v>668</v>
      </c>
      <c r="K115" s="9"/>
      <c r="L115" s="9"/>
      <c r="M115" s="9"/>
      <c r="N115" s="9"/>
    </row>
    <row r="116" spans="1:14" ht="19" x14ac:dyDescent="0.2">
      <c r="A116" s="74"/>
      <c r="B116" s="75"/>
      <c r="C116" s="35"/>
      <c r="D116" s="13"/>
      <c r="E116" s="15"/>
      <c r="F116" s="9"/>
      <c r="G116" s="9"/>
      <c r="H116" s="9"/>
      <c r="I116" s="9">
        <v>45000</v>
      </c>
      <c r="J116" s="9" t="s">
        <v>669</v>
      </c>
      <c r="K116" s="9"/>
      <c r="L116" s="9"/>
      <c r="M116" s="9"/>
      <c r="N116" s="9"/>
    </row>
    <row r="117" spans="1:14" ht="19" x14ac:dyDescent="0.2">
      <c r="A117" s="61">
        <v>965000</v>
      </c>
      <c r="B117" s="58">
        <v>44699</v>
      </c>
      <c r="C117" s="3" t="s">
        <v>9</v>
      </c>
      <c r="D117" s="13" t="s">
        <v>28</v>
      </c>
      <c r="E117" s="9">
        <v>670000</v>
      </c>
      <c r="F117" s="9">
        <v>295000</v>
      </c>
      <c r="G117" s="9"/>
      <c r="H117" s="9"/>
      <c r="I117" s="9">
        <v>70000</v>
      </c>
      <c r="J117" s="9" t="s">
        <v>651</v>
      </c>
      <c r="K117" s="9"/>
      <c r="L117" s="9"/>
      <c r="M117" s="9"/>
      <c r="N117" s="9"/>
    </row>
    <row r="118" spans="1:14" ht="19" x14ac:dyDescent="0.2">
      <c r="A118" s="74"/>
      <c r="B118" s="58"/>
      <c r="C118" s="49"/>
      <c r="D118" s="13"/>
      <c r="E118" s="15"/>
      <c r="F118" s="9"/>
      <c r="G118" s="9"/>
      <c r="H118" s="9"/>
      <c r="I118" s="9">
        <v>45000</v>
      </c>
      <c r="J118" s="9" t="s">
        <v>617</v>
      </c>
      <c r="K118" s="9"/>
      <c r="L118" s="9"/>
      <c r="M118" s="9"/>
      <c r="N118" s="9"/>
    </row>
    <row r="119" spans="1:14" ht="19" x14ac:dyDescent="0.2">
      <c r="A119" s="74"/>
      <c r="B119" s="58"/>
      <c r="C119" s="49"/>
      <c r="D119" s="13"/>
      <c r="E119" s="15"/>
      <c r="F119" s="9"/>
      <c r="G119" s="9"/>
      <c r="H119" s="9"/>
      <c r="I119" s="9">
        <v>128000</v>
      </c>
      <c r="J119" s="9" t="s">
        <v>615</v>
      </c>
      <c r="K119" s="9"/>
      <c r="L119" s="9"/>
      <c r="M119" s="9"/>
      <c r="N119" s="9"/>
    </row>
    <row r="120" spans="1:14" ht="19" x14ac:dyDescent="0.2">
      <c r="A120" s="74"/>
      <c r="B120" s="58"/>
      <c r="C120" s="49"/>
      <c r="D120" s="13"/>
      <c r="E120" s="15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9" x14ac:dyDescent="0.2">
      <c r="A121" s="74"/>
      <c r="B121" s="58"/>
      <c r="C121" s="49"/>
      <c r="D121" s="13"/>
      <c r="E121" s="15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19" x14ac:dyDescent="0.2">
      <c r="A122" s="74"/>
      <c r="B122" s="58"/>
      <c r="C122" s="49"/>
      <c r="D122" s="13"/>
      <c r="E122" s="15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9" x14ac:dyDescent="0.2">
      <c r="A123" s="74"/>
      <c r="B123" s="58"/>
      <c r="C123" s="49"/>
      <c r="D123" s="13"/>
      <c r="E123" s="15"/>
      <c r="F123" s="9"/>
      <c r="G123" s="9"/>
      <c r="H123" s="9"/>
      <c r="I123" s="9"/>
      <c r="J123" s="9"/>
      <c r="K123" s="9"/>
      <c r="L123" s="9"/>
      <c r="M123" s="9"/>
      <c r="N123" s="9"/>
    </row>
    <row r="124" spans="1:14" ht="19" x14ac:dyDescent="0.2">
      <c r="A124" s="74"/>
      <c r="B124" s="58"/>
      <c r="C124" s="49"/>
      <c r="D124" s="13"/>
      <c r="E124" s="15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9" x14ac:dyDescent="0.2">
      <c r="A125" s="61">
        <v>296000</v>
      </c>
      <c r="B125" s="75"/>
      <c r="C125" s="2" t="s">
        <v>10</v>
      </c>
      <c r="D125" s="13" t="s">
        <v>565</v>
      </c>
      <c r="E125" s="9">
        <v>208000</v>
      </c>
      <c r="F125" s="9">
        <v>88000</v>
      </c>
      <c r="G125" s="9"/>
      <c r="H125" s="9"/>
      <c r="I125" s="9"/>
      <c r="J125" s="47"/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9"/>
      <c r="J126" s="47"/>
      <c r="K126" s="9"/>
      <c r="L126" s="9"/>
      <c r="M126" s="9"/>
      <c r="N126" s="9"/>
    </row>
    <row r="127" spans="1:14" ht="19" x14ac:dyDescent="0.2">
      <c r="A127" s="74"/>
      <c r="B127" s="75"/>
      <c r="C127" s="35"/>
      <c r="D127" s="13"/>
      <c r="E127" s="15"/>
      <c r="F127" s="9"/>
      <c r="G127" s="9"/>
      <c r="H127" s="9"/>
      <c r="I127" s="9"/>
      <c r="J127" s="47"/>
      <c r="K127" s="9"/>
      <c r="L127" s="9"/>
      <c r="M127" s="9"/>
      <c r="N127" s="9"/>
    </row>
    <row r="128" spans="1:14" ht="19" x14ac:dyDescent="0.2">
      <c r="A128" s="74"/>
      <c r="B128" s="75"/>
      <c r="C128" s="35"/>
      <c r="D128" s="13"/>
      <c r="E128" s="15"/>
      <c r="F128" s="9"/>
      <c r="G128" s="9"/>
      <c r="H128" s="9"/>
      <c r="I128" s="9"/>
      <c r="J128" s="47"/>
      <c r="K128" s="9"/>
      <c r="L128" s="9"/>
      <c r="M128" s="9"/>
      <c r="N128" s="9"/>
    </row>
    <row r="129" spans="1:14" ht="19" x14ac:dyDescent="0.2">
      <c r="A129" s="61">
        <v>1342000</v>
      </c>
      <c r="B129" s="58">
        <v>44700</v>
      </c>
      <c r="C129" s="3" t="s">
        <v>9</v>
      </c>
      <c r="D129" s="13" t="s">
        <v>405</v>
      </c>
      <c r="E129" s="9">
        <v>1204000</v>
      </c>
      <c r="F129" s="9">
        <v>138000</v>
      </c>
      <c r="G129" s="9"/>
      <c r="H129" s="9"/>
      <c r="I129" s="9">
        <v>35000</v>
      </c>
      <c r="J129" s="47" t="s">
        <v>670</v>
      </c>
      <c r="K129" s="9"/>
      <c r="L129" s="9"/>
      <c r="M129" s="9"/>
      <c r="N129" s="9"/>
    </row>
    <row r="130" spans="1:14" ht="19" x14ac:dyDescent="0.2">
      <c r="A130" s="74"/>
      <c r="B130" s="58"/>
      <c r="C130" s="49"/>
      <c r="D130" s="13"/>
      <c r="E130" s="15"/>
      <c r="F130" s="9"/>
      <c r="G130" s="9"/>
      <c r="H130" s="9"/>
      <c r="I130" s="9">
        <v>35000</v>
      </c>
      <c r="J130" s="47" t="s">
        <v>671</v>
      </c>
      <c r="K130" s="9"/>
      <c r="L130" s="9"/>
      <c r="M130" s="9"/>
      <c r="N130" s="9"/>
    </row>
    <row r="131" spans="1:14" ht="19" x14ac:dyDescent="0.2">
      <c r="A131" s="74"/>
      <c r="B131" s="58"/>
      <c r="C131" s="49"/>
      <c r="D131" s="13"/>
      <c r="E131" s="15"/>
      <c r="F131" s="9"/>
      <c r="G131" s="9"/>
      <c r="H131" s="9"/>
      <c r="I131" s="9">
        <v>19000</v>
      </c>
      <c r="J131" s="47" t="s">
        <v>672</v>
      </c>
      <c r="K131" s="9"/>
      <c r="L131" s="9"/>
      <c r="M131" s="9"/>
      <c r="N131" s="9"/>
    </row>
    <row r="132" spans="1:14" ht="19" x14ac:dyDescent="0.2">
      <c r="A132" s="74"/>
      <c r="B132" s="58"/>
      <c r="C132" s="49"/>
      <c r="D132" s="13"/>
      <c r="E132" s="15"/>
      <c r="F132" s="9"/>
      <c r="G132" s="9"/>
      <c r="H132" s="9"/>
      <c r="I132" s="9">
        <v>12000</v>
      </c>
      <c r="J132" s="9" t="s">
        <v>673</v>
      </c>
      <c r="K132" s="9"/>
      <c r="L132" s="9"/>
      <c r="M132" s="9"/>
      <c r="N132" s="9"/>
    </row>
    <row r="133" spans="1:14" ht="19" x14ac:dyDescent="0.2">
      <c r="A133" s="74"/>
      <c r="B133" s="58"/>
      <c r="C133" s="49"/>
      <c r="D133" s="13"/>
      <c r="E133" s="15"/>
      <c r="F133" s="9"/>
      <c r="G133" s="9"/>
      <c r="H133" s="9"/>
      <c r="I133" s="9">
        <v>12000</v>
      </c>
      <c r="J133" s="9" t="s">
        <v>674</v>
      </c>
      <c r="K133" s="9"/>
      <c r="L133" s="9"/>
      <c r="M133" s="9"/>
      <c r="N133" s="9"/>
    </row>
    <row r="134" spans="1:14" ht="19" x14ac:dyDescent="0.2">
      <c r="A134" s="74"/>
      <c r="B134" s="58"/>
      <c r="C134" s="49"/>
      <c r="D134" s="13"/>
      <c r="E134" s="15"/>
      <c r="F134" s="9"/>
      <c r="G134" s="9"/>
      <c r="H134" s="9"/>
      <c r="I134" s="9">
        <v>34000</v>
      </c>
      <c r="J134" s="9" t="s">
        <v>675</v>
      </c>
      <c r="K134" s="9"/>
      <c r="L134" s="9"/>
      <c r="M134" s="9"/>
      <c r="N134" s="9"/>
    </row>
    <row r="135" spans="1:14" ht="19" x14ac:dyDescent="0.2">
      <c r="A135" s="74"/>
      <c r="B135" s="58"/>
      <c r="C135" s="49"/>
      <c r="D135" s="13"/>
      <c r="E135" s="15"/>
      <c r="F135" s="9"/>
      <c r="G135" s="9"/>
      <c r="H135" s="9"/>
      <c r="I135" s="9">
        <v>48000</v>
      </c>
      <c r="J135" s="9" t="s">
        <v>676</v>
      </c>
      <c r="K135" s="9"/>
      <c r="L135" s="9"/>
      <c r="M135" s="9"/>
      <c r="N135" s="9"/>
    </row>
    <row r="136" spans="1:14" ht="19" x14ac:dyDescent="0.2">
      <c r="A136" s="74"/>
      <c r="B136" s="58"/>
      <c r="C136" s="49"/>
      <c r="D136" s="13"/>
      <c r="E136" s="15"/>
      <c r="F136" s="9"/>
      <c r="G136" s="9"/>
      <c r="H136" s="9"/>
      <c r="I136" s="60"/>
      <c r="J136" s="60"/>
      <c r="K136" s="9"/>
      <c r="L136" s="9"/>
      <c r="M136" s="9"/>
      <c r="N136" s="9"/>
    </row>
    <row r="137" spans="1:14" ht="19" x14ac:dyDescent="0.2">
      <c r="A137" s="61">
        <v>484000</v>
      </c>
      <c r="B137" s="58"/>
      <c r="C137" s="49" t="s">
        <v>10</v>
      </c>
      <c r="D137" s="13" t="s">
        <v>565</v>
      </c>
      <c r="E137" s="15">
        <v>400000</v>
      </c>
      <c r="F137" s="9">
        <v>84000</v>
      </c>
      <c r="G137" s="9"/>
      <c r="H137" s="9"/>
      <c r="I137" s="9">
        <v>44500</v>
      </c>
      <c r="J137" s="9" t="s">
        <v>645</v>
      </c>
      <c r="K137" s="9"/>
      <c r="L137" s="9"/>
      <c r="M137" s="9"/>
      <c r="N137" s="9"/>
    </row>
    <row r="138" spans="1:14" ht="19" x14ac:dyDescent="0.2">
      <c r="A138" s="61"/>
      <c r="B138" s="75"/>
      <c r="C138" s="2"/>
      <c r="D138" s="13"/>
      <c r="E138" s="9"/>
      <c r="F138" s="9"/>
      <c r="G138" s="9"/>
      <c r="H138" s="9"/>
      <c r="I138" s="9">
        <v>356500</v>
      </c>
      <c r="J138" s="9" t="s">
        <v>678</v>
      </c>
      <c r="K138" s="9"/>
      <c r="L138" s="9"/>
      <c r="M138" s="9"/>
      <c r="N138" s="9"/>
    </row>
    <row r="139" spans="1:14" ht="19" x14ac:dyDescent="0.2">
      <c r="A139" s="74"/>
      <c r="B139" s="75"/>
      <c r="C139" s="35"/>
      <c r="D139" s="13"/>
      <c r="E139" s="15"/>
      <c r="F139" s="9"/>
      <c r="G139" s="9"/>
      <c r="H139" s="9"/>
      <c r="I139" s="9">
        <v>104000</v>
      </c>
      <c r="J139" s="9" t="s">
        <v>679</v>
      </c>
      <c r="K139" s="9"/>
      <c r="L139" s="9"/>
      <c r="M139" s="9"/>
      <c r="N139" s="9"/>
    </row>
    <row r="140" spans="1:14" ht="19" x14ac:dyDescent="0.2">
      <c r="A140" s="74">
        <v>800000</v>
      </c>
      <c r="B140" s="58">
        <v>44701</v>
      </c>
      <c r="C140" s="35" t="s">
        <v>9</v>
      </c>
      <c r="D140" s="13" t="s">
        <v>405</v>
      </c>
      <c r="E140" s="15">
        <v>762000</v>
      </c>
      <c r="F140" s="9">
        <v>38000</v>
      </c>
      <c r="G140" s="9">
        <v>2674000</v>
      </c>
      <c r="H140" s="9" t="s">
        <v>677</v>
      </c>
      <c r="I140" s="9">
        <v>24000</v>
      </c>
      <c r="J140" s="9" t="s">
        <v>680</v>
      </c>
      <c r="K140" s="9"/>
      <c r="L140" s="9"/>
      <c r="M140" s="9"/>
      <c r="N140" s="9"/>
    </row>
    <row r="141" spans="1:14" ht="19" x14ac:dyDescent="0.2">
      <c r="A141" s="74"/>
      <c r="B141" s="58"/>
      <c r="C141" s="35"/>
      <c r="D141" s="13"/>
      <c r="E141" s="15"/>
      <c r="F141" s="9"/>
      <c r="G141" s="9">
        <v>1981000</v>
      </c>
      <c r="H141" s="9" t="s">
        <v>682</v>
      </c>
      <c r="I141" s="9">
        <v>3000</v>
      </c>
      <c r="J141" s="76" t="s">
        <v>681</v>
      </c>
      <c r="K141" s="9"/>
      <c r="L141" s="9"/>
      <c r="M141" s="9"/>
      <c r="N141" s="9"/>
    </row>
    <row r="142" spans="1:14" ht="19" x14ac:dyDescent="0.2">
      <c r="A142" s="74"/>
      <c r="B142" s="58"/>
      <c r="C142" s="35"/>
      <c r="D142" s="13"/>
      <c r="E142" s="15"/>
      <c r="F142" s="9"/>
      <c r="G142" s="9"/>
      <c r="H142" s="9"/>
      <c r="I142" s="60"/>
      <c r="J142" s="60"/>
      <c r="K142" s="9"/>
      <c r="L142" s="9"/>
      <c r="M142" s="9"/>
      <c r="N142" s="9"/>
    </row>
    <row r="143" spans="1:14" ht="19" x14ac:dyDescent="0.2">
      <c r="A143" s="74"/>
      <c r="B143" s="58"/>
      <c r="C143" s="35"/>
      <c r="D143" s="13"/>
      <c r="E143" s="15"/>
      <c r="F143" s="9"/>
      <c r="G143" s="9"/>
      <c r="H143" s="9"/>
      <c r="I143" s="9">
        <v>88500</v>
      </c>
      <c r="J143" s="9" t="s">
        <v>705</v>
      </c>
      <c r="K143" s="9"/>
      <c r="L143" s="9"/>
      <c r="M143" s="9"/>
      <c r="N143" s="9"/>
    </row>
    <row r="144" spans="1:14" ht="19" x14ac:dyDescent="0.2">
      <c r="A144" s="74"/>
      <c r="B144" s="58"/>
      <c r="C144" s="35"/>
      <c r="D144" s="13"/>
      <c r="E144" s="15"/>
      <c r="F144" s="9"/>
      <c r="G144" s="9"/>
      <c r="H144" s="9"/>
      <c r="I144" s="9">
        <v>177000</v>
      </c>
      <c r="J144" s="9" t="s">
        <v>706</v>
      </c>
      <c r="K144" s="9"/>
      <c r="L144" s="9"/>
      <c r="M144" s="9"/>
      <c r="N144" s="9"/>
    </row>
    <row r="145" spans="1:14" ht="19" x14ac:dyDescent="0.2">
      <c r="A145" s="74"/>
      <c r="B145" s="58"/>
      <c r="C145" s="35"/>
      <c r="D145" s="13"/>
      <c r="E145" s="15"/>
      <c r="F145" s="9"/>
      <c r="G145" s="9"/>
      <c r="H145" s="9"/>
      <c r="I145" s="9">
        <v>133000</v>
      </c>
      <c r="J145" s="9" t="s">
        <v>707</v>
      </c>
      <c r="K145" s="9"/>
      <c r="L145" s="9"/>
      <c r="M145" s="9"/>
      <c r="N145" s="9"/>
    </row>
    <row r="146" spans="1:14" ht="19" x14ac:dyDescent="0.2">
      <c r="A146" s="74"/>
      <c r="B146" s="58"/>
      <c r="C146" s="35"/>
      <c r="D146" s="13"/>
      <c r="E146" s="15"/>
      <c r="F146" s="9"/>
      <c r="G146" s="9"/>
      <c r="H146" s="9"/>
      <c r="I146" s="9">
        <v>177000</v>
      </c>
      <c r="J146" s="9" t="s">
        <v>708</v>
      </c>
      <c r="K146" s="9"/>
      <c r="L146" s="9"/>
      <c r="M146" s="9"/>
      <c r="N146" s="9"/>
    </row>
    <row r="147" spans="1:14" ht="19" x14ac:dyDescent="0.2">
      <c r="A147" s="61">
        <v>465000</v>
      </c>
      <c r="B147" s="75"/>
      <c r="C147" s="2" t="s">
        <v>10</v>
      </c>
      <c r="D147" s="13" t="s">
        <v>565</v>
      </c>
      <c r="E147" s="9">
        <v>411000</v>
      </c>
      <c r="F147" s="9">
        <v>54000</v>
      </c>
      <c r="G147" s="9"/>
      <c r="H147" s="9"/>
      <c r="I147" s="76">
        <v>200000</v>
      </c>
      <c r="J147" s="76" t="s">
        <v>653</v>
      </c>
      <c r="K147" s="9"/>
      <c r="L147" s="9"/>
      <c r="M147" s="9"/>
      <c r="N147" s="9"/>
    </row>
    <row r="148" spans="1:14" ht="19" x14ac:dyDescent="0.2">
      <c r="A148" s="61"/>
      <c r="B148" s="75"/>
      <c r="C148" s="35"/>
      <c r="D148" s="13"/>
      <c r="E148" s="15"/>
      <c r="F148" s="9"/>
      <c r="G148" s="9"/>
      <c r="H148" s="9"/>
      <c r="I148" s="77">
        <v>50000</v>
      </c>
      <c r="J148" s="77" t="s">
        <v>683</v>
      </c>
      <c r="K148" s="9"/>
      <c r="L148" s="9"/>
      <c r="M148" s="9"/>
      <c r="N148" s="9"/>
    </row>
    <row r="149" spans="1:14" ht="19" x14ac:dyDescent="0.2">
      <c r="A149" s="61"/>
      <c r="B149" s="58"/>
      <c r="C149" s="3"/>
      <c r="D149" s="13"/>
      <c r="E149" s="15"/>
      <c r="F149" s="9"/>
      <c r="G149" s="9"/>
      <c r="H149" s="9"/>
      <c r="I149" s="76">
        <v>35000</v>
      </c>
      <c r="J149" s="76" t="s">
        <v>655</v>
      </c>
      <c r="K149" s="9"/>
      <c r="L149" s="9"/>
      <c r="M149" s="9"/>
      <c r="N149" s="9"/>
    </row>
    <row r="150" spans="1:14" ht="19" x14ac:dyDescent="0.2">
      <c r="A150" s="74"/>
      <c r="B150" s="58"/>
      <c r="C150" s="49"/>
      <c r="D150" s="13"/>
      <c r="E150" s="15"/>
      <c r="F150" s="9"/>
      <c r="G150" s="9"/>
      <c r="H150" s="9"/>
      <c r="I150" s="76"/>
      <c r="J150" s="76"/>
      <c r="K150" s="9"/>
      <c r="L150" s="9"/>
      <c r="M150" s="9"/>
      <c r="N150" s="9"/>
    </row>
    <row r="151" spans="1:14" ht="19" x14ac:dyDescent="0.2">
      <c r="A151" s="74"/>
      <c r="B151" s="58"/>
      <c r="C151" s="49"/>
      <c r="D151" s="13"/>
      <c r="E151" s="15"/>
      <c r="F151" s="9"/>
      <c r="G151" s="9"/>
      <c r="H151" s="9"/>
      <c r="I151" s="76"/>
      <c r="J151" s="76"/>
      <c r="K151" s="9"/>
      <c r="L151" s="9"/>
      <c r="M151" s="9"/>
      <c r="N151" s="9"/>
    </row>
    <row r="152" spans="1:14" ht="19" x14ac:dyDescent="0.2">
      <c r="A152" s="61">
        <v>1333000</v>
      </c>
      <c r="B152" s="58">
        <v>44702</v>
      </c>
      <c r="C152" s="2" t="s">
        <v>9</v>
      </c>
      <c r="D152" s="13" t="s">
        <v>405</v>
      </c>
      <c r="E152" s="15">
        <v>1061000</v>
      </c>
      <c r="F152" s="9">
        <v>272000</v>
      </c>
      <c r="G152" s="9"/>
      <c r="H152" s="76"/>
      <c r="I152" s="60"/>
      <c r="J152" s="60"/>
      <c r="K152" s="9"/>
      <c r="L152" s="9"/>
      <c r="M152" s="9"/>
      <c r="N152" s="9"/>
    </row>
    <row r="153" spans="1:14" ht="19" x14ac:dyDescent="0.2">
      <c r="A153" s="61">
        <v>839000</v>
      </c>
      <c r="B153" s="58"/>
      <c r="C153" s="3" t="s">
        <v>10</v>
      </c>
      <c r="D153" s="13" t="s">
        <v>28</v>
      </c>
      <c r="E153" s="15">
        <v>757000</v>
      </c>
      <c r="F153" s="9">
        <v>82000</v>
      </c>
      <c r="G153" s="9"/>
      <c r="H153" s="9"/>
      <c r="I153" s="9"/>
      <c r="J153" s="9"/>
      <c r="K153" s="9"/>
      <c r="L153" s="9"/>
      <c r="M153" s="9"/>
      <c r="N153" s="9"/>
    </row>
    <row r="154" spans="1:14" ht="19" x14ac:dyDescent="0.2">
      <c r="A154" s="61">
        <v>799000</v>
      </c>
      <c r="B154" s="58">
        <v>44703</v>
      </c>
      <c r="C154" s="3" t="s">
        <v>9</v>
      </c>
      <c r="D154" s="13" t="s">
        <v>405</v>
      </c>
      <c r="E154" s="15">
        <v>689000</v>
      </c>
      <c r="F154" s="9">
        <v>110000</v>
      </c>
      <c r="G154" s="9"/>
      <c r="H154" s="47"/>
      <c r="I154" s="9">
        <v>32000</v>
      </c>
      <c r="J154" s="9" t="s">
        <v>640</v>
      </c>
      <c r="K154" s="9"/>
      <c r="L154" s="9"/>
      <c r="M154" s="9"/>
      <c r="N154" s="9"/>
    </row>
    <row r="155" spans="1:14" ht="19" x14ac:dyDescent="0.2">
      <c r="A155" s="74"/>
      <c r="B155" s="58"/>
      <c r="C155" s="49"/>
      <c r="D155" s="13"/>
      <c r="E155" s="15"/>
      <c r="F155" s="9"/>
      <c r="G155" s="9"/>
      <c r="H155" s="60"/>
      <c r="I155" s="9"/>
      <c r="J155" s="9"/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60"/>
      <c r="I156" s="9"/>
      <c r="J156" s="9"/>
      <c r="K156" s="9"/>
      <c r="L156" s="9"/>
      <c r="M156" s="9"/>
      <c r="N156" s="9"/>
    </row>
    <row r="157" spans="1:14" ht="19" x14ac:dyDescent="0.2">
      <c r="A157" s="61">
        <v>1005000</v>
      </c>
      <c r="B157" s="58"/>
      <c r="C157" s="3" t="s">
        <v>10</v>
      </c>
      <c r="D157" s="13" t="s">
        <v>28</v>
      </c>
      <c r="E157" s="15">
        <v>979000</v>
      </c>
      <c r="F157" s="9">
        <v>26000</v>
      </c>
      <c r="G157" s="9"/>
      <c r="H157" s="9"/>
      <c r="I157" s="9">
        <v>50000</v>
      </c>
      <c r="J157" s="9" t="s">
        <v>206</v>
      </c>
      <c r="K157" s="9"/>
      <c r="L157" s="9"/>
      <c r="M157" s="9"/>
      <c r="N157" s="9"/>
    </row>
    <row r="158" spans="1:14" ht="19" x14ac:dyDescent="0.2">
      <c r="A158" s="74"/>
      <c r="B158" s="58"/>
      <c r="C158" s="49"/>
      <c r="D158" s="13"/>
      <c r="E158" s="15"/>
      <c r="F158" s="9"/>
      <c r="G158" s="9"/>
      <c r="H158" s="9"/>
      <c r="I158" s="9">
        <v>8500</v>
      </c>
      <c r="J158" s="9" t="s">
        <v>684</v>
      </c>
      <c r="K158" s="9"/>
      <c r="L158" s="9"/>
      <c r="M158" s="9"/>
      <c r="N158" s="9"/>
    </row>
    <row r="159" spans="1:14" ht="19" x14ac:dyDescent="0.2">
      <c r="A159" s="61">
        <v>809000</v>
      </c>
      <c r="B159" s="58">
        <v>44704</v>
      </c>
      <c r="C159" s="3" t="s">
        <v>9</v>
      </c>
      <c r="D159" s="13" t="s">
        <v>685</v>
      </c>
      <c r="E159" s="15">
        <v>679000</v>
      </c>
      <c r="F159" s="9">
        <v>130000</v>
      </c>
      <c r="G159" s="9"/>
      <c r="H159" s="9"/>
      <c r="I159" s="9">
        <v>440000</v>
      </c>
      <c r="J159" s="9" t="s">
        <v>597</v>
      </c>
      <c r="K159" s="9"/>
      <c r="L159" s="9"/>
      <c r="M159" s="9"/>
      <c r="N159" s="9"/>
    </row>
    <row r="160" spans="1:14" ht="19" x14ac:dyDescent="0.2">
      <c r="A160" s="61"/>
      <c r="B160" s="58"/>
      <c r="C160" s="3"/>
      <c r="D160" s="13"/>
      <c r="E160" s="15"/>
      <c r="F160" s="9"/>
      <c r="G160" s="9"/>
      <c r="H160" s="59"/>
      <c r="I160" s="9"/>
      <c r="J160" s="9"/>
      <c r="K160" s="9"/>
      <c r="L160" s="9"/>
      <c r="M160" s="9"/>
      <c r="N160" s="9"/>
    </row>
    <row r="161" spans="1:14" ht="19" x14ac:dyDescent="0.2">
      <c r="A161" s="61"/>
      <c r="B161" s="58"/>
      <c r="C161" s="3"/>
      <c r="D161" s="13"/>
      <c r="E161" s="15"/>
      <c r="F161" s="9"/>
      <c r="G161" s="9"/>
      <c r="H161" s="59"/>
      <c r="I161" s="9"/>
      <c r="J161" s="9"/>
      <c r="K161" s="9"/>
      <c r="L161" s="9"/>
      <c r="M161" s="9"/>
      <c r="N161" s="9"/>
    </row>
    <row r="162" spans="1:14" ht="19" x14ac:dyDescent="0.2">
      <c r="A162" s="61">
        <v>689000</v>
      </c>
      <c r="B162" s="75"/>
      <c r="C162" s="2" t="s">
        <v>10</v>
      </c>
      <c r="D162" s="13" t="s">
        <v>565</v>
      </c>
      <c r="E162" s="15">
        <v>473000</v>
      </c>
      <c r="F162" s="9">
        <v>216000</v>
      </c>
      <c r="G162" s="9"/>
      <c r="H162" s="77"/>
      <c r="I162" s="9">
        <v>70000</v>
      </c>
      <c r="J162" s="47" t="s">
        <v>686</v>
      </c>
      <c r="K162" s="9"/>
      <c r="L162" s="9"/>
      <c r="M162" s="9"/>
      <c r="N162" s="9"/>
    </row>
    <row r="163" spans="1:14" ht="19" x14ac:dyDescent="0.2">
      <c r="A163" s="61">
        <v>818000</v>
      </c>
      <c r="B163" s="58">
        <v>44705</v>
      </c>
      <c r="C163" s="3" t="s">
        <v>9</v>
      </c>
      <c r="D163" s="13" t="s">
        <v>685</v>
      </c>
      <c r="E163" s="15">
        <v>686000</v>
      </c>
      <c r="F163" s="9">
        <v>132000</v>
      </c>
      <c r="G163" s="9"/>
      <c r="H163" s="9"/>
      <c r="I163" s="9">
        <v>41000</v>
      </c>
      <c r="J163" s="9" t="s">
        <v>687</v>
      </c>
      <c r="K163" s="9"/>
      <c r="L163" s="9"/>
      <c r="M163" s="9"/>
      <c r="N163" s="9"/>
    </row>
    <row r="164" spans="1:14" ht="19" x14ac:dyDescent="0.2">
      <c r="A164" s="74"/>
      <c r="B164" s="58"/>
      <c r="C164" s="49"/>
      <c r="D164" s="13"/>
      <c r="E164" s="15"/>
      <c r="F164" s="9"/>
      <c r="G164" s="9"/>
      <c r="H164" s="9"/>
      <c r="I164" s="76">
        <v>200000</v>
      </c>
      <c r="J164" s="76" t="s">
        <v>653</v>
      </c>
      <c r="K164" s="9"/>
      <c r="L164" s="9"/>
      <c r="M164" s="9"/>
      <c r="N164" s="9"/>
    </row>
    <row r="165" spans="1:14" ht="19" x14ac:dyDescent="0.2">
      <c r="A165" s="74"/>
      <c r="B165" s="58"/>
      <c r="C165" s="49"/>
      <c r="D165" s="13"/>
      <c r="E165" s="15"/>
      <c r="F165" s="9"/>
      <c r="G165" s="9"/>
      <c r="H165" s="9"/>
      <c r="I165" s="77">
        <v>50000</v>
      </c>
      <c r="J165" s="77" t="s">
        <v>683</v>
      </c>
      <c r="K165" s="9"/>
      <c r="L165" s="9"/>
      <c r="M165" s="9"/>
      <c r="N165" s="9"/>
    </row>
    <row r="166" spans="1:14" ht="19" x14ac:dyDescent="0.2">
      <c r="A166" s="74"/>
      <c r="B166" s="58"/>
      <c r="C166" s="49"/>
      <c r="D166" s="13"/>
      <c r="E166" s="15"/>
      <c r="F166" s="9"/>
      <c r="G166" s="9"/>
      <c r="H166" s="9"/>
      <c r="I166" s="76">
        <v>35000</v>
      </c>
      <c r="J166" s="76" t="s">
        <v>655</v>
      </c>
      <c r="K166" s="9"/>
      <c r="L166" s="9"/>
      <c r="M166" s="9"/>
      <c r="N166" s="9"/>
    </row>
    <row r="167" spans="1:14" ht="19" x14ac:dyDescent="0.2">
      <c r="A167" s="74"/>
      <c r="B167" s="58"/>
      <c r="C167" s="49"/>
      <c r="D167" s="13"/>
      <c r="E167" s="15"/>
      <c r="F167" s="9"/>
      <c r="G167" s="9"/>
      <c r="H167" s="9"/>
      <c r="I167" s="76">
        <v>45000</v>
      </c>
      <c r="J167" s="76" t="s">
        <v>688</v>
      </c>
      <c r="K167" s="9"/>
      <c r="L167" s="9"/>
      <c r="M167" s="9"/>
      <c r="N167" s="9"/>
    </row>
    <row r="168" spans="1:14" ht="19" x14ac:dyDescent="0.2">
      <c r="A168" s="74"/>
      <c r="B168" s="58"/>
      <c r="C168" s="49"/>
      <c r="D168" s="13"/>
      <c r="E168" s="15"/>
      <c r="F168" s="9"/>
      <c r="G168" s="9"/>
      <c r="H168" s="9"/>
      <c r="I168" s="76">
        <v>128000</v>
      </c>
      <c r="J168" s="76" t="s">
        <v>615</v>
      </c>
      <c r="K168" s="9"/>
      <c r="L168" s="9"/>
      <c r="M168" s="9"/>
      <c r="N168" s="9"/>
    </row>
    <row r="169" spans="1:14" ht="19" x14ac:dyDescent="0.2">
      <c r="A169" s="61">
        <v>605000</v>
      </c>
      <c r="B169" s="58"/>
      <c r="C169" s="49" t="s">
        <v>10</v>
      </c>
      <c r="D169" s="13" t="s">
        <v>28</v>
      </c>
      <c r="E169" s="15">
        <v>445000</v>
      </c>
      <c r="F169" s="9">
        <v>160000</v>
      </c>
      <c r="G169" s="9"/>
      <c r="H169" s="9"/>
      <c r="I169" s="9"/>
      <c r="J169" s="9"/>
      <c r="K169" s="9"/>
      <c r="L169" s="9"/>
      <c r="M169" s="9"/>
      <c r="N169" s="9"/>
    </row>
    <row r="170" spans="1:14" ht="19" x14ac:dyDescent="0.2">
      <c r="A170" s="74"/>
      <c r="B170" s="58"/>
      <c r="C170" s="49"/>
      <c r="D170" s="13"/>
      <c r="E170" s="15"/>
      <c r="F170" s="9"/>
      <c r="G170" s="9"/>
      <c r="H170" s="9"/>
      <c r="I170" s="9"/>
      <c r="J170" s="9"/>
      <c r="K170" s="9"/>
      <c r="L170" s="9"/>
      <c r="M170" s="9"/>
      <c r="N170" s="9"/>
    </row>
    <row r="171" spans="1:14" ht="19" x14ac:dyDescent="0.2">
      <c r="A171" s="61">
        <v>912000</v>
      </c>
      <c r="B171" s="58">
        <v>44706</v>
      </c>
      <c r="C171" s="49" t="s">
        <v>9</v>
      </c>
      <c r="D171" s="13" t="s">
        <v>405</v>
      </c>
      <c r="E171" s="15">
        <v>763000</v>
      </c>
      <c r="F171" s="9">
        <v>149000</v>
      </c>
      <c r="G171" s="9"/>
      <c r="H171" s="9"/>
      <c r="I171" s="9"/>
      <c r="J171" s="9"/>
      <c r="K171" s="9"/>
      <c r="L171" s="9"/>
      <c r="M171" s="9"/>
      <c r="N171" s="9"/>
    </row>
    <row r="172" spans="1:14" ht="19" x14ac:dyDescent="0.2">
      <c r="A172" s="61"/>
      <c r="B172" s="58"/>
      <c r="C172" s="49"/>
      <c r="D172" s="13"/>
      <c r="E172" s="15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9" x14ac:dyDescent="0.2">
      <c r="A173" s="61"/>
      <c r="B173" s="58"/>
      <c r="C173" s="49"/>
      <c r="D173" s="13"/>
      <c r="E173" s="15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9" x14ac:dyDescent="0.2">
      <c r="A174" s="61"/>
      <c r="B174" s="58"/>
      <c r="C174" s="49"/>
      <c r="D174" s="13"/>
      <c r="E174" s="15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9" x14ac:dyDescent="0.2">
      <c r="A175" s="61">
        <v>1108000</v>
      </c>
      <c r="B175" s="58"/>
      <c r="C175" s="49" t="s">
        <v>10</v>
      </c>
      <c r="D175" s="13" t="s">
        <v>565</v>
      </c>
      <c r="E175" s="15">
        <v>1031000</v>
      </c>
      <c r="F175" s="9">
        <v>77000</v>
      </c>
      <c r="G175" s="9"/>
      <c r="H175" s="9"/>
      <c r="I175" s="9">
        <v>34000</v>
      </c>
      <c r="J175" s="9" t="s">
        <v>689</v>
      </c>
      <c r="K175" s="9"/>
      <c r="L175" s="9"/>
      <c r="M175" s="9"/>
      <c r="N175" s="9"/>
    </row>
    <row r="176" spans="1:14" ht="19" x14ac:dyDescent="0.2">
      <c r="A176" s="79"/>
      <c r="B176" s="75"/>
      <c r="C176" s="35"/>
      <c r="D176" s="13"/>
      <c r="E176" s="15"/>
      <c r="F176" s="9"/>
      <c r="G176" s="9"/>
      <c r="H176" s="9"/>
      <c r="I176" s="9">
        <v>22000</v>
      </c>
      <c r="J176" s="9" t="s">
        <v>690</v>
      </c>
      <c r="K176" s="9"/>
      <c r="L176" s="9"/>
      <c r="M176" s="9"/>
      <c r="N176" s="9"/>
    </row>
    <row r="177" spans="1:14" ht="19" x14ac:dyDescent="0.2">
      <c r="A177" s="61"/>
      <c r="B177" s="75"/>
      <c r="C177" s="2"/>
      <c r="D177" s="13"/>
      <c r="E177" s="15"/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19" x14ac:dyDescent="0.2">
      <c r="A178" s="61">
        <v>778000</v>
      </c>
      <c r="B178" s="58">
        <v>44707</v>
      </c>
      <c r="C178" s="49" t="s">
        <v>9</v>
      </c>
      <c r="D178" s="13" t="s">
        <v>405</v>
      </c>
      <c r="E178" s="15">
        <v>778000</v>
      </c>
      <c r="F178" s="9"/>
      <c r="G178" s="9"/>
      <c r="H178" s="9"/>
      <c r="I178" s="9">
        <v>179000</v>
      </c>
      <c r="J178" s="9" t="s">
        <v>691</v>
      </c>
      <c r="K178" s="9"/>
      <c r="L178" s="9"/>
      <c r="M178" s="9"/>
      <c r="N178" s="9"/>
    </row>
    <row r="179" spans="1:14" ht="19" x14ac:dyDescent="0.2">
      <c r="A179" s="74"/>
      <c r="B179" s="58"/>
      <c r="C179" s="49"/>
      <c r="D179" s="13"/>
      <c r="E179" s="15"/>
      <c r="F179" s="9"/>
      <c r="G179" s="9"/>
      <c r="H179" s="9"/>
      <c r="I179" s="9">
        <v>64000</v>
      </c>
      <c r="J179" s="9" t="s">
        <v>692</v>
      </c>
      <c r="K179" s="9"/>
      <c r="L179" s="9"/>
      <c r="M179" s="9"/>
      <c r="N179" s="9"/>
    </row>
    <row r="180" spans="1:14" ht="19" x14ac:dyDescent="0.2">
      <c r="A180" s="74"/>
      <c r="B180" s="58"/>
      <c r="C180" s="49"/>
      <c r="D180" s="13"/>
      <c r="E180" s="15"/>
      <c r="F180" s="9"/>
      <c r="G180" s="9"/>
      <c r="H180" s="9"/>
      <c r="I180" s="9">
        <v>138000</v>
      </c>
      <c r="J180" s="9" t="s">
        <v>693</v>
      </c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60"/>
      <c r="J181" s="60"/>
      <c r="K181" s="9"/>
      <c r="L181" s="9"/>
      <c r="M181" s="9"/>
      <c r="N181" s="9"/>
    </row>
    <row r="182" spans="1:14" ht="19" x14ac:dyDescent="0.2">
      <c r="A182" s="61">
        <v>1058000</v>
      </c>
      <c r="B182" s="75"/>
      <c r="C182" s="2" t="s">
        <v>10</v>
      </c>
      <c r="D182" s="13" t="s">
        <v>565</v>
      </c>
      <c r="E182" s="15">
        <v>863000</v>
      </c>
      <c r="F182" s="9">
        <v>195000</v>
      </c>
      <c r="G182" s="9"/>
      <c r="H182" s="9"/>
      <c r="I182" s="9">
        <v>30000</v>
      </c>
      <c r="J182" s="47" t="s">
        <v>694</v>
      </c>
      <c r="K182" s="9"/>
      <c r="L182" s="9"/>
      <c r="M182" s="9"/>
      <c r="N182" s="9"/>
    </row>
    <row r="183" spans="1:14" ht="19" x14ac:dyDescent="0.2">
      <c r="A183" s="74"/>
      <c r="B183" s="75"/>
      <c r="C183" s="35"/>
      <c r="D183" s="13"/>
      <c r="E183" s="15"/>
      <c r="F183" s="9"/>
      <c r="G183" s="9"/>
      <c r="H183" s="9"/>
      <c r="I183" s="9"/>
      <c r="J183" s="47"/>
      <c r="K183" s="9"/>
      <c r="L183" s="9"/>
      <c r="M183" s="9"/>
      <c r="N183" s="9"/>
    </row>
    <row r="184" spans="1:14" ht="19" x14ac:dyDescent="0.2">
      <c r="A184" s="61">
        <v>1038000</v>
      </c>
      <c r="B184" s="58">
        <v>44708</v>
      </c>
      <c r="C184" s="3" t="s">
        <v>9</v>
      </c>
      <c r="D184" s="13" t="s">
        <v>405</v>
      </c>
      <c r="E184" s="9">
        <v>998000</v>
      </c>
      <c r="F184" s="9">
        <v>40000</v>
      </c>
      <c r="G184" s="9">
        <v>240000</v>
      </c>
      <c r="H184" s="9" t="s">
        <v>699</v>
      </c>
      <c r="I184" s="9">
        <v>7500</v>
      </c>
      <c r="J184" s="47" t="s">
        <v>695</v>
      </c>
      <c r="K184" s="9"/>
      <c r="L184" s="9"/>
      <c r="M184" s="9"/>
      <c r="N184" s="9"/>
    </row>
    <row r="185" spans="1:14" ht="19" x14ac:dyDescent="0.2">
      <c r="A185" s="74"/>
      <c r="B185" s="58"/>
      <c r="C185" s="49"/>
      <c r="D185" s="13"/>
      <c r="E185" s="15"/>
      <c r="F185" s="9"/>
      <c r="G185" s="9"/>
      <c r="H185" s="9"/>
      <c r="I185" s="9">
        <v>9000</v>
      </c>
      <c r="J185" s="47" t="s">
        <v>696</v>
      </c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9"/>
      <c r="I186" s="9">
        <v>35500</v>
      </c>
      <c r="J186" s="47" t="s">
        <v>697</v>
      </c>
      <c r="K186" s="9"/>
      <c r="L186" s="9"/>
      <c r="M186" s="9"/>
      <c r="N186" s="9"/>
    </row>
    <row r="187" spans="1:14" ht="19" x14ac:dyDescent="0.2">
      <c r="A187" s="74"/>
      <c r="B187" s="58"/>
      <c r="C187" s="49"/>
      <c r="D187" s="13"/>
      <c r="E187" s="15"/>
      <c r="F187" s="9"/>
      <c r="G187" s="9"/>
      <c r="H187" s="9"/>
      <c r="I187" s="9">
        <v>32000</v>
      </c>
      <c r="J187" s="47" t="s">
        <v>640</v>
      </c>
      <c r="K187" s="9"/>
      <c r="L187" s="9"/>
      <c r="M187" s="9"/>
      <c r="N187" s="9"/>
    </row>
    <row r="188" spans="1:14" ht="19" x14ac:dyDescent="0.2">
      <c r="A188" s="74"/>
      <c r="B188" s="58"/>
      <c r="C188" s="49"/>
      <c r="D188" s="13"/>
      <c r="E188" s="15"/>
      <c r="F188" s="9"/>
      <c r="G188" s="9"/>
      <c r="H188" s="9"/>
      <c r="I188" s="9">
        <v>40000</v>
      </c>
      <c r="J188" s="47" t="s">
        <v>700</v>
      </c>
      <c r="K188" s="9"/>
      <c r="L188" s="9"/>
      <c r="M188" s="9"/>
      <c r="N188" s="9"/>
    </row>
    <row r="189" spans="1:14" ht="19" x14ac:dyDescent="0.2">
      <c r="A189" s="61">
        <v>713000</v>
      </c>
      <c r="B189" s="75"/>
      <c r="C189" s="2" t="s">
        <v>10</v>
      </c>
      <c r="D189" s="13" t="s">
        <v>565</v>
      </c>
      <c r="E189" s="9">
        <v>530000</v>
      </c>
      <c r="F189" s="9">
        <v>183000</v>
      </c>
      <c r="G189" s="9"/>
      <c r="H189" s="9"/>
      <c r="I189" s="9">
        <v>300000</v>
      </c>
      <c r="J189" s="9" t="s">
        <v>82</v>
      </c>
      <c r="K189" s="9"/>
      <c r="L189" s="9"/>
      <c r="M189" s="9"/>
      <c r="N189" s="9"/>
    </row>
    <row r="190" spans="1:14" ht="19" x14ac:dyDescent="0.2">
      <c r="A190" s="61">
        <v>577000</v>
      </c>
      <c r="B190" s="58">
        <v>44709</v>
      </c>
      <c r="C190" s="2" t="s">
        <v>9</v>
      </c>
      <c r="D190" s="13" t="s">
        <v>405</v>
      </c>
      <c r="E190" s="15">
        <v>458000</v>
      </c>
      <c r="F190" s="9">
        <v>119000</v>
      </c>
      <c r="G190" s="9"/>
      <c r="H190" s="9"/>
      <c r="I190" s="9">
        <v>620000</v>
      </c>
      <c r="J190" s="47" t="s">
        <v>668</v>
      </c>
      <c r="K190" s="9"/>
      <c r="L190" s="9"/>
      <c r="M190" s="9"/>
      <c r="N190" s="9"/>
    </row>
    <row r="191" spans="1:14" ht="19" x14ac:dyDescent="0.2">
      <c r="A191" s="61"/>
      <c r="B191" s="75"/>
      <c r="C191" s="35"/>
      <c r="D191" s="13"/>
      <c r="E191" s="15"/>
      <c r="F191" s="9"/>
      <c r="G191" s="9"/>
      <c r="H191" s="9"/>
      <c r="I191" s="9">
        <v>310000</v>
      </c>
      <c r="J191" s="47" t="s">
        <v>258</v>
      </c>
      <c r="K191" s="9"/>
      <c r="L191" s="9"/>
      <c r="M191" s="9"/>
      <c r="N191" s="9"/>
    </row>
    <row r="192" spans="1:14" ht="19" x14ac:dyDescent="0.2">
      <c r="A192" s="61"/>
      <c r="B192" s="75"/>
      <c r="C192" s="35"/>
      <c r="D192" s="13"/>
      <c r="E192" s="15"/>
      <c r="F192" s="9"/>
      <c r="G192" s="9"/>
      <c r="H192" s="9"/>
      <c r="I192" s="9">
        <v>90000</v>
      </c>
      <c r="J192" s="9" t="s">
        <v>701</v>
      </c>
      <c r="K192" s="9"/>
      <c r="L192" s="9"/>
      <c r="M192" s="9"/>
      <c r="N192" s="9"/>
    </row>
    <row r="193" spans="1:14" ht="19" x14ac:dyDescent="0.2">
      <c r="A193" s="61"/>
      <c r="B193" s="75"/>
      <c r="C193" s="35"/>
      <c r="D193" s="13"/>
      <c r="E193" s="15"/>
      <c r="F193" s="9"/>
      <c r="G193" s="9"/>
      <c r="H193" s="9"/>
      <c r="I193" s="9"/>
      <c r="J193" s="9"/>
      <c r="K193" s="9"/>
      <c r="L193" s="9"/>
      <c r="M193" s="9"/>
      <c r="N193" s="9"/>
    </row>
    <row r="194" spans="1:14" ht="19" x14ac:dyDescent="0.2">
      <c r="A194" s="61"/>
      <c r="B194" s="75"/>
      <c r="C194" s="35"/>
      <c r="D194" s="13"/>
      <c r="E194" s="15"/>
      <c r="F194" s="9"/>
      <c r="G194" s="9"/>
      <c r="H194" s="9"/>
      <c r="I194" s="9"/>
      <c r="J194" s="9"/>
      <c r="K194" s="9"/>
      <c r="L194" s="9"/>
      <c r="M194" s="9"/>
      <c r="N194" s="9"/>
    </row>
    <row r="195" spans="1:14" ht="19" x14ac:dyDescent="0.2">
      <c r="A195" s="61">
        <v>685000</v>
      </c>
      <c r="B195" s="58"/>
      <c r="C195" s="49" t="s">
        <v>10</v>
      </c>
      <c r="D195" s="13" t="s">
        <v>565</v>
      </c>
      <c r="E195" s="15">
        <v>589000</v>
      </c>
      <c r="F195" s="9">
        <v>96000</v>
      </c>
      <c r="G195" s="9"/>
      <c r="H195" s="9"/>
      <c r="I195" s="60"/>
      <c r="J195" s="60"/>
      <c r="K195" s="9"/>
      <c r="L195" s="9"/>
      <c r="M195" s="9"/>
      <c r="N195" s="9"/>
    </row>
    <row r="196" spans="1:14" ht="19" x14ac:dyDescent="0.2">
      <c r="A196" s="61"/>
      <c r="B196" s="58"/>
      <c r="C196" s="49"/>
      <c r="D196" s="13"/>
      <c r="E196" s="15"/>
      <c r="F196" s="9"/>
      <c r="G196" s="9"/>
      <c r="H196" s="9"/>
      <c r="I196" s="9"/>
      <c r="J196" s="9"/>
      <c r="K196" s="9"/>
      <c r="L196" s="9"/>
      <c r="M196" s="9"/>
      <c r="N196" s="9"/>
    </row>
    <row r="197" spans="1:14" ht="19" x14ac:dyDescent="0.2">
      <c r="A197" s="61">
        <v>629000</v>
      </c>
      <c r="B197" s="58">
        <v>44710</v>
      </c>
      <c r="C197" s="49" t="s">
        <v>9</v>
      </c>
      <c r="D197" s="13" t="s">
        <v>405</v>
      </c>
      <c r="E197" s="15">
        <v>581000</v>
      </c>
      <c r="F197" s="9">
        <v>48000</v>
      </c>
      <c r="G197" s="9"/>
      <c r="H197" s="9"/>
      <c r="I197" s="9">
        <v>128000</v>
      </c>
      <c r="J197" s="9" t="s">
        <v>615</v>
      </c>
      <c r="K197" s="9"/>
      <c r="L197" s="9"/>
      <c r="M197" s="9"/>
      <c r="N197" s="9"/>
    </row>
    <row r="198" spans="1:14" ht="19" x14ac:dyDescent="0.2">
      <c r="A198" s="61"/>
      <c r="B198" s="58"/>
      <c r="C198" s="49"/>
      <c r="D198" s="13"/>
      <c r="E198" s="15"/>
      <c r="F198" s="9"/>
      <c r="G198" s="9"/>
      <c r="H198" s="9"/>
      <c r="I198" s="9">
        <v>70000</v>
      </c>
      <c r="J198" s="9" t="s">
        <v>651</v>
      </c>
      <c r="K198" s="9"/>
      <c r="L198" s="9"/>
      <c r="M198" s="9"/>
      <c r="N198" s="9"/>
    </row>
    <row r="199" spans="1:14" ht="19" x14ac:dyDescent="0.2">
      <c r="A199" s="61"/>
      <c r="B199" s="58"/>
      <c r="C199" s="49"/>
      <c r="D199" s="13"/>
      <c r="E199" s="15"/>
      <c r="F199" s="9"/>
      <c r="G199" s="9"/>
      <c r="H199" s="9"/>
      <c r="I199" s="9">
        <v>45000</v>
      </c>
      <c r="J199" s="9" t="s">
        <v>617</v>
      </c>
      <c r="K199" s="9"/>
      <c r="L199" s="9"/>
      <c r="M199" s="9"/>
      <c r="N199" s="9"/>
    </row>
    <row r="200" spans="1:14" ht="19" x14ac:dyDescent="0.2">
      <c r="A200" s="74"/>
      <c r="B200" s="58"/>
      <c r="C200" s="49"/>
      <c r="D200" s="13"/>
      <c r="E200" s="15"/>
      <c r="F200" s="9"/>
      <c r="G200" s="9"/>
      <c r="H200" s="9"/>
      <c r="I200" s="9">
        <v>20000</v>
      </c>
      <c r="J200" s="9" t="s">
        <v>672</v>
      </c>
      <c r="K200" s="9"/>
      <c r="L200" s="9"/>
      <c r="M200" s="9"/>
      <c r="N200" s="9"/>
    </row>
    <row r="201" spans="1:14" ht="19" x14ac:dyDescent="0.2">
      <c r="A201" s="61">
        <v>805000</v>
      </c>
      <c r="B201" s="58"/>
      <c r="C201" s="49" t="s">
        <v>10</v>
      </c>
      <c r="D201" s="13" t="s">
        <v>565</v>
      </c>
      <c r="E201" s="15">
        <v>641000</v>
      </c>
      <c r="F201" s="9">
        <v>164000</v>
      </c>
      <c r="G201" s="9"/>
      <c r="H201" s="9"/>
      <c r="I201" s="9">
        <v>50000</v>
      </c>
      <c r="J201" s="9" t="s">
        <v>206</v>
      </c>
      <c r="K201" s="9"/>
      <c r="L201" s="9"/>
      <c r="M201" s="9"/>
      <c r="N201" s="9"/>
    </row>
    <row r="202" spans="1:14" ht="19" x14ac:dyDescent="0.2">
      <c r="A202" s="61">
        <v>722000</v>
      </c>
      <c r="B202" s="58">
        <v>44711</v>
      </c>
      <c r="C202" s="2" t="s">
        <v>9</v>
      </c>
      <c r="D202" s="13" t="s">
        <v>405</v>
      </c>
      <c r="E202" s="15">
        <v>677000</v>
      </c>
      <c r="F202" s="9">
        <v>45000</v>
      </c>
      <c r="G202" s="9"/>
      <c r="H202" s="47"/>
      <c r="I202" s="9">
        <v>6000</v>
      </c>
      <c r="J202" s="9" t="s">
        <v>702</v>
      </c>
      <c r="K202" s="9"/>
      <c r="L202" s="9"/>
      <c r="M202" s="9"/>
      <c r="N202" s="9"/>
    </row>
    <row r="203" spans="1:14" ht="19" x14ac:dyDescent="0.2">
      <c r="A203" s="61"/>
      <c r="B203" s="75"/>
      <c r="C203" s="35"/>
      <c r="D203" s="13"/>
      <c r="E203" s="15"/>
      <c r="F203" s="9"/>
      <c r="G203" s="9"/>
      <c r="H203" s="9"/>
      <c r="I203" s="9">
        <v>124500</v>
      </c>
      <c r="J203" s="9" t="s">
        <v>703</v>
      </c>
      <c r="K203" s="9"/>
      <c r="L203" s="9"/>
      <c r="M203" s="9"/>
      <c r="N203" s="9"/>
    </row>
    <row r="204" spans="1:14" ht="19" x14ac:dyDescent="0.2">
      <c r="A204" s="74"/>
      <c r="B204" s="75"/>
      <c r="C204" s="35"/>
      <c r="D204" s="13"/>
      <c r="E204" s="15"/>
      <c r="F204" s="9"/>
      <c r="G204" s="9"/>
      <c r="H204" s="9"/>
      <c r="I204" s="9">
        <v>16000</v>
      </c>
      <c r="J204" s="9" t="s">
        <v>297</v>
      </c>
      <c r="K204" s="9"/>
      <c r="L204" s="9"/>
      <c r="M204" s="9"/>
      <c r="N204" s="9"/>
    </row>
    <row r="205" spans="1:14" ht="19" x14ac:dyDescent="0.2">
      <c r="A205" s="61">
        <v>488000</v>
      </c>
      <c r="B205" s="75"/>
      <c r="C205" s="35" t="s">
        <v>10</v>
      </c>
      <c r="D205" s="13" t="s">
        <v>565</v>
      </c>
      <c r="E205" s="15">
        <v>454000</v>
      </c>
      <c r="F205" s="9">
        <v>34000</v>
      </c>
      <c r="G205" s="9"/>
      <c r="H205" s="47"/>
      <c r="I205" s="9">
        <v>29500</v>
      </c>
      <c r="J205" s="9" t="s">
        <v>704</v>
      </c>
      <c r="K205" s="9"/>
      <c r="L205" s="9"/>
      <c r="M205" s="9"/>
      <c r="N205" s="9"/>
    </row>
    <row r="206" spans="1:14" ht="19" x14ac:dyDescent="0.2">
      <c r="A206" s="61"/>
      <c r="B206" s="58"/>
      <c r="C206" s="35"/>
      <c r="D206" s="13"/>
      <c r="E206" s="15"/>
      <c r="F206" s="9"/>
      <c r="G206" s="9"/>
      <c r="H206" s="9"/>
      <c r="I206" s="9"/>
      <c r="J206" s="9"/>
      <c r="K206" s="9"/>
      <c r="L206" s="9"/>
      <c r="M206" s="9"/>
      <c r="N206" s="9"/>
    </row>
    <row r="207" spans="1:14" ht="19" x14ac:dyDescent="0.2">
      <c r="A207" s="61">
        <v>981000</v>
      </c>
      <c r="B207" s="58">
        <v>44712</v>
      </c>
      <c r="C207" s="35" t="s">
        <v>440</v>
      </c>
      <c r="D207" s="13" t="s">
        <v>405</v>
      </c>
      <c r="E207" s="15">
        <v>827000</v>
      </c>
      <c r="F207" s="9">
        <v>154000</v>
      </c>
      <c r="G207" s="9">
        <v>2654000</v>
      </c>
      <c r="H207" s="9" t="s">
        <v>677</v>
      </c>
      <c r="I207" s="9"/>
      <c r="J207" s="9"/>
      <c r="K207" s="9"/>
      <c r="L207" s="9"/>
      <c r="M207" s="9"/>
      <c r="N207" s="9"/>
    </row>
    <row r="208" spans="1:14" ht="19" x14ac:dyDescent="0.2">
      <c r="A208" s="61"/>
      <c r="B208" s="75"/>
      <c r="C208" s="35"/>
      <c r="D208" s="13"/>
      <c r="E208" s="15"/>
      <c r="F208" s="9"/>
      <c r="G208" s="9"/>
      <c r="H208" s="9"/>
      <c r="I208" s="9"/>
      <c r="J208" s="9"/>
      <c r="K208" s="9"/>
      <c r="L208" s="9"/>
      <c r="M208" s="10"/>
      <c r="N208" s="10"/>
    </row>
    <row r="209" spans="1:14" ht="19" x14ac:dyDescent="0.2">
      <c r="A209" s="61">
        <v>886000</v>
      </c>
      <c r="B209" s="75"/>
      <c r="C209" s="35" t="s">
        <v>363</v>
      </c>
      <c r="D209" s="13" t="s">
        <v>565</v>
      </c>
      <c r="E209" s="15">
        <v>763000</v>
      </c>
      <c r="F209" s="9">
        <v>123000</v>
      </c>
      <c r="G209" s="9"/>
      <c r="H209" s="9"/>
      <c r="I209" s="9"/>
      <c r="J209" s="9"/>
      <c r="K209" s="9"/>
      <c r="L209" s="9"/>
      <c r="M209" s="10"/>
      <c r="N209" s="10"/>
    </row>
    <row r="210" spans="1:14" ht="19" x14ac:dyDescent="0.2">
      <c r="A210" s="61"/>
      <c r="B210" s="75"/>
      <c r="C210" s="35"/>
      <c r="D210" s="13"/>
      <c r="E210" s="15"/>
      <c r="F210" s="9"/>
      <c r="G210" s="9">
        <v>2746000</v>
      </c>
      <c r="H210" s="9" t="s">
        <v>622</v>
      </c>
      <c r="I210" s="9"/>
      <c r="J210" s="9"/>
      <c r="K210" s="9"/>
      <c r="L210" s="9"/>
      <c r="M210" s="10"/>
      <c r="N210" s="10"/>
    </row>
    <row r="211" spans="1:14" ht="19" x14ac:dyDescent="0.2">
      <c r="A211" s="61"/>
      <c r="B211" s="75"/>
      <c r="C211" s="35"/>
      <c r="D211" s="13"/>
      <c r="E211" s="15"/>
      <c r="F211" s="9"/>
      <c r="G211" s="9">
        <v>1440000</v>
      </c>
      <c r="H211" s="9" t="s">
        <v>709</v>
      </c>
      <c r="I211" s="9"/>
      <c r="J211" s="9"/>
      <c r="K211" s="9"/>
      <c r="L211" s="9"/>
      <c r="M211" s="10"/>
      <c r="N211" s="10"/>
    </row>
    <row r="212" spans="1:14" ht="19" x14ac:dyDescent="0.2">
      <c r="A212" s="61"/>
      <c r="B212" s="75"/>
      <c r="C212" s="35"/>
      <c r="D212" s="13"/>
      <c r="E212" s="15"/>
      <c r="F212" s="9"/>
      <c r="G212" s="9">
        <v>1560000</v>
      </c>
      <c r="H212" s="9" t="s">
        <v>710</v>
      </c>
      <c r="I212" s="9"/>
      <c r="J212" s="9"/>
      <c r="K212" s="9"/>
      <c r="L212" s="9"/>
      <c r="M212" s="10"/>
      <c r="N212" s="10"/>
    </row>
    <row r="213" spans="1:14" ht="19" x14ac:dyDescent="0.2">
      <c r="A213" s="61"/>
      <c r="B213" s="75"/>
      <c r="C213" s="35"/>
      <c r="D213" s="13"/>
      <c r="E213" s="15"/>
      <c r="F213" s="9"/>
      <c r="G213" s="9">
        <v>600000</v>
      </c>
      <c r="H213" s="9" t="s">
        <v>711</v>
      </c>
      <c r="I213" s="9"/>
      <c r="J213" s="9"/>
      <c r="K213" s="9"/>
      <c r="L213" s="9"/>
      <c r="M213" s="10"/>
      <c r="N213" s="10"/>
    </row>
    <row r="214" spans="1:14" ht="19" x14ac:dyDescent="0.2">
      <c r="A214" s="61"/>
      <c r="B214" s="75"/>
      <c r="C214" s="35"/>
      <c r="D214" s="13"/>
      <c r="E214" s="15"/>
      <c r="F214" s="9"/>
      <c r="G214" s="9">
        <v>1000000</v>
      </c>
      <c r="H214" s="9" t="s">
        <v>717</v>
      </c>
      <c r="I214" s="9"/>
      <c r="J214" s="9"/>
      <c r="K214" s="9"/>
      <c r="L214" s="9"/>
      <c r="M214" s="10"/>
      <c r="N214" s="10"/>
    </row>
    <row r="215" spans="1:14" ht="19" x14ac:dyDescent="0.2">
      <c r="A215" s="80"/>
      <c r="B215" s="81"/>
      <c r="C215" s="82"/>
      <c r="D215" s="83"/>
      <c r="E215" s="84"/>
      <c r="F215" s="10"/>
      <c r="G215" s="10"/>
      <c r="H215" s="10"/>
      <c r="I215" s="10"/>
      <c r="J215" s="10"/>
      <c r="K215" s="10"/>
      <c r="L215" s="10"/>
      <c r="M215" s="10"/>
      <c r="N215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N199"/>
  <sheetViews>
    <sheetView zoomScaleNormal="150" zoomScaleSheetLayoutView="100" workbookViewId="0">
      <selection activeCell="C50" sqref="C50"/>
    </sheetView>
  </sheetViews>
  <sheetFormatPr baseColWidth="10" defaultColWidth="8.83203125" defaultRowHeight="15" x14ac:dyDescent="0.2"/>
  <cols>
    <col min="1" max="1" width="22.1640625" bestFit="1" customWidth="1"/>
    <col min="2" max="2" width="9.33203125" bestFit="1" customWidth="1"/>
    <col min="3" max="3" width="14" bestFit="1" customWidth="1"/>
    <col min="4" max="4" width="11" bestFit="1" customWidth="1"/>
    <col min="5" max="5" width="22.1640625" bestFit="1" customWidth="1"/>
    <col min="6" max="6" width="20.83203125" bestFit="1" customWidth="1"/>
    <col min="7" max="7" width="22.1640625" bestFit="1" customWidth="1"/>
    <col min="8" max="8" width="45" customWidth="1"/>
    <col min="9" max="9" width="23.6640625" bestFit="1" customWidth="1"/>
    <col min="10" max="10" width="43.83203125" bestFit="1" customWidth="1"/>
    <col min="11" max="11" width="18.83203125" bestFit="1" customWidth="1"/>
    <col min="12" max="12" width="21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v>0.4</v>
      </c>
    </row>
    <row r="4" spans="1:14" ht="21" x14ac:dyDescent="0.2">
      <c r="F4" s="306" t="s">
        <v>516</v>
      </c>
      <c r="G4" s="307"/>
      <c r="H4" s="71" t="s">
        <v>175</v>
      </c>
      <c r="I4" s="71">
        <v>10654000</v>
      </c>
      <c r="J4" s="72">
        <f>I4/10820</f>
        <v>984.65804066543433</v>
      </c>
      <c r="K4" t="s">
        <v>786</v>
      </c>
    </row>
    <row r="5" spans="1:14" ht="21" x14ac:dyDescent="0.2">
      <c r="G5" s="73"/>
      <c r="H5" s="71" t="s">
        <v>176</v>
      </c>
      <c r="I5" s="71">
        <v>4566000</v>
      </c>
      <c r="J5" s="72">
        <f>I5/10820</f>
        <v>421.996303142329</v>
      </c>
      <c r="K5" t="s">
        <v>787</v>
      </c>
    </row>
    <row r="6" spans="1:14" ht="21" x14ac:dyDescent="0.25">
      <c r="G6" s="73"/>
      <c r="H6" s="71" t="s">
        <v>178</v>
      </c>
      <c r="I6" s="71">
        <v>11551209</v>
      </c>
      <c r="J6" s="72" t="s">
        <v>790</v>
      </c>
      <c r="K6" s="88" t="s">
        <v>788</v>
      </c>
      <c r="L6" s="85"/>
      <c r="M6" s="85"/>
    </row>
    <row r="7" spans="1:14" ht="21" x14ac:dyDescent="0.25">
      <c r="K7" s="87" t="s">
        <v>789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SUM(A11:A198)</f>
        <v>43283000</v>
      </c>
      <c r="B10" s="65"/>
      <c r="C10" s="66" t="s">
        <v>13</v>
      </c>
      <c r="D10" s="67"/>
      <c r="E10" s="68">
        <f>SUM(E11:E198)</f>
        <v>36455000</v>
      </c>
      <c r="F10" s="69">
        <f>SUM(F11:F198)</f>
        <v>6828000</v>
      </c>
      <c r="G10" s="69">
        <f>SUM(G11:G198)</f>
        <v>23503000</v>
      </c>
      <c r="H10" s="69"/>
      <c r="I10" s="69">
        <f>SUM(I11:I198)</f>
        <v>7227000</v>
      </c>
      <c r="J10" s="69"/>
      <c r="K10" s="69">
        <f>SUBTOTAL(109,K11:K186)</f>
        <v>0</v>
      </c>
      <c r="L10" s="69"/>
      <c r="M10" s="8"/>
      <c r="N10" s="8"/>
    </row>
    <row r="11" spans="1:14" ht="19" x14ac:dyDescent="0.2">
      <c r="A11" s="61">
        <v>1440000</v>
      </c>
      <c r="B11" s="58">
        <v>44713</v>
      </c>
      <c r="C11" s="3" t="s">
        <v>440</v>
      </c>
      <c r="D11" s="13" t="s">
        <v>405</v>
      </c>
      <c r="E11" s="9">
        <v>1187000</v>
      </c>
      <c r="F11" s="9">
        <v>253000</v>
      </c>
      <c r="G11" s="9"/>
      <c r="H11" s="9"/>
      <c r="I11" s="9">
        <v>31000</v>
      </c>
      <c r="J11" s="9" t="s">
        <v>640</v>
      </c>
      <c r="K11" s="9"/>
      <c r="L11" s="9"/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/>
      <c r="H12" s="9"/>
      <c r="I12" s="9">
        <v>34000</v>
      </c>
      <c r="J12" s="9" t="s">
        <v>712</v>
      </c>
      <c r="K12" s="9"/>
      <c r="L12" s="9"/>
      <c r="M12" s="9"/>
      <c r="N12" s="9"/>
    </row>
    <row r="13" spans="1:14" ht="19" x14ac:dyDescent="0.2">
      <c r="A13" s="74"/>
      <c r="B13" s="58"/>
      <c r="C13" s="49"/>
      <c r="D13" s="13"/>
      <c r="E13" s="15"/>
      <c r="F13" s="9"/>
      <c r="G13" s="9"/>
      <c r="H13" s="9"/>
      <c r="I13" s="9">
        <v>7000</v>
      </c>
      <c r="J13" s="9" t="s">
        <v>713</v>
      </c>
      <c r="K13" s="9">
        <f>SUBTOTAL(109,K27:K189)</f>
        <v>0</v>
      </c>
      <c r="L13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-7000</v>
      </c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>
        <v>20500</v>
      </c>
      <c r="J14" s="9" t="s">
        <v>714</v>
      </c>
      <c r="K14" s="9"/>
      <c r="L14" s="9"/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>
        <v>26500</v>
      </c>
      <c r="J15" s="9" t="s">
        <v>715</v>
      </c>
      <c r="K15" s="9">
        <f>SUBTOTAL(109,K29:K191)</f>
        <v>0</v>
      </c>
      <c r="L15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-26500</v>
      </c>
      <c r="M15" s="9"/>
      <c r="N15" s="9"/>
    </row>
    <row r="16" spans="1:14" ht="19" x14ac:dyDescent="0.2">
      <c r="A16" s="74"/>
      <c r="B16" s="58"/>
      <c r="C16" s="49"/>
      <c r="D16" s="13"/>
      <c r="E16" s="15"/>
      <c r="F16" s="9"/>
      <c r="G16" s="9"/>
      <c r="H16" s="9"/>
      <c r="I16" s="9">
        <v>40000</v>
      </c>
      <c r="J16" s="9" t="s">
        <v>716</v>
      </c>
      <c r="K16" s="9">
        <f>SUBTOTAL(109,K29:K191)</f>
        <v>0</v>
      </c>
      <c r="L16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-40000</v>
      </c>
      <c r="M16" s="9"/>
      <c r="N16" s="9"/>
    </row>
    <row r="17" spans="1:14" ht="19" x14ac:dyDescent="0.2">
      <c r="A17" s="74">
        <v>1016000</v>
      </c>
      <c r="B17" s="58"/>
      <c r="C17" s="49" t="s">
        <v>363</v>
      </c>
      <c r="D17" s="13" t="s">
        <v>565</v>
      </c>
      <c r="E17" s="15">
        <v>918000</v>
      </c>
      <c r="F17" s="9">
        <v>98000</v>
      </c>
      <c r="G17" s="9"/>
      <c r="H17" s="9"/>
      <c r="I17" s="9"/>
      <c r="J17" s="9"/>
      <c r="K17" s="9">
        <f>SUBTOTAL(109,K29:K191)</f>
        <v>0</v>
      </c>
      <c r="L17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1016000</v>
      </c>
      <c r="M17" s="9"/>
      <c r="N17" s="9"/>
    </row>
    <row r="18" spans="1:14" ht="19" x14ac:dyDescent="0.2">
      <c r="A18" s="74"/>
      <c r="B18" s="58"/>
      <c r="C18" s="49"/>
      <c r="D18" s="13"/>
      <c r="E18" s="15"/>
      <c r="F18" s="9"/>
      <c r="G18" s="9"/>
      <c r="H18" s="9"/>
      <c r="I18" s="9"/>
      <c r="J18" s="9"/>
      <c r="K18" s="9">
        <f>SUBTOTAL(109,K29:K191)</f>
        <v>0</v>
      </c>
      <c r="L18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0</v>
      </c>
      <c r="M18" s="9"/>
      <c r="N18" s="9"/>
    </row>
    <row r="19" spans="1:14" ht="19" x14ac:dyDescent="0.2">
      <c r="A19" s="61">
        <v>1078000</v>
      </c>
      <c r="B19" s="58">
        <v>44653</v>
      </c>
      <c r="C19" s="35" t="s">
        <v>9</v>
      </c>
      <c r="D19" s="13" t="s">
        <v>405</v>
      </c>
      <c r="E19" s="15">
        <v>842000</v>
      </c>
      <c r="F19" s="9">
        <v>236000</v>
      </c>
      <c r="G19" s="60"/>
      <c r="H19" s="60"/>
      <c r="I19" s="9">
        <v>41000</v>
      </c>
      <c r="J19" s="9" t="s">
        <v>666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27000</v>
      </c>
      <c r="J20" s="9" t="s">
        <v>718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>
        <v>17500</v>
      </c>
      <c r="J21" s="9" t="s">
        <v>719</v>
      </c>
      <c r="K21" s="9">
        <f>SUBTOTAL(109,K35:K197)</f>
        <v>0</v>
      </c>
      <c r="L21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-17500</v>
      </c>
      <c r="M21" s="9"/>
      <c r="N21" s="9"/>
    </row>
    <row r="22" spans="1:14" ht="19" x14ac:dyDescent="0.2">
      <c r="A22" s="74"/>
      <c r="B22" s="58"/>
      <c r="C22" s="35"/>
      <c r="D22" s="13"/>
      <c r="E22" s="15"/>
      <c r="F22" s="9"/>
      <c r="G22" s="9"/>
      <c r="H22" s="9"/>
      <c r="I22" s="9">
        <v>19000</v>
      </c>
      <c r="J22" s="9" t="s">
        <v>720</v>
      </c>
      <c r="K22" s="9">
        <f>SUBTOTAL(109,K35:K198)</f>
        <v>0</v>
      </c>
      <c r="L22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-19000</v>
      </c>
      <c r="M22" s="9"/>
      <c r="N22" s="9"/>
    </row>
    <row r="23" spans="1:14" ht="19" x14ac:dyDescent="0.2">
      <c r="A23" s="74"/>
      <c r="B23" s="58"/>
      <c r="C23" s="35"/>
      <c r="D23" s="13"/>
      <c r="E23" s="15"/>
      <c r="F23" s="9"/>
      <c r="G23" s="9"/>
      <c r="H23" s="9"/>
      <c r="I23" s="9">
        <v>200000</v>
      </c>
      <c r="J23" s="9" t="s">
        <v>653</v>
      </c>
      <c r="K23" s="9">
        <f>SUBTOTAL(109,K32:K199)</f>
        <v>0</v>
      </c>
      <c r="L23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-200000</v>
      </c>
      <c r="M23" s="9"/>
      <c r="N23" s="9"/>
    </row>
    <row r="24" spans="1:14" ht="19" x14ac:dyDescent="0.2">
      <c r="A24" s="74"/>
      <c r="B24" s="58"/>
      <c r="C24" s="35"/>
      <c r="D24" s="13"/>
      <c r="E24" s="15"/>
      <c r="F24" s="9"/>
      <c r="G24" s="9"/>
      <c r="H24" s="9"/>
      <c r="I24" s="9">
        <v>50000</v>
      </c>
      <c r="J24" s="9" t="s">
        <v>721</v>
      </c>
      <c r="K24" s="9">
        <f>SUBTOTAL(109,K33:K199)</f>
        <v>0</v>
      </c>
      <c r="L24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-50000</v>
      </c>
      <c r="M24" s="9"/>
      <c r="N24" s="9"/>
    </row>
    <row r="25" spans="1:14" ht="19" x14ac:dyDescent="0.2">
      <c r="A25" s="74"/>
      <c r="B25" s="58"/>
      <c r="C25" s="35"/>
      <c r="D25" s="13"/>
      <c r="E25" s="15"/>
      <c r="F25" s="9"/>
      <c r="G25" s="9"/>
      <c r="H25" s="9"/>
      <c r="I25" s="60"/>
      <c r="J25" s="60"/>
      <c r="K25" s="9">
        <f>SUBTOTAL(109,K35:K199)</f>
        <v>0</v>
      </c>
      <c r="L25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0</v>
      </c>
      <c r="M25" s="9"/>
      <c r="N25" s="9"/>
    </row>
    <row r="26" spans="1:14" ht="19" x14ac:dyDescent="0.2">
      <c r="A26" s="61">
        <v>753000</v>
      </c>
      <c r="B26" s="58"/>
      <c r="C26" s="3" t="s">
        <v>10</v>
      </c>
      <c r="D26" s="13" t="s">
        <v>565</v>
      </c>
      <c r="E26" s="9">
        <v>682000</v>
      </c>
      <c r="F26" s="9">
        <v>71000</v>
      </c>
      <c r="G26" s="9"/>
      <c r="H26" s="9"/>
      <c r="I26" s="9">
        <v>32000</v>
      </c>
      <c r="J26" s="9" t="s">
        <v>722</v>
      </c>
      <c r="K26" s="9"/>
      <c r="L26" s="9"/>
      <c r="M26" s="9"/>
      <c r="N26" s="9"/>
    </row>
    <row r="27" spans="1:14" ht="19" x14ac:dyDescent="0.2">
      <c r="A27" s="61">
        <v>1063000</v>
      </c>
      <c r="B27" s="58">
        <v>44654</v>
      </c>
      <c r="C27" s="49" t="s">
        <v>9</v>
      </c>
      <c r="D27" s="13" t="s">
        <v>405</v>
      </c>
      <c r="E27" s="15">
        <v>687000</v>
      </c>
      <c r="F27" s="9">
        <v>376000</v>
      </c>
      <c r="G27" s="9"/>
      <c r="H27" s="9"/>
      <c r="I27" s="9"/>
      <c r="J27" s="9"/>
      <c r="K27" s="9"/>
      <c r="L27" s="9"/>
      <c r="M27" s="9"/>
      <c r="N27" s="9"/>
    </row>
    <row r="28" spans="1:14" ht="19" x14ac:dyDescent="0.2">
      <c r="A28" s="74"/>
      <c r="B28" s="58"/>
      <c r="C28" s="49"/>
      <c r="D28" s="13"/>
      <c r="E28" s="15"/>
      <c r="F28" s="9"/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61">
        <v>502000</v>
      </c>
      <c r="B29" s="58"/>
      <c r="C29" s="3" t="s">
        <v>10</v>
      </c>
      <c r="D29" s="13" t="s">
        <v>565</v>
      </c>
      <c r="E29" s="9">
        <v>502000</v>
      </c>
      <c r="F29" s="9"/>
      <c r="G29" s="9"/>
      <c r="H29" s="9"/>
      <c r="I29" s="9"/>
      <c r="J29" s="9"/>
      <c r="K29" s="9"/>
      <c r="L29" s="9"/>
      <c r="M29" s="9"/>
      <c r="N29" s="9"/>
    </row>
    <row r="30" spans="1:14" ht="19" x14ac:dyDescent="0.2">
      <c r="A30" s="61">
        <v>906000</v>
      </c>
      <c r="B30" s="58">
        <v>44655</v>
      </c>
      <c r="C30" s="49" t="s">
        <v>9</v>
      </c>
      <c r="D30" s="13" t="s">
        <v>405</v>
      </c>
      <c r="E30" s="15">
        <v>888000</v>
      </c>
      <c r="F30" s="9">
        <v>18000</v>
      </c>
      <c r="G30" s="9"/>
      <c r="H30" s="9"/>
      <c r="I30" s="9">
        <v>28500</v>
      </c>
      <c r="J30" s="9" t="s">
        <v>640</v>
      </c>
      <c r="K30" s="9"/>
      <c r="L30" s="9"/>
      <c r="M30" s="9"/>
      <c r="N30" s="9"/>
    </row>
    <row r="31" spans="1:14" ht="19" x14ac:dyDescent="0.2">
      <c r="A31" s="61"/>
      <c r="B31" s="75"/>
      <c r="C31" s="2"/>
      <c r="D31" s="13"/>
      <c r="E31" s="9"/>
      <c r="F31" s="9"/>
      <c r="G31" s="9"/>
      <c r="H31" s="9"/>
      <c r="I31" s="9">
        <v>18500</v>
      </c>
      <c r="J31" s="9" t="s">
        <v>690</v>
      </c>
      <c r="K31" s="9"/>
      <c r="L31" s="9"/>
      <c r="M31" s="9"/>
      <c r="N31" s="9"/>
    </row>
    <row r="32" spans="1:14" ht="19" x14ac:dyDescent="0.2">
      <c r="A32" s="74"/>
      <c r="B32" s="32"/>
      <c r="C32" s="3"/>
      <c r="D32" s="13"/>
      <c r="E32" s="9"/>
      <c r="F32" s="9"/>
      <c r="G32" s="9"/>
      <c r="H32" s="9"/>
      <c r="I32" s="9">
        <v>39000</v>
      </c>
      <c r="J32" s="9" t="s">
        <v>723</v>
      </c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>
        <v>27000</v>
      </c>
      <c r="J33" s="9" t="s">
        <v>724</v>
      </c>
      <c r="K33" s="9"/>
      <c r="L33" s="9"/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/>
      <c r="H34" s="9"/>
      <c r="I34" s="9">
        <v>48000</v>
      </c>
      <c r="J34" s="9" t="s">
        <v>731</v>
      </c>
      <c r="K34" s="9">
        <f>SUBTOTAL(109,K43:K210)</f>
        <v>0</v>
      </c>
      <c r="L34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-48000</v>
      </c>
      <c r="M34" s="9"/>
      <c r="N34" s="9"/>
    </row>
    <row r="35" spans="1:14" ht="19" x14ac:dyDescent="0.2">
      <c r="A35" s="74">
        <v>643000</v>
      </c>
      <c r="B35" s="32"/>
      <c r="C35" s="49" t="s">
        <v>10</v>
      </c>
      <c r="D35" s="13" t="s">
        <v>565</v>
      </c>
      <c r="E35" s="15">
        <v>582000</v>
      </c>
      <c r="F35" s="9">
        <v>61000</v>
      </c>
      <c r="G35" s="9"/>
      <c r="H35" s="9"/>
      <c r="I35" s="9">
        <v>70000</v>
      </c>
      <c r="J35" s="9" t="s">
        <v>651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45000</v>
      </c>
      <c r="J36" s="9" t="s">
        <v>617</v>
      </c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128000</v>
      </c>
      <c r="J37" s="9" t="s">
        <v>615</v>
      </c>
      <c r="K37" s="9"/>
      <c r="L37" s="9"/>
      <c r="M37" s="9"/>
      <c r="N37" s="9"/>
    </row>
    <row r="38" spans="1:14" ht="19" x14ac:dyDescent="0.2">
      <c r="A38" s="74"/>
      <c r="B38" s="32">
        <v>44656</v>
      </c>
      <c r="C38" s="49" t="s">
        <v>9</v>
      </c>
      <c r="D38" s="13"/>
      <c r="E38" s="15"/>
      <c r="F38" s="9"/>
      <c r="G38" s="9">
        <v>400000</v>
      </c>
      <c r="H38" s="9" t="s">
        <v>736</v>
      </c>
      <c r="I38" s="9"/>
      <c r="J38" s="9"/>
      <c r="K38" s="9"/>
      <c r="L38" s="9"/>
      <c r="M38" s="9"/>
      <c r="N38" s="9"/>
    </row>
    <row r="39" spans="1:14" ht="19" x14ac:dyDescent="0.2">
      <c r="A39" s="74"/>
      <c r="B39" s="58"/>
      <c r="C39" s="49"/>
      <c r="D39" s="13"/>
      <c r="E39" s="15"/>
      <c r="F39" s="9"/>
      <c r="G39" s="9"/>
      <c r="H39" s="9"/>
      <c r="I39" s="9"/>
      <c r="J39" s="9"/>
      <c r="K39" s="9"/>
      <c r="L39" s="9"/>
      <c r="M39" s="9"/>
      <c r="N39" s="9"/>
    </row>
    <row r="40" spans="1:14" ht="19" x14ac:dyDescent="0.2">
      <c r="A40" s="61"/>
      <c r="B40" s="58"/>
      <c r="C40" s="49" t="s">
        <v>10</v>
      </c>
      <c r="D40" s="13"/>
      <c r="E40" s="15"/>
      <c r="F40" s="9"/>
      <c r="G40" s="9"/>
      <c r="H40" s="9" t="s">
        <v>737</v>
      </c>
      <c r="I40" s="9"/>
      <c r="J40" s="9"/>
      <c r="K40" s="9"/>
      <c r="L40" s="9"/>
      <c r="M40" s="9"/>
      <c r="N40" s="9"/>
    </row>
    <row r="41" spans="1:14" ht="19" x14ac:dyDescent="0.2">
      <c r="A41" s="61">
        <v>1118000</v>
      </c>
      <c r="B41" s="58">
        <v>44657</v>
      </c>
      <c r="C41" s="2" t="s">
        <v>9</v>
      </c>
      <c r="D41" s="13" t="s">
        <v>405</v>
      </c>
      <c r="E41" s="9">
        <v>966000</v>
      </c>
      <c r="F41" s="9">
        <v>152000</v>
      </c>
      <c r="G41" s="9"/>
      <c r="H41" s="9"/>
      <c r="I41" s="9"/>
      <c r="J41" s="9"/>
      <c r="K41" s="9"/>
      <c r="L41" s="9"/>
      <c r="M41" s="9"/>
      <c r="N41" s="9"/>
    </row>
    <row r="42" spans="1:14" ht="19" x14ac:dyDescent="0.2">
      <c r="A42" s="61">
        <v>1090000</v>
      </c>
      <c r="B42" s="58"/>
      <c r="C42" s="3" t="s">
        <v>10</v>
      </c>
      <c r="D42" s="13" t="s">
        <v>565</v>
      </c>
      <c r="E42" s="9">
        <v>887000</v>
      </c>
      <c r="F42" s="9">
        <v>203000</v>
      </c>
      <c r="G42" s="9"/>
      <c r="H42" s="9"/>
      <c r="I42" s="9">
        <v>50000</v>
      </c>
      <c r="J42" s="9" t="s">
        <v>59</v>
      </c>
      <c r="K42" s="9"/>
      <c r="L42" s="9"/>
      <c r="M42" s="9"/>
      <c r="N42" s="9"/>
    </row>
    <row r="43" spans="1:14" ht="19" x14ac:dyDescent="0.2">
      <c r="A43" s="74">
        <v>961000</v>
      </c>
      <c r="B43" s="32">
        <v>44658</v>
      </c>
      <c r="C43" s="49" t="s">
        <v>9</v>
      </c>
      <c r="D43" s="13" t="s">
        <v>405</v>
      </c>
      <c r="E43" s="15">
        <v>780000</v>
      </c>
      <c r="F43" s="9">
        <v>181000</v>
      </c>
      <c r="G43" s="9"/>
      <c r="H43" s="9"/>
      <c r="I43" s="9">
        <v>8000</v>
      </c>
      <c r="J43" s="9" t="s">
        <v>738</v>
      </c>
      <c r="K43" s="9"/>
      <c r="L43" s="9"/>
      <c r="M43" s="9"/>
      <c r="N43" s="9"/>
    </row>
    <row r="44" spans="1:14" ht="19" x14ac:dyDescent="0.2">
      <c r="A44" s="74"/>
      <c r="B44" s="32"/>
      <c r="C44" s="49"/>
      <c r="D44" s="13"/>
      <c r="E44" s="15"/>
      <c r="F44" s="9"/>
      <c r="G44" s="9"/>
      <c r="H44" s="9"/>
      <c r="I44" s="9">
        <v>35500</v>
      </c>
      <c r="J44" s="9" t="s">
        <v>739</v>
      </c>
      <c r="K44" s="9"/>
      <c r="L44" s="9"/>
      <c r="M44" s="9"/>
      <c r="N44" s="9"/>
    </row>
    <row r="45" spans="1:14" ht="19" x14ac:dyDescent="0.2">
      <c r="A45" s="74"/>
      <c r="B45" s="32"/>
      <c r="C45" s="49"/>
      <c r="D45" s="13"/>
      <c r="E45" s="15"/>
      <c r="F45" s="9"/>
      <c r="G45" s="9"/>
      <c r="H45" s="9"/>
      <c r="I45" s="9">
        <v>42000</v>
      </c>
      <c r="J45" s="9" t="s">
        <v>740</v>
      </c>
      <c r="K45" s="9"/>
      <c r="L45" s="9"/>
      <c r="M45" s="9"/>
      <c r="N45" s="9"/>
    </row>
    <row r="46" spans="1:14" ht="19" x14ac:dyDescent="0.2">
      <c r="A46" s="74"/>
      <c r="B46" s="32"/>
      <c r="C46" s="49"/>
      <c r="D46" s="13"/>
      <c r="E46" s="15"/>
      <c r="F46" s="9"/>
      <c r="G46" s="9"/>
      <c r="H46" s="9"/>
      <c r="I46" s="9">
        <v>50000</v>
      </c>
      <c r="J46" s="9" t="s">
        <v>721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>
        <v>35000</v>
      </c>
      <c r="J47" s="9" t="s">
        <v>655</v>
      </c>
      <c r="K47" s="9"/>
      <c r="L47" s="9"/>
      <c r="M47" s="9"/>
      <c r="N47" s="9"/>
    </row>
    <row r="48" spans="1:14" ht="19" x14ac:dyDescent="0.2">
      <c r="A48" s="74">
        <v>545000</v>
      </c>
      <c r="B48" s="32"/>
      <c r="C48" s="49" t="s">
        <v>10</v>
      </c>
      <c r="D48" s="13" t="s">
        <v>565</v>
      </c>
      <c r="E48" s="15">
        <v>485000</v>
      </c>
      <c r="F48" s="9">
        <v>60000</v>
      </c>
      <c r="G48" s="9"/>
      <c r="H48" s="9"/>
      <c r="I48" s="9">
        <v>620000</v>
      </c>
      <c r="J48" s="9" t="s">
        <v>750</v>
      </c>
      <c r="K48" s="9"/>
      <c r="L48" s="9"/>
      <c r="M48" s="9"/>
      <c r="N48" s="9"/>
    </row>
    <row r="49" spans="1:14" ht="19" x14ac:dyDescent="0.2">
      <c r="A49" s="74">
        <v>795000</v>
      </c>
      <c r="B49" s="32">
        <v>44659</v>
      </c>
      <c r="C49" s="49" t="s">
        <v>9</v>
      </c>
      <c r="D49" s="13" t="s">
        <v>405</v>
      </c>
      <c r="E49" s="15">
        <v>701000</v>
      </c>
      <c r="F49" s="9">
        <v>94000</v>
      </c>
      <c r="G49" s="9"/>
      <c r="H49" s="9"/>
      <c r="I49" s="9">
        <v>60000</v>
      </c>
      <c r="J49" s="9" t="s">
        <v>585</v>
      </c>
      <c r="K49" s="9"/>
      <c r="L49" s="9"/>
      <c r="M49" s="9"/>
      <c r="N49" s="9"/>
    </row>
    <row r="50" spans="1:14" ht="19" x14ac:dyDescent="0.2">
      <c r="A50" s="74">
        <v>715000</v>
      </c>
      <c r="B50" s="33"/>
      <c r="C50" s="2" t="s">
        <v>10</v>
      </c>
      <c r="D50" s="13" t="s">
        <v>565</v>
      </c>
      <c r="E50" s="9">
        <v>644000</v>
      </c>
      <c r="F50" s="9">
        <v>71000</v>
      </c>
      <c r="G50" s="9"/>
      <c r="H50" s="9"/>
      <c r="I50" s="9"/>
      <c r="J50" s="9"/>
      <c r="K50" s="9"/>
      <c r="L50" s="9"/>
      <c r="M50" s="9"/>
      <c r="N50" s="9"/>
    </row>
    <row r="51" spans="1:14" ht="19" x14ac:dyDescent="0.2">
      <c r="A51" s="74"/>
      <c r="B51" s="32"/>
      <c r="C51" s="3"/>
      <c r="D51" s="13"/>
      <c r="E51" s="15"/>
      <c r="F51" s="9"/>
      <c r="G51" s="9"/>
      <c r="H51" s="60"/>
      <c r="I51" s="9"/>
      <c r="J51" s="9"/>
      <c r="K51" s="9"/>
      <c r="L51" s="9"/>
      <c r="M51" s="9"/>
      <c r="N51" s="9"/>
    </row>
    <row r="52" spans="1:14" ht="19" x14ac:dyDescent="0.2">
      <c r="A52" s="74"/>
      <c r="B52" s="33"/>
      <c r="C52" s="2"/>
      <c r="D52" s="13"/>
      <c r="E52" s="15"/>
      <c r="F52" s="9"/>
      <c r="G52" s="9"/>
      <c r="H52" s="9"/>
      <c r="I52" s="9"/>
      <c r="J52" s="9"/>
      <c r="K52" s="9"/>
      <c r="L52" s="9"/>
      <c r="M52" s="9"/>
      <c r="N52" s="9"/>
    </row>
    <row r="53" spans="1:14" ht="19" x14ac:dyDescent="0.2">
      <c r="A53" s="74">
        <v>720000</v>
      </c>
      <c r="B53" s="32">
        <v>44660</v>
      </c>
      <c r="C53" s="35" t="s">
        <v>9</v>
      </c>
      <c r="D53" s="13" t="s">
        <v>405</v>
      </c>
      <c r="E53" s="15">
        <v>596000</v>
      </c>
      <c r="F53" s="9">
        <v>124000</v>
      </c>
      <c r="G53" s="9"/>
      <c r="H53" s="9"/>
      <c r="I53" s="9">
        <v>440000</v>
      </c>
      <c r="J53" s="9" t="s">
        <v>741</v>
      </c>
      <c r="K53" s="9"/>
      <c r="L53" s="9"/>
      <c r="M53" s="9"/>
      <c r="N53" s="9"/>
    </row>
    <row r="54" spans="1:14" ht="19" x14ac:dyDescent="0.2">
      <c r="A54" s="61"/>
      <c r="B54" s="75"/>
      <c r="C54" s="35"/>
      <c r="D54" s="13"/>
      <c r="E54" s="15"/>
      <c r="F54" s="9"/>
      <c r="G54" s="9"/>
      <c r="H54" s="9"/>
      <c r="I54" s="9"/>
      <c r="J54" s="9"/>
      <c r="K54" s="9"/>
      <c r="L54" s="9"/>
      <c r="M54" s="9"/>
      <c r="N54" s="9"/>
    </row>
    <row r="55" spans="1:14" ht="19" x14ac:dyDescent="0.2">
      <c r="A55" s="61">
        <v>769000</v>
      </c>
      <c r="B55" s="75"/>
      <c r="C55" s="35" t="s">
        <v>10</v>
      </c>
      <c r="D55" s="13" t="s">
        <v>565</v>
      </c>
      <c r="E55" s="15">
        <v>675000</v>
      </c>
      <c r="F55" s="9">
        <v>94000</v>
      </c>
      <c r="G55" s="9"/>
      <c r="H55" s="9"/>
      <c r="I55" s="9">
        <v>6000</v>
      </c>
      <c r="J55" s="9" t="s">
        <v>742</v>
      </c>
      <c r="K55" s="9"/>
      <c r="L55" s="9"/>
      <c r="M55" s="9"/>
      <c r="N55" s="9"/>
    </row>
    <row r="56" spans="1:14" ht="19" x14ac:dyDescent="0.2">
      <c r="A56" s="61"/>
      <c r="B56" s="58"/>
      <c r="C56" s="3"/>
      <c r="D56" s="13"/>
      <c r="E56" s="15"/>
      <c r="F56" s="9"/>
      <c r="G56" s="60"/>
      <c r="H56" s="60"/>
      <c r="I56" s="9"/>
      <c r="J56" s="9"/>
      <c r="K56" s="9"/>
      <c r="L56" s="9"/>
      <c r="M56" s="9"/>
      <c r="N56" s="9"/>
    </row>
    <row r="57" spans="1:14" ht="19" x14ac:dyDescent="0.2">
      <c r="A57" s="61">
        <v>877000</v>
      </c>
      <c r="B57" s="58">
        <v>44661</v>
      </c>
      <c r="C57" s="2" t="s">
        <v>440</v>
      </c>
      <c r="D57" s="13" t="s">
        <v>405</v>
      </c>
      <c r="E57" s="15">
        <v>746000</v>
      </c>
      <c r="F57" s="9">
        <v>131000</v>
      </c>
      <c r="G57" s="9"/>
      <c r="H57" s="9"/>
      <c r="I57" s="9">
        <v>32000</v>
      </c>
      <c r="J57" s="9" t="s">
        <v>640</v>
      </c>
      <c r="K57" s="9"/>
      <c r="L57" s="9"/>
      <c r="M57" s="9"/>
      <c r="N57" s="9"/>
    </row>
    <row r="58" spans="1:14" ht="19" x14ac:dyDescent="0.2">
      <c r="A58" s="61"/>
      <c r="B58" s="58"/>
      <c r="C58" s="3"/>
      <c r="D58" s="13"/>
      <c r="E58" s="15"/>
      <c r="F58" s="9"/>
      <c r="G58" s="9"/>
      <c r="H58" s="9"/>
      <c r="I58" s="9">
        <v>24000</v>
      </c>
      <c r="J58" s="9" t="s">
        <v>743</v>
      </c>
      <c r="K58" s="9"/>
      <c r="L58" s="9"/>
      <c r="M58" s="9"/>
      <c r="N58" s="9"/>
    </row>
    <row r="59" spans="1:14" ht="19" x14ac:dyDescent="0.2">
      <c r="A59" s="61"/>
      <c r="B59" s="58"/>
      <c r="C59" s="49"/>
      <c r="D59" s="13"/>
      <c r="E59" s="15"/>
      <c r="F59" s="9"/>
      <c r="G59" s="9"/>
      <c r="H59" s="9"/>
      <c r="I59" s="9">
        <v>35500</v>
      </c>
      <c r="J59" s="9" t="s">
        <v>744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>
        <v>26000</v>
      </c>
      <c r="J60" s="9" t="s">
        <v>672</v>
      </c>
      <c r="K60" s="9"/>
      <c r="L60" s="9"/>
      <c r="M60" s="9"/>
      <c r="N60" s="9"/>
    </row>
    <row r="61" spans="1:14" ht="19" x14ac:dyDescent="0.2">
      <c r="A61" s="74"/>
      <c r="B61" s="58"/>
      <c r="C61" s="49"/>
      <c r="D61" s="13"/>
      <c r="E61" s="15"/>
      <c r="F61" s="9"/>
      <c r="G61" s="9"/>
      <c r="H61" s="9"/>
      <c r="I61" s="9"/>
      <c r="J61" s="9"/>
      <c r="K61" s="9"/>
      <c r="L61" s="9"/>
      <c r="M61" s="9"/>
      <c r="N61" s="9"/>
    </row>
    <row r="62" spans="1:14" ht="19" x14ac:dyDescent="0.2">
      <c r="A62" s="61">
        <v>640000</v>
      </c>
      <c r="B62" s="58"/>
      <c r="C62" s="49" t="s">
        <v>363</v>
      </c>
      <c r="D62" s="13" t="s">
        <v>565</v>
      </c>
      <c r="E62" s="15">
        <v>495000</v>
      </c>
      <c r="F62" s="9">
        <v>145000</v>
      </c>
      <c r="G62" s="9"/>
      <c r="H62" s="9"/>
      <c r="I62" s="9"/>
      <c r="J62" s="9"/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/>
      <c r="J63" s="9"/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61">
        <v>831000</v>
      </c>
      <c r="B65" s="58">
        <v>44662</v>
      </c>
      <c r="C65" s="49" t="s">
        <v>9</v>
      </c>
      <c r="D65" s="13" t="s">
        <v>405</v>
      </c>
      <c r="E65" s="15">
        <v>639000</v>
      </c>
      <c r="F65" s="9">
        <v>192000</v>
      </c>
      <c r="G65" s="9">
        <v>2657000</v>
      </c>
      <c r="H65" s="9" t="s">
        <v>677</v>
      </c>
      <c r="I65" s="9">
        <v>168000</v>
      </c>
      <c r="J65" s="9" t="s">
        <v>745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>
        <v>133000</v>
      </c>
      <c r="J66" s="9" t="s">
        <v>636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9"/>
      <c r="H67" s="9"/>
      <c r="I67" s="9">
        <v>200000</v>
      </c>
      <c r="J67" s="9" t="s">
        <v>653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>
        <v>35000</v>
      </c>
      <c r="J68" s="9" t="s">
        <v>655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9"/>
      <c r="H69" s="9"/>
      <c r="I69" s="60"/>
      <c r="J69" s="60"/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9"/>
      <c r="H70" s="9"/>
      <c r="I70" s="9"/>
      <c r="J70" s="9"/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9"/>
      <c r="H71" s="9"/>
      <c r="I71" s="9"/>
      <c r="J71" s="9"/>
      <c r="K71" s="9"/>
      <c r="L71" s="9"/>
      <c r="M71" s="9"/>
      <c r="N71" s="9"/>
    </row>
    <row r="72" spans="1:14" ht="19" x14ac:dyDescent="0.2">
      <c r="A72" s="61">
        <v>911000</v>
      </c>
      <c r="B72" s="58"/>
      <c r="C72" s="49" t="s">
        <v>10</v>
      </c>
      <c r="D72" s="13" t="s">
        <v>565</v>
      </c>
      <c r="E72" s="15">
        <v>758000</v>
      </c>
      <c r="F72" s="9">
        <v>153000</v>
      </c>
      <c r="G72" s="9"/>
      <c r="H72" s="9"/>
      <c r="I72" s="9">
        <v>300000</v>
      </c>
      <c r="J72" s="9" t="s">
        <v>746</v>
      </c>
      <c r="K72" s="9"/>
      <c r="L72" s="9"/>
      <c r="M72" s="9"/>
      <c r="N72" s="9"/>
    </row>
    <row r="73" spans="1:14" ht="19" x14ac:dyDescent="0.2">
      <c r="A73" s="61"/>
      <c r="B73" s="58">
        <v>44663</v>
      </c>
      <c r="C73" s="49" t="s">
        <v>9</v>
      </c>
      <c r="D73" s="13"/>
      <c r="E73" s="15"/>
      <c r="F73" s="9"/>
      <c r="G73" s="9"/>
      <c r="H73" s="9"/>
      <c r="I73" s="9">
        <v>45000</v>
      </c>
      <c r="J73" s="9" t="s">
        <v>747</v>
      </c>
      <c r="K73" s="9"/>
      <c r="L73" s="9"/>
      <c r="M73" s="9"/>
      <c r="N73" s="9"/>
    </row>
    <row r="74" spans="1:14" ht="19" x14ac:dyDescent="0.2">
      <c r="A74" s="61"/>
      <c r="B74" s="58"/>
      <c r="C74" s="49"/>
      <c r="D74" s="13"/>
      <c r="E74" s="15"/>
      <c r="F74" s="9"/>
      <c r="G74" s="9"/>
      <c r="H74" s="9"/>
      <c r="I74" s="9">
        <v>20000</v>
      </c>
      <c r="J74" s="9" t="s">
        <v>748</v>
      </c>
      <c r="K74" s="9"/>
      <c r="L74" s="9"/>
      <c r="M74" s="9"/>
      <c r="N74" s="9"/>
    </row>
    <row r="75" spans="1:14" ht="19" x14ac:dyDescent="0.2">
      <c r="A75" s="61"/>
      <c r="B75" s="58"/>
      <c r="C75" s="49"/>
      <c r="D75" s="13"/>
      <c r="E75" s="15"/>
      <c r="F75" s="9"/>
      <c r="G75" s="9"/>
      <c r="H75" s="9"/>
      <c r="I75" s="9"/>
      <c r="J75" s="9"/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9"/>
      <c r="H76" s="9" t="s">
        <v>737</v>
      </c>
      <c r="I76" s="9"/>
      <c r="J76" s="9"/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9"/>
      <c r="H77" s="9"/>
      <c r="I77" s="9"/>
      <c r="J77" s="9"/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9"/>
      <c r="H78" s="9"/>
      <c r="I78" s="9"/>
      <c r="J78" s="9"/>
      <c r="K78" s="9"/>
      <c r="L78" s="9"/>
      <c r="M78" s="9"/>
      <c r="N78" s="9"/>
    </row>
    <row r="79" spans="1:14" ht="19" x14ac:dyDescent="0.2">
      <c r="A79" s="74"/>
      <c r="B79" s="58"/>
      <c r="C79" s="49" t="s">
        <v>10</v>
      </c>
      <c r="D79" s="13"/>
      <c r="E79" s="15"/>
      <c r="F79" s="9"/>
      <c r="G79" s="9"/>
      <c r="H79" s="9"/>
      <c r="I79" s="9"/>
      <c r="J79" s="9"/>
      <c r="K79" s="9"/>
      <c r="L79" s="9"/>
      <c r="M79" s="9"/>
      <c r="N79" s="9"/>
    </row>
    <row r="80" spans="1:14" ht="19" x14ac:dyDescent="0.2">
      <c r="A80" s="61"/>
      <c r="B80" s="75"/>
      <c r="C80" s="2"/>
      <c r="D80" s="13"/>
      <c r="E80" s="15"/>
      <c r="F80" s="9"/>
      <c r="G80" s="9"/>
      <c r="H80" s="9"/>
      <c r="I80" s="9"/>
      <c r="J80" s="9"/>
      <c r="K80" s="9"/>
      <c r="L80" s="9"/>
      <c r="M80" s="9"/>
      <c r="N80" s="9"/>
    </row>
    <row r="81" spans="1:14" ht="19" x14ac:dyDescent="0.2">
      <c r="A81" s="61"/>
      <c r="B81" s="58"/>
      <c r="C81" s="3"/>
      <c r="D81" s="13"/>
      <c r="E81" s="15"/>
      <c r="F81" s="9"/>
      <c r="G81" s="9"/>
      <c r="H81" s="9"/>
      <c r="I81" s="9"/>
      <c r="J81" s="9"/>
      <c r="K81" s="9"/>
      <c r="L81" s="9"/>
      <c r="M81" s="9"/>
      <c r="N81" s="9"/>
    </row>
    <row r="82" spans="1:14" ht="19" x14ac:dyDescent="0.2">
      <c r="A82" s="61">
        <v>939000</v>
      </c>
      <c r="B82" s="58">
        <v>44664</v>
      </c>
      <c r="C82" s="49" t="s">
        <v>9</v>
      </c>
      <c r="D82" s="13" t="s">
        <v>405</v>
      </c>
      <c r="E82" s="15">
        <v>846000</v>
      </c>
      <c r="F82" s="9">
        <v>93000</v>
      </c>
      <c r="G82" s="9">
        <v>635000</v>
      </c>
      <c r="H82" s="9" t="s">
        <v>749</v>
      </c>
      <c r="I82" s="9"/>
      <c r="J82" s="9"/>
      <c r="K82" s="9"/>
      <c r="L82" s="9"/>
      <c r="M82" s="9"/>
      <c r="N82" s="9"/>
    </row>
    <row r="83" spans="1:14" ht="19" x14ac:dyDescent="0.2">
      <c r="A83" s="61">
        <v>455000</v>
      </c>
      <c r="B83" s="75"/>
      <c r="C83" s="2" t="s">
        <v>10</v>
      </c>
      <c r="D83" s="13" t="s">
        <v>565</v>
      </c>
      <c r="E83" s="15">
        <v>435000</v>
      </c>
      <c r="F83" s="9">
        <v>20000</v>
      </c>
      <c r="G83" s="9"/>
      <c r="H83" s="9"/>
      <c r="I83" s="9">
        <v>70000</v>
      </c>
      <c r="J83" s="9" t="s">
        <v>686</v>
      </c>
      <c r="K83" s="9"/>
      <c r="L83" s="9"/>
      <c r="M83" s="9"/>
      <c r="N83" s="9"/>
    </row>
    <row r="84" spans="1:14" ht="19" x14ac:dyDescent="0.2">
      <c r="A84" s="74"/>
      <c r="B84" s="75"/>
      <c r="C84" s="35"/>
      <c r="D84" s="13"/>
      <c r="E84" s="15"/>
      <c r="F84" s="9"/>
      <c r="G84" s="9"/>
      <c r="H84" s="9"/>
      <c r="I84" s="9">
        <v>128000</v>
      </c>
      <c r="J84" s="9" t="s">
        <v>615</v>
      </c>
      <c r="K84" s="9">
        <f>SUBTOTAL(109,K92:K260)</f>
        <v>0</v>
      </c>
      <c r="L84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-128000</v>
      </c>
      <c r="M84" s="9"/>
      <c r="N84" s="9"/>
    </row>
    <row r="85" spans="1:14" ht="19" x14ac:dyDescent="0.2">
      <c r="A85" s="74"/>
      <c r="B85" s="75"/>
      <c r="C85" s="35"/>
      <c r="D85" s="13"/>
      <c r="E85" s="15"/>
      <c r="F85" s="9"/>
      <c r="G85" s="9"/>
      <c r="H85" s="9"/>
      <c r="I85" s="9">
        <v>50000</v>
      </c>
      <c r="J85" s="9" t="s">
        <v>59</v>
      </c>
      <c r="K85" s="9">
        <f>SUBTOTAL(109,K92:K260)</f>
        <v>0</v>
      </c>
      <c r="L85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-50000</v>
      </c>
      <c r="M85" s="9"/>
      <c r="N85" s="9"/>
    </row>
    <row r="86" spans="1:14" ht="19" x14ac:dyDescent="0.2">
      <c r="A86" s="74"/>
      <c r="B86" s="75"/>
      <c r="C86" s="35"/>
      <c r="D86" s="13"/>
      <c r="E86" s="15"/>
      <c r="F86" s="9"/>
      <c r="G86" s="9"/>
      <c r="H86" s="9"/>
      <c r="I86" s="9"/>
      <c r="J86" s="9"/>
      <c r="K86" s="9">
        <f>SUBTOTAL(109,K92:K260)</f>
        <v>0</v>
      </c>
      <c r="L86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0</v>
      </c>
      <c r="M86" s="9"/>
      <c r="N86" s="9"/>
    </row>
    <row r="87" spans="1:14" ht="19" x14ac:dyDescent="0.2">
      <c r="A87" s="61">
        <v>868000</v>
      </c>
      <c r="B87" s="58">
        <v>44665</v>
      </c>
      <c r="C87" s="3" t="s">
        <v>9</v>
      </c>
      <c r="D87" s="13" t="s">
        <v>405</v>
      </c>
      <c r="E87" s="15">
        <v>666000</v>
      </c>
      <c r="F87" s="9">
        <v>202000</v>
      </c>
      <c r="G87" s="9"/>
      <c r="H87" s="9"/>
      <c r="I87" s="9">
        <v>32000</v>
      </c>
      <c r="J87" s="9" t="s">
        <v>640</v>
      </c>
      <c r="K87" s="9"/>
      <c r="L87" s="9"/>
      <c r="M87" s="9"/>
      <c r="N87" s="9"/>
    </row>
    <row r="88" spans="1:14" ht="19" x14ac:dyDescent="0.2">
      <c r="A88" s="61"/>
      <c r="B88" s="58"/>
      <c r="C88" s="49"/>
      <c r="D88" s="13"/>
      <c r="E88" s="15"/>
      <c r="F88" s="9"/>
      <c r="G88" s="9"/>
      <c r="H88" s="9"/>
      <c r="I88" s="9">
        <v>1000</v>
      </c>
      <c r="J88" s="9" t="s">
        <v>681</v>
      </c>
      <c r="K88" s="9"/>
      <c r="L88" s="9"/>
      <c r="M88" s="9"/>
      <c r="N88" s="9"/>
    </row>
    <row r="89" spans="1:14" ht="19" x14ac:dyDescent="0.2">
      <c r="A89" s="61"/>
      <c r="B89" s="75"/>
      <c r="C89" s="2"/>
      <c r="D89" s="13"/>
      <c r="E89" s="15"/>
      <c r="F89" s="9"/>
      <c r="G89" s="9"/>
      <c r="H89" s="9"/>
      <c r="I89" s="9">
        <v>37500</v>
      </c>
      <c r="J89" s="9" t="s">
        <v>665</v>
      </c>
      <c r="K89" s="9"/>
      <c r="L89" s="9"/>
      <c r="M89" s="9"/>
      <c r="N89" s="9"/>
    </row>
    <row r="90" spans="1:14" ht="19" x14ac:dyDescent="0.2">
      <c r="A90" s="61"/>
      <c r="B90" s="75"/>
      <c r="C90" s="35"/>
      <c r="D90" s="13"/>
      <c r="E90" s="15"/>
      <c r="F90" s="9"/>
      <c r="G90" s="9"/>
      <c r="H90" s="9"/>
      <c r="I90" s="9">
        <v>20000</v>
      </c>
      <c r="J90" s="9" t="s">
        <v>756</v>
      </c>
      <c r="K90" s="9"/>
      <c r="L90" s="9"/>
      <c r="M90" s="9"/>
      <c r="N90" s="9"/>
    </row>
    <row r="91" spans="1:14" ht="19" x14ac:dyDescent="0.2">
      <c r="A91" s="61"/>
      <c r="B91" s="58"/>
      <c r="C91" s="3"/>
      <c r="D91" s="13"/>
      <c r="E91" s="15"/>
      <c r="F91" s="9"/>
      <c r="G91" s="60"/>
      <c r="H91" s="60"/>
      <c r="I91" s="9"/>
      <c r="J91" s="9"/>
      <c r="K91" s="9"/>
      <c r="L91" s="9"/>
      <c r="M91" s="9"/>
      <c r="N91" s="9"/>
    </row>
    <row r="92" spans="1:14" ht="19" x14ac:dyDescent="0.2">
      <c r="A92" s="61">
        <v>774000</v>
      </c>
      <c r="B92" s="75"/>
      <c r="C92" s="2" t="s">
        <v>10</v>
      </c>
      <c r="D92" s="13" t="s">
        <v>565</v>
      </c>
      <c r="E92" s="15">
        <v>652000</v>
      </c>
      <c r="F92" s="9">
        <v>122000</v>
      </c>
      <c r="G92" s="9"/>
      <c r="H92" s="9"/>
      <c r="I92" s="9">
        <v>60000</v>
      </c>
      <c r="J92" s="9" t="s">
        <v>751</v>
      </c>
      <c r="K92" s="9"/>
      <c r="L92" s="9"/>
      <c r="M92" s="9"/>
      <c r="N92" s="9"/>
    </row>
    <row r="93" spans="1:14" ht="32" x14ac:dyDescent="0.2">
      <c r="A93" s="61">
        <v>924000</v>
      </c>
      <c r="B93" s="58">
        <v>44666</v>
      </c>
      <c r="C93" s="3" t="s">
        <v>9</v>
      </c>
      <c r="D93" s="13" t="s">
        <v>405</v>
      </c>
      <c r="E93" s="15">
        <v>819000</v>
      </c>
      <c r="F93" s="9">
        <v>105000</v>
      </c>
      <c r="G93" s="9">
        <v>768000</v>
      </c>
      <c r="H93" s="47" t="s">
        <v>753</v>
      </c>
      <c r="I93" s="60">
        <v>50000</v>
      </c>
      <c r="J93" s="60" t="s">
        <v>752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32500</v>
      </c>
      <c r="J94" s="9" t="s">
        <v>754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15000</v>
      </c>
      <c r="J95" s="9" t="s">
        <v>755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9"/>
      <c r="H96" s="9"/>
      <c r="I96" s="9">
        <v>20000</v>
      </c>
      <c r="J96" s="9" t="s">
        <v>590</v>
      </c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/>
      <c r="J97" s="9"/>
      <c r="K97" s="9"/>
      <c r="L97" s="9"/>
      <c r="M97" s="9"/>
      <c r="N97" s="9"/>
    </row>
    <row r="98" spans="1:14" ht="19" x14ac:dyDescent="0.2">
      <c r="A98" s="61">
        <v>619000</v>
      </c>
      <c r="B98" s="75"/>
      <c r="C98" s="2" t="s">
        <v>10</v>
      </c>
      <c r="D98" s="13" t="s">
        <v>565</v>
      </c>
      <c r="E98" s="15">
        <v>534000</v>
      </c>
      <c r="F98" s="9">
        <v>85000</v>
      </c>
      <c r="G98" s="9">
        <v>1560000</v>
      </c>
      <c r="H98" s="9" t="s">
        <v>710</v>
      </c>
      <c r="I98" s="9"/>
      <c r="J98" s="9"/>
      <c r="K98" s="9"/>
      <c r="L98" s="9"/>
      <c r="M98" s="9"/>
      <c r="N98" s="9"/>
    </row>
    <row r="99" spans="1:14" ht="19" x14ac:dyDescent="0.2">
      <c r="A99" s="61">
        <v>891000</v>
      </c>
      <c r="B99" s="58">
        <v>44667</v>
      </c>
      <c r="C99" s="35" t="s">
        <v>9</v>
      </c>
      <c r="D99" s="13" t="s">
        <v>405</v>
      </c>
      <c r="E99" s="15">
        <v>809000</v>
      </c>
      <c r="F99" s="9">
        <v>82000</v>
      </c>
      <c r="G99" s="9"/>
      <c r="H99" s="9"/>
      <c r="I99" s="9">
        <v>43500</v>
      </c>
      <c r="J99" s="9" t="s">
        <v>757</v>
      </c>
      <c r="K99" s="9"/>
      <c r="L99" s="9"/>
      <c r="M99" s="9"/>
      <c r="N99" s="9"/>
    </row>
    <row r="100" spans="1:14" ht="19" x14ac:dyDescent="0.2">
      <c r="A100" s="74"/>
      <c r="B100" s="58"/>
      <c r="C100" s="35"/>
      <c r="D100" s="13"/>
      <c r="E100" s="15"/>
      <c r="F100" s="9"/>
      <c r="G100" s="9"/>
      <c r="H100" s="9"/>
      <c r="I100" s="9">
        <v>26000</v>
      </c>
      <c r="J100" s="9" t="s">
        <v>672</v>
      </c>
      <c r="K100" s="9"/>
      <c r="L100" s="9"/>
      <c r="M100" s="9"/>
      <c r="N100" s="9"/>
    </row>
    <row r="101" spans="1:14" ht="19" x14ac:dyDescent="0.2">
      <c r="A101" s="74"/>
      <c r="B101" s="58"/>
      <c r="C101" s="35"/>
      <c r="D101" s="13"/>
      <c r="E101" s="15"/>
      <c r="F101" s="9"/>
      <c r="G101" s="9"/>
      <c r="H101" s="9"/>
      <c r="I101" s="9">
        <v>620000</v>
      </c>
      <c r="J101" s="9" t="s">
        <v>117</v>
      </c>
      <c r="K101" s="9"/>
      <c r="L101" s="9"/>
      <c r="M101" s="9"/>
      <c r="N101" s="9"/>
    </row>
    <row r="102" spans="1:14" ht="19" x14ac:dyDescent="0.2">
      <c r="A102" s="74"/>
      <c r="B102" s="58"/>
      <c r="C102" s="35"/>
      <c r="D102" s="13"/>
      <c r="E102" s="15"/>
      <c r="F102" s="9"/>
      <c r="G102" s="9"/>
      <c r="H102" s="9"/>
      <c r="I102" s="9">
        <v>60000</v>
      </c>
      <c r="J102" s="9" t="s">
        <v>585</v>
      </c>
      <c r="K102" s="9"/>
      <c r="L102" s="9"/>
      <c r="M102" s="9"/>
      <c r="N102" s="9"/>
    </row>
    <row r="103" spans="1:14" ht="19" x14ac:dyDescent="0.2">
      <c r="A103" s="74"/>
      <c r="B103" s="58"/>
      <c r="C103" s="35"/>
      <c r="D103" s="13"/>
      <c r="E103" s="15"/>
      <c r="F103" s="9"/>
      <c r="G103" s="9"/>
      <c r="H103" s="9"/>
      <c r="I103" s="60">
        <v>70000</v>
      </c>
      <c r="J103" s="60" t="s">
        <v>758</v>
      </c>
      <c r="K103" s="9"/>
      <c r="L103" s="9"/>
      <c r="M103" s="9"/>
      <c r="N103" s="9"/>
    </row>
    <row r="104" spans="1:14" ht="19" x14ac:dyDescent="0.2">
      <c r="A104" s="61">
        <v>760000</v>
      </c>
      <c r="B104" s="58"/>
      <c r="C104" s="3" t="s">
        <v>10</v>
      </c>
      <c r="D104" s="13" t="s">
        <v>565</v>
      </c>
      <c r="E104" s="15">
        <v>521000</v>
      </c>
      <c r="F104" s="9">
        <v>239000</v>
      </c>
      <c r="G104" s="9"/>
      <c r="H104" s="9"/>
      <c r="I104" s="9">
        <v>20000</v>
      </c>
      <c r="J104" s="9" t="s">
        <v>590</v>
      </c>
      <c r="K104" s="9"/>
      <c r="L104" s="9"/>
      <c r="M104" s="9"/>
      <c r="N104" s="9"/>
    </row>
    <row r="105" spans="1:14" ht="19" x14ac:dyDescent="0.2">
      <c r="A105" s="61"/>
      <c r="B105" s="58"/>
      <c r="C105" s="49"/>
      <c r="D105" s="13"/>
      <c r="E105" s="15"/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19" x14ac:dyDescent="0.2">
      <c r="A106" s="61"/>
      <c r="B106" s="58"/>
      <c r="C106" s="49"/>
      <c r="D106" s="13"/>
      <c r="E106" s="15"/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19" x14ac:dyDescent="0.2">
      <c r="A107" s="61"/>
      <c r="B107" s="75"/>
      <c r="C107" s="2"/>
      <c r="D107" s="13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 ht="19" x14ac:dyDescent="0.2">
      <c r="A108" s="74">
        <v>839000</v>
      </c>
      <c r="B108" s="58">
        <v>44668</v>
      </c>
      <c r="C108" s="35" t="s">
        <v>9</v>
      </c>
      <c r="D108" s="13" t="s">
        <v>405</v>
      </c>
      <c r="E108" s="15">
        <v>737000</v>
      </c>
      <c r="F108" s="9">
        <v>102000</v>
      </c>
      <c r="G108" s="9">
        <v>3300000</v>
      </c>
      <c r="H108" s="9" t="s">
        <v>658</v>
      </c>
      <c r="I108" s="9"/>
      <c r="J108" s="9"/>
      <c r="K108" s="9"/>
      <c r="L108" s="9"/>
      <c r="M108" s="9"/>
      <c r="N108" s="9"/>
    </row>
    <row r="109" spans="1:14" ht="19" x14ac:dyDescent="0.2">
      <c r="A109" s="74">
        <v>438000</v>
      </c>
      <c r="B109" s="75"/>
      <c r="C109" s="35" t="s">
        <v>10</v>
      </c>
      <c r="D109" s="13" t="s">
        <v>565</v>
      </c>
      <c r="E109" s="15">
        <v>397000</v>
      </c>
      <c r="F109" s="9">
        <v>41000</v>
      </c>
      <c r="G109" s="9">
        <v>2000000</v>
      </c>
      <c r="H109" s="9" t="s">
        <v>771</v>
      </c>
      <c r="I109" s="60">
        <v>20000</v>
      </c>
      <c r="J109" s="60" t="s">
        <v>590</v>
      </c>
      <c r="K109" s="9"/>
      <c r="L109" s="9"/>
      <c r="M109" s="9"/>
      <c r="N109" s="9"/>
    </row>
    <row r="110" spans="1:14" ht="19" x14ac:dyDescent="0.2">
      <c r="A110" s="74"/>
      <c r="B110" s="75"/>
      <c r="C110" s="35"/>
      <c r="D110" s="13"/>
      <c r="E110" s="15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9" x14ac:dyDescent="0.2">
      <c r="A111" s="74"/>
      <c r="B111" s="75"/>
      <c r="C111" s="35"/>
      <c r="D111" s="13"/>
      <c r="E111" s="15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61">
        <v>807000</v>
      </c>
      <c r="B112" s="58">
        <v>44669</v>
      </c>
      <c r="C112" s="3" t="s">
        <v>9</v>
      </c>
      <c r="D112" s="13" t="s">
        <v>405</v>
      </c>
      <c r="E112" s="9">
        <v>702000</v>
      </c>
      <c r="F112" s="9">
        <v>105000</v>
      </c>
      <c r="G112" s="9"/>
      <c r="H112" s="9"/>
      <c r="I112" s="9">
        <v>17500</v>
      </c>
      <c r="J112" s="9" t="s">
        <v>759</v>
      </c>
      <c r="K112" s="9"/>
      <c r="L112" s="9"/>
      <c r="M112" s="9"/>
      <c r="N112" s="9"/>
    </row>
    <row r="113" spans="1:14" ht="19" x14ac:dyDescent="0.2">
      <c r="A113" s="74"/>
      <c r="B113" s="58"/>
      <c r="C113" s="49"/>
      <c r="D113" s="13"/>
      <c r="E113" s="15"/>
      <c r="F113" s="9"/>
      <c r="G113" s="9"/>
      <c r="H113" s="9"/>
      <c r="I113" s="9">
        <v>64500</v>
      </c>
      <c r="J113" s="9" t="s">
        <v>760</v>
      </c>
      <c r="K113" s="9"/>
      <c r="L113" s="9"/>
      <c r="M113" s="9"/>
      <c r="N113" s="9"/>
    </row>
    <row r="114" spans="1:14" ht="19" x14ac:dyDescent="0.2">
      <c r="A114" s="74"/>
      <c r="B114" s="58"/>
      <c r="C114" s="49"/>
      <c r="D114" s="13"/>
      <c r="E114" s="15"/>
      <c r="F114" s="9"/>
      <c r="G114" s="9"/>
      <c r="H114" s="9"/>
      <c r="I114" s="9">
        <v>32000</v>
      </c>
      <c r="J114" s="9" t="s">
        <v>640</v>
      </c>
      <c r="K114" s="9"/>
      <c r="L114" s="9"/>
      <c r="M114" s="9"/>
      <c r="N114" s="9"/>
    </row>
    <row r="115" spans="1:14" ht="19" x14ac:dyDescent="0.2">
      <c r="A115" s="74"/>
      <c r="B115" s="58"/>
      <c r="C115" s="49"/>
      <c r="D115" s="13"/>
      <c r="E115" s="15"/>
      <c r="F115" s="9"/>
      <c r="G115" s="9"/>
      <c r="H115" s="9"/>
      <c r="I115" s="9">
        <v>50000</v>
      </c>
      <c r="J115" s="9" t="s">
        <v>761</v>
      </c>
      <c r="K115" s="9"/>
      <c r="L115" s="9"/>
      <c r="M115" s="9"/>
      <c r="N115" s="9"/>
    </row>
    <row r="116" spans="1:14" ht="19" x14ac:dyDescent="0.2">
      <c r="A116" s="74"/>
      <c r="B116" s="58"/>
      <c r="C116" s="49"/>
      <c r="D116" s="13"/>
      <c r="E116" s="15"/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19" x14ac:dyDescent="0.2">
      <c r="A117" s="74"/>
      <c r="B117" s="58"/>
      <c r="C117" s="49"/>
      <c r="D117" s="13"/>
      <c r="E117" s="15"/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19" x14ac:dyDescent="0.2">
      <c r="A118" s="61">
        <v>450000</v>
      </c>
      <c r="B118" s="75"/>
      <c r="C118" s="2" t="s">
        <v>10</v>
      </c>
      <c r="D118" s="13" t="s">
        <v>565</v>
      </c>
      <c r="E118" s="9">
        <v>450000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74"/>
      <c r="B119" s="75"/>
      <c r="C119" s="35"/>
      <c r="D119" s="13"/>
      <c r="E119" s="15"/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19" x14ac:dyDescent="0.2">
      <c r="A120" s="74"/>
      <c r="B120" s="75"/>
      <c r="C120" s="35"/>
      <c r="D120" s="13"/>
      <c r="E120" s="15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9" x14ac:dyDescent="0.2">
      <c r="A121" s="74"/>
      <c r="B121" s="75"/>
      <c r="C121" s="35"/>
      <c r="D121" s="13"/>
      <c r="E121" s="15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19" x14ac:dyDescent="0.2">
      <c r="A122" s="61">
        <v>1505000</v>
      </c>
      <c r="B122" s="58">
        <v>44670</v>
      </c>
      <c r="C122" s="3" t="s">
        <v>360</v>
      </c>
      <c r="D122" s="13" t="s">
        <v>762</v>
      </c>
      <c r="E122" s="9">
        <v>1093000</v>
      </c>
      <c r="F122" s="9">
        <v>412000</v>
      </c>
      <c r="G122" s="9"/>
      <c r="H122" s="9"/>
      <c r="I122" s="9">
        <v>50000</v>
      </c>
      <c r="J122" s="9" t="s">
        <v>59</v>
      </c>
      <c r="K122" s="9"/>
      <c r="L122" s="9"/>
      <c r="M122" s="9"/>
      <c r="N122" s="9"/>
    </row>
    <row r="123" spans="1:14" ht="19" x14ac:dyDescent="0.2">
      <c r="A123" s="74"/>
      <c r="B123" s="75"/>
      <c r="C123" s="35"/>
      <c r="D123" s="13"/>
      <c r="E123" s="15"/>
      <c r="F123" s="9"/>
      <c r="G123" s="9"/>
      <c r="H123" s="9"/>
      <c r="I123" s="9"/>
      <c r="J123" s="9"/>
      <c r="K123" s="9"/>
      <c r="L123" s="9"/>
      <c r="M123" s="9"/>
      <c r="N123" s="9"/>
    </row>
    <row r="124" spans="1:14" ht="19" x14ac:dyDescent="0.2">
      <c r="A124" s="74">
        <v>1112000</v>
      </c>
      <c r="B124" s="58">
        <v>44671</v>
      </c>
      <c r="C124" s="35" t="s">
        <v>9</v>
      </c>
      <c r="D124" s="13" t="s">
        <v>405</v>
      </c>
      <c r="E124" s="15">
        <v>1004000</v>
      </c>
      <c r="F124" s="9">
        <v>108000</v>
      </c>
      <c r="G124" s="9"/>
      <c r="H124" s="9"/>
      <c r="I124" s="9"/>
      <c r="J124" s="9"/>
      <c r="K124" s="9"/>
      <c r="L124" s="9"/>
      <c r="M124" s="9"/>
      <c r="N124" s="9"/>
    </row>
    <row r="125" spans="1:14" ht="19" x14ac:dyDescent="0.2">
      <c r="A125" s="74"/>
      <c r="B125" s="58"/>
      <c r="C125" s="35"/>
      <c r="D125" s="13"/>
      <c r="E125" s="15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19" x14ac:dyDescent="0.2">
      <c r="A126" s="61">
        <v>758000</v>
      </c>
      <c r="B126" s="75"/>
      <c r="C126" s="2" t="s">
        <v>10</v>
      </c>
      <c r="D126" s="13" t="s">
        <v>565</v>
      </c>
      <c r="E126" s="9">
        <v>690000</v>
      </c>
      <c r="F126" s="9">
        <v>68000</v>
      </c>
      <c r="G126" s="9"/>
      <c r="H126" s="9"/>
      <c r="I126" s="76"/>
      <c r="J126" s="76"/>
      <c r="K126" s="9"/>
      <c r="L126" s="9"/>
      <c r="M126" s="9"/>
      <c r="N126" s="9"/>
    </row>
    <row r="127" spans="1:14" ht="19" x14ac:dyDescent="0.2">
      <c r="A127" s="74"/>
      <c r="B127" s="58"/>
      <c r="C127" s="49"/>
      <c r="D127" s="13"/>
      <c r="E127" s="15"/>
      <c r="F127" s="9"/>
      <c r="G127" s="9"/>
      <c r="H127" s="9"/>
      <c r="I127" s="76"/>
      <c r="J127" s="76"/>
      <c r="K127" s="9"/>
      <c r="L127" s="9"/>
      <c r="M127" s="9"/>
      <c r="N127" s="9"/>
    </row>
    <row r="128" spans="1:14" ht="19" x14ac:dyDescent="0.2">
      <c r="A128" s="61">
        <v>844000</v>
      </c>
      <c r="B128" s="58">
        <v>44672</v>
      </c>
      <c r="C128" s="2" t="s">
        <v>9</v>
      </c>
      <c r="D128" s="13" t="s">
        <v>405</v>
      </c>
      <c r="E128" s="15">
        <v>753000</v>
      </c>
      <c r="F128" s="9">
        <v>91000</v>
      </c>
      <c r="G128" s="9"/>
      <c r="H128" s="76"/>
      <c r="I128" s="60">
        <v>26000</v>
      </c>
      <c r="J128" s="60" t="s">
        <v>672</v>
      </c>
      <c r="K128" s="9"/>
      <c r="L128" s="9"/>
      <c r="M128" s="9"/>
      <c r="N128" s="9"/>
    </row>
    <row r="129" spans="1:14" ht="19" x14ac:dyDescent="0.2">
      <c r="A129" s="74"/>
      <c r="B129" s="58"/>
      <c r="C129" s="35"/>
      <c r="D129" s="13"/>
      <c r="E129" s="15"/>
      <c r="F129" s="9"/>
      <c r="G129" s="9"/>
      <c r="H129" s="76"/>
      <c r="I129" s="60">
        <v>19000</v>
      </c>
      <c r="J129" s="60" t="s">
        <v>763</v>
      </c>
      <c r="K129" s="9">
        <f>SUBTOTAL(109,K143:K305)</f>
        <v>0</v>
      </c>
      <c r="L129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-19000</v>
      </c>
      <c r="M129" s="9"/>
      <c r="N129" s="9"/>
    </row>
    <row r="130" spans="1:14" ht="19" x14ac:dyDescent="0.2">
      <c r="A130" s="74"/>
      <c r="B130" s="58"/>
      <c r="C130" s="35"/>
      <c r="D130" s="13"/>
      <c r="E130" s="15"/>
      <c r="F130" s="9"/>
      <c r="G130" s="9"/>
      <c r="H130" s="76"/>
      <c r="I130" s="60">
        <v>30500</v>
      </c>
      <c r="J130" s="60" t="s">
        <v>764</v>
      </c>
      <c r="K130" s="9">
        <f>SUBTOTAL(109,K144:K305)</f>
        <v>0</v>
      </c>
      <c r="L130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-30500</v>
      </c>
      <c r="M130" s="9"/>
      <c r="N130" s="9"/>
    </row>
    <row r="131" spans="1:14" ht="19" x14ac:dyDescent="0.2">
      <c r="A131" s="74"/>
      <c r="B131" s="58"/>
      <c r="C131" s="35"/>
      <c r="D131" s="13"/>
      <c r="E131" s="15"/>
      <c r="F131" s="9"/>
      <c r="G131" s="9"/>
      <c r="H131" s="76"/>
      <c r="I131" s="60"/>
      <c r="J131" s="60"/>
      <c r="K131" s="9">
        <f>SUBTOTAL(109,K145:K305)</f>
        <v>0</v>
      </c>
      <c r="L131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0</v>
      </c>
      <c r="M131" s="9"/>
      <c r="N131" s="9"/>
    </row>
    <row r="132" spans="1:14" ht="19" x14ac:dyDescent="0.2">
      <c r="A132" s="61">
        <v>592000</v>
      </c>
      <c r="B132" s="58"/>
      <c r="C132" s="3" t="s">
        <v>10</v>
      </c>
      <c r="D132" s="13" t="s">
        <v>565</v>
      </c>
      <c r="E132" s="15">
        <v>540000</v>
      </c>
      <c r="F132" s="9">
        <v>52000</v>
      </c>
      <c r="G132" s="9"/>
      <c r="H132" s="9"/>
      <c r="I132" s="9">
        <v>50000</v>
      </c>
      <c r="J132" s="9" t="s">
        <v>683</v>
      </c>
      <c r="K132" s="9"/>
      <c r="L132" s="9"/>
      <c r="M132" s="9"/>
      <c r="N132" s="9"/>
    </row>
    <row r="133" spans="1:14" ht="19" x14ac:dyDescent="0.2">
      <c r="A133" s="74"/>
      <c r="B133" s="58"/>
      <c r="C133" s="49"/>
      <c r="D133" s="13"/>
      <c r="E133" s="15"/>
      <c r="F133" s="9"/>
      <c r="G133" s="9"/>
      <c r="H133" s="9"/>
      <c r="I133" s="9">
        <v>200000</v>
      </c>
      <c r="J133" s="9" t="s">
        <v>653</v>
      </c>
      <c r="K133" s="9">
        <f>SUBTOTAL(109,K144:K309)</f>
        <v>0</v>
      </c>
      <c r="L133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-200000</v>
      </c>
      <c r="M133" s="9"/>
      <c r="N133" s="9"/>
    </row>
    <row r="134" spans="1:14" ht="19" x14ac:dyDescent="0.2">
      <c r="A134" s="74"/>
      <c r="B134" s="58"/>
      <c r="C134" s="49"/>
      <c r="D134" s="13"/>
      <c r="E134" s="15"/>
      <c r="F134" s="9"/>
      <c r="G134" s="9"/>
      <c r="H134" s="9"/>
      <c r="I134" s="9">
        <v>35000</v>
      </c>
      <c r="J134" s="9" t="s">
        <v>536</v>
      </c>
      <c r="K134" s="9">
        <f>SUBTOTAL(109,K145:K309)</f>
        <v>0</v>
      </c>
      <c r="L134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-35000</v>
      </c>
      <c r="M134" s="9"/>
      <c r="N134" s="9"/>
    </row>
    <row r="135" spans="1:14" ht="19" x14ac:dyDescent="0.2">
      <c r="A135" s="74"/>
      <c r="B135" s="58"/>
      <c r="C135" s="49"/>
      <c r="D135" s="13"/>
      <c r="E135" s="15"/>
      <c r="F135" s="9"/>
      <c r="G135" s="9"/>
      <c r="H135" s="9"/>
      <c r="I135" s="9">
        <v>144000</v>
      </c>
      <c r="J135" s="9" t="s">
        <v>765</v>
      </c>
      <c r="K135" s="9">
        <f>SUBTOTAL(109,K144:K311)</f>
        <v>0</v>
      </c>
      <c r="L135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-144000</v>
      </c>
      <c r="M135" s="9"/>
      <c r="N135" s="9"/>
    </row>
    <row r="136" spans="1:14" ht="19" x14ac:dyDescent="0.2">
      <c r="A136" s="74"/>
      <c r="B136" s="58"/>
      <c r="C136" s="49"/>
      <c r="D136" s="13"/>
      <c r="E136" s="15"/>
      <c r="F136" s="9"/>
      <c r="G136" s="9"/>
      <c r="H136" s="9"/>
      <c r="I136" s="9">
        <v>80000</v>
      </c>
      <c r="J136" s="9" t="s">
        <v>651</v>
      </c>
      <c r="K136" s="9">
        <f>SUBTOTAL(109,K145:K311)</f>
        <v>0</v>
      </c>
      <c r="L136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-80000</v>
      </c>
      <c r="M136" s="9"/>
      <c r="N136" s="9"/>
    </row>
    <row r="137" spans="1:14" ht="19" x14ac:dyDescent="0.2">
      <c r="A137" s="74"/>
      <c r="B137" s="58"/>
      <c r="C137" s="49"/>
      <c r="D137" s="13"/>
      <c r="E137" s="15"/>
      <c r="F137" s="9"/>
      <c r="G137" s="9"/>
      <c r="H137" s="9"/>
      <c r="I137" s="9">
        <v>70000</v>
      </c>
      <c r="J137" s="9" t="s">
        <v>751</v>
      </c>
      <c r="K137" s="9">
        <f>SUBTOTAL(109,K146:K309)</f>
        <v>0</v>
      </c>
      <c r="L137" s="9">
        <f>Таблица1345678912[[#This Row],[Нал]]+Таблица1345678912[[#This Row],[Терминал]]-Таблица1345678912[[#This Row],[Расход]]-Таблица1345678912[[#This Row],[Закуп]]-Таблица1345678912[[#This Row],[Расход со счета]]</f>
        <v>-70000</v>
      </c>
      <c r="M137" s="9"/>
      <c r="N137" s="9"/>
    </row>
    <row r="138" spans="1:14" ht="19" x14ac:dyDescent="0.2">
      <c r="A138" s="61">
        <v>1568000</v>
      </c>
      <c r="B138" s="58">
        <v>44673</v>
      </c>
      <c r="C138" s="3" t="s">
        <v>360</v>
      </c>
      <c r="D138" s="13" t="s">
        <v>762</v>
      </c>
      <c r="E138" s="15">
        <v>1209000</v>
      </c>
      <c r="F138" s="9">
        <v>359000</v>
      </c>
      <c r="G138" s="9"/>
      <c r="H138" s="9"/>
      <c r="I138" s="9"/>
      <c r="J138" s="9"/>
      <c r="K138" s="9"/>
      <c r="L138" s="9"/>
      <c r="M138" s="9"/>
      <c r="N138" s="9"/>
    </row>
    <row r="139" spans="1:14" ht="19" x14ac:dyDescent="0.2">
      <c r="A139" s="74"/>
      <c r="B139" s="58"/>
      <c r="C139" s="49"/>
      <c r="D139" s="13"/>
      <c r="E139" s="15"/>
      <c r="F139" s="9"/>
      <c r="G139" s="9"/>
      <c r="H139" s="60"/>
      <c r="I139" s="9"/>
      <c r="J139" s="9"/>
      <c r="K139" s="9"/>
      <c r="L139" s="9"/>
      <c r="M139" s="9"/>
      <c r="N139" s="9"/>
    </row>
    <row r="140" spans="1:14" ht="19" x14ac:dyDescent="0.2">
      <c r="A140" s="74"/>
      <c r="B140" s="58"/>
      <c r="C140" s="49"/>
      <c r="D140" s="13"/>
      <c r="E140" s="15"/>
      <c r="F140" s="9"/>
      <c r="G140" s="9"/>
      <c r="H140" s="60"/>
      <c r="I140" s="9"/>
      <c r="J140" s="9"/>
      <c r="K140" s="9"/>
      <c r="L140" s="9"/>
      <c r="M140" s="9"/>
      <c r="N140" s="9"/>
    </row>
    <row r="141" spans="1:14" ht="19" x14ac:dyDescent="0.2">
      <c r="A141" s="61"/>
      <c r="B141" s="58"/>
      <c r="C141" s="3"/>
      <c r="D141" s="13"/>
      <c r="E141" s="15"/>
      <c r="F141" s="9"/>
      <c r="G141" s="9"/>
      <c r="H141" s="9"/>
      <c r="I141" s="9"/>
      <c r="J141" s="9"/>
      <c r="K141" s="9"/>
      <c r="L141" s="9"/>
      <c r="M141" s="9"/>
      <c r="N141" s="9"/>
    </row>
    <row r="142" spans="1:14" ht="19" x14ac:dyDescent="0.2">
      <c r="A142" s="74"/>
      <c r="B142" s="58"/>
      <c r="C142" s="49"/>
      <c r="D142" s="13"/>
      <c r="E142" s="15"/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19" x14ac:dyDescent="0.2">
      <c r="A143" s="61">
        <v>876000</v>
      </c>
      <c r="B143" s="58">
        <v>44674</v>
      </c>
      <c r="C143" s="3" t="s">
        <v>9</v>
      </c>
      <c r="D143" s="13" t="s">
        <v>405</v>
      </c>
      <c r="E143" s="15">
        <v>729000</v>
      </c>
      <c r="F143" s="9">
        <v>147000</v>
      </c>
      <c r="G143" s="9"/>
      <c r="H143" s="9"/>
      <c r="I143" s="9"/>
      <c r="J143" s="9"/>
      <c r="K143" s="9"/>
      <c r="L143" s="9"/>
      <c r="M143" s="9"/>
      <c r="N143" s="9"/>
    </row>
    <row r="144" spans="1:14" ht="19" x14ac:dyDescent="0.2">
      <c r="A144" s="61"/>
      <c r="B144" s="58"/>
      <c r="C144" s="3"/>
      <c r="D144" s="13"/>
      <c r="E144" s="15"/>
      <c r="F144" s="9"/>
      <c r="G144" s="9"/>
      <c r="H144" s="60"/>
      <c r="I144" s="9"/>
      <c r="J144" s="9"/>
      <c r="K144" s="9"/>
      <c r="L144" s="9"/>
      <c r="M144" s="9"/>
      <c r="N144" s="9"/>
    </row>
    <row r="145" spans="1:14" ht="19" x14ac:dyDescent="0.2">
      <c r="A145" s="61"/>
      <c r="B145" s="58"/>
      <c r="C145" s="3"/>
      <c r="D145" s="13"/>
      <c r="E145" s="15"/>
      <c r="F145" s="9"/>
      <c r="G145" s="9"/>
      <c r="H145" s="60"/>
      <c r="I145" s="9"/>
      <c r="J145" s="9"/>
      <c r="K145" s="9"/>
      <c r="L145" s="9"/>
      <c r="M145" s="9"/>
      <c r="N145" s="9"/>
    </row>
    <row r="146" spans="1:14" ht="19" x14ac:dyDescent="0.2">
      <c r="A146" s="61">
        <v>329000</v>
      </c>
      <c r="B146" s="75"/>
      <c r="C146" s="2" t="s">
        <v>10</v>
      </c>
      <c r="D146" s="13" t="s">
        <v>565</v>
      </c>
      <c r="E146" s="15">
        <v>311000</v>
      </c>
      <c r="F146" s="9">
        <v>18000</v>
      </c>
      <c r="G146" s="9"/>
      <c r="H146" s="77"/>
      <c r="I146" s="9"/>
      <c r="J146" s="9"/>
      <c r="K146" s="9"/>
      <c r="L146" s="9"/>
      <c r="M146" s="9"/>
      <c r="N146" s="9"/>
    </row>
    <row r="147" spans="1:14" ht="19" x14ac:dyDescent="0.2">
      <c r="A147" s="61">
        <v>834000</v>
      </c>
      <c r="B147" s="58">
        <v>44675</v>
      </c>
      <c r="C147" s="3" t="s">
        <v>9</v>
      </c>
      <c r="D147" s="13" t="s">
        <v>405</v>
      </c>
      <c r="E147" s="15">
        <v>702000</v>
      </c>
      <c r="F147" s="9">
        <v>132000</v>
      </c>
      <c r="G147" s="9"/>
      <c r="H147" s="9"/>
      <c r="I147" s="9">
        <v>38000</v>
      </c>
      <c r="J147" s="9" t="s">
        <v>640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76"/>
      <c r="J148" s="76"/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77"/>
      <c r="J149" s="77"/>
      <c r="K149" s="9"/>
      <c r="L149" s="9"/>
      <c r="M149" s="9"/>
      <c r="N149" s="9"/>
    </row>
    <row r="150" spans="1:14" ht="19" x14ac:dyDescent="0.2">
      <c r="A150" s="74">
        <v>514000</v>
      </c>
      <c r="B150" s="58"/>
      <c r="C150" s="49" t="s">
        <v>363</v>
      </c>
      <c r="D150" s="13" t="s">
        <v>565</v>
      </c>
      <c r="E150" s="15">
        <v>373000</v>
      </c>
      <c r="F150" s="9">
        <v>141000</v>
      </c>
      <c r="G150" s="9"/>
      <c r="H150" s="9"/>
      <c r="I150" s="76">
        <v>620000</v>
      </c>
      <c r="J150" s="76" t="s">
        <v>766</v>
      </c>
      <c r="K150" s="9"/>
      <c r="L150" s="9"/>
      <c r="M150" s="9"/>
      <c r="N150" s="9"/>
    </row>
    <row r="151" spans="1:14" ht="19" x14ac:dyDescent="0.2">
      <c r="A151" s="74"/>
      <c r="B151" s="58"/>
      <c r="C151" s="49"/>
      <c r="D151" s="13"/>
      <c r="E151" s="15"/>
      <c r="F151" s="9"/>
      <c r="G151" s="9"/>
      <c r="H151" s="9"/>
      <c r="I151" s="76">
        <v>60000</v>
      </c>
      <c r="J151" s="76" t="s">
        <v>585</v>
      </c>
      <c r="K151" s="9"/>
      <c r="L151" s="9"/>
      <c r="M151" s="9"/>
      <c r="N151" s="9"/>
    </row>
    <row r="152" spans="1:14" ht="19" x14ac:dyDescent="0.2">
      <c r="A152" s="74"/>
      <c r="B152" s="58"/>
      <c r="C152" s="49"/>
      <c r="D152" s="13"/>
      <c r="E152" s="15"/>
      <c r="F152" s="9"/>
      <c r="G152" s="9"/>
      <c r="H152" s="9"/>
      <c r="I152" s="76"/>
      <c r="J152" s="76"/>
      <c r="K152" s="9"/>
      <c r="L152" s="9"/>
      <c r="M152" s="9"/>
      <c r="N152" s="9"/>
    </row>
    <row r="153" spans="1:14" ht="19" x14ac:dyDescent="0.2">
      <c r="A153" s="61"/>
      <c r="B153" s="58"/>
      <c r="C153" s="49"/>
      <c r="D153" s="13"/>
      <c r="E153" s="15"/>
      <c r="F153" s="9"/>
      <c r="G153" s="9"/>
      <c r="H153" s="9"/>
      <c r="I153" s="9"/>
      <c r="J153" s="9"/>
      <c r="K153" s="9"/>
      <c r="L153" s="9"/>
      <c r="M153" s="9"/>
      <c r="N153" s="9"/>
    </row>
    <row r="154" spans="1:14" ht="19" x14ac:dyDescent="0.2">
      <c r="A154" s="74"/>
      <c r="B154" s="58"/>
      <c r="C154" s="49"/>
      <c r="D154" s="13"/>
      <c r="E154" s="15"/>
      <c r="F154" s="9"/>
      <c r="G154" s="9"/>
      <c r="H154" s="9"/>
      <c r="I154" s="9"/>
      <c r="J154" s="9"/>
      <c r="K154" s="9"/>
      <c r="L154" s="9"/>
      <c r="M154" s="9"/>
      <c r="N154" s="9"/>
    </row>
    <row r="155" spans="1:14" ht="19" x14ac:dyDescent="0.2">
      <c r="A155" s="61">
        <v>590000</v>
      </c>
      <c r="B155" s="58">
        <v>44676</v>
      </c>
      <c r="C155" s="49" t="s">
        <v>9</v>
      </c>
      <c r="D155" s="13" t="s">
        <v>405</v>
      </c>
      <c r="E155" s="15">
        <v>486000</v>
      </c>
      <c r="F155" s="9">
        <v>104000</v>
      </c>
      <c r="G155" s="9">
        <v>2611000</v>
      </c>
      <c r="H155" s="9" t="s">
        <v>677</v>
      </c>
      <c r="I155" s="9">
        <v>131000</v>
      </c>
      <c r="J155" s="9" t="s">
        <v>767</v>
      </c>
      <c r="K155" s="9"/>
      <c r="L155" s="9"/>
      <c r="M155" s="9"/>
      <c r="N155" s="9"/>
    </row>
    <row r="156" spans="1:14" ht="19" x14ac:dyDescent="0.2">
      <c r="A156" s="61"/>
      <c r="B156" s="58"/>
      <c r="C156" s="49"/>
      <c r="D156" s="13"/>
      <c r="E156" s="15"/>
      <c r="F156" s="9"/>
      <c r="G156" s="9"/>
      <c r="H156" s="9"/>
      <c r="I156" s="9">
        <v>47000</v>
      </c>
      <c r="J156" s="9" t="s">
        <v>768</v>
      </c>
      <c r="K156" s="9"/>
      <c r="L156" s="9"/>
      <c r="M156" s="9"/>
      <c r="N156" s="9"/>
    </row>
    <row r="157" spans="1:14" ht="19" x14ac:dyDescent="0.2">
      <c r="A157" s="61"/>
      <c r="B157" s="58"/>
      <c r="C157" s="49"/>
      <c r="D157" s="13"/>
      <c r="E157" s="15"/>
      <c r="F157" s="9"/>
      <c r="G157" s="9"/>
      <c r="H157" s="9"/>
      <c r="I157" s="9">
        <v>4500</v>
      </c>
      <c r="J157" s="9" t="s">
        <v>642</v>
      </c>
      <c r="K157" s="9"/>
      <c r="L157" s="9"/>
      <c r="M157" s="9"/>
      <c r="N157" s="9"/>
    </row>
    <row r="158" spans="1:14" ht="19" x14ac:dyDescent="0.2">
      <c r="A158" s="61"/>
      <c r="B158" s="58"/>
      <c r="C158" s="49"/>
      <c r="D158" s="13"/>
      <c r="E158" s="15"/>
      <c r="F158" s="9"/>
      <c r="G158" s="9"/>
      <c r="H158" s="9"/>
      <c r="I158" s="9">
        <v>44500</v>
      </c>
      <c r="J158" s="9" t="s">
        <v>769</v>
      </c>
      <c r="K158" s="9"/>
      <c r="L158" s="9"/>
      <c r="M158" s="9"/>
      <c r="N158" s="9"/>
    </row>
    <row r="159" spans="1:14" ht="19" x14ac:dyDescent="0.2">
      <c r="A159" s="61">
        <v>395000</v>
      </c>
      <c r="B159" s="58"/>
      <c r="C159" s="49" t="s">
        <v>10</v>
      </c>
      <c r="D159" s="13" t="s">
        <v>565</v>
      </c>
      <c r="E159" s="15">
        <v>253000</v>
      </c>
      <c r="F159" s="9">
        <v>142000</v>
      </c>
      <c r="G159" s="9"/>
      <c r="H159" s="9"/>
      <c r="I159" s="9">
        <v>83000</v>
      </c>
      <c r="J159" s="9" t="s">
        <v>770</v>
      </c>
      <c r="K159" s="9"/>
      <c r="L159" s="9"/>
      <c r="M159" s="9"/>
      <c r="N159" s="9"/>
    </row>
    <row r="160" spans="1:14" ht="19" x14ac:dyDescent="0.2">
      <c r="A160" s="79"/>
      <c r="B160" s="75"/>
      <c r="C160" s="35"/>
      <c r="D160" s="13"/>
      <c r="E160" s="15"/>
      <c r="F160" s="9"/>
      <c r="G160" s="9"/>
      <c r="H160" s="9"/>
      <c r="I160" s="9"/>
      <c r="J160" s="60" t="s">
        <v>772</v>
      </c>
      <c r="K160" s="9"/>
      <c r="L160" s="9"/>
      <c r="M160" s="9"/>
      <c r="N160" s="9"/>
    </row>
    <row r="161" spans="1:14" ht="19" x14ac:dyDescent="0.2">
      <c r="A161" s="61"/>
      <c r="B161" s="75"/>
      <c r="C161" s="2"/>
      <c r="D161" s="13"/>
      <c r="E161" s="15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9" x14ac:dyDescent="0.2">
      <c r="A162" s="61">
        <v>609000</v>
      </c>
      <c r="B162" s="58">
        <v>44677</v>
      </c>
      <c r="C162" s="49" t="s">
        <v>9</v>
      </c>
      <c r="D162" s="13" t="s">
        <v>405</v>
      </c>
      <c r="E162" s="15">
        <v>474000</v>
      </c>
      <c r="F162" s="9">
        <v>135000</v>
      </c>
      <c r="G162" s="9"/>
      <c r="H162" s="9"/>
      <c r="I162" s="9"/>
      <c r="J162" s="9"/>
      <c r="K162" s="9"/>
      <c r="L162" s="9"/>
      <c r="M162" s="9"/>
      <c r="N162" s="9"/>
    </row>
    <row r="163" spans="1:14" ht="19" x14ac:dyDescent="0.2">
      <c r="A163" s="74"/>
      <c r="B163" s="58"/>
      <c r="C163" s="49"/>
      <c r="D163" s="13"/>
      <c r="E163" s="15"/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19" x14ac:dyDescent="0.2">
      <c r="A164" s="74"/>
      <c r="B164" s="58"/>
      <c r="C164" s="49"/>
      <c r="D164" s="13"/>
      <c r="E164" s="15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9" x14ac:dyDescent="0.2">
      <c r="A165" s="74"/>
      <c r="B165" s="58"/>
      <c r="C165" s="49"/>
      <c r="D165" s="13"/>
      <c r="E165" s="15"/>
      <c r="F165" s="9"/>
      <c r="G165" s="9"/>
      <c r="H165" s="9"/>
      <c r="I165" s="60"/>
      <c r="J165" s="60"/>
      <c r="K165" s="9"/>
      <c r="L165" s="9"/>
      <c r="M165" s="9"/>
      <c r="N165" s="9"/>
    </row>
    <row r="166" spans="1:14" ht="19" x14ac:dyDescent="0.2">
      <c r="A166" s="61">
        <v>880000</v>
      </c>
      <c r="B166" s="75"/>
      <c r="C166" s="2" t="s">
        <v>10</v>
      </c>
      <c r="D166" s="13" t="s">
        <v>773</v>
      </c>
      <c r="E166" s="15">
        <v>785000</v>
      </c>
      <c r="F166" s="9">
        <v>95000</v>
      </c>
      <c r="G166" s="9"/>
      <c r="H166" s="9"/>
      <c r="I166" s="9">
        <v>50000</v>
      </c>
      <c r="J166" s="9" t="s">
        <v>206</v>
      </c>
      <c r="K166" s="9"/>
      <c r="L166" s="9"/>
      <c r="M166" s="9"/>
      <c r="N166" s="9"/>
    </row>
    <row r="167" spans="1:14" ht="19" x14ac:dyDescent="0.2">
      <c r="A167" s="74"/>
      <c r="B167" s="75"/>
      <c r="C167" s="35"/>
      <c r="D167" s="13"/>
      <c r="E167" s="15"/>
      <c r="F167" s="9"/>
      <c r="G167" s="9"/>
      <c r="H167" s="9"/>
      <c r="I167" s="9"/>
      <c r="J167" s="9"/>
      <c r="K167" s="9"/>
      <c r="L167" s="9"/>
      <c r="M167" s="9"/>
      <c r="N167" s="9"/>
    </row>
    <row r="168" spans="1:14" ht="19" x14ac:dyDescent="0.2">
      <c r="A168" s="61">
        <v>765000</v>
      </c>
      <c r="B168" s="58">
        <v>44678</v>
      </c>
      <c r="C168" s="3" t="s">
        <v>9</v>
      </c>
      <c r="D168" s="13" t="s">
        <v>405</v>
      </c>
      <c r="E168" s="9">
        <v>638000</v>
      </c>
      <c r="F168" s="9">
        <v>127000</v>
      </c>
      <c r="G168" s="9"/>
      <c r="H168" s="9"/>
      <c r="I168" s="9">
        <v>26000</v>
      </c>
      <c r="J168" s="9" t="s">
        <v>672</v>
      </c>
      <c r="K168" s="9"/>
      <c r="L168" s="9"/>
      <c r="M168" s="9"/>
      <c r="N168" s="9"/>
    </row>
    <row r="169" spans="1:14" ht="19" x14ac:dyDescent="0.2">
      <c r="A169" s="74"/>
      <c r="B169" s="58"/>
      <c r="C169" s="49"/>
      <c r="D169" s="13"/>
      <c r="E169" s="15"/>
      <c r="F169" s="9"/>
      <c r="G169" s="9"/>
      <c r="H169" s="9"/>
      <c r="I169" s="9">
        <v>39500</v>
      </c>
      <c r="J169" s="9" t="s">
        <v>774</v>
      </c>
      <c r="K169" s="9"/>
      <c r="L169" s="9"/>
      <c r="M169" s="9"/>
      <c r="N169" s="9"/>
    </row>
    <row r="170" spans="1:14" ht="19" x14ac:dyDescent="0.2">
      <c r="A170" s="74"/>
      <c r="B170" s="58"/>
      <c r="C170" s="49"/>
      <c r="D170" s="13"/>
      <c r="E170" s="15"/>
      <c r="F170" s="9"/>
      <c r="G170" s="9"/>
      <c r="H170" s="9"/>
      <c r="I170" s="9"/>
      <c r="J170" s="9"/>
      <c r="K170" s="9"/>
      <c r="L170" s="9"/>
      <c r="M170" s="9"/>
      <c r="N170" s="9"/>
    </row>
    <row r="171" spans="1:14" ht="19" x14ac:dyDescent="0.2">
      <c r="A171" s="74"/>
      <c r="B171" s="58"/>
      <c r="C171" s="49"/>
      <c r="D171" s="13"/>
      <c r="E171" s="15"/>
      <c r="F171" s="9"/>
      <c r="G171" s="9"/>
      <c r="H171" s="9"/>
      <c r="I171" s="9"/>
      <c r="J171" s="9"/>
      <c r="K171" s="9"/>
      <c r="L171" s="9"/>
      <c r="M171" s="9"/>
      <c r="N171" s="9"/>
    </row>
    <row r="172" spans="1:14" ht="19" x14ac:dyDescent="0.2">
      <c r="A172" s="74"/>
      <c r="B172" s="58"/>
      <c r="C172" s="49"/>
      <c r="D172" s="13"/>
      <c r="E172" s="15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9" x14ac:dyDescent="0.2">
      <c r="A173" s="61">
        <v>456000</v>
      </c>
      <c r="B173" s="75"/>
      <c r="C173" s="2" t="s">
        <v>10</v>
      </c>
      <c r="D173" s="13" t="s">
        <v>565</v>
      </c>
      <c r="E173" s="9">
        <v>372000</v>
      </c>
      <c r="F173" s="9">
        <v>84000</v>
      </c>
      <c r="G173" s="9"/>
      <c r="H173" s="9"/>
      <c r="I173" s="9">
        <v>80000</v>
      </c>
      <c r="J173" s="9" t="s">
        <v>775</v>
      </c>
      <c r="K173" s="9"/>
      <c r="L173" s="9"/>
      <c r="M173" s="9"/>
      <c r="N173" s="9"/>
    </row>
    <row r="174" spans="1:14" ht="19" x14ac:dyDescent="0.2">
      <c r="A174" s="61">
        <v>892000</v>
      </c>
      <c r="B174" s="58">
        <v>44679</v>
      </c>
      <c r="C174" s="2" t="s">
        <v>9</v>
      </c>
      <c r="D174" s="13" t="s">
        <v>405</v>
      </c>
      <c r="E174" s="15">
        <v>703000</v>
      </c>
      <c r="F174" s="9">
        <v>189000</v>
      </c>
      <c r="G174" s="9"/>
      <c r="H174" s="9"/>
      <c r="I174" s="9"/>
      <c r="J174" s="9"/>
      <c r="K174" s="9"/>
      <c r="L174" s="9"/>
      <c r="M174" s="9"/>
      <c r="N174" s="9"/>
    </row>
    <row r="175" spans="1:14" ht="19" x14ac:dyDescent="0.2">
      <c r="A175" s="61"/>
      <c r="B175" s="75"/>
      <c r="C175" s="35"/>
      <c r="D175" s="13"/>
      <c r="E175" s="15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9" x14ac:dyDescent="0.2">
      <c r="A176" s="61"/>
      <c r="B176" s="75"/>
      <c r="C176" s="35"/>
      <c r="D176" s="13"/>
      <c r="E176" s="15"/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19" x14ac:dyDescent="0.2">
      <c r="A177" s="61"/>
      <c r="B177" s="75"/>
      <c r="C177" s="35"/>
      <c r="D177" s="13"/>
      <c r="E177" s="15"/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19" x14ac:dyDescent="0.2">
      <c r="A178" s="61"/>
      <c r="B178" s="75"/>
      <c r="C178" s="35"/>
      <c r="D178" s="13"/>
      <c r="E178" s="15"/>
      <c r="F178" s="9"/>
      <c r="G178" s="9"/>
      <c r="H178" s="9"/>
      <c r="I178" s="9"/>
      <c r="J178" s="9"/>
      <c r="K178" s="9"/>
      <c r="L178" s="9"/>
      <c r="M178" s="9"/>
      <c r="N178" s="9"/>
    </row>
    <row r="179" spans="1:14" ht="19" x14ac:dyDescent="0.2">
      <c r="A179" s="61">
        <v>419000</v>
      </c>
      <c r="B179" s="58"/>
      <c r="C179" s="49" t="s">
        <v>10</v>
      </c>
      <c r="D179" s="13" t="s">
        <v>565</v>
      </c>
      <c r="E179" s="15">
        <v>319000</v>
      </c>
      <c r="F179" s="9">
        <v>100000</v>
      </c>
      <c r="G179" s="9"/>
      <c r="H179" s="9"/>
      <c r="I179" s="60"/>
      <c r="J179" s="60"/>
      <c r="K179" s="9"/>
      <c r="L179" s="9"/>
      <c r="M179" s="9"/>
      <c r="N179" s="9"/>
    </row>
    <row r="180" spans="1:14" ht="19" x14ac:dyDescent="0.2">
      <c r="A180" s="61"/>
      <c r="B180" s="58"/>
      <c r="C180" s="49"/>
      <c r="D180" s="13"/>
      <c r="E180" s="15"/>
      <c r="F180" s="9"/>
      <c r="G180" s="9"/>
      <c r="H180" s="9"/>
      <c r="I180" s="9"/>
      <c r="J180" s="9"/>
      <c r="K180" s="9"/>
      <c r="L180" s="9"/>
      <c r="M180" s="9"/>
      <c r="N180" s="9"/>
    </row>
    <row r="181" spans="1:14" ht="19" x14ac:dyDescent="0.2">
      <c r="A181" s="61">
        <v>602000</v>
      </c>
      <c r="B181" s="58">
        <v>44680</v>
      </c>
      <c r="C181" s="49" t="s">
        <v>9</v>
      </c>
      <c r="D181" s="13" t="s">
        <v>685</v>
      </c>
      <c r="E181" s="15">
        <v>537000</v>
      </c>
      <c r="F181" s="9">
        <v>65000</v>
      </c>
      <c r="G181" s="9"/>
      <c r="H181" s="9"/>
      <c r="I181" s="9">
        <v>20000</v>
      </c>
      <c r="J181" s="9" t="s">
        <v>776</v>
      </c>
      <c r="K181" s="9"/>
      <c r="L181" s="9"/>
      <c r="M181" s="9"/>
      <c r="N181" s="9"/>
    </row>
    <row r="182" spans="1:14" ht="19" x14ac:dyDescent="0.2">
      <c r="A182" s="61"/>
      <c r="B182" s="58"/>
      <c r="C182" s="49"/>
      <c r="D182" s="13"/>
      <c r="E182" s="15"/>
      <c r="F182" s="9"/>
      <c r="G182" s="9"/>
      <c r="H182" s="9"/>
      <c r="I182" s="9">
        <v>26000</v>
      </c>
      <c r="J182" s="9" t="s">
        <v>672</v>
      </c>
      <c r="K182" s="9"/>
      <c r="L182" s="9"/>
      <c r="M182" s="9"/>
      <c r="N182" s="9"/>
    </row>
    <row r="183" spans="1:14" ht="19" x14ac:dyDescent="0.2">
      <c r="A183" s="61"/>
      <c r="B183" s="58"/>
      <c r="C183" s="49"/>
      <c r="D183" s="13"/>
      <c r="E183" s="15"/>
      <c r="F183" s="9"/>
      <c r="G183" s="9"/>
      <c r="H183" s="9"/>
      <c r="I183" s="9">
        <v>32000</v>
      </c>
      <c r="J183" s="9" t="s">
        <v>640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9"/>
      <c r="J184" s="9"/>
      <c r="K184" s="9"/>
      <c r="L184" s="9"/>
      <c r="M184" s="9"/>
      <c r="N184" s="9"/>
    </row>
    <row r="185" spans="1:14" ht="19" x14ac:dyDescent="0.2">
      <c r="A185" s="61">
        <v>747000</v>
      </c>
      <c r="B185" s="58"/>
      <c r="C185" s="49" t="s">
        <v>10</v>
      </c>
      <c r="D185" s="13" t="s">
        <v>565</v>
      </c>
      <c r="E185" s="15">
        <v>699000</v>
      </c>
      <c r="F185" s="9">
        <v>48000</v>
      </c>
      <c r="G185" s="9">
        <v>4972000</v>
      </c>
      <c r="H185" s="9" t="s">
        <v>777</v>
      </c>
      <c r="I185" s="9"/>
      <c r="J185" s="9"/>
      <c r="K185" s="9"/>
      <c r="L185" s="9"/>
      <c r="M185" s="9"/>
      <c r="N185" s="9"/>
    </row>
    <row r="186" spans="1:14" ht="19" x14ac:dyDescent="0.2">
      <c r="A186" s="61">
        <v>919000</v>
      </c>
      <c r="B186" s="58">
        <v>44681</v>
      </c>
      <c r="C186" s="2" t="s">
        <v>9</v>
      </c>
      <c r="D186" s="13" t="s">
        <v>405</v>
      </c>
      <c r="E186" s="15">
        <v>804000</v>
      </c>
      <c r="F186" s="9">
        <v>115000</v>
      </c>
      <c r="G186" s="9">
        <v>1440000</v>
      </c>
      <c r="H186" s="9" t="s">
        <v>709</v>
      </c>
      <c r="I186" s="9">
        <v>271500</v>
      </c>
      <c r="J186" s="9" t="s">
        <v>781</v>
      </c>
      <c r="K186" s="9"/>
      <c r="L186" s="9"/>
      <c r="M186" s="9"/>
      <c r="N186" s="9"/>
    </row>
    <row r="187" spans="1:14" ht="19" x14ac:dyDescent="0.2">
      <c r="A187" s="61"/>
      <c r="B187" s="75"/>
      <c r="C187" s="35"/>
      <c r="D187" s="13"/>
      <c r="E187" s="15"/>
      <c r="F187" s="9"/>
      <c r="G187" s="9"/>
      <c r="H187" s="9"/>
      <c r="I187" s="9">
        <v>22500</v>
      </c>
      <c r="J187" s="9" t="s">
        <v>782</v>
      </c>
      <c r="K187" s="9"/>
      <c r="L187" s="9"/>
      <c r="M187" s="9"/>
      <c r="N187" s="9"/>
    </row>
    <row r="188" spans="1:14" ht="19" x14ac:dyDescent="0.2">
      <c r="A188" s="74"/>
      <c r="B188" s="75"/>
      <c r="C188" s="35"/>
      <c r="D188" s="13"/>
      <c r="E188" s="15"/>
      <c r="F188" s="9"/>
      <c r="G188" s="9"/>
      <c r="H188" s="9"/>
      <c r="I188" s="9"/>
      <c r="J188" s="9"/>
      <c r="K188" s="9"/>
      <c r="L188" s="9"/>
      <c r="M188" s="9"/>
      <c r="N188" s="9"/>
    </row>
    <row r="189" spans="1:14" ht="19" x14ac:dyDescent="0.2">
      <c r="A189" s="61">
        <v>940000</v>
      </c>
      <c r="B189" s="75"/>
      <c r="C189" s="35" t="s">
        <v>10</v>
      </c>
      <c r="D189" s="13" t="s">
        <v>565</v>
      </c>
      <c r="E189" s="15">
        <v>753000</v>
      </c>
      <c r="F189" s="9">
        <v>187000</v>
      </c>
      <c r="G189" s="9">
        <v>1440000</v>
      </c>
      <c r="H189" s="9" t="s">
        <v>778</v>
      </c>
      <c r="I189" s="9">
        <v>42000</v>
      </c>
      <c r="J189" s="9" t="s">
        <v>783</v>
      </c>
      <c r="K189" s="9"/>
      <c r="L189" s="9"/>
      <c r="M189" s="9"/>
      <c r="N189" s="9"/>
    </row>
    <row r="190" spans="1:14" ht="19" x14ac:dyDescent="0.2">
      <c r="A190" s="61"/>
      <c r="B190" s="58"/>
      <c r="C190" s="35"/>
      <c r="D190" s="13"/>
      <c r="E190" s="15"/>
      <c r="F190" s="9"/>
      <c r="G190" s="9">
        <v>120000</v>
      </c>
      <c r="H190" s="9" t="s">
        <v>779</v>
      </c>
      <c r="I190" s="9">
        <v>27000</v>
      </c>
      <c r="J190" s="9" t="s">
        <v>784</v>
      </c>
      <c r="K190" s="9"/>
      <c r="L190" s="9"/>
      <c r="M190" s="9"/>
      <c r="N190" s="9"/>
    </row>
    <row r="191" spans="1:14" ht="19" x14ac:dyDescent="0.2">
      <c r="A191" s="61"/>
      <c r="B191" s="58"/>
      <c r="C191" s="35"/>
      <c r="D191" s="13"/>
      <c r="E191" s="15"/>
      <c r="F191" s="9"/>
      <c r="G191" s="9">
        <v>600000</v>
      </c>
      <c r="H191" s="9" t="s">
        <v>780</v>
      </c>
      <c r="I191" s="9">
        <v>4000</v>
      </c>
      <c r="J191" s="9" t="s">
        <v>681</v>
      </c>
      <c r="K191" s="9"/>
      <c r="L191" s="9"/>
      <c r="M191" s="9"/>
      <c r="N191" s="9"/>
    </row>
    <row r="192" spans="1:14" ht="19" x14ac:dyDescent="0.2">
      <c r="A192" s="61"/>
      <c r="B192" s="75"/>
      <c r="C192" s="35"/>
      <c r="D192" s="13"/>
      <c r="E192" s="15"/>
      <c r="F192" s="9"/>
      <c r="G192" s="9"/>
      <c r="H192" s="9"/>
      <c r="I192" s="9"/>
      <c r="J192" s="9"/>
      <c r="K192" s="9"/>
      <c r="L192" s="9"/>
      <c r="M192" s="10"/>
      <c r="N192" s="10"/>
    </row>
    <row r="193" spans="1:14" ht="19" x14ac:dyDescent="0.2">
      <c r="A193" s="61"/>
      <c r="B193" s="75"/>
      <c r="C193" s="35"/>
      <c r="D193" s="13"/>
      <c r="E193" s="15"/>
      <c r="F193" s="9"/>
      <c r="G193" s="9">
        <v>1000000</v>
      </c>
      <c r="H193" s="9" t="s">
        <v>785</v>
      </c>
      <c r="I193" s="9"/>
      <c r="J193" s="9"/>
      <c r="K193" s="9"/>
      <c r="L193" s="9"/>
      <c r="M193" s="10"/>
      <c r="N193" s="10"/>
    </row>
    <row r="194" spans="1:14" ht="19" x14ac:dyDescent="0.2">
      <c r="A194" s="61"/>
      <c r="B194" s="75"/>
      <c r="C194" s="35"/>
      <c r="D194" s="13"/>
      <c r="E194" s="15"/>
      <c r="F194" s="9"/>
      <c r="G194" s="9"/>
      <c r="H194" s="9"/>
      <c r="I194" s="9"/>
      <c r="J194" s="9"/>
      <c r="K194" s="9"/>
      <c r="L194" s="9"/>
      <c r="M194" s="10"/>
      <c r="N194" s="10"/>
    </row>
    <row r="195" spans="1:14" ht="19" x14ac:dyDescent="0.2">
      <c r="A195" s="61"/>
      <c r="B195" s="75"/>
      <c r="C195" s="35"/>
      <c r="D195" s="13"/>
      <c r="E195" s="15"/>
      <c r="F195" s="9"/>
      <c r="G195" s="9"/>
      <c r="H195" s="60"/>
      <c r="I195" s="9"/>
      <c r="J195" s="9"/>
      <c r="K195" s="9"/>
      <c r="L195" s="9"/>
      <c r="M195" s="10"/>
      <c r="N195" s="10"/>
    </row>
    <row r="196" spans="1:14" ht="19" x14ac:dyDescent="0.2">
      <c r="A196" s="61"/>
      <c r="B196" s="75"/>
      <c r="C196" s="35"/>
      <c r="D196" s="13"/>
      <c r="E196" s="15"/>
      <c r="F196" s="9"/>
      <c r="G196" s="9"/>
      <c r="H196" s="9"/>
      <c r="I196" s="9"/>
      <c r="J196" s="9"/>
      <c r="K196" s="9"/>
      <c r="L196" s="9"/>
      <c r="M196" s="10"/>
      <c r="N196" s="10"/>
    </row>
    <row r="197" spans="1:14" ht="19" x14ac:dyDescent="0.2">
      <c r="A197" s="61"/>
      <c r="B197" s="75"/>
      <c r="C197" s="35"/>
      <c r="D197" s="13"/>
      <c r="E197" s="15"/>
      <c r="F197" s="9"/>
      <c r="G197" s="9"/>
      <c r="H197" s="9"/>
      <c r="I197" s="9"/>
      <c r="J197" s="9"/>
      <c r="K197" s="9"/>
      <c r="L197" s="9"/>
      <c r="M197" s="10"/>
      <c r="N197" s="10"/>
    </row>
    <row r="198" spans="1:14" ht="19" x14ac:dyDescent="0.2">
      <c r="A198" s="61"/>
      <c r="B198" s="75"/>
      <c r="C198" s="35"/>
      <c r="D198" s="13"/>
      <c r="E198" s="15"/>
      <c r="F198" s="9"/>
      <c r="G198" s="9"/>
      <c r="H198" s="9"/>
      <c r="I198" s="9"/>
      <c r="J198" s="9"/>
      <c r="K198" s="9"/>
      <c r="L198" s="9"/>
      <c r="M198" s="10"/>
      <c r="N198" s="10"/>
    </row>
    <row r="199" spans="1:14" ht="19" x14ac:dyDescent="0.2">
      <c r="A199" s="80"/>
      <c r="B199" s="81"/>
      <c r="C199" s="82"/>
      <c r="D199" s="83"/>
      <c r="E199" s="84"/>
      <c r="F199" s="10"/>
      <c r="G199" s="10"/>
      <c r="H199" s="10"/>
      <c r="I199" s="10"/>
      <c r="J199" s="10"/>
      <c r="K199" s="10"/>
      <c r="L199" s="10"/>
      <c r="M199" s="10"/>
      <c r="N199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213"/>
  <sheetViews>
    <sheetView zoomScale="66" zoomScaleNormal="66" workbookViewId="0">
      <selection activeCell="F7" sqref="F7"/>
    </sheetView>
  </sheetViews>
  <sheetFormatPr baseColWidth="10" defaultColWidth="8.83203125" defaultRowHeight="15" x14ac:dyDescent="0.2"/>
  <cols>
    <col min="1" max="1" width="23.83203125" customWidth="1"/>
    <col min="2" max="2" width="16" customWidth="1"/>
    <col min="3" max="3" width="19.1640625" customWidth="1"/>
    <col min="4" max="4" width="17" customWidth="1"/>
    <col min="5" max="5" width="23.83203125" customWidth="1"/>
    <col min="6" max="6" width="23.33203125" customWidth="1"/>
    <col min="7" max="7" width="23" customWidth="1"/>
    <col min="8" max="8" width="29" customWidth="1"/>
    <col min="9" max="9" width="25.5" customWidth="1"/>
    <col min="10" max="10" width="34.1640625" customWidth="1"/>
  </cols>
  <sheetData>
    <row r="2" spans="1:10" x14ac:dyDescent="0.2">
      <c r="I2" s="116"/>
      <c r="J2" s="117"/>
    </row>
    <row r="3" spans="1:10" ht="21" x14ac:dyDescent="0.2">
      <c r="A3" t="s">
        <v>250</v>
      </c>
      <c r="G3" s="73"/>
      <c r="H3" s="71" t="s">
        <v>174</v>
      </c>
      <c r="I3" s="71" t="e">
        <f>J2/A10</f>
        <v>#REF!</v>
      </c>
    </row>
    <row r="4" spans="1:10" ht="21" x14ac:dyDescent="0.2">
      <c r="F4" s="306" t="s">
        <v>516</v>
      </c>
      <c r="G4" s="307"/>
      <c r="H4" s="71" t="s">
        <v>175</v>
      </c>
      <c r="I4" s="71">
        <v>2001160</v>
      </c>
      <c r="J4" s="72">
        <f>I4/10820</f>
        <v>184.95009242144178</v>
      </c>
    </row>
    <row r="5" spans="1:10" ht="24" x14ac:dyDescent="0.3">
      <c r="B5" s="99" t="s">
        <v>1324</v>
      </c>
      <c r="G5" s="73"/>
      <c r="H5" s="71" t="s">
        <v>176</v>
      </c>
      <c r="I5" s="71">
        <v>857640</v>
      </c>
      <c r="J5" s="72">
        <f>I5/10820</f>
        <v>79.264325323475049</v>
      </c>
    </row>
    <row r="6" spans="1:10" ht="24" x14ac:dyDescent="0.3">
      <c r="B6" s="99" t="s">
        <v>1325</v>
      </c>
      <c r="G6" s="73"/>
      <c r="H6" s="71" t="s">
        <v>178</v>
      </c>
      <c r="I6" s="71"/>
      <c r="J6" s="72"/>
    </row>
    <row r="7" spans="1:10" ht="24" x14ac:dyDescent="0.3">
      <c r="B7" s="118" t="s">
        <v>1326</v>
      </c>
    </row>
    <row r="9" spans="1:10" ht="27.75" customHeight="1" x14ac:dyDescent="0.2">
      <c r="A9" s="108" t="s">
        <v>0</v>
      </c>
      <c r="B9" s="125" t="s">
        <v>6</v>
      </c>
      <c r="C9" s="126" t="s">
        <v>5</v>
      </c>
      <c r="D9" s="127" t="s">
        <v>7</v>
      </c>
      <c r="E9" s="128" t="s">
        <v>4</v>
      </c>
      <c r="F9" s="129" t="s">
        <v>2</v>
      </c>
      <c r="G9" s="129" t="s">
        <v>8</v>
      </c>
      <c r="H9" s="129" t="s">
        <v>11</v>
      </c>
      <c r="I9" s="129" t="s">
        <v>3</v>
      </c>
      <c r="J9" s="130" t="s">
        <v>12</v>
      </c>
    </row>
    <row r="10" spans="1:10" ht="21" x14ac:dyDescent="0.2">
      <c r="A10" s="64" t="e">
        <f>SUM(A11:A215)</f>
        <v>#REF!</v>
      </c>
      <c r="B10" s="65"/>
      <c r="C10" s="66" t="s">
        <v>13</v>
      </c>
      <c r="D10" s="67"/>
      <c r="E10" s="68">
        <f>SUM(E11:E213)</f>
        <v>33553000</v>
      </c>
      <c r="F10" s="69">
        <f>SUM(F11:F212)</f>
        <v>5585000</v>
      </c>
      <c r="G10" s="69">
        <f>SUM(G11:G212)</f>
        <v>24489000</v>
      </c>
      <c r="H10" s="69"/>
      <c r="I10" s="69">
        <f>SUM(I11:I213)</f>
        <v>8045200</v>
      </c>
      <c r="J10" s="71"/>
    </row>
    <row r="11" spans="1:10" ht="19" x14ac:dyDescent="0.2">
      <c r="A11" s="61" t="e">
        <f>[1]!Таблица134567891210[[#This Row],[Нал]]+E18+F18</f>
        <v>#REF!</v>
      </c>
      <c r="B11" s="58">
        <v>44743</v>
      </c>
      <c r="C11" s="3" t="s">
        <v>440</v>
      </c>
      <c r="D11" s="13" t="s">
        <v>405</v>
      </c>
      <c r="E11" s="9">
        <v>677000</v>
      </c>
      <c r="F11" s="9"/>
      <c r="G11" s="9"/>
      <c r="H11" s="9"/>
      <c r="I11" s="9">
        <v>24000</v>
      </c>
      <c r="J11" s="44" t="s">
        <v>1327</v>
      </c>
    </row>
    <row r="12" spans="1:10" ht="32" x14ac:dyDescent="0.2">
      <c r="A12" s="74"/>
      <c r="B12" s="58"/>
      <c r="C12" s="49"/>
      <c r="D12" s="13"/>
      <c r="E12" s="15"/>
      <c r="F12" s="9"/>
      <c r="G12" s="9"/>
      <c r="H12" s="9"/>
      <c r="I12" s="9">
        <v>29000</v>
      </c>
      <c r="J12" s="131" t="s">
        <v>1328</v>
      </c>
    </row>
    <row r="13" spans="1:10" ht="19" x14ac:dyDescent="0.2">
      <c r="A13" s="74"/>
      <c r="B13" s="58"/>
      <c r="C13" s="49"/>
      <c r="D13" s="13"/>
      <c r="E13" s="15"/>
      <c r="F13" s="9"/>
      <c r="G13" s="9"/>
      <c r="H13" s="9"/>
      <c r="I13" s="9">
        <v>124500</v>
      </c>
      <c r="J13" s="44" t="s">
        <v>703</v>
      </c>
    </row>
    <row r="14" spans="1:10" ht="19" x14ac:dyDescent="0.2">
      <c r="A14" s="74"/>
      <c r="B14" s="58"/>
      <c r="C14" s="49"/>
      <c r="D14" s="13"/>
      <c r="E14" s="15"/>
      <c r="F14" s="9"/>
      <c r="G14" s="9"/>
      <c r="H14" s="9"/>
      <c r="I14" s="9">
        <v>41000</v>
      </c>
      <c r="J14" s="44" t="s">
        <v>1329</v>
      </c>
    </row>
    <row r="15" spans="1:10" ht="19" x14ac:dyDescent="0.2">
      <c r="A15" s="74"/>
      <c r="B15" s="58"/>
      <c r="C15" s="49"/>
      <c r="D15" s="13"/>
      <c r="E15" s="15"/>
      <c r="F15" s="9"/>
      <c r="G15" s="9"/>
      <c r="H15" s="9"/>
      <c r="I15" s="9">
        <v>200000</v>
      </c>
      <c r="J15" s="44" t="s">
        <v>1330</v>
      </c>
    </row>
    <row r="16" spans="1:10" ht="19" x14ac:dyDescent="0.2">
      <c r="A16" s="74"/>
      <c r="B16" s="58"/>
      <c r="C16" s="49"/>
      <c r="D16" s="13"/>
      <c r="E16" s="15"/>
      <c r="F16" s="9"/>
      <c r="G16" s="9"/>
      <c r="H16" s="9"/>
      <c r="I16" s="9">
        <v>50000</v>
      </c>
      <c r="J16" s="44" t="s">
        <v>1331</v>
      </c>
    </row>
    <row r="17" spans="1:10" ht="19" x14ac:dyDescent="0.2">
      <c r="A17" s="74"/>
      <c r="B17" s="58"/>
      <c r="C17" s="49"/>
      <c r="D17" s="13"/>
      <c r="E17" s="15"/>
      <c r="F17" s="9"/>
      <c r="G17" s="9"/>
      <c r="H17" s="9"/>
      <c r="I17" s="9">
        <v>35000</v>
      </c>
      <c r="J17" s="44" t="s">
        <v>655</v>
      </c>
    </row>
    <row r="18" spans="1:10" ht="19" x14ac:dyDescent="0.2">
      <c r="A18" s="74"/>
      <c r="B18" s="58"/>
      <c r="C18" s="49" t="s">
        <v>363</v>
      </c>
      <c r="D18" s="13" t="s">
        <v>565</v>
      </c>
      <c r="E18" s="15">
        <v>598000</v>
      </c>
      <c r="F18" s="9">
        <v>76000</v>
      </c>
      <c r="G18" s="9"/>
      <c r="H18" s="9"/>
      <c r="I18" s="9">
        <v>80000</v>
      </c>
      <c r="J18" s="44" t="s">
        <v>651</v>
      </c>
    </row>
    <row r="19" spans="1:10" ht="19" x14ac:dyDescent="0.2">
      <c r="A19" s="74"/>
      <c r="B19" s="58"/>
      <c r="C19" s="49"/>
      <c r="D19" s="13"/>
      <c r="E19" s="15"/>
      <c r="F19" s="9"/>
      <c r="G19" s="9"/>
      <c r="H19" s="9"/>
      <c r="I19" s="9">
        <v>144000</v>
      </c>
      <c r="J19" s="44" t="s">
        <v>615</v>
      </c>
    </row>
    <row r="20" spans="1:10" ht="19" x14ac:dyDescent="0.2">
      <c r="A20" s="61" t="e">
        <f>[1]!Таблица134567891210[[#This Row],[Нал]]+[1]!Таблица134567891210[[#This Row],[Терминал]]+E27</f>
        <v>#REF!</v>
      </c>
      <c r="B20" s="58">
        <v>44744</v>
      </c>
      <c r="C20" s="35" t="s">
        <v>9</v>
      </c>
      <c r="D20" s="13" t="s">
        <v>405</v>
      </c>
      <c r="E20" s="15">
        <v>892000</v>
      </c>
      <c r="F20" s="9">
        <v>152000</v>
      </c>
      <c r="G20" s="60"/>
      <c r="H20" s="60"/>
      <c r="I20" s="9"/>
      <c r="J20" s="44"/>
    </row>
    <row r="21" spans="1:10" ht="19" x14ac:dyDescent="0.2">
      <c r="A21" s="74"/>
      <c r="B21" s="58"/>
      <c r="C21" s="35"/>
      <c r="D21" s="13"/>
      <c r="E21" s="15"/>
      <c r="F21" s="9"/>
      <c r="G21" s="9"/>
      <c r="H21" s="9"/>
      <c r="I21" s="9">
        <v>114000</v>
      </c>
      <c r="J21" s="44" t="s">
        <v>1332</v>
      </c>
    </row>
    <row r="22" spans="1:10" ht="19" x14ac:dyDescent="0.2">
      <c r="A22" s="74"/>
      <c r="B22" s="58"/>
      <c r="C22" s="35"/>
      <c r="D22" s="13"/>
      <c r="E22" s="15"/>
      <c r="F22" s="9"/>
      <c r="G22" s="9"/>
      <c r="H22" s="9"/>
      <c r="I22" s="9">
        <v>17000</v>
      </c>
      <c r="J22" s="44" t="s">
        <v>1333</v>
      </c>
    </row>
    <row r="23" spans="1:10" ht="19" x14ac:dyDescent="0.2">
      <c r="A23" s="74"/>
      <c r="B23" s="58"/>
      <c r="C23" s="35"/>
      <c r="D23" s="13"/>
      <c r="E23" s="15"/>
      <c r="F23" s="9"/>
      <c r="G23" s="9"/>
      <c r="H23" s="9"/>
      <c r="I23" s="9">
        <v>54000</v>
      </c>
      <c r="J23" s="44" t="s">
        <v>1334</v>
      </c>
    </row>
    <row r="24" spans="1:10" ht="19" x14ac:dyDescent="0.2">
      <c r="A24" s="74"/>
      <c r="B24" s="58"/>
      <c r="C24" s="35"/>
      <c r="D24" s="13"/>
      <c r="E24" s="15"/>
      <c r="F24" s="9"/>
      <c r="G24" s="9"/>
      <c r="H24" s="9"/>
      <c r="I24" s="9">
        <v>65000</v>
      </c>
      <c r="J24" s="44" t="s">
        <v>1335</v>
      </c>
    </row>
    <row r="25" spans="1:10" ht="19" x14ac:dyDescent="0.2">
      <c r="A25" s="74"/>
      <c r="B25" s="58"/>
      <c r="C25" s="35"/>
      <c r="D25" s="13"/>
      <c r="E25" s="15"/>
      <c r="F25" s="9"/>
      <c r="G25" s="9"/>
      <c r="H25" s="9"/>
      <c r="I25" s="9">
        <v>87500</v>
      </c>
      <c r="J25" s="44" t="s">
        <v>1336</v>
      </c>
    </row>
    <row r="26" spans="1:10" ht="19" x14ac:dyDescent="0.2">
      <c r="A26" s="74"/>
      <c r="B26" s="58"/>
      <c r="C26" s="35"/>
      <c r="D26" s="13"/>
      <c r="E26" s="15"/>
      <c r="F26" s="9"/>
      <c r="G26" s="9"/>
      <c r="H26" s="9"/>
      <c r="I26" s="60"/>
      <c r="J26" s="121"/>
    </row>
    <row r="27" spans="1:10" ht="19" x14ac:dyDescent="0.2">
      <c r="A27" s="61"/>
      <c r="B27" s="58"/>
      <c r="C27" s="3" t="s">
        <v>10</v>
      </c>
      <c r="D27" s="13" t="s">
        <v>565</v>
      </c>
      <c r="E27" s="9">
        <v>733000</v>
      </c>
      <c r="F27" s="9"/>
      <c r="G27" s="9"/>
      <c r="H27" s="9"/>
      <c r="I27" s="9">
        <v>38000</v>
      </c>
      <c r="J27" s="44" t="s">
        <v>640</v>
      </c>
    </row>
    <row r="28" spans="1:10" ht="19" x14ac:dyDescent="0.2">
      <c r="A28" s="61">
        <v>1026000</v>
      </c>
      <c r="B28" s="58">
        <v>44745</v>
      </c>
      <c r="C28" s="49" t="s">
        <v>360</v>
      </c>
      <c r="D28" s="13" t="s">
        <v>773</v>
      </c>
      <c r="E28" s="15">
        <v>920000</v>
      </c>
      <c r="F28" s="9">
        <v>106000</v>
      </c>
      <c r="G28" s="9"/>
      <c r="H28" s="9"/>
      <c r="I28" s="9">
        <v>50000</v>
      </c>
      <c r="J28" s="44" t="s">
        <v>59</v>
      </c>
    </row>
    <row r="29" spans="1:10" ht="19" x14ac:dyDescent="0.2">
      <c r="A29" s="74"/>
      <c r="B29" s="58"/>
      <c r="C29" s="49"/>
      <c r="D29" s="13"/>
      <c r="E29" s="15"/>
      <c r="F29" s="9"/>
      <c r="G29" s="9"/>
      <c r="H29" s="9"/>
      <c r="I29" s="9"/>
      <c r="J29" s="44"/>
    </row>
    <row r="30" spans="1:10" ht="19" x14ac:dyDescent="0.2">
      <c r="A30" s="61"/>
      <c r="B30" s="58"/>
      <c r="C30" s="3"/>
      <c r="D30" s="13"/>
      <c r="E30" s="9"/>
      <c r="F30" s="9"/>
      <c r="G30" s="9"/>
      <c r="H30" s="9"/>
      <c r="I30" s="9"/>
      <c r="J30" s="44"/>
    </row>
    <row r="31" spans="1:10" ht="19" x14ac:dyDescent="0.2">
      <c r="A31" s="61" t="e">
        <f>[1]!Таблица134567891210[[#This Row],[Нал]]+[1]!Таблица134567891210[[#This Row],[Терминал]]+E36</f>
        <v>#REF!</v>
      </c>
      <c r="B31" s="58">
        <v>44746</v>
      </c>
      <c r="C31" s="49" t="s">
        <v>9</v>
      </c>
      <c r="D31" s="13" t="s">
        <v>405</v>
      </c>
      <c r="E31" s="15">
        <v>640000</v>
      </c>
      <c r="F31" s="9">
        <v>167000</v>
      </c>
      <c r="G31" s="9"/>
      <c r="H31" s="9"/>
      <c r="I31" s="9">
        <v>620000</v>
      </c>
      <c r="J31" s="44" t="s">
        <v>117</v>
      </c>
    </row>
    <row r="32" spans="1:10" ht="19" x14ac:dyDescent="0.2">
      <c r="A32" s="61"/>
      <c r="B32" s="75"/>
      <c r="C32" s="2"/>
      <c r="D32" s="13"/>
      <c r="E32" s="9"/>
      <c r="F32" s="9"/>
      <c r="G32" s="9"/>
      <c r="H32" s="9"/>
      <c r="I32" s="9">
        <v>60000</v>
      </c>
      <c r="J32" s="44" t="s">
        <v>585</v>
      </c>
    </row>
    <row r="33" spans="1:10" ht="19" x14ac:dyDescent="0.2">
      <c r="A33" s="74"/>
      <c r="B33" s="32"/>
      <c r="C33" s="3"/>
      <c r="D33" s="13"/>
      <c r="E33" s="9"/>
      <c r="F33" s="9"/>
      <c r="G33" s="9"/>
      <c r="H33" s="9"/>
      <c r="I33" s="9">
        <v>32000</v>
      </c>
      <c r="J33" s="44" t="s">
        <v>1337</v>
      </c>
    </row>
    <row r="34" spans="1:10" ht="19" x14ac:dyDescent="0.2">
      <c r="A34" s="74"/>
      <c r="B34" s="58"/>
      <c r="C34" s="49"/>
      <c r="D34" s="13"/>
      <c r="E34" s="15"/>
      <c r="F34" s="9"/>
      <c r="G34" s="9"/>
      <c r="H34" s="9"/>
      <c r="I34" s="9">
        <v>23500</v>
      </c>
      <c r="J34" s="44" t="s">
        <v>1338</v>
      </c>
    </row>
    <row r="35" spans="1:10" ht="19" x14ac:dyDescent="0.2">
      <c r="A35" s="74"/>
      <c r="B35" s="58"/>
      <c r="C35" s="49"/>
      <c r="D35" s="13"/>
      <c r="E35" s="15"/>
      <c r="F35" s="9"/>
      <c r="G35" s="9"/>
      <c r="H35" s="9"/>
      <c r="I35" s="9">
        <v>29000</v>
      </c>
      <c r="J35" s="44" t="s">
        <v>1339</v>
      </c>
    </row>
    <row r="36" spans="1:10" ht="19" x14ac:dyDescent="0.2">
      <c r="A36" s="74"/>
      <c r="B36" s="32"/>
      <c r="C36" s="49" t="s">
        <v>10</v>
      </c>
      <c r="D36" s="13" t="s">
        <v>565</v>
      </c>
      <c r="E36" s="15">
        <v>385000</v>
      </c>
      <c r="F36" s="9"/>
      <c r="G36" s="9"/>
      <c r="H36" s="9"/>
      <c r="I36" s="9">
        <v>26000</v>
      </c>
      <c r="J36" s="44" t="s">
        <v>672</v>
      </c>
    </row>
    <row r="37" spans="1:10" ht="19" x14ac:dyDescent="0.2">
      <c r="A37" s="74"/>
      <c r="B37" s="58"/>
      <c r="C37" s="49"/>
      <c r="D37" s="13"/>
      <c r="E37" s="15"/>
      <c r="F37" s="9"/>
      <c r="G37" s="9"/>
      <c r="H37" s="9"/>
      <c r="I37" s="9"/>
      <c r="J37" s="44"/>
    </row>
    <row r="38" spans="1:10" ht="19" x14ac:dyDescent="0.2">
      <c r="A38" s="74"/>
      <c r="B38" s="58"/>
      <c r="C38" s="49"/>
      <c r="D38" s="13"/>
      <c r="E38" s="15"/>
      <c r="F38" s="9"/>
      <c r="G38" s="9"/>
      <c r="H38" s="9"/>
      <c r="I38" s="9"/>
      <c r="J38" s="44"/>
    </row>
    <row r="39" spans="1:10" ht="19" x14ac:dyDescent="0.2">
      <c r="A39" s="74" t="e">
        <f>[1]!Таблица134567891210[[#This Row],[Нал]]+[1]!Таблица134567891210[[#This Row],[Терминал]]+E41+F41</f>
        <v>#REF!</v>
      </c>
      <c r="B39" s="32">
        <v>44747</v>
      </c>
      <c r="C39" s="49" t="s">
        <v>9</v>
      </c>
      <c r="D39" s="13" t="s">
        <v>405</v>
      </c>
      <c r="E39" s="15">
        <v>895000</v>
      </c>
      <c r="F39" s="9">
        <v>88000</v>
      </c>
      <c r="G39" s="9"/>
      <c r="H39" s="9"/>
      <c r="I39" s="9"/>
      <c r="J39" s="44"/>
    </row>
    <row r="40" spans="1:10" ht="19" x14ac:dyDescent="0.2">
      <c r="A40" s="74"/>
      <c r="B40" s="58"/>
      <c r="C40" s="49"/>
      <c r="D40" s="13"/>
      <c r="E40" s="15"/>
      <c r="F40" s="9"/>
      <c r="G40" s="9"/>
      <c r="H40" s="9"/>
      <c r="I40" s="9"/>
      <c r="J40" s="44"/>
    </row>
    <row r="41" spans="1:10" ht="19" x14ac:dyDescent="0.2">
      <c r="A41" s="61"/>
      <c r="B41" s="58"/>
      <c r="C41" s="49" t="s">
        <v>10</v>
      </c>
      <c r="D41" s="13" t="s">
        <v>565</v>
      </c>
      <c r="E41" s="15">
        <v>430000</v>
      </c>
      <c r="F41" s="9">
        <v>159000</v>
      </c>
      <c r="G41" s="9"/>
      <c r="H41" s="9"/>
      <c r="I41" s="9"/>
      <c r="J41" s="44"/>
    </row>
    <row r="42" spans="1:10" ht="19" x14ac:dyDescent="0.2">
      <c r="A42" s="61"/>
      <c r="B42" s="58"/>
      <c r="C42" s="49"/>
      <c r="D42" s="13"/>
      <c r="E42" s="15"/>
      <c r="F42" s="9"/>
      <c r="G42" s="9"/>
      <c r="H42" s="9"/>
      <c r="I42" s="9"/>
      <c r="J42" s="44"/>
    </row>
    <row r="43" spans="1:10" ht="19" x14ac:dyDescent="0.2">
      <c r="A43" s="61" t="e">
        <f>[1]!Таблица134567891210[[#This Row],[Нал]]+[1]!Таблица134567891210[[#This Row],[Терминал]]</f>
        <v>#REF!</v>
      </c>
      <c r="B43" s="58">
        <v>44748</v>
      </c>
      <c r="C43" s="2" t="s">
        <v>9</v>
      </c>
      <c r="D43" s="13" t="s">
        <v>773</v>
      </c>
      <c r="E43" s="15">
        <v>957000</v>
      </c>
      <c r="F43" s="9">
        <v>313000</v>
      </c>
      <c r="G43" s="9"/>
      <c r="H43" s="9"/>
      <c r="I43" s="9"/>
      <c r="J43" s="44"/>
    </row>
    <row r="44" spans="1:10" ht="19" x14ac:dyDescent="0.2">
      <c r="A44" s="61"/>
      <c r="B44" s="58"/>
      <c r="C44" s="2"/>
      <c r="D44" s="13"/>
      <c r="E44" s="9"/>
      <c r="F44" s="9"/>
      <c r="G44" s="9"/>
      <c r="H44" s="9"/>
      <c r="I44" s="9"/>
      <c r="J44" s="44"/>
    </row>
    <row r="45" spans="1:10" ht="19" x14ac:dyDescent="0.2">
      <c r="A45" s="61"/>
      <c r="B45" s="58"/>
      <c r="C45" s="2"/>
      <c r="D45" s="13"/>
      <c r="E45" s="9"/>
      <c r="F45" s="9"/>
      <c r="G45" s="9"/>
      <c r="H45" s="9"/>
      <c r="I45" s="9"/>
      <c r="J45" s="44"/>
    </row>
    <row r="46" spans="1:10" ht="19" x14ac:dyDescent="0.2">
      <c r="A46" s="61"/>
      <c r="B46" s="58"/>
      <c r="C46" s="2"/>
      <c r="D46" s="13"/>
      <c r="E46" s="9"/>
      <c r="F46" s="9"/>
      <c r="G46" s="9"/>
      <c r="H46" s="9"/>
      <c r="I46" s="9"/>
      <c r="J46" s="44"/>
    </row>
    <row r="47" spans="1:10" ht="19" x14ac:dyDescent="0.2">
      <c r="A47" s="61"/>
      <c r="B47" s="58"/>
      <c r="C47" s="3" t="s">
        <v>10</v>
      </c>
      <c r="D47" s="13"/>
      <c r="E47" s="9"/>
      <c r="F47" s="9"/>
      <c r="G47" s="9"/>
      <c r="H47" s="9"/>
      <c r="I47" s="9"/>
      <c r="J47" s="44"/>
    </row>
    <row r="48" spans="1:10" ht="19" x14ac:dyDescent="0.2">
      <c r="A48" s="74"/>
      <c r="B48" s="58"/>
      <c r="C48" s="49"/>
      <c r="D48" s="13"/>
      <c r="E48" s="15"/>
      <c r="F48" s="9"/>
      <c r="G48" s="9"/>
      <c r="H48" s="9"/>
      <c r="I48" s="9"/>
      <c r="J48" s="44"/>
    </row>
    <row r="49" spans="1:10" ht="19" x14ac:dyDescent="0.2">
      <c r="A49" s="74"/>
      <c r="B49" s="58"/>
      <c r="C49" s="49"/>
      <c r="D49" s="13"/>
      <c r="E49" s="15"/>
      <c r="F49" s="9"/>
      <c r="G49" s="9"/>
      <c r="H49" s="9"/>
      <c r="I49" s="9"/>
      <c r="J49" s="44"/>
    </row>
    <row r="50" spans="1:10" ht="19" x14ac:dyDescent="0.2">
      <c r="A50" s="74" t="e">
        <f>[1]!Таблица134567891210[[#This Row],[Нал]]+[1]!Таблица134567891210[[#This Row],[Терминал]]+E55+F55</f>
        <v>#REF!</v>
      </c>
      <c r="B50" s="32">
        <v>44749</v>
      </c>
      <c r="C50" s="49" t="s">
        <v>9</v>
      </c>
      <c r="D50" s="13" t="s">
        <v>405</v>
      </c>
      <c r="E50" s="15">
        <v>751000</v>
      </c>
      <c r="F50" s="9">
        <v>255000</v>
      </c>
      <c r="G50" s="9"/>
      <c r="H50" s="9"/>
      <c r="I50" s="9">
        <v>44500</v>
      </c>
      <c r="J50" s="44" t="s">
        <v>1340</v>
      </c>
    </row>
    <row r="51" spans="1:10" ht="19" x14ac:dyDescent="0.2">
      <c r="A51" s="74"/>
      <c r="B51" s="32"/>
      <c r="C51" s="49"/>
      <c r="D51" s="13"/>
      <c r="E51" s="15"/>
      <c r="F51" s="9"/>
      <c r="G51" s="9"/>
      <c r="H51" s="9"/>
      <c r="I51" s="9">
        <v>285000</v>
      </c>
      <c r="J51" s="44" t="s">
        <v>1330</v>
      </c>
    </row>
    <row r="52" spans="1:10" ht="19" x14ac:dyDescent="0.2">
      <c r="A52" s="74"/>
      <c r="B52" s="32"/>
      <c r="C52" s="49"/>
      <c r="D52" s="13"/>
      <c r="E52" s="15"/>
      <c r="F52" s="9"/>
      <c r="G52" s="9"/>
      <c r="H52" s="9"/>
      <c r="I52" s="9">
        <v>76000</v>
      </c>
      <c r="J52" s="44" t="s">
        <v>1341</v>
      </c>
    </row>
    <row r="53" spans="1:10" ht="19" x14ac:dyDescent="0.2">
      <c r="A53" s="74"/>
      <c r="B53" s="32"/>
      <c r="C53" s="49"/>
      <c r="D53" s="13"/>
      <c r="E53" s="15"/>
      <c r="F53" s="9"/>
      <c r="G53" s="9"/>
      <c r="H53" s="9"/>
      <c r="I53" s="9">
        <v>70000</v>
      </c>
      <c r="J53" s="44" t="s">
        <v>1342</v>
      </c>
    </row>
    <row r="54" spans="1:10" ht="19" x14ac:dyDescent="0.2">
      <c r="A54" s="74"/>
      <c r="B54" s="58"/>
      <c r="C54" s="49"/>
      <c r="D54" s="13"/>
      <c r="E54" s="15"/>
      <c r="F54" s="9"/>
      <c r="G54" s="9"/>
      <c r="H54" s="9"/>
      <c r="I54" s="9">
        <v>26000</v>
      </c>
      <c r="J54" s="44" t="s">
        <v>672</v>
      </c>
    </row>
    <row r="55" spans="1:10" ht="19" x14ac:dyDescent="0.2">
      <c r="A55" s="74"/>
      <c r="B55" s="32"/>
      <c r="C55" s="49" t="s">
        <v>10</v>
      </c>
      <c r="D55" s="13" t="s">
        <v>565</v>
      </c>
      <c r="E55" s="15">
        <v>457000</v>
      </c>
      <c r="F55" s="9">
        <v>171000</v>
      </c>
      <c r="G55" s="9"/>
      <c r="H55" s="9"/>
      <c r="I55" s="9">
        <v>144000</v>
      </c>
      <c r="J55" s="44" t="s">
        <v>615</v>
      </c>
    </row>
    <row r="56" spans="1:10" ht="19" x14ac:dyDescent="0.2">
      <c r="A56" s="74"/>
      <c r="B56" s="32"/>
      <c r="C56" s="49"/>
      <c r="D56" s="13"/>
      <c r="E56" s="15"/>
      <c r="F56" s="9"/>
      <c r="G56" s="9"/>
      <c r="H56" s="9"/>
      <c r="I56" s="9">
        <v>60000</v>
      </c>
      <c r="J56" s="44" t="s">
        <v>1343</v>
      </c>
    </row>
    <row r="57" spans="1:10" ht="19" x14ac:dyDescent="0.2">
      <c r="A57" s="74"/>
      <c r="B57" s="32"/>
      <c r="C57" s="49"/>
      <c r="D57" s="13"/>
      <c r="E57" s="15"/>
      <c r="F57" s="9"/>
      <c r="G57" s="9"/>
      <c r="H57" s="9"/>
      <c r="I57" s="9">
        <v>204000</v>
      </c>
      <c r="J57" s="44" t="s">
        <v>1344</v>
      </c>
    </row>
    <row r="58" spans="1:10" ht="19" x14ac:dyDescent="0.2">
      <c r="A58" s="74"/>
      <c r="B58" s="32"/>
      <c r="C58" s="49"/>
      <c r="D58" s="13"/>
      <c r="E58" s="15"/>
      <c r="F58" s="9"/>
      <c r="G58" s="9"/>
      <c r="H58" s="9"/>
      <c r="I58" s="9"/>
      <c r="J58" s="44"/>
    </row>
    <row r="59" spans="1:10" ht="19" x14ac:dyDescent="0.2">
      <c r="A59" s="74" t="e">
        <f>[1]!Таблица134567891210[[#This Row],[Нал]]+E60+F60</f>
        <v>#REF!</v>
      </c>
      <c r="B59" s="32">
        <v>44750</v>
      </c>
      <c r="C59" s="49" t="s">
        <v>9</v>
      </c>
      <c r="D59" s="13" t="s">
        <v>685</v>
      </c>
      <c r="E59" s="15">
        <v>601000</v>
      </c>
      <c r="F59" s="9"/>
      <c r="G59" s="9">
        <v>1460500</v>
      </c>
      <c r="H59" s="9" t="s">
        <v>1345</v>
      </c>
      <c r="I59" s="9"/>
      <c r="J59" s="44"/>
    </row>
    <row r="60" spans="1:10" ht="19" x14ac:dyDescent="0.2">
      <c r="A60" s="74"/>
      <c r="B60" s="33"/>
      <c r="C60" s="2" t="s">
        <v>10</v>
      </c>
      <c r="D60" s="13" t="s">
        <v>565</v>
      </c>
      <c r="E60" s="9">
        <v>408000</v>
      </c>
      <c r="F60" s="9">
        <v>156000</v>
      </c>
      <c r="G60" s="9"/>
      <c r="H60" s="9"/>
      <c r="I60" s="9">
        <v>200000</v>
      </c>
      <c r="J60" s="44" t="s">
        <v>1330</v>
      </c>
    </row>
    <row r="61" spans="1:10" ht="19" x14ac:dyDescent="0.2">
      <c r="A61" s="74"/>
      <c r="B61" s="32"/>
      <c r="C61" s="3"/>
      <c r="D61" s="13"/>
      <c r="E61" s="15"/>
      <c r="F61" s="9"/>
      <c r="G61" s="9"/>
      <c r="H61" s="60"/>
      <c r="I61" s="9">
        <v>50000</v>
      </c>
      <c r="J61" s="44" t="s">
        <v>1331</v>
      </c>
    </row>
    <row r="62" spans="1:10" ht="19" x14ac:dyDescent="0.2">
      <c r="A62" s="74"/>
      <c r="B62" s="33"/>
      <c r="C62" s="2"/>
      <c r="D62" s="13"/>
      <c r="E62" s="15"/>
      <c r="F62" s="9"/>
      <c r="G62" s="9"/>
      <c r="H62" s="9"/>
      <c r="I62" s="9">
        <v>35000</v>
      </c>
      <c r="J62" s="44" t="s">
        <v>655</v>
      </c>
    </row>
    <row r="63" spans="1:10" ht="19" x14ac:dyDescent="0.2">
      <c r="A63" s="74" t="e">
        <f>[1]!Таблица134567891210[[#This Row],[Нал]]+[1]!Таблица134567891210[[#This Row],[Терминал]]+E65+F65</f>
        <v>#REF!</v>
      </c>
      <c r="B63" s="32">
        <v>44751</v>
      </c>
      <c r="C63" s="35" t="s">
        <v>9</v>
      </c>
      <c r="D63" s="13" t="s">
        <v>405</v>
      </c>
      <c r="E63" s="15">
        <v>557000</v>
      </c>
      <c r="F63" s="9">
        <v>129000</v>
      </c>
      <c r="G63" s="9"/>
      <c r="H63" s="9"/>
      <c r="I63" s="9"/>
      <c r="J63" s="44"/>
    </row>
    <row r="64" spans="1:10" ht="19" x14ac:dyDescent="0.2">
      <c r="A64" s="61"/>
      <c r="B64" s="75"/>
      <c r="C64" s="35"/>
      <c r="D64" s="13"/>
      <c r="E64" s="15"/>
      <c r="F64" s="9"/>
      <c r="G64" s="9"/>
      <c r="H64" s="9"/>
      <c r="I64" s="9">
        <v>151000</v>
      </c>
      <c r="J64" s="131" t="s">
        <v>1346</v>
      </c>
    </row>
    <row r="65" spans="1:10" ht="19" x14ac:dyDescent="0.2">
      <c r="A65" s="61"/>
      <c r="B65" s="75"/>
      <c r="C65" s="35" t="s">
        <v>10</v>
      </c>
      <c r="D65" s="13" t="s">
        <v>565</v>
      </c>
      <c r="E65" s="15">
        <v>359000</v>
      </c>
      <c r="F65" s="9">
        <v>62000</v>
      </c>
      <c r="G65" s="9"/>
      <c r="H65" s="9"/>
      <c r="I65" s="9"/>
      <c r="J65" s="44"/>
    </row>
    <row r="66" spans="1:10" ht="19" x14ac:dyDescent="0.2">
      <c r="A66" s="61"/>
      <c r="B66" s="58"/>
      <c r="C66" s="3"/>
      <c r="D66" s="13"/>
      <c r="E66" s="15"/>
      <c r="F66" s="9"/>
      <c r="G66" s="60"/>
      <c r="H66" s="60"/>
      <c r="I66" s="9"/>
      <c r="J66" s="44"/>
    </row>
    <row r="67" spans="1:10" ht="19" x14ac:dyDescent="0.2">
      <c r="A67" s="61" t="e">
        <f>[1]!Таблица134567891210[[#This Row],[Нал]]+[1]!Таблица134567891210[[#This Row],[Терминал]]</f>
        <v>#REF!</v>
      </c>
      <c r="B67" s="58">
        <v>44752</v>
      </c>
      <c r="C67" s="2" t="s">
        <v>440</v>
      </c>
      <c r="D67" s="13" t="s">
        <v>773</v>
      </c>
      <c r="E67" s="15">
        <v>804000</v>
      </c>
      <c r="F67" s="9">
        <v>111000</v>
      </c>
      <c r="G67" s="9"/>
      <c r="H67" s="9"/>
      <c r="I67" s="9">
        <v>50000</v>
      </c>
      <c r="J67" s="44" t="s">
        <v>123</v>
      </c>
    </row>
    <row r="68" spans="1:10" ht="19" x14ac:dyDescent="0.2">
      <c r="A68" s="61"/>
      <c r="B68" s="58"/>
      <c r="C68" s="3"/>
      <c r="D68" s="13"/>
      <c r="E68" s="15"/>
      <c r="F68" s="9"/>
      <c r="G68" s="9"/>
      <c r="H68" s="9"/>
      <c r="I68" s="9"/>
      <c r="J68" s="44"/>
    </row>
    <row r="69" spans="1:10" ht="19" x14ac:dyDescent="0.2">
      <c r="A69" s="61"/>
      <c r="B69" s="58"/>
      <c r="C69" s="49"/>
      <c r="D69" s="13"/>
      <c r="E69" s="15"/>
      <c r="F69" s="9"/>
      <c r="G69" s="9"/>
      <c r="H69" s="9"/>
      <c r="I69" s="9"/>
      <c r="J69" s="44"/>
    </row>
    <row r="70" spans="1:10" ht="19" x14ac:dyDescent="0.2">
      <c r="A70" s="74"/>
      <c r="B70" s="58"/>
      <c r="C70" s="49"/>
      <c r="D70" s="13"/>
      <c r="E70" s="15"/>
      <c r="F70" s="9"/>
      <c r="G70" s="9"/>
      <c r="H70" s="9"/>
      <c r="I70" s="9"/>
      <c r="J70" s="44"/>
    </row>
    <row r="71" spans="1:10" ht="19" x14ac:dyDescent="0.2">
      <c r="A71" s="74"/>
      <c r="B71" s="58"/>
      <c r="C71" s="49"/>
      <c r="D71" s="13"/>
      <c r="E71" s="15"/>
      <c r="F71" s="9"/>
      <c r="G71" s="9"/>
      <c r="H71" s="9"/>
      <c r="I71" s="9"/>
      <c r="J71" s="44"/>
    </row>
    <row r="72" spans="1:10" ht="19" x14ac:dyDescent="0.2">
      <c r="A72" s="61"/>
      <c r="B72" s="58"/>
      <c r="C72" s="49" t="s">
        <v>363</v>
      </c>
      <c r="D72" s="13"/>
      <c r="E72" s="15"/>
      <c r="F72" s="9"/>
      <c r="G72" s="9"/>
      <c r="H72" s="9"/>
      <c r="I72" s="9"/>
      <c r="J72" s="44"/>
    </row>
    <row r="73" spans="1:10" ht="19" x14ac:dyDescent="0.2">
      <c r="A73" s="74"/>
      <c r="B73" s="58"/>
      <c r="C73" s="49"/>
      <c r="D73" s="13"/>
      <c r="E73" s="15"/>
      <c r="F73" s="9"/>
      <c r="G73" s="9"/>
      <c r="H73" s="9"/>
      <c r="I73" s="9"/>
      <c r="J73" s="44"/>
    </row>
    <row r="74" spans="1:10" ht="19" x14ac:dyDescent="0.2">
      <c r="A74" s="74"/>
      <c r="B74" s="58"/>
      <c r="C74" s="49"/>
      <c r="D74" s="13"/>
      <c r="E74" s="15"/>
      <c r="F74" s="9"/>
      <c r="G74" s="9"/>
      <c r="H74" s="9"/>
      <c r="I74" s="9"/>
      <c r="J74" s="44"/>
    </row>
    <row r="75" spans="1:10" ht="19" x14ac:dyDescent="0.2">
      <c r="A75" s="61" t="e">
        <f>[1]!Таблица134567891210[[#This Row],[Нал]]+[1]!Таблица134567891210[[#This Row],[Терминал]]+E82+F82</f>
        <v>#REF!</v>
      </c>
      <c r="B75" s="58">
        <v>44753</v>
      </c>
      <c r="C75" s="49" t="s">
        <v>9</v>
      </c>
      <c r="D75" s="13" t="s">
        <v>405</v>
      </c>
      <c r="E75" s="15">
        <v>389000</v>
      </c>
      <c r="F75" s="9">
        <v>176000</v>
      </c>
      <c r="G75" s="9"/>
      <c r="H75" s="9"/>
      <c r="I75" s="9">
        <v>30000</v>
      </c>
      <c r="J75" s="44" t="s">
        <v>640</v>
      </c>
    </row>
    <row r="76" spans="1:10" ht="19" x14ac:dyDescent="0.2">
      <c r="A76" s="74"/>
      <c r="B76" s="58"/>
      <c r="C76" s="49"/>
      <c r="D76" s="13"/>
      <c r="E76" s="15"/>
      <c r="F76" s="9"/>
      <c r="G76" s="9"/>
      <c r="H76" s="9"/>
      <c r="I76" s="9">
        <v>61500</v>
      </c>
      <c r="J76" s="44" t="s">
        <v>1347</v>
      </c>
    </row>
    <row r="77" spans="1:10" ht="19" x14ac:dyDescent="0.2">
      <c r="A77" s="74"/>
      <c r="B77" s="58"/>
      <c r="C77" s="49"/>
      <c r="D77" s="13"/>
      <c r="E77" s="15"/>
      <c r="F77" s="9"/>
      <c r="G77" s="9"/>
      <c r="H77" s="9"/>
      <c r="I77" s="9">
        <v>30000</v>
      </c>
      <c r="J77" s="44" t="s">
        <v>1348</v>
      </c>
    </row>
    <row r="78" spans="1:10" ht="19" x14ac:dyDescent="0.2">
      <c r="A78" s="74"/>
      <c r="B78" s="58"/>
      <c r="C78" s="49"/>
      <c r="D78" s="13"/>
      <c r="E78" s="15"/>
      <c r="F78" s="9"/>
      <c r="G78" s="9"/>
      <c r="H78" s="9"/>
      <c r="I78" s="9">
        <v>13500</v>
      </c>
      <c r="J78" s="44" t="s">
        <v>1349</v>
      </c>
    </row>
    <row r="79" spans="1:10" ht="19" x14ac:dyDescent="0.2">
      <c r="A79" s="74"/>
      <c r="B79" s="58"/>
      <c r="C79" s="49"/>
      <c r="D79" s="13"/>
      <c r="E79" s="15"/>
      <c r="F79" s="9"/>
      <c r="G79" s="9"/>
      <c r="H79" s="9"/>
      <c r="I79" s="9">
        <v>65000</v>
      </c>
      <c r="J79" s="44" t="s">
        <v>1350</v>
      </c>
    </row>
    <row r="80" spans="1:10" ht="19" x14ac:dyDescent="0.2">
      <c r="A80" s="74"/>
      <c r="B80" s="58"/>
      <c r="C80" s="49"/>
      <c r="D80" s="13"/>
      <c r="E80" s="15"/>
      <c r="F80" s="9"/>
      <c r="G80" s="9"/>
      <c r="H80" s="9"/>
      <c r="I80" s="9">
        <v>7000</v>
      </c>
      <c r="J80" s="44" t="s">
        <v>1351</v>
      </c>
    </row>
    <row r="81" spans="1:10" ht="19" x14ac:dyDescent="0.2">
      <c r="A81" s="74"/>
      <c r="B81" s="58"/>
      <c r="C81" s="49"/>
      <c r="D81" s="13"/>
      <c r="E81" s="15"/>
      <c r="F81" s="9"/>
      <c r="G81" s="9"/>
      <c r="H81" s="9"/>
      <c r="I81" s="9">
        <v>30000</v>
      </c>
      <c r="J81" s="44" t="s">
        <v>1352</v>
      </c>
    </row>
    <row r="82" spans="1:10" ht="19" x14ac:dyDescent="0.2">
      <c r="A82" s="61"/>
      <c r="B82" s="58"/>
      <c r="C82" s="49" t="s">
        <v>10</v>
      </c>
      <c r="D82" s="13" t="s">
        <v>565</v>
      </c>
      <c r="E82" s="15">
        <v>395000</v>
      </c>
      <c r="F82" s="9">
        <v>89000</v>
      </c>
      <c r="G82" s="9"/>
      <c r="H82" s="9"/>
      <c r="I82" s="9">
        <v>271500</v>
      </c>
      <c r="J82" s="44" t="s">
        <v>1353</v>
      </c>
    </row>
    <row r="83" spans="1:10" ht="19" x14ac:dyDescent="0.2">
      <c r="A83" s="61" t="e">
        <f>[1]!Таблица134567891210[[#This Row],[Нал]]+[1]!Таблица134567891210[[#This Row],[Терминал]]+E89+F89</f>
        <v>#REF!</v>
      </c>
      <c r="B83" s="58">
        <v>44754</v>
      </c>
      <c r="C83" s="49" t="s">
        <v>9</v>
      </c>
      <c r="D83" s="13" t="s">
        <v>405</v>
      </c>
      <c r="E83" s="15">
        <v>588000</v>
      </c>
      <c r="F83" s="9">
        <v>40000</v>
      </c>
      <c r="G83" s="9">
        <v>3280500</v>
      </c>
      <c r="H83" s="9" t="s">
        <v>1354</v>
      </c>
      <c r="I83" s="9"/>
      <c r="J83" s="44"/>
    </row>
    <row r="84" spans="1:10" ht="19" x14ac:dyDescent="0.2">
      <c r="A84" s="61"/>
      <c r="B84" s="58"/>
      <c r="C84" s="49"/>
      <c r="D84" s="13"/>
      <c r="E84" s="15"/>
      <c r="F84" s="9"/>
      <c r="G84" s="9"/>
      <c r="H84" s="9"/>
      <c r="I84" s="9"/>
      <c r="J84" s="44"/>
    </row>
    <row r="85" spans="1:10" ht="19" x14ac:dyDescent="0.2">
      <c r="A85" s="61"/>
      <c r="B85" s="58"/>
      <c r="C85" s="49"/>
      <c r="D85" s="13"/>
      <c r="E85" s="15"/>
      <c r="F85" s="9"/>
      <c r="G85" s="9"/>
      <c r="H85" s="9"/>
      <c r="I85" s="9"/>
      <c r="J85" s="44"/>
    </row>
    <row r="86" spans="1:10" ht="19" x14ac:dyDescent="0.2">
      <c r="A86" s="74"/>
      <c r="B86" s="58"/>
      <c r="C86" s="49"/>
      <c r="D86" s="13"/>
      <c r="E86" s="15"/>
      <c r="F86" s="9"/>
      <c r="G86" s="9"/>
      <c r="H86" s="9"/>
      <c r="I86" s="9"/>
      <c r="J86" s="44"/>
    </row>
    <row r="87" spans="1:10" ht="19" x14ac:dyDescent="0.2">
      <c r="A87" s="74"/>
      <c r="B87" s="58"/>
      <c r="C87" s="49"/>
      <c r="D87" s="13"/>
      <c r="E87" s="15"/>
      <c r="F87" s="9"/>
      <c r="G87" s="9"/>
      <c r="H87" s="9"/>
      <c r="I87" s="9"/>
      <c r="J87" s="44"/>
    </row>
    <row r="88" spans="1:10" ht="19" x14ac:dyDescent="0.2">
      <c r="A88" s="74"/>
      <c r="B88" s="58"/>
      <c r="C88" s="49"/>
      <c r="D88" s="13"/>
      <c r="E88" s="15"/>
      <c r="F88" s="9"/>
      <c r="G88" s="9"/>
      <c r="H88" s="9"/>
      <c r="I88" s="9"/>
      <c r="J88" s="44"/>
    </row>
    <row r="89" spans="1:10" ht="19" x14ac:dyDescent="0.2">
      <c r="A89" s="74"/>
      <c r="B89" s="58"/>
      <c r="C89" s="49" t="s">
        <v>10</v>
      </c>
      <c r="D89" s="13" t="s">
        <v>565</v>
      </c>
      <c r="E89" s="15">
        <v>548000</v>
      </c>
      <c r="F89" s="9">
        <v>143000</v>
      </c>
      <c r="G89" s="9"/>
      <c r="H89" s="9"/>
      <c r="I89" s="9"/>
      <c r="J89" s="44"/>
    </row>
    <row r="90" spans="1:10" ht="19" x14ac:dyDescent="0.2">
      <c r="A90" s="61"/>
      <c r="B90" s="75"/>
      <c r="C90" s="2"/>
      <c r="D90" s="13"/>
      <c r="E90" s="15"/>
      <c r="F90" s="9"/>
      <c r="G90" s="9"/>
      <c r="H90" s="9"/>
      <c r="I90" s="9"/>
      <c r="J90" s="44"/>
    </row>
    <row r="91" spans="1:10" ht="19" x14ac:dyDescent="0.2">
      <c r="A91" s="61"/>
      <c r="B91" s="58"/>
      <c r="C91" s="3"/>
      <c r="D91" s="13"/>
      <c r="E91" s="15"/>
      <c r="F91" s="9"/>
      <c r="G91" s="9"/>
      <c r="H91" s="9"/>
      <c r="I91" s="9"/>
      <c r="J91" s="44"/>
    </row>
    <row r="92" spans="1:10" ht="19" x14ac:dyDescent="0.2">
      <c r="A92" s="61" t="e">
        <f>[1]!Таблица134567891210[[#This Row],[Нал]]+[1]!Таблица134567891210[[#This Row],[Терминал]]+E93+F93</f>
        <v>#REF!</v>
      </c>
      <c r="B92" s="58">
        <v>44755</v>
      </c>
      <c r="C92" s="49" t="s">
        <v>9</v>
      </c>
      <c r="D92" s="13" t="s">
        <v>405</v>
      </c>
      <c r="E92" s="15">
        <v>427000</v>
      </c>
      <c r="F92" s="9">
        <v>235000</v>
      </c>
      <c r="G92" s="9"/>
      <c r="H92" s="9"/>
      <c r="I92" s="9">
        <v>18000</v>
      </c>
      <c r="J92" s="44" t="s">
        <v>1355</v>
      </c>
    </row>
    <row r="93" spans="1:10" ht="19" x14ac:dyDescent="0.2">
      <c r="A93" s="61"/>
      <c r="B93" s="75"/>
      <c r="C93" s="2" t="s">
        <v>10</v>
      </c>
      <c r="D93" s="13" t="s">
        <v>565</v>
      </c>
      <c r="E93" s="15">
        <v>504000</v>
      </c>
      <c r="F93" s="9">
        <v>156000</v>
      </c>
      <c r="G93" s="9"/>
      <c r="H93" s="9"/>
      <c r="I93" s="9">
        <v>294000</v>
      </c>
      <c r="J93" s="44" t="s">
        <v>1344</v>
      </c>
    </row>
    <row r="94" spans="1:10" ht="19" x14ac:dyDescent="0.2">
      <c r="A94" s="74"/>
      <c r="B94" s="75"/>
      <c r="C94" s="35"/>
      <c r="D94" s="13"/>
      <c r="E94" s="15"/>
      <c r="F94" s="9"/>
      <c r="G94" s="9"/>
      <c r="H94" s="9"/>
      <c r="I94" s="9"/>
      <c r="J94" s="44"/>
    </row>
    <row r="95" spans="1:10" ht="19" x14ac:dyDescent="0.2">
      <c r="A95" s="74"/>
      <c r="B95" s="75"/>
      <c r="C95" s="35"/>
      <c r="D95" s="13"/>
      <c r="E95" s="15"/>
      <c r="F95" s="9"/>
      <c r="G95" s="9"/>
      <c r="H95" s="9"/>
      <c r="I95" s="9"/>
      <c r="J95" s="44"/>
    </row>
    <row r="96" spans="1:10" ht="19" x14ac:dyDescent="0.2">
      <c r="A96" s="74"/>
      <c r="B96" s="75"/>
      <c r="C96" s="35"/>
      <c r="D96" s="13"/>
      <c r="E96" s="15"/>
      <c r="F96" s="9"/>
      <c r="G96" s="9"/>
      <c r="H96" s="9"/>
      <c r="I96" s="9"/>
      <c r="J96" s="44"/>
    </row>
    <row r="97" spans="1:10" ht="19" x14ac:dyDescent="0.2">
      <c r="A97" s="61" t="e">
        <f>[1]!Таблица134567891210[[#This Row],[Нал]]+[1]!Таблица134567891210[[#This Row],[Терминал]]+E102+F102</f>
        <v>#REF!</v>
      </c>
      <c r="B97" s="58">
        <v>44756</v>
      </c>
      <c r="C97" s="3" t="s">
        <v>9</v>
      </c>
      <c r="D97" s="13" t="s">
        <v>405</v>
      </c>
      <c r="E97" s="15">
        <v>398000</v>
      </c>
      <c r="F97" s="9">
        <v>32000</v>
      </c>
      <c r="G97" s="9"/>
      <c r="H97" s="9"/>
      <c r="I97" s="9"/>
      <c r="J97" s="44"/>
    </row>
    <row r="98" spans="1:10" ht="19" x14ac:dyDescent="0.2">
      <c r="A98" s="61"/>
      <c r="B98" s="58"/>
      <c r="C98" s="49"/>
      <c r="D98" s="13"/>
      <c r="E98" s="15"/>
      <c r="F98" s="9"/>
      <c r="G98" s="9"/>
      <c r="H98" s="9"/>
      <c r="I98" s="9"/>
      <c r="J98" s="44"/>
    </row>
    <row r="99" spans="1:10" ht="19" x14ac:dyDescent="0.2">
      <c r="A99" s="61"/>
      <c r="B99" s="75"/>
      <c r="C99" s="2"/>
      <c r="D99" s="13"/>
      <c r="E99" s="15"/>
      <c r="F99" s="9"/>
      <c r="G99" s="9"/>
      <c r="H99" s="9"/>
      <c r="I99" s="9"/>
      <c r="J99" s="44"/>
    </row>
    <row r="100" spans="1:10" ht="19" x14ac:dyDescent="0.2">
      <c r="A100" s="61"/>
      <c r="B100" s="75"/>
      <c r="C100" s="35"/>
      <c r="D100" s="13"/>
      <c r="E100" s="15"/>
      <c r="F100" s="9"/>
      <c r="G100" s="9"/>
      <c r="H100" s="9"/>
      <c r="I100" s="9"/>
      <c r="J100" s="44"/>
    </row>
    <row r="101" spans="1:10" ht="19" x14ac:dyDescent="0.2">
      <c r="A101" s="61"/>
      <c r="B101" s="58"/>
      <c r="C101" s="3"/>
      <c r="D101" s="13"/>
      <c r="E101" s="15"/>
      <c r="F101" s="9"/>
      <c r="G101" s="60"/>
      <c r="H101" s="60"/>
      <c r="I101" s="9"/>
      <c r="J101" s="44"/>
    </row>
    <row r="102" spans="1:10" ht="19" x14ac:dyDescent="0.2">
      <c r="A102" s="61"/>
      <c r="B102" s="75"/>
      <c r="C102" s="2" t="s">
        <v>10</v>
      </c>
      <c r="D102" s="13" t="s">
        <v>565</v>
      </c>
      <c r="E102" s="15">
        <v>514000</v>
      </c>
      <c r="F102" s="9">
        <v>150000</v>
      </c>
      <c r="G102" s="9"/>
      <c r="H102" s="9"/>
      <c r="I102" s="9"/>
      <c r="J102" s="44"/>
    </row>
    <row r="103" spans="1:10" ht="19" x14ac:dyDescent="0.2">
      <c r="A103" s="61" t="e">
        <f>[1]!Таблица134567891210[[#This Row],[Нал]]+[1]!Таблица134567891210[[#This Row],[Терминал]]+E108+F108</f>
        <v>#REF!</v>
      </c>
      <c r="B103" s="58">
        <v>44757</v>
      </c>
      <c r="C103" s="3" t="s">
        <v>9</v>
      </c>
      <c r="D103" s="13" t="s">
        <v>405</v>
      </c>
      <c r="E103" s="15">
        <v>305000</v>
      </c>
      <c r="F103" s="9">
        <v>133000</v>
      </c>
      <c r="G103" s="9">
        <v>1200000</v>
      </c>
      <c r="H103" s="9" t="s">
        <v>1356</v>
      </c>
      <c r="I103" s="9"/>
      <c r="J103" s="44"/>
    </row>
    <row r="104" spans="1:10" ht="19" x14ac:dyDescent="0.2">
      <c r="A104" s="74"/>
      <c r="B104" s="58"/>
      <c r="C104" s="49"/>
      <c r="D104" s="13"/>
      <c r="E104" s="15"/>
      <c r="F104" s="9"/>
      <c r="G104" s="9">
        <v>1440000</v>
      </c>
      <c r="H104" s="9" t="s">
        <v>1357</v>
      </c>
      <c r="I104" s="9"/>
      <c r="J104" s="44"/>
    </row>
    <row r="105" spans="1:10" ht="19" x14ac:dyDescent="0.2">
      <c r="A105" s="74"/>
      <c r="B105" s="58"/>
      <c r="C105" s="49"/>
      <c r="D105" s="13"/>
      <c r="E105" s="15"/>
      <c r="F105" s="9"/>
      <c r="G105" s="9">
        <v>720000</v>
      </c>
      <c r="H105" s="9" t="s">
        <v>1358</v>
      </c>
      <c r="I105" s="9"/>
      <c r="J105" s="44"/>
    </row>
    <row r="106" spans="1:10" ht="19" x14ac:dyDescent="0.2">
      <c r="A106" s="74"/>
      <c r="B106" s="58"/>
      <c r="C106" s="49"/>
      <c r="D106" s="13"/>
      <c r="E106" s="15"/>
      <c r="F106" s="9"/>
      <c r="G106" s="9">
        <v>240000</v>
      </c>
      <c r="H106" s="9" t="s">
        <v>1359</v>
      </c>
      <c r="I106" s="9"/>
      <c r="J106" s="44"/>
    </row>
    <row r="107" spans="1:10" ht="19" x14ac:dyDescent="0.2">
      <c r="A107" s="74"/>
      <c r="B107" s="58"/>
      <c r="C107" s="49"/>
      <c r="D107" s="13"/>
      <c r="E107" s="15"/>
      <c r="F107" s="9"/>
      <c r="G107" s="9"/>
      <c r="H107" s="9"/>
      <c r="I107" s="9"/>
      <c r="J107" s="44"/>
    </row>
    <row r="108" spans="1:10" ht="19" x14ac:dyDescent="0.2">
      <c r="A108" s="61"/>
      <c r="B108" s="75"/>
      <c r="C108" s="2" t="s">
        <v>10</v>
      </c>
      <c r="D108" s="13" t="s">
        <v>565</v>
      </c>
      <c r="E108" s="15">
        <v>686000</v>
      </c>
      <c r="F108" s="9">
        <v>20000</v>
      </c>
      <c r="G108" s="9"/>
      <c r="H108" s="9"/>
      <c r="I108" s="9"/>
      <c r="J108" s="44"/>
    </row>
    <row r="109" spans="1:10" ht="19" x14ac:dyDescent="0.2">
      <c r="A109" s="61" t="e">
        <f>[1]!Таблица134567891210[[#This Row],[Нал]]+[1]!Таблица134567891210[[#This Row],[Терминал]]+E114</f>
        <v>#REF!</v>
      </c>
      <c r="B109" s="58">
        <v>44758</v>
      </c>
      <c r="C109" s="35" t="s">
        <v>9</v>
      </c>
      <c r="D109" s="13" t="s">
        <v>405</v>
      </c>
      <c r="E109" s="15">
        <v>812000</v>
      </c>
      <c r="F109" s="9">
        <v>90000</v>
      </c>
      <c r="G109" s="9"/>
      <c r="H109" s="9"/>
      <c r="I109" s="9">
        <v>30000</v>
      </c>
      <c r="J109" s="44" t="s">
        <v>640</v>
      </c>
    </row>
    <row r="110" spans="1:10" ht="19" x14ac:dyDescent="0.2">
      <c r="A110" s="74"/>
      <c r="B110" s="58"/>
      <c r="C110" s="35"/>
      <c r="D110" s="13"/>
      <c r="E110" s="15"/>
      <c r="F110" s="9"/>
      <c r="G110" s="9"/>
      <c r="H110" s="9"/>
      <c r="I110" s="9">
        <v>60000</v>
      </c>
      <c r="J110" s="44" t="s">
        <v>1360</v>
      </c>
    </row>
    <row r="111" spans="1:10" ht="19" x14ac:dyDescent="0.2">
      <c r="A111" s="74"/>
      <c r="B111" s="58"/>
      <c r="C111" s="35"/>
      <c r="D111" s="13"/>
      <c r="E111" s="15"/>
      <c r="F111" s="9"/>
      <c r="G111" s="9">
        <v>649000</v>
      </c>
      <c r="H111" s="9" t="s">
        <v>799</v>
      </c>
      <c r="I111" s="9">
        <v>37000</v>
      </c>
      <c r="J111" s="44" t="s">
        <v>1361</v>
      </c>
    </row>
    <row r="112" spans="1:10" ht="19" x14ac:dyDescent="0.2">
      <c r="A112" s="74"/>
      <c r="B112" s="58"/>
      <c r="C112" s="35"/>
      <c r="D112" s="13"/>
      <c r="E112" s="15"/>
      <c r="F112" s="9"/>
      <c r="G112" s="9"/>
      <c r="H112" s="9"/>
      <c r="I112" s="9">
        <v>15500</v>
      </c>
      <c r="J112" s="44" t="s">
        <v>1362</v>
      </c>
    </row>
    <row r="113" spans="1:10" ht="19" x14ac:dyDescent="0.2">
      <c r="A113" s="74"/>
      <c r="B113" s="58"/>
      <c r="C113" s="35"/>
      <c r="D113" s="13"/>
      <c r="E113" s="15"/>
      <c r="F113" s="9"/>
      <c r="G113" s="9"/>
      <c r="H113" s="9" t="s">
        <v>547</v>
      </c>
      <c r="I113" s="9">
        <v>22200</v>
      </c>
      <c r="J113" s="44" t="s">
        <v>1363</v>
      </c>
    </row>
    <row r="114" spans="1:10" ht="19" x14ac:dyDescent="0.2">
      <c r="A114" s="61"/>
      <c r="B114" s="58"/>
      <c r="C114" s="3" t="s">
        <v>10</v>
      </c>
      <c r="D114" s="13" t="s">
        <v>565</v>
      </c>
      <c r="E114" s="15">
        <v>425000</v>
      </c>
      <c r="F114" s="9"/>
      <c r="G114" s="9"/>
      <c r="H114" s="9"/>
      <c r="I114" s="9"/>
      <c r="J114" s="44"/>
    </row>
    <row r="115" spans="1:10" ht="19" x14ac:dyDescent="0.2">
      <c r="A115" s="61"/>
      <c r="B115" s="58"/>
      <c r="C115" s="49"/>
      <c r="D115" s="13"/>
      <c r="E115" s="15"/>
      <c r="F115" s="9"/>
      <c r="G115" s="9"/>
      <c r="H115" s="9"/>
      <c r="I115" s="9"/>
      <c r="J115" s="44"/>
    </row>
    <row r="116" spans="1:10" ht="19" x14ac:dyDescent="0.2">
      <c r="A116" s="61"/>
      <c r="B116" s="58"/>
      <c r="C116" s="49"/>
      <c r="D116" s="13"/>
      <c r="E116" s="15"/>
      <c r="F116" s="9"/>
      <c r="G116" s="9"/>
      <c r="H116" s="9"/>
      <c r="I116" s="9"/>
      <c r="J116" s="44"/>
    </row>
    <row r="117" spans="1:10" ht="19" x14ac:dyDescent="0.2">
      <c r="A117" s="61"/>
      <c r="B117" s="75"/>
      <c r="C117" s="2"/>
      <c r="D117" s="13"/>
      <c r="E117" s="9"/>
      <c r="F117" s="9"/>
      <c r="G117" s="9"/>
      <c r="H117" s="9"/>
      <c r="I117" s="9"/>
      <c r="J117" s="44"/>
    </row>
    <row r="118" spans="1:10" ht="19" x14ac:dyDescent="0.2">
      <c r="A118" s="74" t="e">
        <f>[1]!Таблица134567891210[[#This Row],[Нал]]+[1]!Таблица134567891210[[#This Row],[Терминал]]+E119+F119</f>
        <v>#REF!</v>
      </c>
      <c r="B118" s="58">
        <v>44759</v>
      </c>
      <c r="C118" s="35" t="s">
        <v>9</v>
      </c>
      <c r="D118" s="13" t="s">
        <v>405</v>
      </c>
      <c r="E118" s="15">
        <v>410000</v>
      </c>
      <c r="F118" s="9">
        <v>66000</v>
      </c>
      <c r="G118" s="9"/>
      <c r="H118" s="9"/>
      <c r="I118" s="9">
        <v>50000</v>
      </c>
      <c r="J118" s="44" t="s">
        <v>123</v>
      </c>
    </row>
    <row r="119" spans="1:10" ht="19" x14ac:dyDescent="0.2">
      <c r="A119" s="74"/>
      <c r="B119" s="75"/>
      <c r="C119" s="35" t="s">
        <v>10</v>
      </c>
      <c r="D119" s="13" t="s">
        <v>762</v>
      </c>
      <c r="E119" s="15">
        <v>479000</v>
      </c>
      <c r="F119" s="9">
        <v>87000</v>
      </c>
      <c r="G119" s="9"/>
      <c r="H119" s="9"/>
      <c r="I119" s="60"/>
      <c r="J119" s="121"/>
    </row>
    <row r="120" spans="1:10" ht="19" x14ac:dyDescent="0.2">
      <c r="A120" s="74"/>
      <c r="B120" s="75"/>
      <c r="C120" s="35"/>
      <c r="D120" s="13"/>
      <c r="E120" s="15"/>
      <c r="F120" s="9"/>
      <c r="G120" s="9"/>
      <c r="H120" s="9"/>
      <c r="I120" s="9"/>
      <c r="J120" s="44"/>
    </row>
    <row r="121" spans="1:10" ht="19" x14ac:dyDescent="0.2">
      <c r="A121" s="74"/>
      <c r="B121" s="75"/>
      <c r="C121" s="35"/>
      <c r="D121" s="13"/>
      <c r="E121" s="15"/>
      <c r="F121" s="9"/>
      <c r="G121" s="9"/>
      <c r="H121" s="9"/>
      <c r="I121" s="9"/>
      <c r="J121" s="44"/>
    </row>
    <row r="122" spans="1:10" ht="19" x14ac:dyDescent="0.2">
      <c r="A122" s="61" t="e">
        <f>[1]!Таблица134567891210[[#This Row],[Нал]]+[1]!Таблица134567891210[[#This Row],[Терминал]]+E128+F128</f>
        <v>#REF!</v>
      </c>
      <c r="B122" s="58">
        <v>44760</v>
      </c>
      <c r="C122" s="3" t="s">
        <v>9</v>
      </c>
      <c r="D122" s="13" t="s">
        <v>405</v>
      </c>
      <c r="E122" s="9">
        <v>743000</v>
      </c>
      <c r="F122" s="9">
        <v>101000</v>
      </c>
      <c r="G122" s="9">
        <v>2188000</v>
      </c>
      <c r="H122" s="9" t="s">
        <v>1364</v>
      </c>
      <c r="I122" s="9">
        <v>34000</v>
      </c>
      <c r="J122" s="44" t="s">
        <v>640</v>
      </c>
    </row>
    <row r="123" spans="1:10" ht="19" x14ac:dyDescent="0.2">
      <c r="A123" s="74"/>
      <c r="B123" s="58"/>
      <c r="C123" s="49"/>
      <c r="D123" s="13"/>
      <c r="E123" s="15"/>
      <c r="F123" s="9"/>
      <c r="G123" s="9"/>
      <c r="H123" s="9"/>
      <c r="I123" s="9"/>
      <c r="J123" s="44"/>
    </row>
    <row r="124" spans="1:10" ht="19" x14ac:dyDescent="0.2">
      <c r="A124" s="74"/>
      <c r="B124" s="58"/>
      <c r="C124" s="49"/>
      <c r="D124" s="13"/>
      <c r="E124" s="15"/>
      <c r="F124" s="9"/>
      <c r="G124" s="9"/>
      <c r="H124" s="9"/>
      <c r="I124" s="9"/>
      <c r="J124" s="44"/>
    </row>
    <row r="125" spans="1:10" ht="19" x14ac:dyDescent="0.2">
      <c r="A125" s="74"/>
      <c r="B125" s="58"/>
      <c r="C125" s="49"/>
      <c r="D125" s="13"/>
      <c r="E125" s="15"/>
      <c r="F125" s="9"/>
      <c r="G125" s="9"/>
      <c r="H125" s="9"/>
      <c r="I125" s="9"/>
      <c r="J125" s="44"/>
    </row>
    <row r="126" spans="1:10" ht="19" x14ac:dyDescent="0.2">
      <c r="A126" s="74"/>
      <c r="B126" s="58"/>
      <c r="C126" s="49"/>
      <c r="D126" s="13"/>
      <c r="E126" s="15"/>
      <c r="F126" s="9"/>
      <c r="G126" s="9"/>
      <c r="H126" s="9"/>
      <c r="I126" s="9"/>
      <c r="J126" s="44"/>
    </row>
    <row r="127" spans="1:10" ht="19" x14ac:dyDescent="0.2">
      <c r="A127" s="74"/>
      <c r="B127" s="58"/>
      <c r="C127" s="49"/>
      <c r="D127" s="13"/>
      <c r="E127" s="15"/>
      <c r="F127" s="9"/>
      <c r="G127" s="9"/>
      <c r="H127" s="9"/>
      <c r="I127" s="9"/>
      <c r="J127" s="44"/>
    </row>
    <row r="128" spans="1:10" ht="19" x14ac:dyDescent="0.2">
      <c r="A128" s="61"/>
      <c r="B128" s="75"/>
      <c r="C128" s="2" t="s">
        <v>10</v>
      </c>
      <c r="D128" s="13" t="s">
        <v>773</v>
      </c>
      <c r="E128" s="9">
        <v>479000</v>
      </c>
      <c r="F128" s="9">
        <v>83000</v>
      </c>
      <c r="G128" s="9"/>
      <c r="H128" s="9"/>
      <c r="I128" s="119"/>
      <c r="J128" s="122"/>
    </row>
    <row r="129" spans="1:10" ht="19" x14ac:dyDescent="0.2">
      <c r="A129" s="74"/>
      <c r="B129" s="75"/>
      <c r="C129" s="35"/>
      <c r="D129" s="13"/>
      <c r="E129" s="15"/>
      <c r="F129" s="9"/>
      <c r="G129" s="9"/>
      <c r="H129" s="9"/>
      <c r="I129" s="9">
        <v>680000</v>
      </c>
      <c r="J129" s="44" t="s">
        <v>1365</v>
      </c>
    </row>
    <row r="130" spans="1:10" ht="19" x14ac:dyDescent="0.2">
      <c r="A130" s="74"/>
      <c r="B130" s="75"/>
      <c r="C130" s="35"/>
      <c r="D130" s="13"/>
      <c r="E130" s="15"/>
      <c r="F130" s="9"/>
      <c r="G130" s="9"/>
      <c r="H130" s="9"/>
      <c r="I130" s="9"/>
      <c r="J130" s="44"/>
    </row>
    <row r="131" spans="1:10" ht="19" x14ac:dyDescent="0.2">
      <c r="A131" s="74"/>
      <c r="B131" s="75"/>
      <c r="C131" s="35"/>
      <c r="D131" s="13"/>
      <c r="E131" s="15"/>
      <c r="F131" s="9"/>
      <c r="G131" s="9"/>
      <c r="H131" s="9"/>
      <c r="I131" s="9"/>
      <c r="J131" s="44"/>
    </row>
    <row r="132" spans="1:10" ht="19" x14ac:dyDescent="0.2">
      <c r="A132" s="61" t="e">
        <f>[1]!Таблица134567891210[[#This Row],[Нал]]+[1]!Таблица134567891210[[#This Row],[Терминал]]+E136+F136</f>
        <v>#REF!</v>
      </c>
      <c r="B132" s="58">
        <v>44761</v>
      </c>
      <c r="C132" s="3" t="s">
        <v>9</v>
      </c>
      <c r="D132" s="13" t="s">
        <v>405</v>
      </c>
      <c r="E132" s="9">
        <v>833000</v>
      </c>
      <c r="F132" s="9">
        <v>156000</v>
      </c>
      <c r="G132" s="9"/>
      <c r="H132" s="9"/>
      <c r="I132" s="9">
        <v>31000</v>
      </c>
      <c r="J132" s="44" t="s">
        <v>1366</v>
      </c>
    </row>
    <row r="133" spans="1:10" ht="19" x14ac:dyDescent="0.2">
      <c r="A133" s="74"/>
      <c r="B133" s="58"/>
      <c r="C133" s="49"/>
      <c r="D133" s="13"/>
      <c r="E133" s="15"/>
      <c r="F133" s="9"/>
      <c r="G133" s="9"/>
      <c r="H133" s="9"/>
      <c r="I133" s="9">
        <v>48000</v>
      </c>
      <c r="J133" s="44" t="s">
        <v>48</v>
      </c>
    </row>
    <row r="134" spans="1:10" ht="19" x14ac:dyDescent="0.2">
      <c r="A134" s="74"/>
      <c r="B134" s="58"/>
      <c r="C134" s="49"/>
      <c r="D134" s="13"/>
      <c r="E134" s="15"/>
      <c r="F134" s="9"/>
      <c r="G134" s="9"/>
      <c r="H134" s="9"/>
      <c r="I134" s="9"/>
      <c r="J134" s="44"/>
    </row>
    <row r="135" spans="1:10" ht="19" x14ac:dyDescent="0.2">
      <c r="A135" s="74"/>
      <c r="B135" s="58"/>
      <c r="C135" s="49"/>
      <c r="D135" s="13"/>
      <c r="E135" s="15"/>
      <c r="F135" s="9"/>
      <c r="G135" s="9"/>
      <c r="H135" s="9"/>
      <c r="I135" s="9"/>
      <c r="J135" s="44"/>
    </row>
    <row r="136" spans="1:10" ht="19" x14ac:dyDescent="0.2">
      <c r="A136" s="74"/>
      <c r="B136" s="58"/>
      <c r="C136" s="49" t="s">
        <v>10</v>
      </c>
      <c r="D136" s="13" t="s">
        <v>565</v>
      </c>
      <c r="E136" s="15">
        <v>889000</v>
      </c>
      <c r="F136" s="9">
        <v>125000</v>
      </c>
      <c r="G136" s="9"/>
      <c r="H136" s="9"/>
      <c r="I136" s="9"/>
      <c r="J136" s="44"/>
    </row>
    <row r="137" spans="1:10" ht="19" x14ac:dyDescent="0.2">
      <c r="A137" s="74"/>
      <c r="B137" s="75"/>
      <c r="C137" s="35"/>
      <c r="D137" s="13"/>
      <c r="E137" s="15"/>
      <c r="F137" s="9"/>
      <c r="G137" s="9"/>
      <c r="H137" s="9"/>
      <c r="I137" s="9"/>
      <c r="J137" s="44"/>
    </row>
    <row r="138" spans="1:10" ht="19" x14ac:dyDescent="0.2">
      <c r="A138" s="74" t="e">
        <f>[1]!Таблица134567891210[[#This Row],[Нал]]+[1]!Таблица134567891210[[#This Row],[Терминал]]</f>
        <v>#REF!</v>
      </c>
      <c r="B138" s="58">
        <v>44762</v>
      </c>
      <c r="C138" s="35" t="s">
        <v>360</v>
      </c>
      <c r="D138" s="13" t="s">
        <v>773</v>
      </c>
      <c r="E138" s="15">
        <v>1137000</v>
      </c>
      <c r="F138" s="9">
        <v>208000</v>
      </c>
      <c r="G138" s="9"/>
      <c r="H138" s="9"/>
      <c r="I138" s="9">
        <v>273000</v>
      </c>
      <c r="J138" s="44" t="s">
        <v>1367</v>
      </c>
    </row>
    <row r="139" spans="1:10" ht="19" x14ac:dyDescent="0.2">
      <c r="A139" s="74"/>
      <c r="B139" s="58"/>
      <c r="C139" s="35"/>
      <c r="D139" s="13"/>
      <c r="E139" s="15"/>
      <c r="F139" s="9"/>
      <c r="G139" s="9"/>
      <c r="H139" s="9"/>
      <c r="I139" s="9">
        <v>440000</v>
      </c>
      <c r="J139" s="44" t="s">
        <v>1368</v>
      </c>
    </row>
    <row r="140" spans="1:10" ht="19" x14ac:dyDescent="0.2">
      <c r="A140" s="61"/>
      <c r="B140" s="75"/>
      <c r="C140" s="2"/>
      <c r="D140" s="13"/>
      <c r="E140" s="9"/>
      <c r="F140" s="9"/>
      <c r="G140" s="9"/>
      <c r="H140" s="9"/>
      <c r="I140" s="76">
        <v>250000</v>
      </c>
      <c r="J140" s="123" t="s">
        <v>1369</v>
      </c>
    </row>
    <row r="141" spans="1:10" ht="19" x14ac:dyDescent="0.2">
      <c r="A141" s="74"/>
      <c r="B141" s="58"/>
      <c r="C141" s="49"/>
      <c r="D141" s="13"/>
      <c r="E141" s="15"/>
      <c r="F141" s="9"/>
      <c r="G141" s="9"/>
      <c r="H141" s="9"/>
      <c r="I141" s="76"/>
      <c r="J141" s="123"/>
    </row>
    <row r="142" spans="1:10" ht="19" x14ac:dyDescent="0.2">
      <c r="A142" s="61" t="e">
        <f>[1]!Таблица134567891210[[#This Row],[Нал]]+[1]!Таблица134567891210[[#This Row],[Терминал]]+E146+F146</f>
        <v>#REF!</v>
      </c>
      <c r="B142" s="58">
        <v>44763</v>
      </c>
      <c r="C142" s="2" t="s">
        <v>9</v>
      </c>
      <c r="D142" s="13" t="s">
        <v>405</v>
      </c>
      <c r="E142" s="15">
        <v>253000</v>
      </c>
      <c r="F142" s="9">
        <v>36000</v>
      </c>
      <c r="G142" s="9"/>
      <c r="H142" s="76"/>
      <c r="I142" s="9">
        <v>75000</v>
      </c>
      <c r="J142" s="44" t="s">
        <v>1335</v>
      </c>
    </row>
    <row r="143" spans="1:10" ht="19" x14ac:dyDescent="0.2">
      <c r="A143" s="74"/>
      <c r="B143" s="58"/>
      <c r="C143" s="35"/>
      <c r="D143" s="13"/>
      <c r="E143" s="15"/>
      <c r="F143" s="9"/>
      <c r="G143" s="9"/>
      <c r="H143" s="76"/>
      <c r="I143" s="9">
        <v>114000</v>
      </c>
      <c r="J143" s="44" t="s">
        <v>1370</v>
      </c>
    </row>
    <row r="144" spans="1:10" ht="19" x14ac:dyDescent="0.2">
      <c r="A144" s="74"/>
      <c r="B144" s="58"/>
      <c r="C144" s="35"/>
      <c r="D144" s="13"/>
      <c r="E144" s="15"/>
      <c r="F144" s="9"/>
      <c r="G144" s="9"/>
      <c r="H144" s="76"/>
      <c r="I144" s="9">
        <v>407000</v>
      </c>
      <c r="J144" s="44" t="s">
        <v>1353</v>
      </c>
    </row>
    <row r="145" spans="1:10" ht="19" x14ac:dyDescent="0.2">
      <c r="A145" s="74"/>
      <c r="B145" s="58"/>
      <c r="C145" s="35"/>
      <c r="D145" s="13"/>
      <c r="E145" s="15"/>
      <c r="F145" s="9"/>
      <c r="G145" s="9"/>
      <c r="H145" s="76"/>
      <c r="I145" s="9">
        <v>47500</v>
      </c>
      <c r="J145" s="44" t="s">
        <v>1371</v>
      </c>
    </row>
    <row r="146" spans="1:10" ht="19" x14ac:dyDescent="0.2">
      <c r="A146" s="61"/>
      <c r="B146" s="58"/>
      <c r="C146" s="3" t="s">
        <v>10</v>
      </c>
      <c r="D146" s="13" t="s">
        <v>565</v>
      </c>
      <c r="E146" s="15">
        <v>477000</v>
      </c>
      <c r="F146" s="9">
        <v>244000</v>
      </c>
      <c r="G146" s="9"/>
      <c r="H146" s="9"/>
      <c r="I146" s="9">
        <v>60000</v>
      </c>
      <c r="J146" s="44" t="s">
        <v>1372</v>
      </c>
    </row>
    <row r="147" spans="1:10" ht="19" x14ac:dyDescent="0.2">
      <c r="A147" s="74"/>
      <c r="B147" s="58"/>
      <c r="C147" s="49"/>
      <c r="D147" s="13"/>
      <c r="E147" s="15"/>
      <c r="F147" s="9"/>
      <c r="G147" s="9"/>
      <c r="H147" s="9"/>
      <c r="I147" s="9">
        <v>44500</v>
      </c>
      <c r="J147" s="44" t="s">
        <v>1340</v>
      </c>
    </row>
    <row r="148" spans="1:10" ht="19" x14ac:dyDescent="0.2">
      <c r="A148" s="74"/>
      <c r="B148" s="58"/>
      <c r="C148" s="49"/>
      <c r="D148" s="13"/>
      <c r="E148" s="15"/>
      <c r="F148" s="9"/>
      <c r="G148" s="9"/>
      <c r="H148" s="9"/>
      <c r="I148" s="9">
        <v>15000</v>
      </c>
      <c r="J148" s="44" t="s">
        <v>1351</v>
      </c>
    </row>
    <row r="149" spans="1:10" ht="19" x14ac:dyDescent="0.2">
      <c r="A149" s="74"/>
      <c r="B149" s="58"/>
      <c r="C149" s="49"/>
      <c r="D149" s="13"/>
      <c r="E149" s="15"/>
      <c r="F149" s="9"/>
      <c r="G149" s="9"/>
      <c r="H149" s="9"/>
      <c r="I149" s="9">
        <v>90000</v>
      </c>
      <c r="J149" s="44" t="s">
        <v>335</v>
      </c>
    </row>
    <row r="150" spans="1:10" ht="19" x14ac:dyDescent="0.2">
      <c r="A150" s="74"/>
      <c r="B150" s="58"/>
      <c r="C150" s="49"/>
      <c r="D150" s="13"/>
      <c r="E150" s="15"/>
      <c r="F150" s="9"/>
      <c r="G150" s="9"/>
      <c r="H150" s="9"/>
      <c r="I150" s="9">
        <v>110000</v>
      </c>
      <c r="J150" s="44" t="s">
        <v>1373</v>
      </c>
    </row>
    <row r="151" spans="1:10" ht="19" x14ac:dyDescent="0.2">
      <c r="A151" s="74"/>
      <c r="B151" s="58"/>
      <c r="C151" s="49"/>
      <c r="D151" s="13"/>
      <c r="E151" s="15"/>
      <c r="F151" s="9"/>
      <c r="G151" s="9"/>
      <c r="H151" s="9"/>
      <c r="I151" s="9"/>
      <c r="J151" s="44"/>
    </row>
    <row r="152" spans="1:10" ht="19" x14ac:dyDescent="0.2">
      <c r="A152" s="61" t="e">
        <f>[1]!Таблица134567891210[[#This Row],[Нал]]+[1]!Таблица134567891210[[#This Row],[Терминал]]+E154+F154</f>
        <v>#REF!</v>
      </c>
      <c r="B152" s="58">
        <v>44764</v>
      </c>
      <c r="C152" s="3" t="s">
        <v>9</v>
      </c>
      <c r="D152" s="13" t="s">
        <v>405</v>
      </c>
      <c r="E152" s="15">
        <v>729000</v>
      </c>
      <c r="F152" s="9">
        <v>56000</v>
      </c>
      <c r="G152" s="9"/>
      <c r="H152" s="9"/>
      <c r="I152" s="9">
        <v>37000</v>
      </c>
      <c r="J152" s="44" t="s">
        <v>640</v>
      </c>
    </row>
    <row r="153" spans="1:10" ht="19" x14ac:dyDescent="0.2">
      <c r="A153" s="74"/>
      <c r="B153" s="58"/>
      <c r="C153" s="49"/>
      <c r="D153" s="13"/>
      <c r="E153" s="15"/>
      <c r="F153" s="9"/>
      <c r="G153" s="9"/>
      <c r="H153" s="60"/>
      <c r="I153" s="9"/>
      <c r="J153" s="44"/>
    </row>
    <row r="154" spans="1:10" ht="19" x14ac:dyDescent="0.2">
      <c r="A154" s="74"/>
      <c r="B154" s="58"/>
      <c r="C154" s="2" t="s">
        <v>10</v>
      </c>
      <c r="D154" s="13" t="s">
        <v>565</v>
      </c>
      <c r="E154" s="15">
        <v>853000</v>
      </c>
      <c r="F154" s="9">
        <v>89000</v>
      </c>
      <c r="G154" s="9"/>
      <c r="H154" s="60"/>
      <c r="I154" s="9"/>
      <c r="J154" s="44"/>
    </row>
    <row r="155" spans="1:10" ht="19" x14ac:dyDescent="0.2">
      <c r="A155" s="61"/>
      <c r="B155" s="58"/>
      <c r="C155" s="3"/>
      <c r="D155" s="13"/>
      <c r="E155" s="15"/>
      <c r="F155" s="9"/>
      <c r="G155" s="9"/>
      <c r="H155" s="9"/>
      <c r="I155" s="9"/>
      <c r="J155" s="44"/>
    </row>
    <row r="156" spans="1:10" ht="19" x14ac:dyDescent="0.2">
      <c r="A156" s="74"/>
      <c r="B156" s="58"/>
      <c r="C156" s="49"/>
      <c r="D156" s="13"/>
      <c r="E156" s="15"/>
      <c r="F156" s="9"/>
      <c r="G156" s="9"/>
      <c r="H156" s="9"/>
      <c r="I156" s="9"/>
      <c r="J156" s="44"/>
    </row>
    <row r="157" spans="1:10" ht="19" x14ac:dyDescent="0.2">
      <c r="A157" s="61" t="e">
        <f>[1]!Таблица134567891210[[#This Row],[Нал]]+E160+F160</f>
        <v>#REF!</v>
      </c>
      <c r="B157" s="58">
        <v>44765</v>
      </c>
      <c r="C157" s="3" t="s">
        <v>9</v>
      </c>
      <c r="D157" s="13" t="s">
        <v>405</v>
      </c>
      <c r="E157" s="15">
        <v>481000</v>
      </c>
      <c r="F157" s="9"/>
      <c r="G157" s="9">
        <v>2959000</v>
      </c>
      <c r="H157" s="9" t="s">
        <v>1374</v>
      </c>
      <c r="I157" s="9"/>
      <c r="J157" s="44"/>
    </row>
    <row r="158" spans="1:10" ht="19" x14ac:dyDescent="0.2">
      <c r="A158" s="61"/>
      <c r="B158" s="58"/>
      <c r="C158" s="3"/>
      <c r="D158" s="13"/>
      <c r="E158" s="15"/>
      <c r="F158" s="9"/>
      <c r="G158" s="9"/>
      <c r="H158" s="60"/>
      <c r="I158" s="9"/>
      <c r="J158" s="44"/>
    </row>
    <row r="159" spans="1:10" ht="19" x14ac:dyDescent="0.2">
      <c r="A159" s="61"/>
      <c r="B159" s="58"/>
      <c r="C159" s="3"/>
      <c r="D159" s="13"/>
      <c r="E159" s="15"/>
      <c r="F159" s="9"/>
      <c r="G159" s="9"/>
      <c r="H159" s="60"/>
      <c r="I159" s="9"/>
      <c r="J159" s="44"/>
    </row>
    <row r="160" spans="1:10" ht="19" x14ac:dyDescent="0.2">
      <c r="A160" s="61"/>
      <c r="B160" s="75"/>
      <c r="C160" s="2" t="s">
        <v>10</v>
      </c>
      <c r="D160" s="13" t="s">
        <v>773</v>
      </c>
      <c r="E160" s="15">
        <v>763000</v>
      </c>
      <c r="F160" s="9">
        <v>68000</v>
      </c>
      <c r="G160" s="9"/>
      <c r="H160" s="77"/>
      <c r="I160" s="9">
        <v>10000</v>
      </c>
      <c r="J160" s="44" t="s">
        <v>1375</v>
      </c>
    </row>
    <row r="161" spans="1:10" ht="19" x14ac:dyDescent="0.2">
      <c r="A161" s="61" t="e">
        <f>[1]!Таблица134567891210[[#This Row],[Нал]]+[1]!Таблица134567891210[[#This Row],[Терминал]]+E164+F164</f>
        <v>#REF!</v>
      </c>
      <c r="B161" s="58">
        <v>44766</v>
      </c>
      <c r="C161" s="3" t="s">
        <v>9</v>
      </c>
      <c r="D161" s="13" t="s">
        <v>405</v>
      </c>
      <c r="E161" s="15">
        <v>271000</v>
      </c>
      <c r="F161" s="9">
        <v>108000</v>
      </c>
      <c r="G161" s="9"/>
      <c r="H161" s="9"/>
      <c r="I161" s="9"/>
      <c r="J161" s="44"/>
    </row>
    <row r="162" spans="1:10" ht="19" x14ac:dyDescent="0.2">
      <c r="A162" s="74"/>
      <c r="B162" s="58"/>
      <c r="C162" s="49"/>
      <c r="D162" s="13"/>
      <c r="E162" s="15"/>
      <c r="F162" s="9"/>
      <c r="G162" s="9"/>
      <c r="H162" s="9"/>
      <c r="I162" s="76"/>
      <c r="J162" s="123"/>
    </row>
    <row r="163" spans="1:10" ht="19" x14ac:dyDescent="0.2">
      <c r="A163" s="74"/>
      <c r="B163" s="58"/>
      <c r="C163" s="49"/>
      <c r="D163" s="13"/>
      <c r="E163" s="15"/>
      <c r="F163" s="9"/>
      <c r="G163" s="9"/>
      <c r="H163" s="9"/>
      <c r="I163" s="77"/>
      <c r="J163" s="124"/>
    </row>
    <row r="164" spans="1:10" ht="19" x14ac:dyDescent="0.2">
      <c r="A164" s="74"/>
      <c r="B164" s="58"/>
      <c r="C164" s="49" t="s">
        <v>363</v>
      </c>
      <c r="D164" s="13" t="s">
        <v>565</v>
      </c>
      <c r="E164" s="15">
        <v>482000</v>
      </c>
      <c r="F164" s="9">
        <v>79000</v>
      </c>
      <c r="G164" s="9"/>
      <c r="H164" s="9"/>
      <c r="I164" s="76">
        <v>50000</v>
      </c>
      <c r="J164" s="123" t="s">
        <v>123</v>
      </c>
    </row>
    <row r="165" spans="1:10" ht="19" x14ac:dyDescent="0.2">
      <c r="A165" s="74"/>
      <c r="B165" s="58"/>
      <c r="C165" s="49"/>
      <c r="D165" s="13"/>
      <c r="E165" s="15"/>
      <c r="F165" s="9"/>
      <c r="G165" s="9"/>
      <c r="H165" s="9"/>
      <c r="I165" s="76">
        <v>161000</v>
      </c>
      <c r="J165" s="123" t="s">
        <v>1376</v>
      </c>
    </row>
    <row r="166" spans="1:10" ht="19" x14ac:dyDescent="0.2">
      <c r="A166" s="74"/>
      <c r="B166" s="58"/>
      <c r="C166" s="49"/>
      <c r="D166" s="13"/>
      <c r="E166" s="15"/>
      <c r="F166" s="9"/>
      <c r="G166" s="9"/>
      <c r="H166" s="9"/>
      <c r="I166" s="76"/>
      <c r="J166" s="123"/>
    </row>
    <row r="167" spans="1:10" ht="19" x14ac:dyDescent="0.2">
      <c r="A167" s="61"/>
      <c r="B167" s="58"/>
      <c r="C167" s="49"/>
      <c r="D167" s="13"/>
      <c r="E167" s="15"/>
      <c r="F167" s="9"/>
      <c r="G167" s="9"/>
      <c r="H167" s="9"/>
      <c r="I167" s="9"/>
      <c r="J167" s="44"/>
    </row>
    <row r="168" spans="1:10" ht="19" x14ac:dyDescent="0.2">
      <c r="A168" s="74"/>
      <c r="B168" s="58"/>
      <c r="C168" s="49"/>
      <c r="D168" s="13"/>
      <c r="E168" s="15"/>
      <c r="F168" s="9"/>
      <c r="G168" s="9"/>
      <c r="H168" s="9"/>
      <c r="I168" s="9"/>
      <c r="J168" s="44"/>
    </row>
    <row r="169" spans="1:10" ht="19" x14ac:dyDescent="0.2">
      <c r="A169" s="61" t="e">
        <f>[1]!Таблица134567891210[[#This Row],[Нал]]+[1]!Таблица134567891210[[#This Row],[Терминал]]+E173+F173</f>
        <v>#REF!</v>
      </c>
      <c r="B169" s="58">
        <v>44767</v>
      </c>
      <c r="C169" s="49" t="s">
        <v>9</v>
      </c>
      <c r="D169" s="13" t="s">
        <v>405</v>
      </c>
      <c r="E169" s="15">
        <v>531000</v>
      </c>
      <c r="F169" s="9">
        <v>92000</v>
      </c>
      <c r="G169" s="9"/>
      <c r="H169" s="9"/>
      <c r="I169" s="9"/>
      <c r="J169" s="44"/>
    </row>
    <row r="170" spans="1:10" ht="19" x14ac:dyDescent="0.2">
      <c r="A170" s="61"/>
      <c r="B170" s="58"/>
      <c r="C170" s="49"/>
      <c r="D170" s="13"/>
      <c r="E170" s="15"/>
      <c r="F170" s="9"/>
      <c r="G170" s="9"/>
      <c r="H170" s="9"/>
      <c r="I170" s="9"/>
      <c r="J170" s="44"/>
    </row>
    <row r="171" spans="1:10" ht="19" x14ac:dyDescent="0.2">
      <c r="A171" s="61"/>
      <c r="B171" s="58"/>
      <c r="C171" s="49"/>
      <c r="D171" s="13"/>
      <c r="E171" s="15"/>
      <c r="F171" s="9"/>
      <c r="G171" s="9"/>
      <c r="H171" s="9"/>
      <c r="I171" s="9"/>
      <c r="J171" s="44"/>
    </row>
    <row r="172" spans="1:10" ht="19" x14ac:dyDescent="0.2">
      <c r="A172" s="61"/>
      <c r="B172" s="58"/>
      <c r="C172" s="49"/>
      <c r="D172" s="13"/>
      <c r="E172" s="15"/>
      <c r="F172" s="9"/>
      <c r="G172" s="9"/>
      <c r="H172" s="9"/>
      <c r="I172" s="9"/>
      <c r="J172" s="44"/>
    </row>
    <row r="173" spans="1:10" ht="19" x14ac:dyDescent="0.2">
      <c r="A173" s="61"/>
      <c r="B173" s="58"/>
      <c r="C173" s="49" t="s">
        <v>10</v>
      </c>
      <c r="D173" s="13" t="s">
        <v>565</v>
      </c>
      <c r="E173" s="15">
        <v>271000</v>
      </c>
      <c r="F173" s="9">
        <v>108000</v>
      </c>
      <c r="G173" s="9"/>
      <c r="H173" s="9"/>
      <c r="I173" s="9">
        <v>45000</v>
      </c>
      <c r="J173" s="44" t="s">
        <v>1377</v>
      </c>
    </row>
    <row r="174" spans="1:10" ht="19" x14ac:dyDescent="0.2">
      <c r="A174" s="79"/>
      <c r="B174" s="75"/>
      <c r="C174" s="35"/>
      <c r="D174" s="13"/>
      <c r="E174" s="15"/>
      <c r="F174" s="9"/>
      <c r="G174" s="9"/>
      <c r="H174" s="9"/>
      <c r="I174" s="9"/>
      <c r="J174" s="121"/>
    </row>
    <row r="175" spans="1:10" ht="19" x14ac:dyDescent="0.2">
      <c r="A175" s="61"/>
      <c r="B175" s="75"/>
      <c r="C175" s="2"/>
      <c r="D175" s="13"/>
      <c r="E175" s="15"/>
      <c r="F175" s="9"/>
      <c r="G175" s="9"/>
      <c r="H175" s="9"/>
      <c r="I175" s="9"/>
      <c r="J175" s="44"/>
    </row>
    <row r="176" spans="1:10" ht="19" x14ac:dyDescent="0.2">
      <c r="A176" s="61" t="e">
        <f>[1]!Таблица134567891210[[#This Row],[Нал]]+[1]!Таблица134567891210[[#This Row],[Терминал]]+E180+F180</f>
        <v>#REF!</v>
      </c>
      <c r="B176" s="58">
        <v>44768</v>
      </c>
      <c r="C176" s="49" t="s">
        <v>9</v>
      </c>
      <c r="D176" s="13" t="s">
        <v>405</v>
      </c>
      <c r="E176" s="15">
        <v>546000</v>
      </c>
      <c r="F176" s="9"/>
      <c r="G176" s="9"/>
      <c r="H176" s="9"/>
      <c r="I176" s="9"/>
      <c r="J176" s="44"/>
    </row>
    <row r="177" spans="1:10" ht="19" x14ac:dyDescent="0.2">
      <c r="A177" s="74"/>
      <c r="B177" s="58"/>
      <c r="C177" s="49"/>
      <c r="D177" s="13"/>
      <c r="E177" s="15"/>
      <c r="F177" s="9"/>
      <c r="G177" s="9"/>
      <c r="H177" s="9"/>
      <c r="I177" s="9"/>
      <c r="J177" s="44"/>
    </row>
    <row r="178" spans="1:10" ht="19" x14ac:dyDescent="0.2">
      <c r="A178" s="74"/>
      <c r="B178" s="58"/>
      <c r="C178" s="49"/>
      <c r="D178" s="13"/>
      <c r="E178" s="15"/>
      <c r="F178" s="9"/>
      <c r="G178" s="9"/>
      <c r="H178" s="9"/>
      <c r="I178" s="9"/>
      <c r="J178" s="44"/>
    </row>
    <row r="179" spans="1:10" ht="19" x14ac:dyDescent="0.2">
      <c r="A179" s="74"/>
      <c r="B179" s="58"/>
      <c r="C179" s="49"/>
      <c r="D179" s="13"/>
      <c r="E179" s="15"/>
      <c r="F179" s="9"/>
      <c r="G179" s="9"/>
      <c r="H179" s="9"/>
      <c r="I179" s="60"/>
      <c r="J179" s="121"/>
    </row>
    <row r="180" spans="1:10" ht="19" x14ac:dyDescent="0.2">
      <c r="A180" s="61"/>
      <c r="B180" s="75"/>
      <c r="C180" s="2" t="s">
        <v>10</v>
      </c>
      <c r="D180" s="13" t="s">
        <v>565</v>
      </c>
      <c r="E180" s="15">
        <v>475000</v>
      </c>
      <c r="F180" s="9">
        <v>50000</v>
      </c>
      <c r="G180" s="9"/>
      <c r="H180" s="9"/>
      <c r="I180" s="9">
        <v>34000</v>
      </c>
      <c r="J180" s="44" t="s">
        <v>640</v>
      </c>
    </row>
    <row r="181" spans="1:10" ht="19" x14ac:dyDescent="0.2">
      <c r="A181" s="74"/>
      <c r="B181" s="75"/>
      <c r="C181" s="35"/>
      <c r="D181" s="13"/>
      <c r="E181" s="15"/>
      <c r="F181" s="9"/>
      <c r="G181" s="9"/>
      <c r="H181" s="9"/>
      <c r="I181" s="9"/>
      <c r="J181" s="44"/>
    </row>
    <row r="182" spans="1:10" ht="19" x14ac:dyDescent="0.2">
      <c r="A182" s="61" t="e">
        <f>[1]!Таблица134567891210[[#This Row],[Нал]]+[1]!Таблица134567891210[[#This Row],[Терминал]]+E187+F187</f>
        <v>#REF!</v>
      </c>
      <c r="B182" s="58">
        <v>44769</v>
      </c>
      <c r="C182" s="3" t="s">
        <v>9</v>
      </c>
      <c r="D182" s="13" t="s">
        <v>405</v>
      </c>
      <c r="E182" s="9">
        <v>445000</v>
      </c>
      <c r="F182" s="9">
        <v>36000</v>
      </c>
      <c r="G182" s="9"/>
      <c r="H182" s="9"/>
      <c r="I182" s="9">
        <v>225000</v>
      </c>
      <c r="J182" s="44" t="s">
        <v>1378</v>
      </c>
    </row>
    <row r="183" spans="1:10" ht="19" x14ac:dyDescent="0.2">
      <c r="A183" s="74"/>
      <c r="B183" s="58"/>
      <c r="C183" s="49"/>
      <c r="D183" s="13"/>
      <c r="E183" s="15"/>
      <c r="F183" s="9"/>
      <c r="G183" s="9"/>
      <c r="H183" s="9"/>
      <c r="I183" s="9"/>
      <c r="J183" s="44"/>
    </row>
    <row r="184" spans="1:10" ht="19" x14ac:dyDescent="0.2">
      <c r="A184" s="74"/>
      <c r="B184" s="58"/>
      <c r="C184" s="49"/>
      <c r="D184" s="13"/>
      <c r="E184" s="15"/>
      <c r="F184" s="9"/>
      <c r="G184" s="9"/>
      <c r="H184" s="9"/>
      <c r="I184" s="9"/>
      <c r="J184" s="44"/>
    </row>
    <row r="185" spans="1:10" ht="19" x14ac:dyDescent="0.2">
      <c r="A185" s="74"/>
      <c r="B185" s="58"/>
      <c r="C185" s="49"/>
      <c r="D185" s="13"/>
      <c r="E185" s="15"/>
      <c r="F185" s="9"/>
      <c r="G185" s="9"/>
      <c r="H185" s="9"/>
      <c r="I185" s="9"/>
      <c r="J185" s="44"/>
    </row>
    <row r="186" spans="1:10" ht="19" x14ac:dyDescent="0.2">
      <c r="A186" s="74"/>
      <c r="B186" s="58"/>
      <c r="C186" s="49"/>
      <c r="D186" s="13"/>
      <c r="E186" s="15"/>
      <c r="F186" s="9"/>
      <c r="G186" s="9"/>
      <c r="H186" s="9"/>
      <c r="I186" s="9"/>
      <c r="J186" s="44"/>
    </row>
    <row r="187" spans="1:10" ht="19" x14ac:dyDescent="0.2">
      <c r="A187" s="61"/>
      <c r="B187" s="75"/>
      <c r="C187" s="2" t="s">
        <v>10</v>
      </c>
      <c r="D187" s="13" t="s">
        <v>565</v>
      </c>
      <c r="E187" s="9">
        <v>565000</v>
      </c>
      <c r="F187" s="9">
        <v>54000</v>
      </c>
      <c r="G187" s="9"/>
      <c r="H187" s="9"/>
      <c r="I187" s="9">
        <v>48000</v>
      </c>
      <c r="J187" s="44" t="s">
        <v>1360</v>
      </c>
    </row>
    <row r="188" spans="1:10" ht="19" x14ac:dyDescent="0.2">
      <c r="A188" s="61" t="e">
        <f>[1]!Таблица134567891210[[#This Row],[Нал]]+[1]!Таблица134567891210[[#This Row],[Терминал]]+E193+F193</f>
        <v>#REF!</v>
      </c>
      <c r="B188" s="58">
        <v>44770</v>
      </c>
      <c r="C188" s="2" t="s">
        <v>9</v>
      </c>
      <c r="D188" s="13" t="s">
        <v>405</v>
      </c>
      <c r="E188" s="15">
        <v>581000</v>
      </c>
      <c r="F188" s="9">
        <v>45000</v>
      </c>
      <c r="G188" s="9"/>
      <c r="H188" s="9"/>
      <c r="I188" s="9">
        <v>34000</v>
      </c>
      <c r="J188" s="44" t="s">
        <v>640</v>
      </c>
    </row>
    <row r="189" spans="1:10" ht="19" x14ac:dyDescent="0.2">
      <c r="A189" s="61"/>
      <c r="B189" s="75"/>
      <c r="C189" s="35"/>
      <c r="D189" s="13"/>
      <c r="E189" s="15"/>
      <c r="F189" s="9"/>
      <c r="G189" s="9"/>
      <c r="H189" s="9"/>
      <c r="I189" s="9">
        <v>22000</v>
      </c>
      <c r="J189" s="44" t="s">
        <v>1379</v>
      </c>
    </row>
    <row r="190" spans="1:10" ht="19" x14ac:dyDescent="0.2">
      <c r="A190" s="61"/>
      <c r="B190" s="75"/>
      <c r="C190" s="35"/>
      <c r="D190" s="13"/>
      <c r="E190" s="15"/>
      <c r="F190" s="9"/>
      <c r="G190" s="9"/>
      <c r="H190" s="9"/>
      <c r="I190" s="9"/>
      <c r="J190" s="44"/>
    </row>
    <row r="191" spans="1:10" ht="19" x14ac:dyDescent="0.2">
      <c r="A191" s="61"/>
      <c r="B191" s="75"/>
      <c r="C191" s="35"/>
      <c r="D191" s="13"/>
      <c r="E191" s="15"/>
      <c r="F191" s="9"/>
      <c r="G191" s="9"/>
      <c r="H191" s="9"/>
      <c r="I191" s="9"/>
      <c r="J191" s="44"/>
    </row>
    <row r="192" spans="1:10" ht="19" x14ac:dyDescent="0.2">
      <c r="A192" s="61"/>
      <c r="B192" s="75"/>
      <c r="C192" s="35"/>
      <c r="D192" s="13"/>
      <c r="E192" s="15"/>
      <c r="F192" s="9"/>
      <c r="G192" s="9"/>
      <c r="H192" s="9"/>
      <c r="I192" s="9"/>
      <c r="J192" s="44"/>
    </row>
    <row r="193" spans="1:10" ht="19" x14ac:dyDescent="0.2">
      <c r="A193" s="61"/>
      <c r="B193" s="58"/>
      <c r="C193" s="49" t="s">
        <v>10</v>
      </c>
      <c r="D193" s="13" t="s">
        <v>565</v>
      </c>
      <c r="E193" s="15">
        <v>347000</v>
      </c>
      <c r="F193" s="9">
        <v>136000</v>
      </c>
      <c r="G193" s="9"/>
      <c r="H193" s="9"/>
      <c r="I193" s="60"/>
      <c r="J193" s="121"/>
    </row>
    <row r="194" spans="1:10" ht="19" x14ac:dyDescent="0.2">
      <c r="A194" s="61"/>
      <c r="B194" s="58"/>
      <c r="C194" s="49"/>
      <c r="D194" s="13"/>
      <c r="E194" s="15"/>
      <c r="F194" s="9"/>
      <c r="G194" s="9"/>
      <c r="H194" s="9"/>
      <c r="I194" s="9"/>
      <c r="J194" s="44"/>
    </row>
    <row r="195" spans="1:10" ht="19" x14ac:dyDescent="0.2">
      <c r="A195" s="61" t="e">
        <f>[1]!Таблица134567891210[[#This Row],[Нал]]+[1]!Таблица134567891210[[#This Row],[Терминал]]+E199+F199</f>
        <v>#REF!</v>
      </c>
      <c r="B195" s="58">
        <v>44771</v>
      </c>
      <c r="C195" s="49" t="s">
        <v>9</v>
      </c>
      <c r="D195" s="13" t="s">
        <v>405</v>
      </c>
      <c r="E195" s="15">
        <v>632000</v>
      </c>
      <c r="F195" s="9">
        <v>36000</v>
      </c>
      <c r="G195" s="9"/>
      <c r="H195" s="9"/>
      <c r="I195" s="9">
        <v>11000</v>
      </c>
      <c r="J195" s="44" t="s">
        <v>1380</v>
      </c>
    </row>
    <row r="196" spans="1:10" ht="19" x14ac:dyDescent="0.2">
      <c r="A196" s="61"/>
      <c r="B196" s="58"/>
      <c r="C196" s="49"/>
      <c r="D196" s="13"/>
      <c r="E196" s="15"/>
      <c r="F196" s="9"/>
      <c r="G196" s="9"/>
      <c r="H196" s="9"/>
      <c r="I196" s="9"/>
      <c r="J196" s="44"/>
    </row>
    <row r="197" spans="1:10" ht="19" x14ac:dyDescent="0.2">
      <c r="A197" s="61"/>
      <c r="B197" s="58"/>
      <c r="C197" s="49"/>
      <c r="D197" s="13"/>
      <c r="E197" s="15"/>
      <c r="F197" s="9"/>
      <c r="G197" s="9"/>
      <c r="H197" s="9"/>
      <c r="I197" s="9"/>
      <c r="J197" s="44"/>
    </row>
    <row r="198" spans="1:10" ht="19" x14ac:dyDescent="0.2">
      <c r="A198" s="74"/>
      <c r="B198" s="58"/>
      <c r="C198" s="49"/>
      <c r="D198" s="13"/>
      <c r="E198" s="15"/>
      <c r="F198" s="9"/>
      <c r="G198" s="9"/>
      <c r="H198" s="9"/>
      <c r="I198" s="9"/>
      <c r="J198" s="44"/>
    </row>
    <row r="199" spans="1:10" ht="19" x14ac:dyDescent="0.2">
      <c r="A199" s="61"/>
      <c r="B199" s="58"/>
      <c r="C199" s="49" t="s">
        <v>10</v>
      </c>
      <c r="D199" s="13" t="s">
        <v>565</v>
      </c>
      <c r="E199" s="15">
        <v>639000</v>
      </c>
      <c r="F199" s="9">
        <v>126000</v>
      </c>
      <c r="G199" s="9"/>
      <c r="H199" s="9"/>
      <c r="I199" s="119"/>
      <c r="J199" s="122"/>
    </row>
    <row r="200" spans="1:10" ht="19" x14ac:dyDescent="0.2">
      <c r="A200" s="61">
        <v>1185000</v>
      </c>
      <c r="B200" s="58">
        <v>44772</v>
      </c>
      <c r="C200" s="2" t="s">
        <v>9</v>
      </c>
      <c r="D200" s="13" t="s">
        <v>405</v>
      </c>
      <c r="E200" s="15">
        <v>516000</v>
      </c>
      <c r="F200" s="9">
        <v>91000</v>
      </c>
      <c r="G200" s="9"/>
      <c r="H200" s="9"/>
      <c r="I200" s="9"/>
      <c r="J200" s="44"/>
    </row>
    <row r="201" spans="1:10" ht="19" x14ac:dyDescent="0.2">
      <c r="A201" s="61"/>
      <c r="B201" s="75"/>
      <c r="C201" s="35"/>
      <c r="D201" s="13"/>
      <c r="E201" s="15"/>
      <c r="F201" s="9"/>
      <c r="G201" s="9"/>
      <c r="H201" s="9"/>
      <c r="I201" s="9"/>
      <c r="J201" s="44"/>
    </row>
    <row r="202" spans="1:10" ht="19" x14ac:dyDescent="0.2">
      <c r="A202" s="74"/>
      <c r="B202" s="75"/>
      <c r="C202" s="35"/>
      <c r="D202" s="13"/>
      <c r="E202" s="15"/>
      <c r="F202" s="9"/>
      <c r="G202" s="9"/>
      <c r="H202" s="9"/>
      <c r="I202" s="9"/>
      <c r="J202" s="44"/>
    </row>
    <row r="203" spans="1:10" ht="19" x14ac:dyDescent="0.2">
      <c r="A203" s="61"/>
      <c r="B203" s="75"/>
      <c r="C203" s="35" t="s">
        <v>10</v>
      </c>
      <c r="D203" s="13" t="s">
        <v>565</v>
      </c>
      <c r="E203" s="15">
        <v>560000</v>
      </c>
      <c r="F203" s="9">
        <v>18000</v>
      </c>
      <c r="G203" s="9"/>
      <c r="H203" s="9"/>
      <c r="I203" s="9">
        <v>34000</v>
      </c>
      <c r="J203" s="44" t="s">
        <v>1381</v>
      </c>
    </row>
    <row r="204" spans="1:10" ht="19" x14ac:dyDescent="0.2">
      <c r="A204" s="61">
        <v>1189000</v>
      </c>
      <c r="B204" s="58">
        <v>44773</v>
      </c>
      <c r="C204" s="35" t="s">
        <v>360</v>
      </c>
      <c r="D204" s="13" t="s">
        <v>773</v>
      </c>
      <c r="E204" s="15">
        <v>1111000</v>
      </c>
      <c r="F204" s="9">
        <v>78000</v>
      </c>
      <c r="G204" s="9"/>
      <c r="H204" s="9"/>
      <c r="I204" s="9">
        <v>37000</v>
      </c>
      <c r="J204" s="44" t="s">
        <v>1382</v>
      </c>
    </row>
    <row r="205" spans="1:10" ht="19" x14ac:dyDescent="0.2">
      <c r="A205" s="61"/>
      <c r="B205" s="58"/>
      <c r="C205" s="35"/>
      <c r="D205" s="13"/>
      <c r="E205" s="15"/>
      <c r="F205" s="9"/>
      <c r="G205" s="9">
        <v>1320000</v>
      </c>
      <c r="H205" s="9" t="s">
        <v>1121</v>
      </c>
      <c r="I205" s="9">
        <v>35000</v>
      </c>
      <c r="J205" s="44" t="s">
        <v>48</v>
      </c>
    </row>
    <row r="206" spans="1:10" ht="19" x14ac:dyDescent="0.2">
      <c r="A206" s="61"/>
      <c r="B206" s="75"/>
      <c r="C206" s="35"/>
      <c r="D206" s="13"/>
      <c r="E206" s="15"/>
      <c r="F206" s="9"/>
      <c r="G206" s="9">
        <v>1560000</v>
      </c>
      <c r="H206" s="9" t="s">
        <v>710</v>
      </c>
      <c r="I206" s="9">
        <v>18000</v>
      </c>
      <c r="J206" s="44" t="s">
        <v>1379</v>
      </c>
    </row>
    <row r="207" spans="1:10" ht="19" x14ac:dyDescent="0.2">
      <c r="A207" s="61"/>
      <c r="B207" s="75"/>
      <c r="C207" s="35"/>
      <c r="D207" s="13"/>
      <c r="E207" s="15"/>
      <c r="F207" s="9"/>
      <c r="G207" s="9">
        <v>960000</v>
      </c>
      <c r="H207" s="9" t="s">
        <v>1383</v>
      </c>
      <c r="I207" s="9">
        <v>52000</v>
      </c>
      <c r="J207" s="44" t="s">
        <v>1384</v>
      </c>
    </row>
    <row r="208" spans="1:10" ht="19" x14ac:dyDescent="0.2">
      <c r="A208" s="61"/>
      <c r="B208" s="75"/>
      <c r="C208" s="35"/>
      <c r="D208" s="13"/>
      <c r="E208" s="15"/>
      <c r="F208" s="9"/>
      <c r="G208" s="9"/>
      <c r="H208" s="9"/>
      <c r="I208" s="9">
        <v>37000</v>
      </c>
      <c r="J208" s="44" t="s">
        <v>1385</v>
      </c>
    </row>
    <row r="209" spans="1:10" ht="19" x14ac:dyDescent="0.2">
      <c r="A209" s="61"/>
      <c r="B209" s="75"/>
      <c r="C209" s="35"/>
      <c r="D209" s="13"/>
      <c r="E209" s="15"/>
      <c r="F209" s="9"/>
      <c r="G209" s="9">
        <v>1000000</v>
      </c>
      <c r="H209" s="60" t="s">
        <v>785</v>
      </c>
      <c r="I209" s="9">
        <v>12000</v>
      </c>
      <c r="J209" s="44" t="s">
        <v>1386</v>
      </c>
    </row>
    <row r="210" spans="1:10" ht="32" x14ac:dyDescent="0.2">
      <c r="A210" s="61"/>
      <c r="B210" s="75"/>
      <c r="C210" s="35"/>
      <c r="D210" s="13"/>
      <c r="E210" s="15"/>
      <c r="F210" s="9"/>
      <c r="G210" s="9">
        <v>5512000</v>
      </c>
      <c r="H210" s="47" t="s">
        <v>1387</v>
      </c>
      <c r="I210" s="9">
        <v>50000</v>
      </c>
      <c r="J210" s="44" t="s">
        <v>206</v>
      </c>
    </row>
    <row r="211" spans="1:10" ht="19" x14ac:dyDescent="0.2">
      <c r="A211" s="61"/>
      <c r="B211" s="75"/>
      <c r="C211" s="35"/>
      <c r="D211" s="13"/>
      <c r="E211" s="15"/>
      <c r="F211" s="9"/>
      <c r="G211" s="9"/>
      <c r="H211" s="9"/>
      <c r="I211" s="9"/>
      <c r="J211" s="44"/>
    </row>
    <row r="212" spans="1:10" ht="19" x14ac:dyDescent="0.2">
      <c r="A212" s="61"/>
      <c r="B212" s="75"/>
      <c r="C212" s="35"/>
      <c r="D212" s="13"/>
      <c r="E212" s="15"/>
      <c r="F212" s="9"/>
      <c r="G212" s="9"/>
      <c r="H212" s="9"/>
      <c r="I212" s="9"/>
      <c r="J212" s="44"/>
    </row>
    <row r="213" spans="1:10" ht="19" x14ac:dyDescent="0.2">
      <c r="A213" s="80"/>
      <c r="B213" s="81"/>
      <c r="C213" s="82"/>
      <c r="D213" s="83"/>
      <c r="E213" s="84"/>
      <c r="F213" s="10"/>
      <c r="G213" s="10"/>
      <c r="H213" s="10"/>
      <c r="I213" s="10"/>
      <c r="J213" s="12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216"/>
  <sheetViews>
    <sheetView zoomScaleNormal="150" zoomScaleSheetLayoutView="100" workbookViewId="0">
      <selection activeCell="G185" sqref="G185"/>
    </sheetView>
  </sheetViews>
  <sheetFormatPr baseColWidth="10" defaultColWidth="8.83203125" defaultRowHeight="15" x14ac:dyDescent="0.2"/>
  <cols>
    <col min="1" max="1" width="22.6640625" bestFit="1" customWidth="1"/>
    <col min="2" max="2" width="11.83203125" customWidth="1"/>
    <col min="3" max="3" width="14" bestFit="1" customWidth="1"/>
    <col min="4" max="4" width="12" customWidth="1"/>
    <col min="5" max="5" width="22.6640625" bestFit="1" customWidth="1"/>
    <col min="6" max="6" width="21.33203125" bestFit="1" customWidth="1"/>
    <col min="7" max="7" width="24" customWidth="1"/>
    <col min="8" max="8" width="23.5" bestFit="1" customWidth="1"/>
    <col min="9" max="9" width="24" customWidth="1"/>
    <col min="10" max="10" width="32.33203125" bestFit="1" customWidth="1"/>
    <col min="11" max="11" width="18.5" bestFit="1" customWidth="1"/>
    <col min="12" max="12" width="20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6" t="s">
        <v>516</v>
      </c>
      <c r="G4" s="307"/>
      <c r="H4" s="71" t="s">
        <v>175</v>
      </c>
      <c r="I4" s="71">
        <v>8368150</v>
      </c>
      <c r="J4" s="72">
        <f>I4/10820</f>
        <v>773.39648798521262</v>
      </c>
    </row>
    <row r="5" spans="1:14" ht="24" x14ac:dyDescent="0.3">
      <c r="B5" s="99" t="s">
        <v>909</v>
      </c>
      <c r="G5" s="73"/>
      <c r="H5" s="71" t="s">
        <v>176</v>
      </c>
      <c r="I5" s="71">
        <v>3586350</v>
      </c>
      <c r="J5" s="72">
        <f>I5/10820</f>
        <v>331.45563770794826</v>
      </c>
    </row>
    <row r="6" spans="1:14" ht="24" x14ac:dyDescent="0.3">
      <c r="B6" s="99" t="s">
        <v>898</v>
      </c>
      <c r="G6" s="73"/>
      <c r="H6" s="71" t="s">
        <v>178</v>
      </c>
      <c r="I6" s="71">
        <v>8517589</v>
      </c>
      <c r="J6" s="72" t="s">
        <v>899</v>
      </c>
      <c r="L6" s="85"/>
      <c r="M6" s="85"/>
    </row>
    <row r="7" spans="1:14" ht="26" x14ac:dyDescent="0.3">
      <c r="B7" s="100" t="s">
        <v>901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SUM(A11:A215)</f>
        <v>51167000</v>
      </c>
      <c r="B10" s="65"/>
      <c r="C10" s="66" t="s">
        <v>13</v>
      </c>
      <c r="D10" s="67"/>
      <c r="E10" s="68">
        <f>SUM(E11:E215)</f>
        <v>42557000</v>
      </c>
      <c r="F10" s="69">
        <f>SUM(F11:F215)</f>
        <v>8610000</v>
      </c>
      <c r="G10" s="69">
        <f>SUM(G11:G215)</f>
        <v>21201000</v>
      </c>
      <c r="H10" s="69"/>
      <c r="I10" s="69">
        <f>SUM(I11:I215)</f>
        <v>11356500</v>
      </c>
      <c r="J10" s="69"/>
      <c r="K10" s="69">
        <f>SUBTOTAL(109,K11:K203)</f>
        <v>0</v>
      </c>
      <c r="L10" s="69"/>
      <c r="M10" s="8"/>
      <c r="N10" s="8"/>
    </row>
    <row r="11" spans="1:14" ht="19" x14ac:dyDescent="0.2">
      <c r="A11" s="61">
        <v>807000</v>
      </c>
      <c r="B11" s="58">
        <v>44774</v>
      </c>
      <c r="C11" s="3" t="s">
        <v>440</v>
      </c>
      <c r="D11" s="13" t="s">
        <v>405</v>
      </c>
      <c r="E11" s="9">
        <v>759000</v>
      </c>
      <c r="F11" s="9">
        <v>48000</v>
      </c>
      <c r="G11" s="9"/>
      <c r="H11" s="9"/>
      <c r="I11" s="9">
        <v>22000</v>
      </c>
      <c r="J11" s="9" t="s">
        <v>791</v>
      </c>
      <c r="K11" s="9"/>
      <c r="L11" s="9"/>
      <c r="M11" s="9"/>
      <c r="N11" s="9"/>
    </row>
    <row r="12" spans="1:14" s="94" customFormat="1" ht="19" x14ac:dyDescent="0.2">
      <c r="A12" s="89"/>
      <c r="B12" s="90"/>
      <c r="C12" s="91"/>
      <c r="D12" s="92"/>
      <c r="E12" s="93"/>
      <c r="F12" s="47"/>
      <c r="G12" s="47"/>
      <c r="H12" s="47"/>
      <c r="I12" s="47">
        <v>30000</v>
      </c>
      <c r="J12" s="47" t="s">
        <v>672</v>
      </c>
      <c r="K12" s="47"/>
      <c r="L12" s="47"/>
      <c r="M12" s="47"/>
      <c r="N12" s="47"/>
    </row>
    <row r="13" spans="1:14" ht="19" x14ac:dyDescent="0.2">
      <c r="A13" s="74"/>
      <c r="B13" s="58"/>
      <c r="C13" s="49"/>
      <c r="D13" s="13"/>
      <c r="E13" s="15"/>
      <c r="F13" s="9"/>
      <c r="G13" s="9"/>
      <c r="H13" s="9"/>
      <c r="I13" s="9">
        <v>8000</v>
      </c>
      <c r="J13" s="9" t="s">
        <v>792</v>
      </c>
      <c r="K13" s="9"/>
      <c r="L13" s="9"/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>
        <v>2000</v>
      </c>
      <c r="J14" s="9" t="s">
        <v>742</v>
      </c>
      <c r="K14" s="9"/>
      <c r="L14" s="9"/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>
        <v>32000</v>
      </c>
      <c r="J15" s="9" t="s">
        <v>640</v>
      </c>
      <c r="K15" s="9"/>
      <c r="L15" s="9"/>
      <c r="M15" s="9"/>
      <c r="N15" s="9"/>
    </row>
    <row r="16" spans="1:14" ht="19" x14ac:dyDescent="0.2">
      <c r="A16" s="74"/>
      <c r="B16" s="58"/>
      <c r="C16" s="49"/>
      <c r="D16" s="13"/>
      <c r="E16" s="15"/>
      <c r="F16" s="9"/>
      <c r="G16" s="9"/>
      <c r="H16" s="9"/>
      <c r="I16" s="9">
        <v>47000</v>
      </c>
      <c r="J16" s="9" t="s">
        <v>793</v>
      </c>
      <c r="K16" s="9"/>
      <c r="L16" s="9"/>
      <c r="M16" s="9"/>
      <c r="N16" s="9"/>
    </row>
    <row r="17" spans="1:14" ht="19" x14ac:dyDescent="0.2">
      <c r="A17" s="74"/>
      <c r="B17" s="58"/>
      <c r="C17" s="49"/>
      <c r="D17" s="13"/>
      <c r="E17" s="15"/>
      <c r="F17" s="9"/>
      <c r="G17" s="9"/>
      <c r="H17" s="9"/>
      <c r="I17" s="9"/>
      <c r="J17" s="9"/>
      <c r="K17" s="9"/>
      <c r="L17" s="9"/>
      <c r="M17" s="9"/>
      <c r="N17" s="9"/>
    </row>
    <row r="18" spans="1:14" ht="19" x14ac:dyDescent="0.2">
      <c r="A18" s="74">
        <v>535000</v>
      </c>
      <c r="B18" s="58"/>
      <c r="C18" s="49" t="s">
        <v>363</v>
      </c>
      <c r="D18" s="13" t="s">
        <v>565</v>
      </c>
      <c r="E18" s="15">
        <v>467000</v>
      </c>
      <c r="F18" s="9">
        <v>68000</v>
      </c>
      <c r="G18" s="9"/>
      <c r="H18" s="9"/>
      <c r="I18" s="9">
        <v>100000</v>
      </c>
      <c r="J18" s="9" t="s">
        <v>659</v>
      </c>
      <c r="K18" s="9"/>
      <c r="L18" s="9"/>
      <c r="M18" s="9"/>
      <c r="N18" s="9"/>
    </row>
    <row r="19" spans="1:14" ht="19" x14ac:dyDescent="0.2">
      <c r="A19" s="74"/>
      <c r="B19" s="58"/>
      <c r="C19" s="49"/>
      <c r="D19" s="13"/>
      <c r="E19" s="15"/>
      <c r="F19" s="9"/>
      <c r="G19" s="9"/>
      <c r="H19" s="9"/>
      <c r="I19" s="9">
        <v>50000</v>
      </c>
      <c r="J19" s="9" t="s">
        <v>654</v>
      </c>
      <c r="K19" s="9"/>
      <c r="L19" s="9"/>
      <c r="M19" s="9"/>
      <c r="N19" s="9"/>
    </row>
    <row r="20" spans="1:14" ht="19" x14ac:dyDescent="0.2">
      <c r="A20" s="74"/>
      <c r="B20" s="58"/>
      <c r="C20" s="49"/>
      <c r="D20" s="13"/>
      <c r="E20" s="15"/>
      <c r="F20" s="9"/>
      <c r="G20" s="9"/>
      <c r="H20" s="9"/>
      <c r="I20" s="9">
        <v>35000</v>
      </c>
      <c r="J20" s="9" t="s">
        <v>655</v>
      </c>
      <c r="K20" s="9"/>
      <c r="L20" s="9"/>
      <c r="M20" s="9"/>
      <c r="N20" s="9"/>
    </row>
    <row r="21" spans="1:14" ht="19" x14ac:dyDescent="0.2">
      <c r="A21" s="74"/>
      <c r="B21" s="58"/>
      <c r="C21" s="49"/>
      <c r="D21" s="13"/>
      <c r="E21" s="15"/>
      <c r="F21" s="9"/>
      <c r="G21" s="9"/>
      <c r="H21" s="9"/>
      <c r="I21" s="9">
        <v>60000</v>
      </c>
      <c r="J21" s="9" t="s">
        <v>794</v>
      </c>
      <c r="K21" s="9"/>
      <c r="L21" s="9"/>
      <c r="M21" s="9"/>
      <c r="N21" s="9"/>
    </row>
    <row r="22" spans="1:14" ht="19" x14ac:dyDescent="0.2">
      <c r="A22" s="74"/>
      <c r="B22" s="58"/>
      <c r="C22" s="49"/>
      <c r="D22" s="13"/>
      <c r="E22" s="15"/>
      <c r="F22" s="9"/>
      <c r="G22" s="9"/>
      <c r="H22" s="9"/>
      <c r="I22" s="9">
        <v>35000</v>
      </c>
      <c r="J22" s="9" t="s">
        <v>652</v>
      </c>
      <c r="K22" s="9"/>
      <c r="L22" s="9"/>
      <c r="M22" s="9"/>
      <c r="N22" s="9"/>
    </row>
    <row r="23" spans="1:14" ht="19" x14ac:dyDescent="0.2">
      <c r="A23" s="74"/>
      <c r="B23" s="58"/>
      <c r="C23" s="49"/>
      <c r="D23" s="13"/>
      <c r="E23" s="15"/>
      <c r="F23" s="9"/>
      <c r="G23" s="9"/>
      <c r="H23" s="9"/>
      <c r="I23" s="9">
        <v>144000</v>
      </c>
      <c r="J23" s="9" t="s">
        <v>615</v>
      </c>
      <c r="K23" s="9"/>
      <c r="L23" s="9"/>
      <c r="M23" s="9"/>
      <c r="N23" s="9"/>
    </row>
    <row r="24" spans="1:14" ht="19" x14ac:dyDescent="0.2">
      <c r="A24" s="61">
        <v>930000</v>
      </c>
      <c r="B24" s="58">
        <v>44775</v>
      </c>
      <c r="C24" s="35" t="s">
        <v>9</v>
      </c>
      <c r="D24" s="13" t="s">
        <v>405</v>
      </c>
      <c r="E24" s="15">
        <v>820000</v>
      </c>
      <c r="F24" s="9">
        <v>110000</v>
      </c>
      <c r="G24" s="60"/>
      <c r="H24" s="60"/>
      <c r="I24" s="9"/>
      <c r="J24" s="9"/>
      <c r="K24" s="9"/>
      <c r="L24" s="9"/>
      <c r="M24" s="9"/>
      <c r="N24" s="9"/>
    </row>
    <row r="25" spans="1:14" ht="19" x14ac:dyDescent="0.2">
      <c r="A25" s="74"/>
      <c r="B25" s="58"/>
      <c r="C25" s="35"/>
      <c r="D25" s="13"/>
      <c r="E25" s="15"/>
      <c r="F25" s="9"/>
      <c r="G25" s="9"/>
      <c r="H25" s="9"/>
      <c r="I25" s="60"/>
      <c r="J25" s="60"/>
      <c r="K25" s="9"/>
      <c r="L25" s="9"/>
      <c r="M25" s="9"/>
      <c r="N25" s="9"/>
    </row>
    <row r="26" spans="1:14" ht="19" x14ac:dyDescent="0.2">
      <c r="A26" s="61">
        <v>703000</v>
      </c>
      <c r="B26" s="58"/>
      <c r="C26" s="3" t="s">
        <v>10</v>
      </c>
      <c r="D26" s="13" t="s">
        <v>565</v>
      </c>
      <c r="E26" s="9">
        <v>601000</v>
      </c>
      <c r="F26" s="9">
        <v>102000</v>
      </c>
      <c r="G26" s="9"/>
      <c r="H26" s="9"/>
      <c r="I26" s="9"/>
      <c r="J26" s="9"/>
      <c r="K26" s="9"/>
      <c r="L26" s="9"/>
      <c r="M26" s="9"/>
      <c r="N26" s="9"/>
    </row>
    <row r="27" spans="1:14" ht="19" x14ac:dyDescent="0.2">
      <c r="A27" s="61">
        <v>1223000</v>
      </c>
      <c r="B27" s="58">
        <v>44776</v>
      </c>
      <c r="C27" s="49" t="s">
        <v>360</v>
      </c>
      <c r="D27" s="13" t="s">
        <v>773</v>
      </c>
      <c r="E27" s="15">
        <v>996000</v>
      </c>
      <c r="F27" s="9">
        <v>227000</v>
      </c>
      <c r="G27" s="9"/>
      <c r="H27" s="9"/>
      <c r="I27" s="9">
        <v>2000</v>
      </c>
      <c r="J27" s="9" t="s">
        <v>795</v>
      </c>
      <c r="K27" s="9"/>
      <c r="L27" s="9"/>
      <c r="M27" s="9"/>
      <c r="N27" s="9"/>
    </row>
    <row r="28" spans="1:14" ht="19" x14ac:dyDescent="0.2">
      <c r="A28" s="74"/>
      <c r="B28" s="58"/>
      <c r="C28" s="49"/>
      <c r="D28" s="13"/>
      <c r="E28" s="15"/>
      <c r="F28" s="9"/>
      <c r="G28" s="9">
        <v>2000000</v>
      </c>
      <c r="H28" s="47" t="s">
        <v>900</v>
      </c>
      <c r="I28" s="9">
        <v>16000</v>
      </c>
      <c r="J28" s="9" t="s">
        <v>796</v>
      </c>
      <c r="K28" s="9"/>
      <c r="L28" s="9"/>
      <c r="M28" s="9"/>
      <c r="N28" s="9"/>
    </row>
    <row r="29" spans="1:14" ht="19" x14ac:dyDescent="0.2">
      <c r="A29" s="61"/>
      <c r="B29" s="58"/>
      <c r="C29" s="3"/>
      <c r="D29" s="13"/>
      <c r="E29" s="9"/>
      <c r="F29" s="9"/>
      <c r="G29" s="9"/>
      <c r="H29" s="9"/>
      <c r="I29" s="9">
        <v>50000</v>
      </c>
      <c r="J29" s="9" t="s">
        <v>800</v>
      </c>
      <c r="K29" s="9"/>
      <c r="L29" s="9"/>
      <c r="M29" s="9"/>
      <c r="N29" s="9"/>
    </row>
    <row r="30" spans="1:14" ht="19" x14ac:dyDescent="0.2">
      <c r="A30" s="61">
        <v>1117000</v>
      </c>
      <c r="B30" s="58">
        <v>44777</v>
      </c>
      <c r="C30" s="49" t="s">
        <v>9</v>
      </c>
      <c r="D30" s="13" t="s">
        <v>405</v>
      </c>
      <c r="E30" s="15">
        <v>1049000</v>
      </c>
      <c r="F30" s="9">
        <v>68000</v>
      </c>
      <c r="G30" s="9"/>
      <c r="H30" s="9"/>
      <c r="I30" s="9">
        <v>4000</v>
      </c>
      <c r="J30" s="9" t="s">
        <v>797</v>
      </c>
      <c r="K30" s="9"/>
      <c r="L30" s="9"/>
      <c r="M30" s="9"/>
      <c r="N30" s="9"/>
    </row>
    <row r="31" spans="1:14" ht="19" x14ac:dyDescent="0.2">
      <c r="A31" s="61"/>
      <c r="B31" s="75"/>
      <c r="C31" s="2"/>
      <c r="D31" s="13"/>
      <c r="E31" s="9"/>
      <c r="F31" s="9"/>
      <c r="G31" s="9"/>
      <c r="H31" s="9"/>
      <c r="I31" s="9">
        <v>89000</v>
      </c>
      <c r="J31" s="9" t="s">
        <v>798</v>
      </c>
      <c r="K31" s="9"/>
      <c r="L31" s="9"/>
      <c r="M31" s="9"/>
      <c r="N31" s="9"/>
    </row>
    <row r="32" spans="1:14" ht="19" x14ac:dyDescent="0.2">
      <c r="A32" s="74"/>
      <c r="B32" s="32"/>
      <c r="C32" s="3"/>
      <c r="D32" s="13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/>
      <c r="J33" s="9"/>
      <c r="K33" s="9"/>
      <c r="L33" s="9"/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/>
      <c r="H34" s="9"/>
      <c r="I34" s="9"/>
      <c r="J34" s="9"/>
      <c r="K34" s="9"/>
      <c r="L34" s="9"/>
      <c r="M34" s="9"/>
      <c r="N34" s="9"/>
    </row>
    <row r="35" spans="1:14" ht="19" x14ac:dyDescent="0.2">
      <c r="A35" s="74">
        <v>748000</v>
      </c>
      <c r="B35" s="32"/>
      <c r="C35" s="49" t="s">
        <v>10</v>
      </c>
      <c r="D35" s="13" t="s">
        <v>565</v>
      </c>
      <c r="E35" s="15">
        <v>593000</v>
      </c>
      <c r="F35" s="9">
        <v>155000</v>
      </c>
      <c r="G35" s="9"/>
      <c r="H35" s="9"/>
      <c r="I35" s="9"/>
      <c r="J35" s="9"/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/>
      <c r="J36" s="9"/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/>
      <c r="J37" s="9"/>
      <c r="K37" s="9"/>
      <c r="L37" s="9"/>
      <c r="M37" s="9"/>
      <c r="N37" s="9"/>
    </row>
    <row r="38" spans="1:14" ht="19" x14ac:dyDescent="0.2">
      <c r="A38" s="74">
        <v>789000</v>
      </c>
      <c r="B38" s="32">
        <v>44778</v>
      </c>
      <c r="C38" s="49" t="s">
        <v>9</v>
      </c>
      <c r="D38" s="13" t="s">
        <v>405</v>
      </c>
      <c r="E38" s="15">
        <v>662000</v>
      </c>
      <c r="F38" s="9">
        <v>127000</v>
      </c>
      <c r="G38" s="9">
        <v>806000</v>
      </c>
      <c r="H38" s="9" t="s">
        <v>799</v>
      </c>
      <c r="I38" s="9">
        <v>26000</v>
      </c>
      <c r="J38" s="9" t="s">
        <v>672</v>
      </c>
      <c r="K38" s="9"/>
      <c r="L38" s="9"/>
      <c r="M38" s="9"/>
      <c r="N38" s="9"/>
    </row>
    <row r="39" spans="1:14" ht="19" x14ac:dyDescent="0.2">
      <c r="A39" s="74"/>
      <c r="B39" s="58"/>
      <c r="C39" s="49"/>
      <c r="D39" s="13"/>
      <c r="E39" s="15"/>
      <c r="F39" s="9"/>
      <c r="G39" s="9"/>
      <c r="H39" s="9"/>
      <c r="I39" s="9">
        <v>19000</v>
      </c>
      <c r="J39" s="9" t="s">
        <v>801</v>
      </c>
      <c r="K39" s="9"/>
      <c r="L39" s="9"/>
      <c r="M39" s="9"/>
      <c r="N39" s="9"/>
    </row>
    <row r="40" spans="1:14" ht="19" x14ac:dyDescent="0.2">
      <c r="A40" s="61"/>
      <c r="B40" s="58"/>
      <c r="C40" s="49"/>
      <c r="D40" s="13"/>
      <c r="E40" s="15"/>
      <c r="F40" s="9"/>
      <c r="G40" s="9"/>
      <c r="H40" s="9"/>
      <c r="I40" s="9">
        <v>28000</v>
      </c>
      <c r="J40" s="9" t="s">
        <v>802</v>
      </c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9"/>
      <c r="I41" s="9">
        <v>310000</v>
      </c>
      <c r="J41" s="9" t="s">
        <v>803</v>
      </c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9"/>
      <c r="I42" s="9">
        <v>310000</v>
      </c>
      <c r="J42" s="47" t="s">
        <v>118</v>
      </c>
      <c r="K42" s="9"/>
      <c r="L42" s="9"/>
      <c r="M42" s="9"/>
      <c r="N42" s="9"/>
    </row>
    <row r="43" spans="1:14" ht="19" x14ac:dyDescent="0.2">
      <c r="A43" s="74"/>
      <c r="B43" s="58"/>
      <c r="C43" s="49"/>
      <c r="D43" s="13"/>
      <c r="E43" s="15"/>
      <c r="F43" s="9"/>
      <c r="G43" s="9"/>
      <c r="H43" s="9"/>
      <c r="I43" s="9">
        <v>60000</v>
      </c>
      <c r="J43" s="9" t="s">
        <v>585</v>
      </c>
      <c r="K43" s="9"/>
      <c r="L43" s="9"/>
      <c r="M43" s="9"/>
      <c r="N43" s="9"/>
    </row>
    <row r="44" spans="1:14" ht="19" x14ac:dyDescent="0.2">
      <c r="A44" s="74"/>
      <c r="B44" s="58"/>
      <c r="C44" s="49"/>
      <c r="D44" s="13"/>
      <c r="E44" s="15"/>
      <c r="F44" s="9"/>
      <c r="G44" s="9"/>
      <c r="H44" s="9"/>
      <c r="I44" s="9">
        <v>60000</v>
      </c>
      <c r="J44" s="9" t="s">
        <v>804</v>
      </c>
      <c r="K44" s="9"/>
      <c r="L44" s="9"/>
      <c r="M44" s="9"/>
      <c r="N44" s="9"/>
    </row>
    <row r="45" spans="1:14" ht="19" x14ac:dyDescent="0.2">
      <c r="A45" s="74"/>
      <c r="B45" s="58"/>
      <c r="C45" s="49"/>
      <c r="D45" s="13"/>
      <c r="E45" s="15"/>
      <c r="F45" s="9"/>
      <c r="G45" s="9"/>
      <c r="H45" s="9"/>
      <c r="I45" s="9">
        <v>35000</v>
      </c>
      <c r="J45" s="9" t="s">
        <v>805</v>
      </c>
      <c r="K45" s="9"/>
      <c r="L45" s="9"/>
      <c r="M45" s="9"/>
      <c r="N45" s="9"/>
    </row>
    <row r="46" spans="1:14" ht="19" x14ac:dyDescent="0.2">
      <c r="A46" s="74">
        <v>759000</v>
      </c>
      <c r="B46" s="58"/>
      <c r="C46" s="49" t="s">
        <v>806</v>
      </c>
      <c r="D46" s="13" t="s">
        <v>565</v>
      </c>
      <c r="E46" s="15">
        <v>613000</v>
      </c>
      <c r="F46" s="9">
        <v>146000</v>
      </c>
      <c r="G46" s="9"/>
      <c r="H46" s="9"/>
      <c r="I46" s="9">
        <v>104000</v>
      </c>
      <c r="J46" s="9" t="s">
        <v>807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/>
      <c r="J47" s="9"/>
      <c r="K47" s="9"/>
      <c r="L47" s="9"/>
      <c r="M47" s="9"/>
      <c r="N47" s="9"/>
    </row>
    <row r="48" spans="1:14" ht="19" x14ac:dyDescent="0.2">
      <c r="A48" s="61">
        <v>592000</v>
      </c>
      <c r="B48" s="58">
        <v>44779</v>
      </c>
      <c r="C48" s="2" t="s">
        <v>9</v>
      </c>
      <c r="D48" s="13" t="s">
        <v>405</v>
      </c>
      <c r="E48" s="9">
        <v>458000</v>
      </c>
      <c r="F48" s="9">
        <v>134000</v>
      </c>
      <c r="G48" s="9"/>
      <c r="H48" s="9"/>
      <c r="I48" s="9">
        <v>100000</v>
      </c>
      <c r="J48" s="9" t="s">
        <v>659</v>
      </c>
      <c r="K48" s="9"/>
      <c r="L48" s="9"/>
      <c r="M48" s="9"/>
      <c r="N48" s="9"/>
    </row>
    <row r="49" spans="1:14" ht="19" x14ac:dyDescent="0.2">
      <c r="A49" s="61">
        <v>424000</v>
      </c>
      <c r="B49" s="58"/>
      <c r="C49" s="3" t="s">
        <v>10</v>
      </c>
      <c r="D49" s="13" t="s">
        <v>565</v>
      </c>
      <c r="E49" s="9">
        <v>348000</v>
      </c>
      <c r="F49" s="9">
        <v>76000</v>
      </c>
      <c r="G49" s="9"/>
      <c r="H49" s="9"/>
      <c r="I49" s="9">
        <v>50000</v>
      </c>
      <c r="J49" s="9" t="s">
        <v>654</v>
      </c>
      <c r="K49" s="9"/>
      <c r="L49" s="9"/>
      <c r="M49" s="9"/>
      <c r="N49" s="9"/>
    </row>
    <row r="50" spans="1:14" ht="19" x14ac:dyDescent="0.2">
      <c r="A50" s="74"/>
      <c r="B50" s="58"/>
      <c r="C50" s="49"/>
      <c r="D50" s="13"/>
      <c r="E50" s="15"/>
      <c r="F50" s="9"/>
      <c r="G50" s="9"/>
      <c r="H50" s="9"/>
      <c r="I50" s="9">
        <v>35000</v>
      </c>
      <c r="J50" s="9" t="s">
        <v>655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/>
      <c r="J51" s="9"/>
      <c r="K51" s="9"/>
      <c r="L51" s="9"/>
      <c r="M51" s="9"/>
      <c r="N51" s="9"/>
    </row>
    <row r="52" spans="1:14" ht="19" x14ac:dyDescent="0.2">
      <c r="A52" s="74">
        <v>1118000</v>
      </c>
      <c r="B52" s="32">
        <v>44780</v>
      </c>
      <c r="C52" s="49" t="s">
        <v>360</v>
      </c>
      <c r="D52" s="13" t="s">
        <v>773</v>
      </c>
      <c r="E52" s="15">
        <v>974000</v>
      </c>
      <c r="F52" s="9">
        <v>144000</v>
      </c>
      <c r="G52" s="9"/>
      <c r="H52" s="9"/>
      <c r="I52" s="9">
        <v>20000</v>
      </c>
      <c r="J52" s="9" t="s">
        <v>808</v>
      </c>
      <c r="K52" s="9"/>
      <c r="L52" s="9"/>
      <c r="M52" s="9"/>
      <c r="N52" s="9"/>
    </row>
    <row r="53" spans="1:14" ht="19" x14ac:dyDescent="0.2">
      <c r="A53" s="74"/>
      <c r="B53" s="32"/>
      <c r="C53" s="49"/>
      <c r="D53" s="13"/>
      <c r="E53" s="15"/>
      <c r="F53" s="9"/>
      <c r="G53" s="9"/>
      <c r="H53" s="9"/>
      <c r="I53" s="9">
        <v>50000</v>
      </c>
      <c r="J53" s="9" t="s">
        <v>206</v>
      </c>
      <c r="K53" s="9"/>
      <c r="L53" s="9"/>
      <c r="M53" s="9"/>
      <c r="N53" s="9"/>
    </row>
    <row r="54" spans="1:14" ht="19" x14ac:dyDescent="0.2">
      <c r="A54" s="74"/>
      <c r="B54" s="32"/>
      <c r="C54" s="49"/>
      <c r="D54" s="13"/>
      <c r="E54" s="15"/>
      <c r="F54" s="9"/>
      <c r="G54" s="9"/>
      <c r="H54" s="9"/>
      <c r="I54" s="9">
        <v>34000</v>
      </c>
      <c r="J54" s="9" t="s">
        <v>640</v>
      </c>
      <c r="K54" s="9"/>
      <c r="L54" s="9"/>
      <c r="M54" s="9"/>
      <c r="N54" s="9"/>
    </row>
    <row r="55" spans="1:14" ht="19" x14ac:dyDescent="0.2">
      <c r="A55" s="74"/>
      <c r="B55" s="32"/>
      <c r="C55" s="49"/>
      <c r="D55" s="13"/>
      <c r="E55" s="15"/>
      <c r="F55" s="9"/>
      <c r="G55" s="9"/>
      <c r="H55" s="9"/>
      <c r="I55" s="9">
        <v>38500</v>
      </c>
      <c r="J55" s="9" t="s">
        <v>809</v>
      </c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/>
      <c r="J56" s="9"/>
      <c r="K56" s="9"/>
      <c r="L56" s="9"/>
      <c r="M56" s="9"/>
      <c r="N56" s="9"/>
    </row>
    <row r="57" spans="1:14" ht="19" x14ac:dyDescent="0.2">
      <c r="A57" s="74"/>
      <c r="B57" s="32"/>
      <c r="C57" s="49"/>
      <c r="D57" s="13"/>
      <c r="E57" s="15"/>
      <c r="F57" s="9"/>
      <c r="G57" s="9"/>
      <c r="H57" s="9"/>
      <c r="I57" s="9"/>
      <c r="J57" s="9"/>
      <c r="K57" s="9"/>
      <c r="L57" s="9"/>
      <c r="M57" s="9"/>
      <c r="N57" s="9"/>
    </row>
    <row r="58" spans="1:14" ht="19" x14ac:dyDescent="0.2">
      <c r="A58" s="74">
        <v>472000</v>
      </c>
      <c r="B58" s="32">
        <v>44781</v>
      </c>
      <c r="C58" s="49" t="s">
        <v>9</v>
      </c>
      <c r="D58" s="13" t="s">
        <v>405</v>
      </c>
      <c r="E58" s="15">
        <v>436000</v>
      </c>
      <c r="F58" s="9">
        <v>36000</v>
      </c>
      <c r="G58" s="9"/>
      <c r="H58" s="9"/>
      <c r="I58" s="9"/>
      <c r="J58" s="9"/>
      <c r="K58" s="9"/>
      <c r="L58" s="9"/>
      <c r="M58" s="9"/>
      <c r="N58" s="9"/>
    </row>
    <row r="59" spans="1:14" ht="19" x14ac:dyDescent="0.2">
      <c r="A59" s="74">
        <v>694000</v>
      </c>
      <c r="B59" s="33"/>
      <c r="C59" s="2" t="s">
        <v>10</v>
      </c>
      <c r="D59" s="13" t="s">
        <v>565</v>
      </c>
      <c r="E59" s="9">
        <v>521000</v>
      </c>
      <c r="F59" s="9">
        <v>173000</v>
      </c>
      <c r="G59" s="9"/>
      <c r="H59" s="9"/>
      <c r="I59" s="9">
        <v>40000</v>
      </c>
      <c r="J59" s="9" t="s">
        <v>810</v>
      </c>
      <c r="K59" s="9"/>
      <c r="L59" s="9"/>
      <c r="M59" s="9"/>
      <c r="N59" s="9"/>
    </row>
    <row r="60" spans="1:14" ht="19" x14ac:dyDescent="0.2">
      <c r="A60" s="74"/>
      <c r="B60" s="32"/>
      <c r="C60" s="3"/>
      <c r="D60" s="13"/>
      <c r="E60" s="15"/>
      <c r="F60" s="9"/>
      <c r="G60" s="9"/>
      <c r="H60" s="60"/>
      <c r="I60" s="9">
        <v>21000</v>
      </c>
      <c r="J60" s="9" t="s">
        <v>811</v>
      </c>
      <c r="K60" s="9"/>
      <c r="L60" s="9"/>
      <c r="M60" s="9"/>
      <c r="N60" s="9"/>
    </row>
    <row r="61" spans="1:14" ht="19" x14ac:dyDescent="0.2">
      <c r="A61" s="74"/>
      <c r="B61" s="33"/>
      <c r="C61" s="2"/>
      <c r="D61" s="13"/>
      <c r="E61" s="15"/>
      <c r="F61" s="9"/>
      <c r="G61" s="9"/>
      <c r="H61" s="9"/>
      <c r="I61" s="9">
        <v>144000</v>
      </c>
      <c r="J61" s="9" t="s">
        <v>615</v>
      </c>
      <c r="K61" s="9"/>
      <c r="L61" s="9"/>
      <c r="M61" s="9"/>
      <c r="N61" s="9"/>
    </row>
    <row r="62" spans="1:14" ht="19" x14ac:dyDescent="0.2">
      <c r="A62" s="74">
        <v>927000</v>
      </c>
      <c r="B62" s="32">
        <v>44782</v>
      </c>
      <c r="C62" s="35" t="s">
        <v>9</v>
      </c>
      <c r="D62" s="13" t="s">
        <v>405</v>
      </c>
      <c r="E62" s="15">
        <v>853000</v>
      </c>
      <c r="F62" s="9">
        <v>74000</v>
      </c>
      <c r="G62" s="9">
        <v>2623000</v>
      </c>
      <c r="H62" s="9" t="s">
        <v>812</v>
      </c>
      <c r="I62" s="9">
        <v>90000</v>
      </c>
      <c r="J62" s="9" t="s">
        <v>813</v>
      </c>
      <c r="K62" s="9"/>
      <c r="L62" s="9"/>
      <c r="M62" s="9"/>
      <c r="N62" s="9"/>
    </row>
    <row r="63" spans="1:14" ht="19" x14ac:dyDescent="0.2">
      <c r="A63" s="61"/>
      <c r="B63" s="75"/>
      <c r="C63" s="35"/>
      <c r="D63" s="13"/>
      <c r="E63" s="15"/>
      <c r="F63" s="9"/>
      <c r="G63" s="9"/>
      <c r="H63" s="9"/>
      <c r="I63" s="9">
        <v>44000</v>
      </c>
      <c r="J63" s="9" t="s">
        <v>814</v>
      </c>
      <c r="K63" s="9"/>
      <c r="L63" s="9"/>
      <c r="M63" s="9"/>
      <c r="N63" s="9"/>
    </row>
    <row r="64" spans="1:14" ht="19" x14ac:dyDescent="0.2">
      <c r="A64" s="61">
        <v>1070000</v>
      </c>
      <c r="B64" s="75"/>
      <c r="C64" s="35" t="s">
        <v>10</v>
      </c>
      <c r="D64" s="13" t="s">
        <v>565</v>
      </c>
      <c r="E64" s="15">
        <v>849000</v>
      </c>
      <c r="F64" s="9">
        <v>221000</v>
      </c>
      <c r="G64" s="9"/>
      <c r="H64" s="9"/>
      <c r="I64" s="9">
        <v>13000</v>
      </c>
      <c r="J64" s="9" t="s">
        <v>815</v>
      </c>
      <c r="K64" s="9"/>
      <c r="L64" s="9"/>
      <c r="M64" s="9"/>
      <c r="N64" s="9"/>
    </row>
    <row r="65" spans="1:14" ht="19" x14ac:dyDescent="0.2">
      <c r="A65" s="61"/>
      <c r="B65" s="58"/>
      <c r="C65" s="3"/>
      <c r="D65" s="13"/>
      <c r="E65" s="15"/>
      <c r="F65" s="9"/>
      <c r="G65" s="60"/>
      <c r="H65" s="60"/>
      <c r="I65" s="9">
        <v>23500</v>
      </c>
      <c r="J65" s="9" t="s">
        <v>816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60"/>
      <c r="H66" s="60"/>
      <c r="I66" s="9">
        <v>110500</v>
      </c>
      <c r="J66" s="9" t="s">
        <v>817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60"/>
      <c r="H67" s="60"/>
      <c r="I67" s="9">
        <v>2000</v>
      </c>
      <c r="J67" s="9" t="s">
        <v>681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60"/>
      <c r="H68" s="60"/>
      <c r="I68" s="9"/>
      <c r="J68" s="9"/>
      <c r="K68" s="9"/>
      <c r="L68" s="9"/>
      <c r="M68" s="9"/>
      <c r="N68" s="9"/>
    </row>
    <row r="69" spans="1:14" ht="19" x14ac:dyDescent="0.2">
      <c r="A69" s="61">
        <v>450000</v>
      </c>
      <c r="B69" s="58">
        <v>44783</v>
      </c>
      <c r="C69" s="2" t="s">
        <v>440</v>
      </c>
      <c r="D69" s="13" t="s">
        <v>405</v>
      </c>
      <c r="E69" s="15">
        <v>357000</v>
      </c>
      <c r="F69" s="9">
        <v>93000</v>
      </c>
      <c r="G69" s="9">
        <v>1940000</v>
      </c>
      <c r="H69" s="9" t="s">
        <v>829</v>
      </c>
      <c r="I69" s="9">
        <v>42000</v>
      </c>
      <c r="J69" s="9" t="s">
        <v>769</v>
      </c>
      <c r="K69" s="9"/>
      <c r="L69" s="9"/>
      <c r="M69" s="9"/>
      <c r="N69" s="9"/>
    </row>
    <row r="70" spans="1:14" ht="19" x14ac:dyDescent="0.2">
      <c r="A70" s="61"/>
      <c r="B70" s="58"/>
      <c r="C70" s="3"/>
      <c r="D70" s="13"/>
      <c r="E70" s="15"/>
      <c r="F70" s="9"/>
      <c r="G70" s="9"/>
      <c r="H70" s="9"/>
      <c r="I70" s="9">
        <v>44000</v>
      </c>
      <c r="J70" s="9" t="s">
        <v>818</v>
      </c>
      <c r="K70" s="9"/>
      <c r="L70" s="9"/>
      <c r="M70" s="9"/>
      <c r="N70" s="9"/>
    </row>
    <row r="71" spans="1:14" ht="19" x14ac:dyDescent="0.2">
      <c r="A71" s="61"/>
      <c r="B71" s="58"/>
      <c r="C71" s="49"/>
      <c r="D71" s="13"/>
      <c r="E71" s="15"/>
      <c r="F71" s="9"/>
      <c r="G71" s="9"/>
      <c r="H71" s="9"/>
      <c r="I71" s="9">
        <v>60000</v>
      </c>
      <c r="J71" s="9" t="s">
        <v>819</v>
      </c>
      <c r="K71" s="9"/>
      <c r="L71" s="9"/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9"/>
      <c r="H72" s="9"/>
      <c r="I72" s="9">
        <v>57000</v>
      </c>
      <c r="J72" s="9" t="s">
        <v>820</v>
      </c>
      <c r="K72" s="9"/>
      <c r="L72" s="9"/>
      <c r="M72" s="9"/>
      <c r="N72" s="9"/>
    </row>
    <row r="73" spans="1:14" ht="19" x14ac:dyDescent="0.2">
      <c r="A73" s="74"/>
      <c r="B73" s="58"/>
      <c r="C73" s="49"/>
      <c r="D73" s="13"/>
      <c r="E73" s="15"/>
      <c r="F73" s="9"/>
      <c r="G73" s="9"/>
      <c r="H73" s="9"/>
      <c r="I73" s="9"/>
      <c r="J73" s="9"/>
      <c r="K73" s="9"/>
      <c r="L73" s="9"/>
      <c r="M73" s="9"/>
      <c r="N73" s="9"/>
    </row>
    <row r="74" spans="1:14" ht="19" x14ac:dyDescent="0.2">
      <c r="A74" s="61">
        <v>751000</v>
      </c>
      <c r="B74" s="58"/>
      <c r="C74" s="49" t="s">
        <v>363</v>
      </c>
      <c r="D74" s="13" t="s">
        <v>565</v>
      </c>
      <c r="E74" s="15">
        <v>615000</v>
      </c>
      <c r="F74" s="9">
        <v>136000</v>
      </c>
      <c r="G74" s="9"/>
      <c r="H74" s="9"/>
      <c r="I74" s="9">
        <v>91000</v>
      </c>
      <c r="J74" s="9" t="s">
        <v>821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9"/>
      <c r="H75" s="9"/>
      <c r="I75" s="9"/>
      <c r="J75" s="9"/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9"/>
      <c r="H76" s="9"/>
      <c r="I76" s="9"/>
      <c r="J76" s="9"/>
      <c r="K76" s="9"/>
      <c r="L76" s="9"/>
      <c r="M76" s="9"/>
      <c r="N76" s="9"/>
    </row>
    <row r="77" spans="1:14" ht="19" x14ac:dyDescent="0.2">
      <c r="A77" s="61">
        <v>1076000</v>
      </c>
      <c r="B77" s="58">
        <v>44784</v>
      </c>
      <c r="C77" s="49" t="s">
        <v>9</v>
      </c>
      <c r="D77" s="13" t="s">
        <v>405</v>
      </c>
      <c r="E77" s="15">
        <v>1038000</v>
      </c>
      <c r="F77" s="9">
        <v>38000</v>
      </c>
      <c r="G77" s="9"/>
      <c r="H77" s="9"/>
      <c r="I77" s="9"/>
      <c r="J77" s="9"/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9"/>
      <c r="H78" s="9"/>
      <c r="I78" s="9"/>
      <c r="J78" s="9"/>
      <c r="K78" s="9"/>
      <c r="L78" s="9"/>
      <c r="M78" s="9"/>
      <c r="N78" s="9"/>
    </row>
    <row r="79" spans="1:14" ht="19" x14ac:dyDescent="0.2">
      <c r="A79" s="61">
        <v>669000</v>
      </c>
      <c r="B79" s="58"/>
      <c r="C79" s="49" t="s">
        <v>10</v>
      </c>
      <c r="D79" s="13" t="s">
        <v>565</v>
      </c>
      <c r="E79" s="15">
        <v>669000</v>
      </c>
      <c r="F79" s="9"/>
      <c r="G79" s="9">
        <v>3291000</v>
      </c>
      <c r="H79" s="9" t="s">
        <v>861</v>
      </c>
      <c r="I79" s="9"/>
      <c r="J79" s="9"/>
      <c r="K79" s="9"/>
      <c r="L79" s="9"/>
      <c r="M79" s="9"/>
      <c r="N79" s="9"/>
    </row>
    <row r="80" spans="1:14" ht="19" x14ac:dyDescent="0.2">
      <c r="A80" s="61">
        <v>922000</v>
      </c>
      <c r="B80" s="58">
        <v>44785</v>
      </c>
      <c r="C80" s="49" t="s">
        <v>9</v>
      </c>
      <c r="D80" s="13" t="s">
        <v>773</v>
      </c>
      <c r="E80" s="15">
        <v>884000</v>
      </c>
      <c r="F80" s="9">
        <v>38000</v>
      </c>
      <c r="G80" s="9"/>
      <c r="H80" s="9"/>
      <c r="I80" s="9"/>
      <c r="J80" s="9"/>
      <c r="K80" s="9"/>
      <c r="L80" s="9"/>
      <c r="M80" s="9"/>
      <c r="N80" s="9"/>
    </row>
    <row r="81" spans="1:14" ht="19" x14ac:dyDescent="0.2">
      <c r="A81" s="74">
        <v>874000</v>
      </c>
      <c r="B81" s="58"/>
      <c r="C81" s="49" t="s">
        <v>10</v>
      </c>
      <c r="D81" s="13" t="s">
        <v>565</v>
      </c>
      <c r="E81" s="15">
        <v>652000</v>
      </c>
      <c r="F81" s="9">
        <v>222000</v>
      </c>
      <c r="G81" s="9"/>
      <c r="H81" s="9"/>
      <c r="I81" s="9">
        <v>180000</v>
      </c>
      <c r="J81" s="9" t="s">
        <v>613</v>
      </c>
      <c r="K81" s="9"/>
      <c r="L81" s="9"/>
      <c r="M81" s="9"/>
      <c r="N81" s="9"/>
    </row>
    <row r="82" spans="1:14" ht="19" x14ac:dyDescent="0.2">
      <c r="A82" s="61"/>
      <c r="B82" s="75"/>
      <c r="C82" s="2"/>
      <c r="D82" s="13"/>
      <c r="E82" s="15"/>
      <c r="F82" s="9"/>
      <c r="G82" s="9"/>
      <c r="H82" s="9"/>
      <c r="I82" s="9">
        <v>100000</v>
      </c>
      <c r="J82" s="9" t="s">
        <v>827</v>
      </c>
      <c r="K82" s="9"/>
      <c r="L82" s="9"/>
      <c r="M82" s="9"/>
      <c r="N82" s="9"/>
    </row>
    <row r="83" spans="1:14" ht="19" x14ac:dyDescent="0.2">
      <c r="A83" s="61"/>
      <c r="B83" s="58"/>
      <c r="C83" s="3"/>
      <c r="D83" s="13"/>
      <c r="E83" s="15"/>
      <c r="F83" s="9"/>
      <c r="G83" s="9"/>
      <c r="H83" s="9"/>
      <c r="I83" s="9"/>
      <c r="J83" s="9"/>
      <c r="K83" s="9"/>
      <c r="L83" s="9"/>
      <c r="M83" s="9"/>
      <c r="N83" s="9"/>
    </row>
    <row r="84" spans="1:14" ht="19" x14ac:dyDescent="0.2">
      <c r="A84" s="61">
        <v>490000</v>
      </c>
      <c r="B84" s="58">
        <v>44786</v>
      </c>
      <c r="C84" s="49" t="s">
        <v>9</v>
      </c>
      <c r="D84" s="13" t="s">
        <v>405</v>
      </c>
      <c r="E84" s="15">
        <v>440000</v>
      </c>
      <c r="F84" s="9">
        <v>50000</v>
      </c>
      <c r="G84" s="9"/>
      <c r="H84" s="9"/>
      <c r="I84" s="9">
        <v>21000</v>
      </c>
      <c r="J84" s="9" t="s">
        <v>822</v>
      </c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9"/>
      <c r="H85" s="9"/>
      <c r="I85" s="9">
        <v>26000</v>
      </c>
      <c r="J85" s="9" t="s">
        <v>672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9"/>
      <c r="H86" s="9"/>
      <c r="I86" s="9">
        <v>38500</v>
      </c>
      <c r="J86" s="9" t="s">
        <v>823</v>
      </c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9"/>
      <c r="H87" s="9"/>
      <c r="I87" s="9">
        <v>3000</v>
      </c>
      <c r="J87" s="9" t="s">
        <v>824</v>
      </c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9"/>
      <c r="H88" s="9"/>
      <c r="I88" s="9">
        <v>22000</v>
      </c>
      <c r="J88" s="9" t="s">
        <v>802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9"/>
      <c r="H89" s="9"/>
      <c r="I89" s="9">
        <v>34000</v>
      </c>
      <c r="J89" s="9" t="s">
        <v>825</v>
      </c>
      <c r="K89" s="9"/>
      <c r="L89" s="9"/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9"/>
      <c r="H90" s="9"/>
      <c r="I90" s="9">
        <v>21000</v>
      </c>
      <c r="J90" s="9" t="s">
        <v>826</v>
      </c>
      <c r="K90" s="9"/>
      <c r="L90" s="9"/>
      <c r="M90" s="9"/>
      <c r="N90" s="9"/>
    </row>
    <row r="91" spans="1:14" ht="19" x14ac:dyDescent="0.2">
      <c r="A91" s="61">
        <v>849000</v>
      </c>
      <c r="B91" s="75"/>
      <c r="C91" s="2" t="s">
        <v>360</v>
      </c>
      <c r="D91" s="13" t="s">
        <v>762</v>
      </c>
      <c r="E91" s="15">
        <v>807000</v>
      </c>
      <c r="F91" s="9">
        <v>42000</v>
      </c>
      <c r="G91" s="9"/>
      <c r="H91" s="9"/>
      <c r="I91" s="9"/>
      <c r="J91" s="9"/>
      <c r="K91" s="9"/>
      <c r="L91" s="9"/>
      <c r="M91" s="9"/>
      <c r="N91" s="9"/>
    </row>
    <row r="92" spans="1:14" ht="19" x14ac:dyDescent="0.2">
      <c r="A92" s="74"/>
      <c r="B92" s="75"/>
      <c r="C92" s="35"/>
      <c r="D92" s="13"/>
      <c r="E92" s="15"/>
      <c r="F92" s="9"/>
      <c r="G92" s="9"/>
      <c r="H92" s="9"/>
      <c r="I92" s="9"/>
      <c r="J92" s="9"/>
      <c r="K92" s="9"/>
      <c r="L92" s="9"/>
      <c r="M92" s="9"/>
      <c r="N92" s="9"/>
    </row>
    <row r="93" spans="1:14" ht="19" x14ac:dyDescent="0.2">
      <c r="A93" s="61"/>
      <c r="B93" s="58">
        <v>44787</v>
      </c>
      <c r="C93" s="3"/>
      <c r="D93" s="13"/>
      <c r="E93" s="15"/>
      <c r="F93" s="9"/>
      <c r="G93" s="9"/>
      <c r="H93" s="9"/>
      <c r="I93" s="9"/>
      <c r="J93" s="9"/>
      <c r="K93" s="9"/>
      <c r="L93" s="9"/>
      <c r="M93" s="9"/>
      <c r="N93" s="9"/>
    </row>
    <row r="94" spans="1:14" ht="19" x14ac:dyDescent="0.2">
      <c r="A94" s="61">
        <v>647000</v>
      </c>
      <c r="B94" s="58"/>
      <c r="C94" s="2" t="s">
        <v>10</v>
      </c>
      <c r="D94" s="13" t="s">
        <v>565</v>
      </c>
      <c r="E94" s="15">
        <v>591000</v>
      </c>
      <c r="F94" s="9">
        <v>56000</v>
      </c>
      <c r="G94" s="9"/>
      <c r="H94" s="9"/>
      <c r="I94" s="9">
        <v>50000</v>
      </c>
      <c r="J94" s="9" t="s">
        <v>206</v>
      </c>
      <c r="K94" s="9"/>
      <c r="L94" s="9"/>
      <c r="M94" s="9"/>
      <c r="N94" s="9"/>
    </row>
    <row r="95" spans="1:14" ht="19" x14ac:dyDescent="0.2">
      <c r="A95" s="74"/>
      <c r="B95" s="58"/>
      <c r="C95" s="35"/>
      <c r="D95" s="13"/>
      <c r="E95" s="15"/>
      <c r="F95" s="9"/>
      <c r="G95" s="9"/>
      <c r="H95" s="9"/>
      <c r="I95" s="9">
        <v>104000</v>
      </c>
      <c r="J95" s="9" t="s">
        <v>807</v>
      </c>
      <c r="K95" s="9"/>
      <c r="L95" s="9"/>
      <c r="M95" s="9"/>
      <c r="N95" s="9"/>
    </row>
    <row r="96" spans="1:14" ht="32" x14ac:dyDescent="0.2">
      <c r="A96" s="61">
        <v>1327000</v>
      </c>
      <c r="B96" s="58">
        <v>44788</v>
      </c>
      <c r="C96" s="3" t="s">
        <v>9</v>
      </c>
      <c r="D96" s="13" t="s">
        <v>405</v>
      </c>
      <c r="E96" s="15">
        <v>1225000</v>
      </c>
      <c r="F96" s="9">
        <v>102000</v>
      </c>
      <c r="G96" s="9">
        <v>528000</v>
      </c>
      <c r="H96" s="47" t="s">
        <v>830</v>
      </c>
      <c r="I96" s="60">
        <v>620000</v>
      </c>
      <c r="J96" s="60" t="s">
        <v>117</v>
      </c>
      <c r="K96" s="9"/>
      <c r="L96" s="9"/>
      <c r="M96" s="9"/>
      <c r="N96" s="9"/>
    </row>
    <row r="97" spans="1:14" ht="32" x14ac:dyDescent="0.2">
      <c r="A97" s="74"/>
      <c r="B97" s="58"/>
      <c r="C97" s="49"/>
      <c r="D97" s="13"/>
      <c r="E97" s="15"/>
      <c r="F97" s="9"/>
      <c r="G97" s="9"/>
      <c r="H97" s="9"/>
      <c r="I97" s="9">
        <v>310000</v>
      </c>
      <c r="J97" s="47" t="s">
        <v>828</v>
      </c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>
        <v>90000</v>
      </c>
      <c r="J98" s="9" t="s">
        <v>701</v>
      </c>
      <c r="K98" s="9"/>
      <c r="L98" s="9"/>
      <c r="M98" s="9"/>
      <c r="N98" s="9"/>
    </row>
    <row r="99" spans="1:14" ht="19" x14ac:dyDescent="0.2">
      <c r="A99" s="74"/>
      <c r="B99" s="58"/>
      <c r="C99" s="49"/>
      <c r="D99" s="13"/>
      <c r="E99" s="15"/>
      <c r="F99" s="9"/>
      <c r="G99" s="9"/>
      <c r="H99" s="9"/>
      <c r="I99" s="9">
        <v>52000</v>
      </c>
      <c r="J99" s="9" t="s">
        <v>833</v>
      </c>
      <c r="K99" s="9"/>
      <c r="L99" s="9"/>
      <c r="M99" s="9"/>
      <c r="N99" s="9"/>
    </row>
    <row r="100" spans="1:14" ht="19" x14ac:dyDescent="0.2">
      <c r="A100" s="74"/>
      <c r="B100" s="58"/>
      <c r="C100" s="49"/>
      <c r="D100" s="13"/>
      <c r="E100" s="15"/>
      <c r="F100" s="9"/>
      <c r="G100" s="9">
        <v>840000</v>
      </c>
      <c r="H100" s="9" t="s">
        <v>832</v>
      </c>
      <c r="I100" s="9"/>
      <c r="J100" s="9"/>
      <c r="K100" s="9"/>
      <c r="L100" s="9"/>
      <c r="M100" s="9"/>
      <c r="N100" s="9"/>
    </row>
    <row r="101" spans="1:14" ht="32" x14ac:dyDescent="0.2">
      <c r="A101" s="61">
        <v>663000</v>
      </c>
      <c r="B101" s="75"/>
      <c r="C101" s="2" t="s">
        <v>10</v>
      </c>
      <c r="D101" s="13" t="s">
        <v>565</v>
      </c>
      <c r="E101" s="15">
        <v>565000</v>
      </c>
      <c r="F101" s="9">
        <v>98000</v>
      </c>
      <c r="G101" s="9">
        <v>1440000</v>
      </c>
      <c r="H101" s="47" t="s">
        <v>831</v>
      </c>
      <c r="I101" s="9"/>
      <c r="J101" s="9"/>
      <c r="K101" s="9"/>
      <c r="L101" s="9"/>
      <c r="M101" s="9"/>
      <c r="N101" s="9"/>
    </row>
    <row r="102" spans="1:14" ht="19" x14ac:dyDescent="0.2">
      <c r="A102" s="61">
        <v>1147000</v>
      </c>
      <c r="B102" s="58">
        <v>44789</v>
      </c>
      <c r="C102" s="35" t="s">
        <v>9</v>
      </c>
      <c r="D102" s="13" t="s">
        <v>405</v>
      </c>
      <c r="E102" s="15">
        <v>1003000</v>
      </c>
      <c r="F102" s="9">
        <v>144000</v>
      </c>
      <c r="G102" s="9"/>
      <c r="H102" s="9"/>
      <c r="I102" s="9">
        <v>18500</v>
      </c>
      <c r="J102" s="9" t="s">
        <v>834</v>
      </c>
      <c r="K102" s="9"/>
      <c r="L102" s="9"/>
      <c r="M102" s="9"/>
      <c r="N102" s="9"/>
    </row>
    <row r="103" spans="1:14" ht="19" x14ac:dyDescent="0.2">
      <c r="A103" s="74"/>
      <c r="B103" s="58"/>
      <c r="C103" s="35"/>
      <c r="D103" s="13"/>
      <c r="E103" s="15"/>
      <c r="F103" s="9"/>
      <c r="G103" s="9"/>
      <c r="H103" s="47"/>
      <c r="I103" s="9">
        <v>2000</v>
      </c>
      <c r="J103" s="9" t="s">
        <v>835</v>
      </c>
      <c r="K103" s="9"/>
      <c r="L103" s="9"/>
      <c r="M103" s="9"/>
      <c r="N103" s="9"/>
    </row>
    <row r="104" spans="1:14" ht="19" x14ac:dyDescent="0.2">
      <c r="A104" s="74"/>
      <c r="B104" s="58"/>
      <c r="C104" s="35"/>
      <c r="D104" s="13"/>
      <c r="E104" s="15"/>
      <c r="F104" s="9"/>
      <c r="G104" s="9"/>
      <c r="H104" s="9"/>
      <c r="I104" s="9">
        <v>35000</v>
      </c>
      <c r="J104" s="9" t="s">
        <v>836</v>
      </c>
      <c r="K104" s="9"/>
      <c r="L104" s="9"/>
      <c r="M104" s="9"/>
      <c r="N104" s="9"/>
    </row>
    <row r="105" spans="1:14" ht="19" x14ac:dyDescent="0.2">
      <c r="A105" s="74"/>
      <c r="B105" s="58"/>
      <c r="C105" s="35"/>
      <c r="D105" s="13"/>
      <c r="E105" s="15"/>
      <c r="F105" s="9"/>
      <c r="G105" s="9"/>
      <c r="H105" s="9"/>
      <c r="I105" s="9">
        <v>22000</v>
      </c>
      <c r="J105" s="9" t="s">
        <v>802</v>
      </c>
      <c r="K105" s="9"/>
      <c r="L105" s="9"/>
      <c r="M105" s="9"/>
      <c r="N105" s="9"/>
    </row>
    <row r="106" spans="1:14" ht="19" x14ac:dyDescent="0.2">
      <c r="A106" s="74"/>
      <c r="B106" s="58"/>
      <c r="C106" s="35"/>
      <c r="D106" s="13"/>
      <c r="E106" s="15"/>
      <c r="F106" s="9"/>
      <c r="G106" s="9"/>
      <c r="H106" s="9"/>
      <c r="I106" s="60">
        <v>104000</v>
      </c>
      <c r="J106" s="60" t="s">
        <v>807</v>
      </c>
      <c r="K106" s="9"/>
      <c r="L106" s="9"/>
      <c r="M106" s="9"/>
      <c r="N106" s="9"/>
    </row>
    <row r="107" spans="1:14" ht="19" x14ac:dyDescent="0.2">
      <c r="A107" s="74"/>
      <c r="B107" s="58"/>
      <c r="C107" s="35"/>
      <c r="D107" s="13"/>
      <c r="E107" s="15"/>
      <c r="F107" s="9"/>
      <c r="G107" s="9"/>
      <c r="H107" s="9"/>
      <c r="I107" s="60">
        <v>50000</v>
      </c>
      <c r="J107" s="60" t="s">
        <v>837</v>
      </c>
      <c r="K107" s="9"/>
      <c r="L107" s="9"/>
      <c r="M107" s="9"/>
      <c r="N107" s="9"/>
    </row>
    <row r="108" spans="1:14" ht="19" x14ac:dyDescent="0.2">
      <c r="A108" s="61">
        <v>743000</v>
      </c>
      <c r="B108" s="58"/>
      <c r="C108" s="3" t="s">
        <v>10</v>
      </c>
      <c r="D108" s="13" t="s">
        <v>565</v>
      </c>
      <c r="E108" s="15">
        <v>597000</v>
      </c>
      <c r="F108" s="9">
        <v>146000</v>
      </c>
      <c r="G108" s="9"/>
      <c r="H108" s="9"/>
      <c r="I108" s="9"/>
      <c r="J108" s="9"/>
      <c r="K108" s="9"/>
      <c r="L108" s="9"/>
      <c r="M108" s="9"/>
      <c r="N108" s="9"/>
    </row>
    <row r="109" spans="1:14" ht="19" x14ac:dyDescent="0.2">
      <c r="A109" s="61"/>
      <c r="B109" s="58"/>
      <c r="C109" s="49"/>
      <c r="D109" s="13"/>
      <c r="E109" s="15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9" x14ac:dyDescent="0.2">
      <c r="A110" s="61"/>
      <c r="B110" s="58"/>
      <c r="C110" s="49"/>
      <c r="D110" s="13"/>
      <c r="E110" s="15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9" x14ac:dyDescent="0.2">
      <c r="A111" s="61"/>
      <c r="B111" s="75"/>
      <c r="C111" s="2"/>
      <c r="D111" s="13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74">
        <v>1910000</v>
      </c>
      <c r="B112" s="58">
        <v>44790</v>
      </c>
      <c r="C112" s="35" t="s">
        <v>360</v>
      </c>
      <c r="D112" s="13" t="s">
        <v>762</v>
      </c>
      <c r="E112" s="15">
        <v>1439000</v>
      </c>
      <c r="F112" s="9">
        <v>471000</v>
      </c>
      <c r="G112" s="9"/>
      <c r="H112" s="9"/>
      <c r="I112" s="9">
        <v>104000</v>
      </c>
      <c r="J112" s="9" t="s">
        <v>807</v>
      </c>
      <c r="K112" s="9"/>
      <c r="L112" s="9"/>
      <c r="M112" s="9"/>
      <c r="N112" s="9"/>
    </row>
    <row r="113" spans="1:14" ht="19" x14ac:dyDescent="0.2">
      <c r="A113" s="74"/>
      <c r="B113" s="75"/>
      <c r="C113" s="35"/>
      <c r="D113" s="13"/>
      <c r="E113" s="15"/>
      <c r="F113" s="9"/>
      <c r="G113" s="9"/>
      <c r="H113" s="9"/>
      <c r="I113" s="60">
        <v>44000</v>
      </c>
      <c r="J113" s="60" t="s">
        <v>838</v>
      </c>
      <c r="K113" s="9"/>
      <c r="L113" s="9"/>
      <c r="M113" s="9"/>
      <c r="N113" s="9"/>
    </row>
    <row r="114" spans="1:14" ht="19" x14ac:dyDescent="0.2">
      <c r="A114" s="74"/>
      <c r="B114" s="75"/>
      <c r="C114" s="35"/>
      <c r="D114" s="13"/>
      <c r="E114" s="15"/>
      <c r="F114" s="9"/>
      <c r="G114" s="9"/>
      <c r="H114" s="9"/>
      <c r="I114" s="9">
        <v>80000</v>
      </c>
      <c r="J114" s="9" t="s">
        <v>651</v>
      </c>
      <c r="K114" s="9"/>
      <c r="L114" s="9"/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/>
      <c r="H115" s="9"/>
      <c r="I115" s="9">
        <v>42000</v>
      </c>
      <c r="J115" s="9" t="s">
        <v>839</v>
      </c>
      <c r="K115" s="9"/>
      <c r="L115" s="9"/>
      <c r="M115" s="9"/>
      <c r="N115" s="9"/>
    </row>
    <row r="116" spans="1:14" ht="19" x14ac:dyDescent="0.2">
      <c r="A116" s="61">
        <v>1111000</v>
      </c>
      <c r="B116" s="58">
        <v>44791</v>
      </c>
      <c r="C116" s="3" t="s">
        <v>9</v>
      </c>
      <c r="D116" s="13" t="s">
        <v>405</v>
      </c>
      <c r="E116" s="9">
        <v>927000</v>
      </c>
      <c r="F116" s="9">
        <v>184000</v>
      </c>
      <c r="G116" s="9"/>
      <c r="H116" s="9"/>
      <c r="I116" s="9">
        <v>144000</v>
      </c>
      <c r="J116" s="9" t="s">
        <v>615</v>
      </c>
      <c r="K116" s="9"/>
      <c r="L116" s="9"/>
      <c r="M116" s="9"/>
      <c r="N116" s="9"/>
    </row>
    <row r="117" spans="1:14" ht="19" x14ac:dyDescent="0.2">
      <c r="A117" s="74"/>
      <c r="B117" s="58"/>
      <c r="C117" s="49"/>
      <c r="D117" s="13"/>
      <c r="E117" s="15"/>
      <c r="F117" s="9"/>
      <c r="G117" s="9"/>
      <c r="H117" s="9"/>
      <c r="I117" s="9">
        <v>95000</v>
      </c>
      <c r="J117" s="9" t="s">
        <v>840</v>
      </c>
      <c r="K117" s="9"/>
      <c r="L117" s="9"/>
      <c r="M117" s="9"/>
      <c r="N117" s="9"/>
    </row>
    <row r="118" spans="1:14" ht="19" x14ac:dyDescent="0.2">
      <c r="A118" s="61">
        <v>601000</v>
      </c>
      <c r="B118" s="75"/>
      <c r="C118" s="2" t="s">
        <v>10</v>
      </c>
      <c r="D118" s="13" t="s">
        <v>565</v>
      </c>
      <c r="E118" s="9">
        <v>526000</v>
      </c>
      <c r="F118" s="9">
        <v>75000</v>
      </c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61">
        <v>1171000</v>
      </c>
      <c r="B119" s="58">
        <v>44792</v>
      </c>
      <c r="C119" s="3" t="s">
        <v>440</v>
      </c>
      <c r="D119" s="13" t="s">
        <v>405</v>
      </c>
      <c r="E119" s="9">
        <v>844000</v>
      </c>
      <c r="F119" s="9">
        <v>327000</v>
      </c>
      <c r="G119" s="9"/>
      <c r="H119" s="9"/>
      <c r="I119" s="9">
        <v>47000</v>
      </c>
      <c r="J119" s="9" t="s">
        <v>841</v>
      </c>
      <c r="K119" s="9"/>
      <c r="L119" s="9"/>
      <c r="M119" s="9"/>
      <c r="N119" s="9"/>
    </row>
    <row r="120" spans="1:14" ht="19" x14ac:dyDescent="0.2">
      <c r="A120" s="74"/>
      <c r="B120" s="75"/>
      <c r="C120" s="35"/>
      <c r="D120" s="13"/>
      <c r="E120" s="15"/>
      <c r="F120" s="9"/>
      <c r="G120" s="9"/>
      <c r="H120" s="9"/>
      <c r="I120" s="9">
        <v>19500</v>
      </c>
      <c r="J120" s="9" t="s">
        <v>842</v>
      </c>
      <c r="K120" s="9"/>
      <c r="L120" s="9"/>
      <c r="M120" s="9"/>
      <c r="N120" s="9"/>
    </row>
    <row r="121" spans="1:14" ht="19" x14ac:dyDescent="0.2">
      <c r="A121" s="74"/>
      <c r="B121" s="75"/>
      <c r="C121" s="35"/>
      <c r="D121" s="13"/>
      <c r="E121" s="15"/>
      <c r="F121" s="9"/>
      <c r="G121" s="9"/>
      <c r="H121" s="9"/>
      <c r="I121" s="9">
        <v>21000</v>
      </c>
      <c r="J121" s="9" t="s">
        <v>843</v>
      </c>
      <c r="K121" s="9"/>
      <c r="L121" s="9"/>
      <c r="M121" s="9"/>
      <c r="N121" s="9"/>
    </row>
    <row r="122" spans="1:14" ht="19" x14ac:dyDescent="0.2">
      <c r="A122" s="74"/>
      <c r="B122" s="75"/>
      <c r="C122" s="35"/>
      <c r="D122" s="13"/>
      <c r="E122" s="15"/>
      <c r="F122" s="9"/>
      <c r="G122" s="9"/>
      <c r="H122" s="9"/>
      <c r="I122" s="9">
        <v>34000</v>
      </c>
      <c r="J122" s="9" t="s">
        <v>844</v>
      </c>
      <c r="K122" s="9"/>
      <c r="L122" s="9"/>
      <c r="M122" s="9"/>
      <c r="N122" s="9"/>
    </row>
    <row r="123" spans="1:14" ht="19" x14ac:dyDescent="0.2">
      <c r="A123" s="74"/>
      <c r="B123" s="75"/>
      <c r="C123" s="35"/>
      <c r="D123" s="13"/>
      <c r="E123" s="15"/>
      <c r="F123" s="9"/>
      <c r="G123" s="9"/>
      <c r="H123" s="9"/>
      <c r="I123" s="9">
        <v>480000</v>
      </c>
      <c r="J123" s="9" t="s">
        <v>845</v>
      </c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9">
        <v>22000</v>
      </c>
      <c r="J124" s="9" t="s">
        <v>802</v>
      </c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>
        <v>490000</v>
      </c>
      <c r="H125" s="9" t="s">
        <v>846</v>
      </c>
      <c r="I125" s="9">
        <v>17000</v>
      </c>
      <c r="J125" s="9" t="s">
        <v>543</v>
      </c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9"/>
      <c r="J126" s="9"/>
      <c r="K126" s="9"/>
      <c r="L126" s="9"/>
      <c r="M126" s="9"/>
      <c r="N126" s="9"/>
    </row>
    <row r="127" spans="1:14" ht="19" x14ac:dyDescent="0.2">
      <c r="A127" s="74">
        <v>731000</v>
      </c>
      <c r="B127" s="75"/>
      <c r="C127" s="35" t="s">
        <v>363</v>
      </c>
      <c r="D127" s="13" t="s">
        <v>565</v>
      </c>
      <c r="E127" s="15">
        <v>638000</v>
      </c>
      <c r="F127" s="9">
        <v>93000</v>
      </c>
      <c r="G127" s="9"/>
      <c r="H127" s="9"/>
      <c r="I127" s="9"/>
      <c r="J127" s="9"/>
      <c r="K127" s="9"/>
      <c r="L127" s="9"/>
      <c r="M127" s="9"/>
      <c r="N127" s="9"/>
    </row>
    <row r="128" spans="1:14" ht="19" x14ac:dyDescent="0.2">
      <c r="A128" s="74">
        <v>764000</v>
      </c>
      <c r="B128" s="58">
        <v>44793</v>
      </c>
      <c r="C128" s="35" t="s">
        <v>9</v>
      </c>
      <c r="D128" s="13" t="s">
        <v>405</v>
      </c>
      <c r="E128" s="15">
        <v>571000</v>
      </c>
      <c r="F128" s="9">
        <v>193000</v>
      </c>
      <c r="G128" s="9"/>
      <c r="H128" s="9"/>
      <c r="I128" s="9"/>
      <c r="J128" s="9"/>
      <c r="K128" s="9"/>
      <c r="L128" s="9"/>
      <c r="M128" s="9"/>
      <c r="N128" s="9"/>
    </row>
    <row r="129" spans="1:14" ht="19" x14ac:dyDescent="0.2">
      <c r="A129" s="74"/>
      <c r="B129" s="58"/>
      <c r="C129" s="35"/>
      <c r="D129" s="13"/>
      <c r="E129" s="15"/>
      <c r="F129" s="9"/>
      <c r="G129" s="9"/>
      <c r="H129" s="9"/>
      <c r="I129" s="9"/>
      <c r="J129" s="9"/>
      <c r="K129" s="9"/>
      <c r="L129" s="9"/>
      <c r="M129" s="9"/>
      <c r="N129" s="9"/>
    </row>
    <row r="130" spans="1:14" ht="19" x14ac:dyDescent="0.2">
      <c r="A130" s="61">
        <v>906000</v>
      </c>
      <c r="B130" s="75"/>
      <c r="C130" s="2" t="s">
        <v>10</v>
      </c>
      <c r="D130" s="13" t="s">
        <v>565</v>
      </c>
      <c r="E130" s="9">
        <v>852000</v>
      </c>
      <c r="F130" s="9">
        <v>54000</v>
      </c>
      <c r="G130" s="9"/>
      <c r="H130" s="9"/>
      <c r="I130" s="76"/>
      <c r="J130" s="76"/>
      <c r="K130" s="9"/>
      <c r="L130" s="9"/>
      <c r="M130" s="9"/>
      <c r="N130" s="9"/>
    </row>
    <row r="131" spans="1:14" ht="19" x14ac:dyDescent="0.2">
      <c r="A131" s="74"/>
      <c r="B131" s="58"/>
      <c r="C131" s="49"/>
      <c r="D131" s="13"/>
      <c r="E131" s="15"/>
      <c r="F131" s="9"/>
      <c r="G131" s="9"/>
      <c r="H131" s="9"/>
      <c r="I131" s="76"/>
      <c r="J131" s="76"/>
      <c r="K131" s="9"/>
      <c r="L131" s="9"/>
      <c r="M131" s="9"/>
      <c r="N131" s="9"/>
    </row>
    <row r="132" spans="1:14" ht="19" x14ac:dyDescent="0.2">
      <c r="A132" s="61">
        <v>806000</v>
      </c>
      <c r="B132" s="58">
        <v>44794</v>
      </c>
      <c r="C132" s="2" t="s">
        <v>9</v>
      </c>
      <c r="D132" s="13" t="s">
        <v>405</v>
      </c>
      <c r="E132" s="15">
        <v>745000</v>
      </c>
      <c r="F132" s="9">
        <v>61000</v>
      </c>
      <c r="G132" s="9"/>
      <c r="H132" s="76"/>
      <c r="I132" s="60"/>
      <c r="J132" s="60"/>
      <c r="K132" s="9"/>
      <c r="L132" s="9"/>
      <c r="M132" s="9"/>
      <c r="N132" s="9"/>
    </row>
    <row r="133" spans="1:14" ht="19" x14ac:dyDescent="0.2">
      <c r="A133" s="74"/>
      <c r="B133" s="58"/>
      <c r="C133" s="35"/>
      <c r="D133" s="13"/>
      <c r="E133" s="15"/>
      <c r="F133" s="9"/>
      <c r="G133" s="9"/>
      <c r="H133" s="76"/>
      <c r="I133" s="60"/>
      <c r="J133" s="60"/>
      <c r="K133" s="9"/>
      <c r="L133" s="9"/>
      <c r="M133" s="9"/>
      <c r="N133" s="9"/>
    </row>
    <row r="134" spans="1:14" ht="19" x14ac:dyDescent="0.2">
      <c r="A134" s="74"/>
      <c r="B134" s="58"/>
      <c r="C134" s="35"/>
      <c r="D134" s="13"/>
      <c r="E134" s="15"/>
      <c r="F134" s="9"/>
      <c r="G134" s="9"/>
      <c r="H134" s="76"/>
      <c r="I134" s="60"/>
      <c r="J134" s="60"/>
      <c r="K134" s="9"/>
      <c r="L134" s="9"/>
      <c r="M134" s="9"/>
      <c r="N134" s="9"/>
    </row>
    <row r="135" spans="1:14" ht="19" x14ac:dyDescent="0.2">
      <c r="A135" s="74"/>
      <c r="B135" s="58"/>
      <c r="C135" s="35"/>
      <c r="D135" s="13"/>
      <c r="E135" s="15"/>
      <c r="F135" s="9"/>
      <c r="G135" s="9"/>
      <c r="H135" s="76"/>
      <c r="I135" s="60"/>
      <c r="J135" s="60"/>
      <c r="K135" s="9"/>
      <c r="L135" s="9"/>
      <c r="M135" s="9"/>
      <c r="N135" s="9"/>
    </row>
    <row r="136" spans="1:14" ht="19" x14ac:dyDescent="0.2">
      <c r="A136" s="61">
        <v>826000</v>
      </c>
      <c r="B136" s="58"/>
      <c r="C136" s="3" t="s">
        <v>10</v>
      </c>
      <c r="D136" s="13" t="s">
        <v>565</v>
      </c>
      <c r="E136" s="15">
        <v>682000</v>
      </c>
      <c r="F136" s="9">
        <v>144000</v>
      </c>
      <c r="G136" s="9"/>
      <c r="H136" s="9"/>
      <c r="I136" s="9">
        <v>50000</v>
      </c>
      <c r="J136" s="9" t="s">
        <v>59</v>
      </c>
      <c r="K136" s="9"/>
      <c r="L136" s="9"/>
      <c r="M136" s="9"/>
      <c r="N136" s="9"/>
    </row>
    <row r="137" spans="1:14" ht="19" x14ac:dyDescent="0.2">
      <c r="A137" s="74"/>
      <c r="B137" s="58"/>
      <c r="C137" s="49"/>
      <c r="D137" s="13"/>
      <c r="E137" s="15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9" x14ac:dyDescent="0.2">
      <c r="A138" s="61">
        <v>806000</v>
      </c>
      <c r="B138" s="58">
        <v>44795</v>
      </c>
      <c r="C138" s="3" t="s">
        <v>440</v>
      </c>
      <c r="D138" s="13" t="s">
        <v>405</v>
      </c>
      <c r="E138" s="15">
        <v>591000</v>
      </c>
      <c r="F138" s="9">
        <v>215000</v>
      </c>
      <c r="G138" s="9"/>
      <c r="H138" s="47"/>
      <c r="I138" s="9">
        <v>36000</v>
      </c>
      <c r="J138" s="9" t="s">
        <v>672</v>
      </c>
      <c r="K138" s="9"/>
      <c r="L138" s="9"/>
      <c r="M138" s="9"/>
      <c r="N138" s="9"/>
    </row>
    <row r="139" spans="1:14" ht="32" x14ac:dyDescent="0.2">
      <c r="A139" s="74"/>
      <c r="B139" s="58"/>
      <c r="C139" s="49"/>
      <c r="D139" s="13"/>
      <c r="E139" s="15"/>
      <c r="F139" s="9"/>
      <c r="G139" s="9"/>
      <c r="H139" s="60"/>
      <c r="I139" s="9">
        <v>620000</v>
      </c>
      <c r="J139" s="47" t="s">
        <v>847</v>
      </c>
      <c r="K139" s="9"/>
      <c r="L139" s="9"/>
      <c r="M139" s="9"/>
      <c r="N139" s="9"/>
    </row>
    <row r="140" spans="1:14" ht="19" x14ac:dyDescent="0.2">
      <c r="A140" s="74"/>
      <c r="B140" s="58"/>
      <c r="C140" s="49"/>
      <c r="D140" s="13"/>
      <c r="E140" s="15"/>
      <c r="F140" s="9"/>
      <c r="G140" s="9"/>
      <c r="H140" s="60"/>
      <c r="I140" s="9">
        <v>60000</v>
      </c>
      <c r="J140" s="9" t="s">
        <v>585</v>
      </c>
      <c r="K140" s="9"/>
      <c r="L140" s="9"/>
      <c r="M140" s="9"/>
      <c r="N140" s="9"/>
    </row>
    <row r="141" spans="1:14" ht="19" x14ac:dyDescent="0.2">
      <c r="A141" s="61"/>
      <c r="B141" s="58"/>
      <c r="C141" s="3"/>
      <c r="D141" s="13"/>
      <c r="E141" s="15"/>
      <c r="F141" s="9"/>
      <c r="G141" s="9"/>
      <c r="H141" s="9"/>
      <c r="I141" s="9">
        <v>3000</v>
      </c>
      <c r="J141" s="9" t="s">
        <v>702</v>
      </c>
      <c r="K141" s="9"/>
      <c r="L141" s="9"/>
      <c r="M141" s="9"/>
      <c r="N141" s="9"/>
    </row>
    <row r="142" spans="1:14" ht="19" x14ac:dyDescent="0.2">
      <c r="A142" s="74"/>
      <c r="B142" s="58"/>
      <c r="C142" s="49"/>
      <c r="D142" s="13"/>
      <c r="E142" s="15"/>
      <c r="F142" s="9"/>
      <c r="G142" s="9"/>
      <c r="H142" s="9"/>
      <c r="I142" s="9">
        <v>44000</v>
      </c>
      <c r="J142" s="9" t="s">
        <v>818</v>
      </c>
      <c r="K142" s="9"/>
      <c r="L142" s="9"/>
      <c r="M142" s="9"/>
      <c r="N142" s="9"/>
    </row>
    <row r="143" spans="1:14" ht="19" x14ac:dyDescent="0.2">
      <c r="A143" s="74"/>
      <c r="B143" s="58"/>
      <c r="C143" s="49"/>
      <c r="D143" s="13"/>
      <c r="E143" s="15"/>
      <c r="F143" s="9"/>
      <c r="G143" s="9"/>
      <c r="H143" s="9"/>
      <c r="I143" s="9">
        <v>12000</v>
      </c>
      <c r="J143" s="9" t="s">
        <v>848</v>
      </c>
      <c r="K143" s="9"/>
      <c r="L143" s="9"/>
      <c r="M143" s="9"/>
      <c r="N143" s="9"/>
    </row>
    <row r="144" spans="1:14" ht="19" x14ac:dyDescent="0.2">
      <c r="A144" s="74"/>
      <c r="B144" s="58"/>
      <c r="C144" s="49"/>
      <c r="D144" s="13"/>
      <c r="E144" s="15"/>
      <c r="F144" s="9"/>
      <c r="G144" s="9"/>
      <c r="H144" s="9"/>
      <c r="I144" s="9">
        <v>100000</v>
      </c>
      <c r="J144" s="9" t="s">
        <v>659</v>
      </c>
      <c r="K144" s="9"/>
      <c r="L144" s="9"/>
      <c r="M144" s="9"/>
      <c r="N144" s="9"/>
    </row>
    <row r="145" spans="1:14" ht="19" x14ac:dyDescent="0.2">
      <c r="A145" s="74"/>
      <c r="B145" s="58"/>
      <c r="C145" s="49"/>
      <c r="D145" s="13"/>
      <c r="E145" s="15"/>
      <c r="F145" s="9"/>
      <c r="G145" s="9"/>
      <c r="H145" s="9"/>
      <c r="I145" s="9">
        <v>35000</v>
      </c>
      <c r="J145" s="9" t="s">
        <v>655</v>
      </c>
      <c r="K145" s="9"/>
      <c r="L145" s="9"/>
      <c r="M145" s="9"/>
      <c r="N145" s="9"/>
    </row>
    <row r="146" spans="1:14" ht="19" x14ac:dyDescent="0.2">
      <c r="A146" s="74"/>
      <c r="B146" s="58"/>
      <c r="C146" s="49"/>
      <c r="D146" s="13"/>
      <c r="E146" s="15"/>
      <c r="F146" s="9"/>
      <c r="G146" s="9"/>
      <c r="H146" s="9"/>
      <c r="I146" s="9">
        <v>100000</v>
      </c>
      <c r="J146" s="9" t="s">
        <v>827</v>
      </c>
      <c r="K146" s="9"/>
      <c r="L146" s="9"/>
      <c r="M146" s="9"/>
      <c r="N146" s="9"/>
    </row>
    <row r="147" spans="1:14" ht="19" x14ac:dyDescent="0.2">
      <c r="A147" s="74">
        <v>1002000</v>
      </c>
      <c r="B147" s="58"/>
      <c r="C147" s="49" t="s">
        <v>363</v>
      </c>
      <c r="D147" s="13" t="s">
        <v>565</v>
      </c>
      <c r="E147" s="15">
        <v>813000</v>
      </c>
      <c r="F147" s="9">
        <v>189000</v>
      </c>
      <c r="G147" s="9"/>
      <c r="H147" s="9"/>
      <c r="I147" s="9">
        <v>58000</v>
      </c>
      <c r="J147" s="9" t="s">
        <v>849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9">
        <v>60000</v>
      </c>
      <c r="J148" s="9" t="s">
        <v>850</v>
      </c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9">
        <v>56000</v>
      </c>
      <c r="J149" s="9" t="s">
        <v>652</v>
      </c>
      <c r="K149" s="9"/>
      <c r="L149" s="9"/>
      <c r="M149" s="9"/>
      <c r="N149" s="9"/>
    </row>
    <row r="150" spans="1:14" ht="19" x14ac:dyDescent="0.2">
      <c r="A150" s="74"/>
      <c r="B150" s="58"/>
      <c r="C150" s="49"/>
      <c r="D150" s="13"/>
      <c r="E150" s="15"/>
      <c r="F150" s="9"/>
      <c r="G150" s="9"/>
      <c r="H150" s="9"/>
      <c r="I150" s="9">
        <v>144000</v>
      </c>
      <c r="J150" s="9" t="s">
        <v>615</v>
      </c>
      <c r="K150" s="9"/>
      <c r="L150" s="9"/>
      <c r="M150" s="9"/>
      <c r="N150" s="9"/>
    </row>
    <row r="151" spans="1:14" ht="19" x14ac:dyDescent="0.2">
      <c r="A151" s="61">
        <v>1102000</v>
      </c>
      <c r="B151" s="58">
        <v>44796</v>
      </c>
      <c r="C151" s="3" t="s">
        <v>9</v>
      </c>
      <c r="D151" s="13" t="s">
        <v>405</v>
      </c>
      <c r="E151" s="15">
        <v>754000</v>
      </c>
      <c r="F151" s="9">
        <v>348000</v>
      </c>
      <c r="G151" s="9"/>
      <c r="H151" s="9"/>
      <c r="I151" s="9"/>
      <c r="J151" s="9"/>
      <c r="K151" s="9"/>
      <c r="L151" s="9"/>
      <c r="M151" s="9"/>
      <c r="N151" s="9"/>
    </row>
    <row r="152" spans="1:14" ht="19" x14ac:dyDescent="0.2">
      <c r="A152" s="61"/>
      <c r="B152" s="58"/>
      <c r="C152" s="3"/>
      <c r="D152" s="13"/>
      <c r="E152" s="15"/>
      <c r="F152" s="9"/>
      <c r="G152" s="9"/>
      <c r="H152" s="60"/>
      <c r="I152" s="9">
        <v>20000</v>
      </c>
      <c r="J152" s="9" t="s">
        <v>590</v>
      </c>
      <c r="K152" s="9"/>
      <c r="L152" s="9"/>
      <c r="M152" s="9"/>
      <c r="N152" s="9"/>
    </row>
    <row r="153" spans="1:14" ht="19" x14ac:dyDescent="0.2">
      <c r="A153" s="61"/>
      <c r="B153" s="58"/>
      <c r="C153" s="3"/>
      <c r="D153" s="13"/>
      <c r="E153" s="15"/>
      <c r="F153" s="9"/>
      <c r="G153" s="9"/>
      <c r="H153" s="60"/>
      <c r="I153" s="9"/>
      <c r="J153" s="9"/>
      <c r="K153" s="9"/>
      <c r="L153" s="9"/>
      <c r="M153" s="9"/>
      <c r="N153" s="9"/>
    </row>
    <row r="154" spans="1:14" ht="19" x14ac:dyDescent="0.2">
      <c r="A154" s="61">
        <v>780000</v>
      </c>
      <c r="B154" s="75"/>
      <c r="C154" s="2" t="s">
        <v>10</v>
      </c>
      <c r="D154" s="13" t="s">
        <v>565</v>
      </c>
      <c r="E154" s="15">
        <v>662000</v>
      </c>
      <c r="F154" s="9">
        <v>118000</v>
      </c>
      <c r="G154" s="9"/>
      <c r="H154" s="77"/>
      <c r="I154" s="9"/>
      <c r="J154" s="9"/>
      <c r="K154" s="9"/>
      <c r="L154" s="9"/>
      <c r="M154" s="9"/>
      <c r="N154" s="9"/>
    </row>
    <row r="155" spans="1:14" ht="19" x14ac:dyDescent="0.2">
      <c r="A155" s="61">
        <v>1246000</v>
      </c>
      <c r="B155" s="58">
        <v>44797</v>
      </c>
      <c r="C155" s="3" t="s">
        <v>9</v>
      </c>
      <c r="D155" s="13" t="s">
        <v>405</v>
      </c>
      <c r="E155" s="15">
        <v>1106000</v>
      </c>
      <c r="F155" s="9">
        <v>140000</v>
      </c>
      <c r="G155" s="9"/>
      <c r="H155" s="9"/>
      <c r="I155" s="9">
        <v>161000</v>
      </c>
      <c r="J155" s="9" t="s">
        <v>851</v>
      </c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9"/>
      <c r="I156" s="76">
        <v>29000</v>
      </c>
      <c r="J156" s="95" t="s">
        <v>852</v>
      </c>
      <c r="K156" s="9"/>
      <c r="L156" s="9"/>
      <c r="M156" s="9"/>
      <c r="N156" s="9"/>
    </row>
    <row r="157" spans="1:14" ht="19" x14ac:dyDescent="0.2">
      <c r="A157" s="74"/>
      <c r="B157" s="58"/>
      <c r="C157" s="49"/>
      <c r="D157" s="13"/>
      <c r="E157" s="15"/>
      <c r="F157" s="9"/>
      <c r="G157" s="9"/>
      <c r="H157" s="9"/>
      <c r="I157" s="77">
        <v>124500</v>
      </c>
      <c r="J157" s="77" t="s">
        <v>703</v>
      </c>
      <c r="K157" s="9"/>
      <c r="L157" s="9"/>
      <c r="M157" s="9"/>
      <c r="N157" s="9"/>
    </row>
    <row r="158" spans="1:14" ht="19" x14ac:dyDescent="0.2">
      <c r="A158" s="74">
        <v>996000</v>
      </c>
      <c r="B158" s="58"/>
      <c r="C158" s="49" t="s">
        <v>363</v>
      </c>
      <c r="D158" s="13" t="s">
        <v>565</v>
      </c>
      <c r="E158" s="15">
        <v>676000</v>
      </c>
      <c r="F158" s="9">
        <v>320000</v>
      </c>
      <c r="G158" s="9"/>
      <c r="H158" s="9"/>
      <c r="I158" s="76">
        <v>140000</v>
      </c>
      <c r="J158" s="76" t="s">
        <v>854</v>
      </c>
      <c r="K158" s="9"/>
      <c r="L158" s="9"/>
      <c r="M158" s="9"/>
      <c r="N158" s="9"/>
    </row>
    <row r="159" spans="1:14" ht="19" x14ac:dyDescent="0.2">
      <c r="A159" s="74"/>
      <c r="B159" s="58"/>
      <c r="C159" s="49"/>
      <c r="D159" s="13"/>
      <c r="E159" s="15"/>
      <c r="F159" s="9"/>
      <c r="G159" s="9"/>
      <c r="H159" s="9"/>
      <c r="I159" s="76">
        <v>140000</v>
      </c>
      <c r="J159" s="76" t="s">
        <v>853</v>
      </c>
      <c r="K159" s="9"/>
      <c r="L159" s="9"/>
      <c r="M159" s="9"/>
      <c r="N159" s="9"/>
    </row>
    <row r="160" spans="1:14" ht="19" x14ac:dyDescent="0.2">
      <c r="A160" s="74"/>
      <c r="B160" s="58"/>
      <c r="C160" s="49"/>
      <c r="D160" s="13"/>
      <c r="E160" s="15"/>
      <c r="F160" s="9"/>
      <c r="G160" s="9"/>
      <c r="H160" s="9"/>
      <c r="I160" s="76">
        <v>28000</v>
      </c>
      <c r="J160" s="76" t="s">
        <v>802</v>
      </c>
      <c r="K160" s="9"/>
      <c r="L160" s="9"/>
      <c r="M160" s="9"/>
      <c r="N160" s="9"/>
    </row>
    <row r="161" spans="1:14" ht="19" x14ac:dyDescent="0.2">
      <c r="A161" s="61"/>
      <c r="B161" s="58"/>
      <c r="C161" s="49"/>
      <c r="D161" s="13"/>
      <c r="E161" s="15"/>
      <c r="F161" s="9"/>
      <c r="G161" s="9"/>
      <c r="H161" s="9"/>
      <c r="I161" s="9">
        <v>80000</v>
      </c>
      <c r="J161" s="9" t="s">
        <v>651</v>
      </c>
      <c r="K161" s="9"/>
      <c r="L161" s="9"/>
      <c r="M161" s="9"/>
      <c r="N161" s="9"/>
    </row>
    <row r="162" spans="1:14" ht="19" x14ac:dyDescent="0.2">
      <c r="A162" s="74"/>
      <c r="B162" s="58"/>
      <c r="C162" s="49"/>
      <c r="D162" s="13"/>
      <c r="E162" s="15"/>
      <c r="F162" s="9"/>
      <c r="G162" s="9"/>
      <c r="H162" s="9"/>
      <c r="I162" s="9">
        <v>20000</v>
      </c>
      <c r="J162" s="9" t="s">
        <v>590</v>
      </c>
      <c r="K162" s="9"/>
      <c r="L162" s="9"/>
      <c r="M162" s="9"/>
      <c r="N162" s="9"/>
    </row>
    <row r="163" spans="1:14" ht="19" x14ac:dyDescent="0.2">
      <c r="A163" s="61">
        <v>1122000</v>
      </c>
      <c r="B163" s="58">
        <v>44798</v>
      </c>
      <c r="C163" s="49" t="s">
        <v>9</v>
      </c>
      <c r="D163" s="13" t="s">
        <v>405</v>
      </c>
      <c r="E163" s="15">
        <v>939000</v>
      </c>
      <c r="F163" s="9">
        <v>183000</v>
      </c>
      <c r="G163" s="9"/>
      <c r="H163" s="9"/>
      <c r="I163" s="9">
        <v>336000</v>
      </c>
      <c r="J163" s="9" t="s">
        <v>678</v>
      </c>
      <c r="K163" s="9"/>
      <c r="L163" s="9"/>
      <c r="M163" s="9"/>
      <c r="N163" s="9"/>
    </row>
    <row r="164" spans="1:14" ht="19" x14ac:dyDescent="0.2">
      <c r="A164" s="61"/>
      <c r="B164" s="58"/>
      <c r="C164" s="49"/>
      <c r="D164" s="13"/>
      <c r="E164" s="15"/>
      <c r="F164" s="9"/>
      <c r="G164" s="9"/>
      <c r="H164" s="9"/>
      <c r="I164" s="9">
        <v>42000</v>
      </c>
      <c r="J164" s="9" t="s">
        <v>645</v>
      </c>
      <c r="K164" s="9"/>
      <c r="L164" s="9"/>
      <c r="M164" s="9"/>
      <c r="N164" s="9"/>
    </row>
    <row r="165" spans="1:14" ht="19" x14ac:dyDescent="0.2">
      <c r="A165" s="61"/>
      <c r="B165" s="58"/>
      <c r="C165" s="49"/>
      <c r="D165" s="13"/>
      <c r="E165" s="15"/>
      <c r="F165" s="9"/>
      <c r="G165" s="9"/>
      <c r="H165" s="9"/>
      <c r="I165" s="9">
        <v>9000</v>
      </c>
      <c r="J165" s="9" t="s">
        <v>855</v>
      </c>
      <c r="K165" s="9"/>
      <c r="L165" s="9"/>
      <c r="M165" s="9"/>
      <c r="N165" s="9"/>
    </row>
    <row r="166" spans="1:14" ht="19" x14ac:dyDescent="0.2">
      <c r="A166" s="61"/>
      <c r="B166" s="58"/>
      <c r="C166" s="49"/>
      <c r="D166" s="13"/>
      <c r="E166" s="15"/>
      <c r="F166" s="9"/>
      <c r="G166" s="9"/>
      <c r="H166" s="9"/>
      <c r="I166" s="9">
        <v>27500</v>
      </c>
      <c r="J166" s="9" t="s">
        <v>856</v>
      </c>
      <c r="K166" s="9"/>
      <c r="L166" s="9"/>
      <c r="M166" s="9"/>
      <c r="N166" s="9"/>
    </row>
    <row r="167" spans="1:14" ht="19" x14ac:dyDescent="0.2">
      <c r="A167" s="74"/>
      <c r="B167" s="58"/>
      <c r="C167" s="49"/>
      <c r="D167" s="13"/>
      <c r="E167" s="15"/>
      <c r="F167" s="9"/>
      <c r="G167" s="9"/>
      <c r="H167" s="9"/>
      <c r="I167" s="9">
        <v>26000</v>
      </c>
      <c r="J167" s="9" t="s">
        <v>672</v>
      </c>
      <c r="K167" s="9"/>
      <c r="L167" s="9"/>
      <c r="M167" s="9"/>
      <c r="N167" s="9"/>
    </row>
    <row r="168" spans="1:14" ht="19" x14ac:dyDescent="0.2">
      <c r="A168" s="74"/>
      <c r="B168" s="58"/>
      <c r="C168" s="49"/>
      <c r="D168" s="13"/>
      <c r="E168" s="15"/>
      <c r="F168" s="9"/>
      <c r="G168" s="9"/>
      <c r="H168" s="9"/>
      <c r="I168" s="9">
        <v>6500</v>
      </c>
      <c r="J168" s="9" t="s">
        <v>857</v>
      </c>
      <c r="K168" s="9"/>
      <c r="L168" s="9"/>
      <c r="M168" s="9"/>
      <c r="N168" s="9"/>
    </row>
    <row r="169" spans="1:14" ht="19" x14ac:dyDescent="0.2">
      <c r="A169" s="61">
        <v>1182000</v>
      </c>
      <c r="B169" s="58"/>
      <c r="C169" s="49" t="s">
        <v>10</v>
      </c>
      <c r="D169" s="13" t="s">
        <v>565</v>
      </c>
      <c r="E169" s="15">
        <v>664000</v>
      </c>
      <c r="F169" s="9">
        <v>518000</v>
      </c>
      <c r="G169" s="9"/>
      <c r="H169" s="9"/>
      <c r="I169" s="9">
        <v>104000</v>
      </c>
      <c r="J169" s="9" t="s">
        <v>807</v>
      </c>
      <c r="K169" s="9"/>
      <c r="L169" s="9"/>
      <c r="M169" s="9"/>
      <c r="N169" s="9"/>
    </row>
    <row r="170" spans="1:14" ht="19" x14ac:dyDescent="0.2">
      <c r="A170" s="79"/>
      <c r="B170" s="75"/>
      <c r="C170" s="35"/>
      <c r="D170" s="13"/>
      <c r="E170" s="15"/>
      <c r="F170" s="9"/>
      <c r="G170" s="9"/>
      <c r="H170" s="9"/>
      <c r="I170" s="9">
        <v>200000</v>
      </c>
      <c r="J170" s="60" t="s">
        <v>653</v>
      </c>
      <c r="K170" s="9"/>
      <c r="L170" s="9"/>
      <c r="M170" s="9"/>
      <c r="N170" s="9"/>
    </row>
    <row r="171" spans="1:14" ht="19" x14ac:dyDescent="0.2">
      <c r="A171" s="61"/>
      <c r="B171" s="75"/>
      <c r="C171" s="2"/>
      <c r="D171" s="13"/>
      <c r="E171" s="15"/>
      <c r="F171" s="9"/>
      <c r="G171" s="9"/>
      <c r="H171" s="9"/>
      <c r="I171" s="9">
        <v>100000</v>
      </c>
      <c r="J171" s="9" t="s">
        <v>827</v>
      </c>
      <c r="K171" s="9"/>
      <c r="L171" s="9"/>
      <c r="M171" s="9"/>
      <c r="N171" s="9"/>
    </row>
    <row r="172" spans="1:14" ht="19" x14ac:dyDescent="0.2">
      <c r="A172" s="74"/>
      <c r="B172" s="75"/>
      <c r="C172" s="35"/>
      <c r="D172" s="13"/>
      <c r="E172" s="15"/>
      <c r="F172" s="9"/>
      <c r="G172" s="9"/>
      <c r="H172" s="9"/>
      <c r="I172" s="9">
        <v>35000</v>
      </c>
      <c r="J172" s="9" t="s">
        <v>655</v>
      </c>
      <c r="K172" s="9"/>
      <c r="L172" s="9"/>
      <c r="M172" s="9"/>
      <c r="N172" s="9"/>
    </row>
    <row r="173" spans="1:14" ht="19" x14ac:dyDescent="0.2">
      <c r="A173" s="74"/>
      <c r="B173" s="75"/>
      <c r="C173" s="35"/>
      <c r="D173" s="13"/>
      <c r="E173" s="15"/>
      <c r="F173" s="9"/>
      <c r="G173" s="9"/>
      <c r="H173" s="9"/>
      <c r="I173" s="9">
        <v>20000</v>
      </c>
      <c r="J173" s="9" t="s">
        <v>590</v>
      </c>
      <c r="K173" s="9"/>
      <c r="L173" s="9"/>
      <c r="M173" s="9"/>
      <c r="N173" s="9"/>
    </row>
    <row r="174" spans="1:14" ht="19" x14ac:dyDescent="0.2">
      <c r="A174" s="74"/>
      <c r="B174" s="75"/>
      <c r="C174" s="35"/>
      <c r="D174" s="13"/>
      <c r="E174" s="15"/>
      <c r="F174" s="9"/>
      <c r="G174" s="9"/>
      <c r="H174" s="9"/>
      <c r="I174" s="9">
        <v>32000</v>
      </c>
      <c r="J174" s="9" t="s">
        <v>858</v>
      </c>
      <c r="K174" s="9"/>
      <c r="L174" s="9"/>
      <c r="M174" s="9"/>
      <c r="N174" s="9"/>
    </row>
    <row r="175" spans="1:14" ht="19" x14ac:dyDescent="0.2">
      <c r="A175" s="74"/>
      <c r="B175" s="75"/>
      <c r="C175" s="35"/>
      <c r="D175" s="13"/>
      <c r="E175" s="15"/>
      <c r="F175" s="9"/>
      <c r="G175" s="9"/>
      <c r="H175" s="9"/>
      <c r="I175" s="9">
        <v>56000</v>
      </c>
      <c r="J175" s="9" t="s">
        <v>859</v>
      </c>
      <c r="K175" s="9"/>
      <c r="L175" s="9"/>
      <c r="M175" s="9"/>
      <c r="N175" s="9"/>
    </row>
    <row r="176" spans="1:14" ht="19" x14ac:dyDescent="0.2">
      <c r="A176" s="74"/>
      <c r="B176" s="75"/>
      <c r="C176" s="35"/>
      <c r="D176" s="13"/>
      <c r="E176" s="15"/>
      <c r="F176" s="9"/>
      <c r="G176" s="9"/>
      <c r="H176" s="9"/>
      <c r="I176" s="9">
        <v>144000</v>
      </c>
      <c r="J176" s="9" t="s">
        <v>615</v>
      </c>
      <c r="K176" s="9"/>
      <c r="L176" s="9"/>
      <c r="M176" s="9"/>
      <c r="N176" s="9"/>
    </row>
    <row r="177" spans="1:14" ht="19" x14ac:dyDescent="0.2">
      <c r="A177" s="61">
        <v>1438000</v>
      </c>
      <c r="B177" s="58">
        <v>44799</v>
      </c>
      <c r="C177" s="49" t="s">
        <v>9</v>
      </c>
      <c r="D177" s="13" t="s">
        <v>405</v>
      </c>
      <c r="E177" s="15">
        <v>1040000</v>
      </c>
      <c r="F177" s="9">
        <v>398000</v>
      </c>
      <c r="G177" s="9"/>
      <c r="H177" s="9"/>
      <c r="I177" s="9">
        <v>51000</v>
      </c>
      <c r="J177" s="9" t="s">
        <v>860</v>
      </c>
      <c r="K177" s="9"/>
      <c r="L177" s="9"/>
      <c r="M177" s="9"/>
      <c r="N177" s="9"/>
    </row>
    <row r="178" spans="1:14" ht="19" x14ac:dyDescent="0.2">
      <c r="A178" s="74"/>
      <c r="B178" s="58"/>
      <c r="C178" s="49"/>
      <c r="D178" s="13"/>
      <c r="E178" s="15"/>
      <c r="F178" s="9"/>
      <c r="G178" s="9"/>
      <c r="H178" s="9"/>
      <c r="I178" s="9">
        <v>610000</v>
      </c>
      <c r="J178" s="9" t="s">
        <v>117</v>
      </c>
      <c r="K178" s="9"/>
      <c r="L178" s="9"/>
      <c r="M178" s="9"/>
      <c r="N178" s="9"/>
    </row>
    <row r="179" spans="1:14" ht="19" x14ac:dyDescent="0.2">
      <c r="A179" s="74"/>
      <c r="B179" s="58"/>
      <c r="C179" s="49"/>
      <c r="D179" s="13"/>
      <c r="E179" s="15"/>
      <c r="F179" s="9"/>
      <c r="G179" s="9"/>
      <c r="H179" s="9"/>
      <c r="I179" s="9">
        <v>60000</v>
      </c>
      <c r="J179" s="9" t="s">
        <v>585</v>
      </c>
      <c r="K179" s="9"/>
      <c r="L179" s="9"/>
      <c r="M179" s="9"/>
      <c r="N179" s="9"/>
    </row>
    <row r="180" spans="1:14" ht="19" x14ac:dyDescent="0.2">
      <c r="A180" s="74"/>
      <c r="B180" s="58"/>
      <c r="C180" s="49"/>
      <c r="D180" s="13"/>
      <c r="E180" s="15"/>
      <c r="F180" s="9"/>
      <c r="G180" s="9"/>
      <c r="H180" s="9"/>
      <c r="I180" s="60">
        <v>3500</v>
      </c>
      <c r="J180" s="60" t="s">
        <v>681</v>
      </c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60">
        <v>33500</v>
      </c>
      <c r="J181" s="60" t="s">
        <v>860</v>
      </c>
      <c r="K181" s="9"/>
      <c r="L181" s="9"/>
      <c r="M181" s="9"/>
      <c r="N181" s="9"/>
    </row>
    <row r="182" spans="1:14" ht="19" x14ac:dyDescent="0.2">
      <c r="A182" s="74"/>
      <c r="B182" s="58"/>
      <c r="C182" s="49"/>
      <c r="D182" s="13"/>
      <c r="E182" s="15"/>
      <c r="F182" s="9"/>
      <c r="G182" s="9"/>
      <c r="H182" s="9"/>
      <c r="I182" s="60">
        <v>72000</v>
      </c>
      <c r="J182" s="60" t="s">
        <v>862</v>
      </c>
      <c r="K182" s="9"/>
      <c r="L182" s="9"/>
      <c r="M182" s="9"/>
      <c r="N182" s="9"/>
    </row>
    <row r="183" spans="1:14" ht="19" x14ac:dyDescent="0.2">
      <c r="A183" s="61">
        <v>965000</v>
      </c>
      <c r="B183" s="75"/>
      <c r="C183" s="2" t="s">
        <v>10</v>
      </c>
      <c r="D183" s="13" t="s">
        <v>565</v>
      </c>
      <c r="E183" s="15">
        <v>653000</v>
      </c>
      <c r="F183" s="9">
        <v>312000</v>
      </c>
      <c r="G183" s="9"/>
      <c r="H183" s="9"/>
      <c r="I183" s="9">
        <v>20000</v>
      </c>
      <c r="J183" s="9" t="s">
        <v>590</v>
      </c>
      <c r="K183" s="9"/>
      <c r="L183" s="9"/>
      <c r="M183" s="9"/>
      <c r="N183" s="9"/>
    </row>
    <row r="184" spans="1:14" ht="19" x14ac:dyDescent="0.2">
      <c r="A184" s="74"/>
      <c r="B184" s="75"/>
      <c r="C184" s="35"/>
      <c r="D184" s="13"/>
      <c r="E184" s="15"/>
      <c r="F184" s="9"/>
      <c r="G184" s="9"/>
      <c r="H184" s="9"/>
      <c r="I184" s="9"/>
      <c r="J184" s="9"/>
      <c r="K184" s="9"/>
      <c r="L184" s="9"/>
      <c r="M184" s="9"/>
      <c r="N184" s="9"/>
    </row>
    <row r="185" spans="1:14" ht="19" x14ac:dyDescent="0.2">
      <c r="A185" s="61">
        <v>737000</v>
      </c>
      <c r="B185" s="58">
        <v>44800</v>
      </c>
      <c r="C185" s="3" t="s">
        <v>9</v>
      </c>
      <c r="D185" s="13" t="s">
        <v>405</v>
      </c>
      <c r="E185" s="9">
        <v>719000</v>
      </c>
      <c r="F185" s="9">
        <v>18000</v>
      </c>
      <c r="G185" s="9">
        <v>2643000</v>
      </c>
      <c r="H185" s="9" t="s">
        <v>812</v>
      </c>
      <c r="I185" s="9">
        <v>132000</v>
      </c>
      <c r="J185" s="9" t="s">
        <v>876</v>
      </c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9"/>
      <c r="I186" s="9">
        <v>176000</v>
      </c>
      <c r="J186" s="9" t="s">
        <v>877</v>
      </c>
      <c r="K186" s="9"/>
      <c r="L186" s="9"/>
      <c r="M186" s="9"/>
      <c r="N186" s="9"/>
    </row>
    <row r="187" spans="1:14" ht="19" x14ac:dyDescent="0.2">
      <c r="A187" s="74"/>
      <c r="B187" s="58"/>
      <c r="C187" s="49"/>
      <c r="D187" s="13"/>
      <c r="E187" s="15"/>
      <c r="F187" s="9"/>
      <c r="G187" s="9"/>
      <c r="H187" s="9"/>
      <c r="I187" s="9">
        <v>176000</v>
      </c>
      <c r="J187" s="9" t="s">
        <v>878</v>
      </c>
      <c r="K187" s="9"/>
      <c r="L187" s="9"/>
      <c r="M187" s="9"/>
      <c r="N187" s="9"/>
    </row>
    <row r="188" spans="1:14" ht="19" x14ac:dyDescent="0.2">
      <c r="A188" s="74"/>
      <c r="B188" s="58"/>
      <c r="C188" s="49"/>
      <c r="D188" s="13"/>
      <c r="E188" s="15"/>
      <c r="F188" s="9"/>
      <c r="G188" s="9"/>
      <c r="H188" s="9"/>
      <c r="I188" s="9"/>
      <c r="J188" s="9"/>
      <c r="K188" s="9"/>
      <c r="L188" s="9"/>
      <c r="M188" s="9"/>
      <c r="N188" s="9"/>
    </row>
    <row r="189" spans="1:14" ht="19" x14ac:dyDescent="0.2">
      <c r="A189" s="74"/>
      <c r="B189" s="58"/>
      <c r="C189" s="49"/>
      <c r="D189" s="13"/>
      <c r="E189" s="15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9" x14ac:dyDescent="0.2">
      <c r="A190" s="61">
        <v>729000</v>
      </c>
      <c r="B190" s="75"/>
      <c r="C190" s="2" t="s">
        <v>10</v>
      </c>
      <c r="D190" s="13" t="s">
        <v>565</v>
      </c>
      <c r="E190" s="9">
        <v>729000</v>
      </c>
      <c r="F190" s="9"/>
      <c r="G190" s="9"/>
      <c r="H190" s="9"/>
      <c r="I190" s="9"/>
      <c r="J190" s="9"/>
      <c r="K190" s="9"/>
      <c r="L190" s="9"/>
      <c r="M190" s="9"/>
      <c r="N190" s="9"/>
    </row>
    <row r="191" spans="1:14" ht="19" x14ac:dyDescent="0.2">
      <c r="A191" s="61"/>
      <c r="B191" s="58">
        <v>44801</v>
      </c>
      <c r="C191" s="2" t="s">
        <v>9</v>
      </c>
      <c r="D191" s="13"/>
      <c r="E191" s="15"/>
      <c r="F191" s="9"/>
      <c r="G191" s="9"/>
      <c r="H191" s="9"/>
      <c r="I191" s="9"/>
      <c r="J191" s="9"/>
      <c r="K191" s="9"/>
      <c r="L191" s="9"/>
      <c r="M191" s="9"/>
      <c r="N191" s="9"/>
    </row>
    <row r="192" spans="1:14" ht="19" x14ac:dyDescent="0.2">
      <c r="A192" s="61"/>
      <c r="B192" s="58"/>
      <c r="C192" s="49" t="s">
        <v>10</v>
      </c>
      <c r="D192" s="13"/>
      <c r="E192" s="15"/>
      <c r="F192" s="9"/>
      <c r="G192" s="9"/>
      <c r="H192" s="9" t="s">
        <v>866</v>
      </c>
      <c r="I192" s="60"/>
      <c r="J192" s="60"/>
      <c r="K192" s="9"/>
      <c r="L192" s="9"/>
      <c r="M192" s="9"/>
      <c r="N192" s="9"/>
    </row>
    <row r="193" spans="1:14" ht="19" x14ac:dyDescent="0.2">
      <c r="A193" s="61"/>
      <c r="B193" s="58"/>
      <c r="C193" s="49"/>
      <c r="D193" s="13"/>
      <c r="E193" s="15"/>
      <c r="F193" s="9"/>
      <c r="G193" s="9"/>
      <c r="H193" s="9"/>
      <c r="I193" s="9"/>
      <c r="J193" s="9"/>
      <c r="K193" s="9"/>
      <c r="L193" s="9"/>
      <c r="M193" s="9"/>
      <c r="N193" s="9"/>
    </row>
    <row r="194" spans="1:14" ht="19" x14ac:dyDescent="0.2">
      <c r="A194" s="61">
        <v>1252000</v>
      </c>
      <c r="B194" s="58">
        <v>44802</v>
      </c>
      <c r="C194" s="49" t="s">
        <v>9</v>
      </c>
      <c r="D194" s="13" t="s">
        <v>405</v>
      </c>
      <c r="E194" s="15">
        <v>1123000</v>
      </c>
      <c r="F194" s="9">
        <v>129000</v>
      </c>
      <c r="G194" s="9"/>
      <c r="H194" s="9"/>
      <c r="I194" s="9">
        <v>7000</v>
      </c>
      <c r="J194" s="9" t="s">
        <v>863</v>
      </c>
      <c r="K194" s="9"/>
      <c r="L194" s="9"/>
      <c r="M194" s="9"/>
      <c r="N194" s="9"/>
    </row>
    <row r="195" spans="1:14" ht="19" x14ac:dyDescent="0.2">
      <c r="A195" s="61"/>
      <c r="B195" s="58"/>
      <c r="C195" s="49"/>
      <c r="D195" s="13"/>
      <c r="E195" s="15"/>
      <c r="F195" s="9"/>
      <c r="G195" s="9"/>
      <c r="H195" s="9"/>
      <c r="I195" s="9">
        <v>25000</v>
      </c>
      <c r="J195" s="9" t="s">
        <v>864</v>
      </c>
      <c r="K195" s="9"/>
      <c r="L195" s="9"/>
      <c r="M195" s="9"/>
      <c r="N195" s="9"/>
    </row>
    <row r="196" spans="1:14" ht="19" x14ac:dyDescent="0.2">
      <c r="A196" s="61"/>
      <c r="B196" s="58"/>
      <c r="C196" s="49"/>
      <c r="D196" s="13"/>
      <c r="E196" s="15"/>
      <c r="F196" s="9"/>
      <c r="G196" s="9"/>
      <c r="H196" s="9"/>
      <c r="I196" s="9">
        <v>22000</v>
      </c>
      <c r="J196" s="9" t="s">
        <v>865</v>
      </c>
      <c r="K196" s="9"/>
      <c r="L196" s="9"/>
      <c r="M196" s="9"/>
      <c r="N196" s="9"/>
    </row>
    <row r="197" spans="1:14" ht="19" x14ac:dyDescent="0.2">
      <c r="A197" s="74"/>
      <c r="B197" s="58"/>
      <c r="C197" s="49"/>
      <c r="D197" s="13"/>
      <c r="E197" s="15"/>
      <c r="F197" s="9"/>
      <c r="G197" s="9"/>
      <c r="H197" s="9"/>
      <c r="I197" s="9">
        <v>26000</v>
      </c>
      <c r="J197" s="9" t="s">
        <v>672</v>
      </c>
      <c r="K197" s="9"/>
      <c r="L197" s="9"/>
      <c r="M197" s="9"/>
      <c r="N197" s="9"/>
    </row>
    <row r="198" spans="1:14" ht="19" x14ac:dyDescent="0.2">
      <c r="A198" s="61">
        <v>1262000</v>
      </c>
      <c r="B198" s="58"/>
      <c r="C198" s="49" t="s">
        <v>10</v>
      </c>
      <c r="D198" s="13" t="s">
        <v>565</v>
      </c>
      <c r="E198" s="15">
        <v>867000</v>
      </c>
      <c r="F198" s="9">
        <v>395000</v>
      </c>
      <c r="G198" s="9"/>
      <c r="H198" s="9"/>
      <c r="I198" s="9">
        <v>39000</v>
      </c>
      <c r="J198" s="9" t="s">
        <v>714</v>
      </c>
      <c r="K198" s="9"/>
      <c r="L198" s="9"/>
      <c r="M198" s="9"/>
      <c r="N198" s="9"/>
    </row>
    <row r="199" spans="1:14" ht="19" x14ac:dyDescent="0.2">
      <c r="A199" s="74"/>
      <c r="B199" s="58"/>
      <c r="C199" s="49"/>
      <c r="D199" s="13"/>
      <c r="E199" s="15"/>
      <c r="F199" s="9"/>
      <c r="G199" s="9"/>
      <c r="H199" s="9"/>
      <c r="I199" s="9">
        <v>104000</v>
      </c>
      <c r="J199" s="9" t="s">
        <v>807</v>
      </c>
      <c r="K199" s="9"/>
      <c r="L199" s="9"/>
      <c r="M199" s="9"/>
      <c r="N199" s="9"/>
    </row>
    <row r="200" spans="1:14" ht="19" x14ac:dyDescent="0.2">
      <c r="A200" s="74"/>
      <c r="B200" s="58"/>
      <c r="C200" s="49"/>
      <c r="D200" s="13"/>
      <c r="E200" s="15"/>
      <c r="F200" s="9"/>
      <c r="G200" s="9"/>
      <c r="H200" s="9"/>
      <c r="I200" s="9">
        <v>42000</v>
      </c>
      <c r="J200" s="9" t="s">
        <v>839</v>
      </c>
      <c r="K200" s="9"/>
      <c r="L200" s="9"/>
      <c r="M200" s="9"/>
      <c r="N200" s="9"/>
    </row>
    <row r="201" spans="1:14" ht="19" x14ac:dyDescent="0.2">
      <c r="A201" s="74"/>
      <c r="B201" s="58"/>
      <c r="C201" s="49"/>
      <c r="D201" s="13"/>
      <c r="E201" s="15"/>
      <c r="F201" s="9"/>
      <c r="G201" s="9"/>
      <c r="H201" s="9"/>
      <c r="I201" s="9">
        <v>60000</v>
      </c>
      <c r="J201" s="9" t="s">
        <v>651</v>
      </c>
      <c r="K201" s="9"/>
      <c r="L201" s="9"/>
      <c r="M201" s="9"/>
      <c r="N201" s="9"/>
    </row>
    <row r="202" spans="1:14" ht="19" x14ac:dyDescent="0.2">
      <c r="A202" s="74"/>
      <c r="B202" s="58"/>
      <c r="C202" s="49"/>
      <c r="D202" s="13"/>
      <c r="E202" s="15"/>
      <c r="F202" s="9"/>
      <c r="G202" s="9"/>
      <c r="H202" s="9"/>
      <c r="I202" s="9">
        <v>50000</v>
      </c>
      <c r="J202" s="9" t="s">
        <v>59</v>
      </c>
      <c r="K202" s="9"/>
      <c r="L202" s="9"/>
      <c r="M202" s="9"/>
      <c r="N202" s="9"/>
    </row>
    <row r="203" spans="1:14" ht="19" x14ac:dyDescent="0.2">
      <c r="A203" s="61">
        <v>1067000</v>
      </c>
      <c r="B203" s="58">
        <v>44803</v>
      </c>
      <c r="C203" s="2" t="s">
        <v>9</v>
      </c>
      <c r="D203" s="13" t="s">
        <v>405</v>
      </c>
      <c r="E203" s="15">
        <v>786000</v>
      </c>
      <c r="F203" s="9">
        <v>281000</v>
      </c>
      <c r="G203" s="9"/>
      <c r="H203" s="9"/>
      <c r="I203" s="9"/>
      <c r="J203" s="9"/>
      <c r="K203" s="9"/>
      <c r="L203" s="9"/>
      <c r="M203" s="9"/>
      <c r="N203" s="9"/>
    </row>
    <row r="204" spans="1:14" ht="19" x14ac:dyDescent="0.2">
      <c r="A204" s="61"/>
      <c r="B204" s="75"/>
      <c r="C204" s="35"/>
      <c r="D204" s="13"/>
      <c r="E204" s="15"/>
      <c r="F204" s="9"/>
      <c r="G204" s="9"/>
      <c r="H204" s="9"/>
      <c r="I204" s="9"/>
      <c r="J204" s="9"/>
      <c r="K204" s="9"/>
      <c r="L204" s="9"/>
      <c r="M204" s="9"/>
      <c r="N204" s="9"/>
    </row>
    <row r="205" spans="1:14" ht="19" x14ac:dyDescent="0.2">
      <c r="A205" s="74"/>
      <c r="B205" s="75"/>
      <c r="C205" s="35"/>
      <c r="D205" s="13"/>
      <c r="E205" s="15"/>
      <c r="F205" s="9"/>
      <c r="G205" s="9"/>
      <c r="H205" s="9"/>
      <c r="I205" s="9"/>
      <c r="J205" s="9"/>
      <c r="K205" s="9"/>
      <c r="L205" s="9"/>
      <c r="M205" s="9"/>
      <c r="N205" s="9"/>
    </row>
    <row r="206" spans="1:14" ht="19" x14ac:dyDescent="0.2">
      <c r="A206" s="61">
        <v>1146000</v>
      </c>
      <c r="B206" s="75"/>
      <c r="C206" s="35" t="s">
        <v>10</v>
      </c>
      <c r="D206" s="13" t="s">
        <v>565</v>
      </c>
      <c r="E206" s="15">
        <v>921000</v>
      </c>
      <c r="F206" s="9">
        <v>225000</v>
      </c>
      <c r="G206" s="9"/>
      <c r="H206" s="9"/>
      <c r="I206" s="9">
        <v>40000</v>
      </c>
      <c r="J206" s="9" t="s">
        <v>810</v>
      </c>
      <c r="K206" s="9"/>
      <c r="L206" s="9"/>
      <c r="M206" s="9"/>
      <c r="N206" s="9"/>
    </row>
    <row r="207" spans="1:14" ht="19" x14ac:dyDescent="0.2">
      <c r="A207" s="61"/>
      <c r="B207" s="58"/>
      <c r="C207" s="35"/>
      <c r="D207" s="13"/>
      <c r="E207" s="15"/>
      <c r="F207" s="9"/>
      <c r="G207" s="9"/>
      <c r="H207" s="9"/>
      <c r="I207" s="9">
        <v>70000</v>
      </c>
      <c r="J207" s="9" t="s">
        <v>751</v>
      </c>
      <c r="K207" s="9"/>
      <c r="L207" s="9"/>
      <c r="M207" s="9"/>
      <c r="N207" s="9"/>
    </row>
    <row r="208" spans="1:14" ht="19" x14ac:dyDescent="0.2">
      <c r="A208" s="61"/>
      <c r="B208" s="58"/>
      <c r="C208" s="35"/>
      <c r="D208" s="13"/>
      <c r="E208" s="15"/>
      <c r="F208" s="9"/>
      <c r="G208" s="9"/>
      <c r="H208" s="9"/>
      <c r="I208" s="9">
        <v>144000</v>
      </c>
      <c r="J208" s="9" t="s">
        <v>615</v>
      </c>
      <c r="K208" s="9"/>
      <c r="L208" s="9"/>
      <c r="M208" s="9"/>
      <c r="N208" s="9"/>
    </row>
    <row r="209" spans="1:14" ht="32" x14ac:dyDescent="0.2">
      <c r="A209" s="61">
        <v>1285000</v>
      </c>
      <c r="B209" s="58">
        <v>44804</v>
      </c>
      <c r="C209" s="35" t="s">
        <v>440</v>
      </c>
      <c r="D209" s="13" t="s">
        <v>405</v>
      </c>
      <c r="E209" s="15">
        <v>1224000</v>
      </c>
      <c r="F209" s="9">
        <v>61000</v>
      </c>
      <c r="G209" s="9">
        <v>1680000</v>
      </c>
      <c r="H209" s="47" t="s">
        <v>601</v>
      </c>
      <c r="I209" s="9">
        <v>34000</v>
      </c>
      <c r="J209" s="9" t="s">
        <v>802</v>
      </c>
      <c r="K209" s="9"/>
      <c r="L209" s="9"/>
      <c r="M209" s="10"/>
      <c r="N209" s="10"/>
    </row>
    <row r="210" spans="1:14" ht="32" x14ac:dyDescent="0.2">
      <c r="A210" s="61"/>
      <c r="B210" s="75"/>
      <c r="C210" s="35"/>
      <c r="D210" s="13"/>
      <c r="E210" s="15"/>
      <c r="F210" s="9"/>
      <c r="G210" s="9">
        <v>1680000</v>
      </c>
      <c r="H210" s="47" t="s">
        <v>869</v>
      </c>
      <c r="I210" s="9">
        <v>47000</v>
      </c>
      <c r="J210" s="9" t="s">
        <v>867</v>
      </c>
      <c r="K210" s="9"/>
      <c r="L210" s="9"/>
      <c r="M210" s="10"/>
      <c r="N210" s="10"/>
    </row>
    <row r="211" spans="1:14" ht="19" x14ac:dyDescent="0.2">
      <c r="A211" s="61"/>
      <c r="B211" s="75"/>
      <c r="C211" s="35"/>
      <c r="D211" s="13"/>
      <c r="E211" s="15"/>
      <c r="F211" s="9"/>
      <c r="G211" s="9">
        <v>240000</v>
      </c>
      <c r="H211" s="47" t="s">
        <v>870</v>
      </c>
      <c r="I211" s="9">
        <v>47000</v>
      </c>
      <c r="J211" s="9" t="s">
        <v>868</v>
      </c>
      <c r="K211" s="9"/>
      <c r="L211" s="9"/>
      <c r="M211" s="10"/>
      <c r="N211" s="10"/>
    </row>
    <row r="212" spans="1:14" ht="19" x14ac:dyDescent="0.2">
      <c r="A212" s="61">
        <v>708000</v>
      </c>
      <c r="B212" s="75"/>
      <c r="C212" s="35" t="s">
        <v>10</v>
      </c>
      <c r="D212" s="13" t="s">
        <v>565</v>
      </c>
      <c r="E212" s="15">
        <v>624000</v>
      </c>
      <c r="F212" s="9">
        <v>84000</v>
      </c>
      <c r="G212" s="9">
        <v>1000000</v>
      </c>
      <c r="H212" s="60" t="s">
        <v>717</v>
      </c>
      <c r="I212" s="9">
        <v>5000</v>
      </c>
      <c r="J212" s="9" t="s">
        <v>642</v>
      </c>
      <c r="K212" s="9"/>
      <c r="L212" s="9"/>
      <c r="M212" s="10"/>
      <c r="N212" s="10"/>
    </row>
    <row r="213" spans="1:14" ht="19" x14ac:dyDescent="0.2">
      <c r="A213" s="61"/>
      <c r="B213" s="75"/>
      <c r="C213" s="35"/>
      <c r="D213" s="13"/>
      <c r="E213" s="15"/>
      <c r="F213" s="9"/>
      <c r="G213" s="9"/>
      <c r="H213" s="9"/>
      <c r="I213" s="9">
        <v>30000</v>
      </c>
      <c r="J213" s="9" t="s">
        <v>672</v>
      </c>
      <c r="K213" s="9"/>
      <c r="L213" s="9"/>
      <c r="M213" s="10"/>
      <c r="N213" s="10"/>
    </row>
    <row r="214" spans="1:14" ht="19" x14ac:dyDescent="0.2">
      <c r="A214" s="61"/>
      <c r="B214" s="75"/>
      <c r="C214" s="35"/>
      <c r="D214" s="13"/>
      <c r="E214" s="15"/>
      <c r="F214" s="9"/>
      <c r="G214" s="9"/>
      <c r="H214" s="9"/>
      <c r="I214" s="9">
        <v>132000</v>
      </c>
      <c r="J214" s="9" t="s">
        <v>873</v>
      </c>
      <c r="K214" s="9"/>
      <c r="L214" s="9"/>
      <c r="M214" s="10"/>
      <c r="N214" s="10"/>
    </row>
    <row r="215" spans="1:14" ht="19" x14ac:dyDescent="0.2">
      <c r="A215" s="61"/>
      <c r="B215" s="75"/>
      <c r="C215" s="35"/>
      <c r="D215" s="13"/>
      <c r="E215" s="15"/>
      <c r="F215" s="9"/>
      <c r="G215" s="9"/>
      <c r="H215" s="9"/>
      <c r="I215" s="9"/>
      <c r="J215" s="9"/>
      <c r="K215" s="9"/>
      <c r="L215" s="9"/>
      <c r="M215" s="10"/>
      <c r="N215" s="10"/>
    </row>
    <row r="216" spans="1:14" ht="19" x14ac:dyDescent="0.2">
      <c r="A216" s="80"/>
      <c r="B216" s="81"/>
      <c r="C216" s="82"/>
      <c r="D216" s="83"/>
      <c r="E216" s="84"/>
      <c r="F216" s="10"/>
      <c r="G216" s="10"/>
      <c r="H216" s="10"/>
      <c r="I216" s="10"/>
      <c r="J216" s="10"/>
      <c r="K216" s="10"/>
      <c r="L216" s="10"/>
      <c r="M216" s="10"/>
      <c r="N216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N228"/>
  <sheetViews>
    <sheetView zoomScaleNormal="150" zoomScaleSheetLayoutView="100" workbookViewId="0">
      <selection activeCell="I23" sqref="I23"/>
    </sheetView>
  </sheetViews>
  <sheetFormatPr baseColWidth="10" defaultColWidth="8.83203125" defaultRowHeight="15" x14ac:dyDescent="0.2"/>
  <cols>
    <col min="1" max="1" width="23.83203125" customWidth="1"/>
    <col min="2" max="2" width="11.5" customWidth="1"/>
    <col min="3" max="3" width="14.33203125" bestFit="1" customWidth="1"/>
    <col min="4" max="4" width="14.33203125" customWidth="1"/>
    <col min="5" max="5" width="22.5" bestFit="1" customWidth="1"/>
    <col min="6" max="6" width="21.1640625" bestFit="1" customWidth="1"/>
    <col min="7" max="7" width="22.5" bestFit="1" customWidth="1"/>
    <col min="8" max="8" width="25" bestFit="1" customWidth="1"/>
    <col min="9" max="9" width="22.5" bestFit="1" customWidth="1"/>
    <col min="10" max="10" width="33.1640625" style="94" bestFit="1" customWidth="1"/>
    <col min="11" max="11" width="19" bestFit="1" customWidth="1"/>
    <col min="12" max="12" width="21.33203125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6" t="s">
        <v>968</v>
      </c>
      <c r="G4" s="307"/>
      <c r="H4" s="71" t="s">
        <v>175</v>
      </c>
      <c r="I4" s="71">
        <v>4760700</v>
      </c>
      <c r="J4" s="96">
        <f>I4/10820</f>
        <v>439.99075785582255</v>
      </c>
    </row>
    <row r="5" spans="1:14" ht="24" x14ac:dyDescent="0.3">
      <c r="B5" s="99" t="s">
        <v>967</v>
      </c>
      <c r="G5" s="73"/>
      <c r="H5" s="71" t="s">
        <v>176</v>
      </c>
      <c r="I5" s="71">
        <v>2040300</v>
      </c>
      <c r="J5" s="96">
        <f>I5/10820</f>
        <v>188.56746765249537</v>
      </c>
    </row>
    <row r="6" spans="1:14" ht="24" x14ac:dyDescent="0.3">
      <c r="B6" s="99"/>
      <c r="G6" s="73"/>
      <c r="H6" s="71" t="s">
        <v>178</v>
      </c>
      <c r="I6" s="71">
        <v>3635649</v>
      </c>
      <c r="J6" s="96" t="s">
        <v>1131</v>
      </c>
      <c r="L6" s="85"/>
      <c r="M6" s="85"/>
    </row>
    <row r="7" spans="1:14" ht="26" x14ac:dyDescent="0.3">
      <c r="B7" s="100" t="s">
        <v>985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97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SUM(A11:A227)</f>
        <v>48746000</v>
      </c>
      <c r="B10" s="65"/>
      <c r="C10" s="66" t="s">
        <v>13</v>
      </c>
      <c r="D10" s="67"/>
      <c r="E10" s="68">
        <f>SUM(E11:E227)</f>
        <v>40410000</v>
      </c>
      <c r="F10" s="69">
        <f>SUM(F11:F227)</f>
        <v>8336000</v>
      </c>
      <c r="G10" s="69">
        <f>SUM(G11:G227)</f>
        <v>17076000</v>
      </c>
      <c r="H10" s="69"/>
      <c r="I10" s="69">
        <f>SUM(I11:I227)</f>
        <v>16533000</v>
      </c>
      <c r="J10" s="98"/>
      <c r="K10" s="69">
        <f>SUBTOTAL(109,K11:K215)</f>
        <v>0</v>
      </c>
      <c r="L10" s="69"/>
      <c r="M10" s="8"/>
      <c r="N10" s="8"/>
    </row>
    <row r="11" spans="1:14" ht="19" x14ac:dyDescent="0.2">
      <c r="A11" s="61">
        <v>694000</v>
      </c>
      <c r="B11" s="58">
        <v>44805</v>
      </c>
      <c r="C11" s="3" t="s">
        <v>440</v>
      </c>
      <c r="D11" s="13" t="s">
        <v>405</v>
      </c>
      <c r="E11" s="9">
        <v>676000</v>
      </c>
      <c r="F11" s="9">
        <v>18000</v>
      </c>
      <c r="G11" s="9"/>
      <c r="H11" s="9"/>
      <c r="I11" s="9"/>
      <c r="J11" s="47"/>
      <c r="K11" s="9"/>
      <c r="L11" s="9"/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/>
      <c r="H12" s="9"/>
      <c r="I12" s="9"/>
      <c r="J12" s="47"/>
      <c r="K12" s="9"/>
      <c r="L12" s="9"/>
      <c r="M12" s="9"/>
      <c r="N12" s="9"/>
    </row>
    <row r="13" spans="1:14" ht="19" x14ac:dyDescent="0.2">
      <c r="A13" s="74">
        <v>732000</v>
      </c>
      <c r="B13" s="58"/>
      <c r="C13" s="49" t="s">
        <v>363</v>
      </c>
      <c r="D13" s="13" t="s">
        <v>565</v>
      </c>
      <c r="E13" s="15">
        <v>557000</v>
      </c>
      <c r="F13" s="9">
        <v>175000</v>
      </c>
      <c r="G13" s="9">
        <v>396000</v>
      </c>
      <c r="H13" s="9" t="s">
        <v>897</v>
      </c>
      <c r="I13" s="9">
        <v>166500</v>
      </c>
      <c r="J13" s="47" t="s">
        <v>871</v>
      </c>
      <c r="K13" s="9"/>
      <c r="L13" s="9"/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>
        <v>58000</v>
      </c>
      <c r="J14" s="47" t="s">
        <v>872</v>
      </c>
      <c r="K14" s="9"/>
      <c r="L14" s="9"/>
      <c r="M14" s="9"/>
      <c r="N14" s="9"/>
    </row>
    <row r="15" spans="1:14" ht="19" x14ac:dyDescent="0.2">
      <c r="A15" s="61">
        <v>847000</v>
      </c>
      <c r="B15" s="58">
        <v>44806</v>
      </c>
      <c r="C15" s="35" t="s">
        <v>9</v>
      </c>
      <c r="D15" s="13" t="s">
        <v>405</v>
      </c>
      <c r="E15" s="15">
        <v>642000</v>
      </c>
      <c r="F15" s="9">
        <v>205000</v>
      </c>
      <c r="G15" s="60"/>
      <c r="H15" s="60"/>
      <c r="I15" s="9">
        <v>26000</v>
      </c>
      <c r="J15" s="47" t="s">
        <v>672</v>
      </c>
      <c r="K15" s="9"/>
      <c r="L15" s="9"/>
      <c r="M15" s="9"/>
      <c r="N15" s="9"/>
    </row>
    <row r="16" spans="1:14" ht="19" x14ac:dyDescent="0.2">
      <c r="A16" s="74"/>
      <c r="B16" s="58"/>
      <c r="C16" s="35"/>
      <c r="D16" s="13"/>
      <c r="E16" s="15"/>
      <c r="F16" s="9"/>
      <c r="G16" s="9"/>
      <c r="H16" s="9"/>
      <c r="I16" s="60">
        <v>72000</v>
      </c>
      <c r="J16" s="59" t="s">
        <v>874</v>
      </c>
      <c r="K16" s="9"/>
      <c r="L16" s="9"/>
      <c r="M16" s="9"/>
      <c r="N16" s="9"/>
    </row>
    <row r="17" spans="1:14" ht="19" x14ac:dyDescent="0.2">
      <c r="A17" s="74"/>
      <c r="B17" s="58"/>
      <c r="C17" s="35"/>
      <c r="D17" s="13"/>
      <c r="E17" s="15"/>
      <c r="F17" s="9"/>
      <c r="G17" s="9"/>
      <c r="H17" s="9"/>
      <c r="I17" s="60">
        <v>144000</v>
      </c>
      <c r="J17" s="59" t="s">
        <v>615</v>
      </c>
      <c r="K17" s="9">
        <f>SUBTOTAL(109,K22:K222)</f>
        <v>0</v>
      </c>
      <c r="L17" s="9"/>
      <c r="M17" s="9"/>
      <c r="N17" s="9"/>
    </row>
    <row r="18" spans="1:14" ht="19" x14ac:dyDescent="0.2">
      <c r="A18" s="74"/>
      <c r="B18" s="58"/>
      <c r="C18" s="35"/>
      <c r="D18" s="13"/>
      <c r="E18" s="15"/>
      <c r="F18" s="9"/>
      <c r="G18" s="9"/>
      <c r="H18" s="9"/>
      <c r="I18" s="60">
        <v>40000</v>
      </c>
      <c r="J18" s="59" t="s">
        <v>810</v>
      </c>
      <c r="K18" s="9">
        <f>SUBTOTAL(109,K23:K222)</f>
        <v>0</v>
      </c>
      <c r="L18" s="9"/>
      <c r="M18" s="9"/>
      <c r="N18" s="9"/>
    </row>
    <row r="19" spans="1:14" ht="19" x14ac:dyDescent="0.2">
      <c r="A19" s="74"/>
      <c r="B19" s="58"/>
      <c r="C19" s="35"/>
      <c r="D19" s="13"/>
      <c r="E19" s="15"/>
      <c r="F19" s="9"/>
      <c r="G19" s="9"/>
      <c r="H19" s="9"/>
      <c r="I19" s="60"/>
      <c r="J19" s="59"/>
      <c r="K19" s="9">
        <f>SUBTOTAL(109,K25:K222)</f>
        <v>0</v>
      </c>
      <c r="L19" s="9"/>
      <c r="M19" s="9"/>
      <c r="N19" s="9"/>
    </row>
    <row r="20" spans="1:14" ht="19" x14ac:dyDescent="0.2">
      <c r="A20" s="61">
        <v>516000</v>
      </c>
      <c r="B20" s="58"/>
      <c r="C20" s="3" t="s">
        <v>10</v>
      </c>
      <c r="D20" s="13" t="s">
        <v>565</v>
      </c>
      <c r="E20" s="9">
        <v>489000</v>
      </c>
      <c r="F20" s="9">
        <v>27000</v>
      </c>
      <c r="G20" s="9"/>
      <c r="H20" s="9"/>
      <c r="I20" s="9">
        <v>13000</v>
      </c>
      <c r="J20" s="47" t="s">
        <v>875</v>
      </c>
      <c r="K20" s="9"/>
      <c r="L20" s="9"/>
      <c r="M20" s="9"/>
      <c r="N20" s="9"/>
    </row>
    <row r="21" spans="1:14" ht="19" x14ac:dyDescent="0.2">
      <c r="A21" s="61">
        <v>763000</v>
      </c>
      <c r="B21" s="58">
        <v>44807</v>
      </c>
      <c r="C21" s="49" t="s">
        <v>440</v>
      </c>
      <c r="D21" s="13" t="s">
        <v>405</v>
      </c>
      <c r="E21" s="15">
        <v>586000</v>
      </c>
      <c r="F21" s="9">
        <v>177000</v>
      </c>
      <c r="G21" s="9"/>
      <c r="H21" s="9"/>
      <c r="I21" s="9">
        <v>30000</v>
      </c>
      <c r="J21" s="47" t="s">
        <v>756</v>
      </c>
      <c r="K21" s="9"/>
      <c r="L21" s="9"/>
      <c r="M21" s="9"/>
      <c r="N21" s="9"/>
    </row>
    <row r="22" spans="1:14" ht="19" x14ac:dyDescent="0.2">
      <c r="A22" s="74"/>
      <c r="B22" s="58"/>
      <c r="C22" s="49"/>
      <c r="D22" s="13"/>
      <c r="E22" s="15"/>
      <c r="F22" s="9"/>
      <c r="G22" s="9"/>
      <c r="H22" s="9"/>
      <c r="I22" s="9"/>
      <c r="J22" s="47"/>
      <c r="K22" s="9"/>
      <c r="L22" s="9"/>
      <c r="M22" s="9"/>
      <c r="N22" s="9"/>
    </row>
    <row r="23" spans="1:14" ht="19" x14ac:dyDescent="0.2">
      <c r="A23" s="61"/>
      <c r="B23" s="58"/>
      <c r="C23" s="3"/>
      <c r="D23" s="13"/>
      <c r="E23" s="9"/>
      <c r="F23" s="9"/>
      <c r="G23" s="9"/>
      <c r="H23" s="9"/>
      <c r="I23" s="9"/>
      <c r="J23" s="47"/>
      <c r="K23" s="9"/>
      <c r="L23" s="9"/>
      <c r="M23" s="9"/>
      <c r="N23" s="9"/>
    </row>
    <row r="24" spans="1:14" ht="19" x14ac:dyDescent="0.2">
      <c r="A24" s="74">
        <v>648000</v>
      </c>
      <c r="B24" s="58"/>
      <c r="C24" s="49" t="s">
        <v>363</v>
      </c>
      <c r="D24" s="13" t="s">
        <v>565</v>
      </c>
      <c r="E24" s="15">
        <v>543000</v>
      </c>
      <c r="F24" s="9">
        <v>105000</v>
      </c>
      <c r="G24" s="9"/>
      <c r="H24" s="9"/>
      <c r="I24" s="9">
        <v>263000</v>
      </c>
      <c r="J24" s="47" t="s">
        <v>879</v>
      </c>
      <c r="K24" s="9">
        <f>SUBTOTAL(109,K26:K229)</f>
        <v>0</v>
      </c>
      <c r="L24" s="9"/>
      <c r="M24" s="9"/>
      <c r="N24" s="9"/>
    </row>
    <row r="25" spans="1:14" ht="19" x14ac:dyDescent="0.2">
      <c r="A25" s="61"/>
      <c r="B25" s="58">
        <v>44808</v>
      </c>
      <c r="C25" s="49"/>
      <c r="D25" s="13"/>
      <c r="E25" s="15"/>
      <c r="F25" s="9"/>
      <c r="G25" s="9"/>
      <c r="H25" s="9" t="s">
        <v>737</v>
      </c>
      <c r="I25" s="9"/>
      <c r="J25" s="47"/>
      <c r="K25" s="9"/>
      <c r="L25" s="9"/>
      <c r="M25" s="9"/>
      <c r="N25" s="9"/>
    </row>
    <row r="26" spans="1:14" ht="19" x14ac:dyDescent="0.2">
      <c r="A26" s="74"/>
      <c r="B26" s="58"/>
      <c r="C26" s="49"/>
      <c r="D26" s="13"/>
      <c r="E26" s="15"/>
      <c r="F26" s="9"/>
      <c r="G26" s="9"/>
      <c r="H26" s="9"/>
      <c r="I26" s="9"/>
      <c r="J26" s="47"/>
      <c r="K26" s="9"/>
      <c r="L26" s="9"/>
      <c r="M26" s="9"/>
      <c r="N26" s="9"/>
    </row>
    <row r="27" spans="1:14" ht="19" x14ac:dyDescent="0.2">
      <c r="A27" s="74">
        <v>854000</v>
      </c>
      <c r="B27" s="32">
        <v>44809</v>
      </c>
      <c r="C27" s="49" t="s">
        <v>9</v>
      </c>
      <c r="D27" s="13" t="s">
        <v>405</v>
      </c>
      <c r="E27" s="15">
        <v>780000</v>
      </c>
      <c r="F27" s="9">
        <v>74000</v>
      </c>
      <c r="G27" s="9"/>
      <c r="H27" s="9"/>
      <c r="I27" s="9">
        <v>30000</v>
      </c>
      <c r="J27" s="47" t="s">
        <v>756</v>
      </c>
      <c r="K27" s="9"/>
      <c r="L27" s="9"/>
      <c r="M27" s="9"/>
      <c r="N27" s="9"/>
    </row>
    <row r="28" spans="1:14" ht="19" x14ac:dyDescent="0.2">
      <c r="A28" s="74"/>
      <c r="B28" s="58"/>
      <c r="C28" s="49"/>
      <c r="D28" s="13"/>
      <c r="E28" s="15"/>
      <c r="F28" s="9"/>
      <c r="G28" s="9">
        <v>250000</v>
      </c>
      <c r="H28" s="9" t="s">
        <v>963</v>
      </c>
      <c r="I28" s="9">
        <v>250000</v>
      </c>
      <c r="J28" s="47" t="s">
        <v>880</v>
      </c>
      <c r="K28" s="9"/>
      <c r="L28" s="9"/>
      <c r="M28" s="9"/>
      <c r="N28" s="9"/>
    </row>
    <row r="29" spans="1:14" ht="19" x14ac:dyDescent="0.2">
      <c r="A29" s="61"/>
      <c r="B29" s="58"/>
      <c r="C29" s="49"/>
      <c r="D29" s="13"/>
      <c r="E29" s="15"/>
      <c r="F29" s="9"/>
      <c r="G29" s="9"/>
      <c r="H29" s="9"/>
      <c r="I29" s="9">
        <v>52000</v>
      </c>
      <c r="J29" s="47" t="s">
        <v>881</v>
      </c>
      <c r="K29" s="9"/>
      <c r="L29" s="9"/>
      <c r="M29" s="9"/>
      <c r="N29" s="9"/>
    </row>
    <row r="30" spans="1:14" ht="19" x14ac:dyDescent="0.2">
      <c r="A30" s="74"/>
      <c r="B30" s="58"/>
      <c r="C30" s="49"/>
      <c r="D30" s="13"/>
      <c r="E30" s="15"/>
      <c r="F30" s="9"/>
      <c r="G30" s="9"/>
      <c r="H30" s="9"/>
      <c r="I30" s="9"/>
      <c r="J30" s="47"/>
      <c r="K30" s="9"/>
      <c r="L30" s="9"/>
      <c r="M30" s="9"/>
      <c r="N30" s="9"/>
    </row>
    <row r="31" spans="1:14" ht="19" x14ac:dyDescent="0.2">
      <c r="A31" s="74"/>
      <c r="B31" s="58"/>
      <c r="C31" s="49"/>
      <c r="D31" s="13"/>
      <c r="E31" s="15"/>
      <c r="F31" s="9"/>
      <c r="G31" s="9"/>
      <c r="H31" s="9"/>
      <c r="I31" s="9"/>
      <c r="J31" s="47"/>
      <c r="K31" s="9"/>
      <c r="L31" s="9"/>
      <c r="M31" s="9"/>
      <c r="N31" s="9"/>
    </row>
    <row r="32" spans="1:14" ht="19" x14ac:dyDescent="0.2">
      <c r="A32" s="74"/>
      <c r="B32" s="58"/>
      <c r="C32" s="49"/>
      <c r="D32" s="13"/>
      <c r="E32" s="15"/>
      <c r="F32" s="9"/>
      <c r="G32" s="9"/>
      <c r="H32" s="9"/>
      <c r="I32" s="9"/>
      <c r="J32" s="47"/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>
        <v>44000</v>
      </c>
      <c r="J33" s="47" t="s">
        <v>882</v>
      </c>
      <c r="K33" s="9"/>
      <c r="L33" s="9"/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/>
      <c r="H34" s="9"/>
      <c r="I34" s="9">
        <v>49000</v>
      </c>
      <c r="J34" s="47" t="s">
        <v>883</v>
      </c>
      <c r="K34" s="9"/>
      <c r="L34" s="9"/>
      <c r="M34" s="9"/>
      <c r="N34" s="9"/>
    </row>
    <row r="35" spans="1:14" ht="19" x14ac:dyDescent="0.2">
      <c r="A35" s="74">
        <v>495000</v>
      </c>
      <c r="B35" s="58"/>
      <c r="C35" s="49" t="s">
        <v>806</v>
      </c>
      <c r="D35" s="13" t="s">
        <v>565</v>
      </c>
      <c r="E35" s="15">
        <v>369000</v>
      </c>
      <c r="F35" s="9">
        <v>126000</v>
      </c>
      <c r="G35" s="9"/>
      <c r="H35" s="9"/>
      <c r="I35" s="9">
        <v>21000</v>
      </c>
      <c r="J35" s="47" t="s">
        <v>884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34000</v>
      </c>
      <c r="J36" s="47" t="s">
        <v>640</v>
      </c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50000</v>
      </c>
      <c r="J37" s="47" t="s">
        <v>59</v>
      </c>
      <c r="K37" s="9">
        <f>SUBTOTAL(109,K47:K242)</f>
        <v>0</v>
      </c>
      <c r="L37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-50000</v>
      </c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/>
      <c r="J38" s="47"/>
      <c r="K38" s="9">
        <f>SUBTOTAL(109,K48:K242)</f>
        <v>0</v>
      </c>
      <c r="L38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0</v>
      </c>
      <c r="M38" s="9"/>
      <c r="N38" s="9"/>
    </row>
    <row r="39" spans="1:14" ht="19" x14ac:dyDescent="0.2">
      <c r="A39" s="61">
        <v>941000</v>
      </c>
      <c r="B39" s="58">
        <v>44657</v>
      </c>
      <c r="C39" s="2" t="s">
        <v>9</v>
      </c>
      <c r="D39" s="13" t="s">
        <v>405</v>
      </c>
      <c r="E39" s="9">
        <v>724000</v>
      </c>
      <c r="F39" s="9">
        <v>217000</v>
      </c>
      <c r="G39" s="9"/>
      <c r="H39" s="9"/>
      <c r="I39" s="9">
        <v>44500</v>
      </c>
      <c r="J39" s="47" t="s">
        <v>645</v>
      </c>
      <c r="K39" s="9"/>
      <c r="L39" s="9"/>
      <c r="M39" s="9"/>
      <c r="N39" s="9"/>
    </row>
    <row r="40" spans="1:14" ht="19" x14ac:dyDescent="0.2">
      <c r="A40" s="74"/>
      <c r="B40" s="58"/>
      <c r="C40" s="35"/>
      <c r="D40" s="13"/>
      <c r="E40" s="15"/>
      <c r="F40" s="9"/>
      <c r="G40" s="9"/>
      <c r="H40" s="9"/>
      <c r="I40" s="9">
        <v>123000</v>
      </c>
      <c r="J40" s="47" t="s">
        <v>885</v>
      </c>
      <c r="K40" s="9">
        <f>SUBTOTAL(109,K48:K245)</f>
        <v>0</v>
      </c>
      <c r="L4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-123000</v>
      </c>
      <c r="M40" s="9"/>
      <c r="N40" s="9"/>
    </row>
    <row r="41" spans="1:14" ht="19" x14ac:dyDescent="0.2">
      <c r="A41" s="74"/>
      <c r="B41" s="58"/>
      <c r="C41" s="35"/>
      <c r="D41" s="13"/>
      <c r="E41" s="15"/>
      <c r="F41" s="9"/>
      <c r="G41" s="9"/>
      <c r="H41" s="9"/>
      <c r="I41" s="9">
        <v>30000</v>
      </c>
      <c r="J41" s="47" t="s">
        <v>756</v>
      </c>
      <c r="K41" s="9">
        <f>SUBTOTAL(109,K49:K245)</f>
        <v>0</v>
      </c>
      <c r="L41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-30000</v>
      </c>
      <c r="M41" s="9"/>
      <c r="N41" s="9"/>
    </row>
    <row r="42" spans="1:14" ht="19" x14ac:dyDescent="0.2">
      <c r="A42" s="74"/>
      <c r="B42" s="58"/>
      <c r="C42" s="35"/>
      <c r="D42" s="13"/>
      <c r="E42" s="15"/>
      <c r="F42" s="9"/>
      <c r="G42" s="9"/>
      <c r="H42" s="9"/>
      <c r="I42" s="9">
        <v>200000</v>
      </c>
      <c r="J42" s="47" t="s">
        <v>653</v>
      </c>
      <c r="K42" s="9">
        <f>SUBTOTAL(109,K47:K247)</f>
        <v>0</v>
      </c>
      <c r="L42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-200000</v>
      </c>
      <c r="M42" s="9"/>
      <c r="N42" s="9"/>
    </row>
    <row r="43" spans="1:14" ht="19" x14ac:dyDescent="0.2">
      <c r="A43" s="74"/>
      <c r="B43" s="58"/>
      <c r="C43" s="35"/>
      <c r="D43" s="13"/>
      <c r="E43" s="15"/>
      <c r="F43" s="9"/>
      <c r="G43" s="9"/>
      <c r="H43" s="9"/>
      <c r="I43" s="9">
        <v>100000</v>
      </c>
      <c r="J43" s="47" t="s">
        <v>886</v>
      </c>
      <c r="K43" s="9">
        <f>SUBTOTAL(109,K48:K247)</f>
        <v>0</v>
      </c>
      <c r="L43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-100000</v>
      </c>
      <c r="M43" s="9"/>
      <c r="N43" s="9"/>
    </row>
    <row r="44" spans="1:14" ht="19" x14ac:dyDescent="0.2">
      <c r="A44" s="74"/>
      <c r="B44" s="58"/>
      <c r="C44" s="35"/>
      <c r="D44" s="13"/>
      <c r="E44" s="15"/>
      <c r="F44" s="9"/>
      <c r="G44" s="9"/>
      <c r="H44" s="9"/>
      <c r="I44" s="9">
        <v>35000</v>
      </c>
      <c r="J44" s="47" t="s">
        <v>655</v>
      </c>
      <c r="K44" s="9">
        <f>SUBTOTAL(109,K49:K247)</f>
        <v>0</v>
      </c>
      <c r="L4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-35000</v>
      </c>
      <c r="M44" s="9"/>
      <c r="N44" s="9"/>
    </row>
    <row r="45" spans="1:14" ht="19" x14ac:dyDescent="0.2">
      <c r="A45" s="61">
        <v>862000</v>
      </c>
      <c r="B45" s="58"/>
      <c r="C45" s="3" t="s">
        <v>10</v>
      </c>
      <c r="D45" s="13" t="s">
        <v>565</v>
      </c>
      <c r="E45" s="9">
        <v>723000</v>
      </c>
      <c r="F45" s="9">
        <v>139000</v>
      </c>
      <c r="G45" s="9"/>
      <c r="H45" s="9"/>
      <c r="I45" s="9"/>
      <c r="J45" s="47"/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/>
      <c r="J46" s="47"/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/>
      <c r="J47" s="47"/>
      <c r="K47" s="9"/>
      <c r="L47" s="9"/>
      <c r="M47" s="9"/>
      <c r="N47" s="9"/>
    </row>
    <row r="48" spans="1:14" ht="19" x14ac:dyDescent="0.2">
      <c r="A48" s="74">
        <v>862000</v>
      </c>
      <c r="B48" s="32">
        <v>44658</v>
      </c>
      <c r="C48" s="49" t="s">
        <v>440</v>
      </c>
      <c r="D48" s="13" t="s">
        <v>405</v>
      </c>
      <c r="E48" s="15">
        <v>696000</v>
      </c>
      <c r="F48" s="9">
        <v>166000</v>
      </c>
      <c r="G48" s="9"/>
      <c r="H48" s="9"/>
      <c r="I48" s="9">
        <v>297000</v>
      </c>
      <c r="J48" s="47" t="s">
        <v>925</v>
      </c>
      <c r="K48" s="9"/>
      <c r="L48" s="9"/>
      <c r="M48" s="9"/>
      <c r="N48" s="9"/>
    </row>
    <row r="49" spans="1:14" ht="19" x14ac:dyDescent="0.2">
      <c r="A49" s="74"/>
      <c r="B49" s="32"/>
      <c r="C49" s="49"/>
      <c r="D49" s="13"/>
      <c r="E49" s="15"/>
      <c r="F49" s="9"/>
      <c r="G49" s="9"/>
      <c r="H49" s="9"/>
      <c r="I49" s="9">
        <v>14000</v>
      </c>
      <c r="J49" s="47" t="s">
        <v>713</v>
      </c>
      <c r="K49" s="9"/>
      <c r="L49" s="9"/>
      <c r="M49" s="9"/>
      <c r="N49" s="9"/>
    </row>
    <row r="50" spans="1:14" ht="19" x14ac:dyDescent="0.2">
      <c r="A50" s="74"/>
      <c r="B50" s="32"/>
      <c r="C50" s="49"/>
      <c r="D50" s="13"/>
      <c r="E50" s="15"/>
      <c r="F50" s="9"/>
      <c r="G50" s="9"/>
      <c r="H50" s="9"/>
      <c r="I50" s="9">
        <v>42500</v>
      </c>
      <c r="J50" s="47" t="s">
        <v>618</v>
      </c>
      <c r="K50" s="9"/>
      <c r="L50" s="9"/>
      <c r="M50" s="9"/>
      <c r="N50" s="9"/>
    </row>
    <row r="51" spans="1:14" ht="19" x14ac:dyDescent="0.2">
      <c r="A51" s="74"/>
      <c r="B51" s="32"/>
      <c r="C51" s="49"/>
      <c r="D51" s="13"/>
      <c r="E51" s="15"/>
      <c r="F51" s="9"/>
      <c r="G51" s="9"/>
      <c r="H51" s="9"/>
      <c r="I51" s="9">
        <v>15500</v>
      </c>
      <c r="J51" s="47" t="s">
        <v>887</v>
      </c>
      <c r="K51" s="9"/>
      <c r="L51" s="9"/>
      <c r="M51" s="9"/>
      <c r="N51" s="9"/>
    </row>
    <row r="52" spans="1:14" ht="19" x14ac:dyDescent="0.2">
      <c r="A52" s="74"/>
      <c r="B52" s="58"/>
      <c r="C52" s="49"/>
      <c r="D52" s="13"/>
      <c r="E52" s="15"/>
      <c r="F52" s="9"/>
      <c r="G52" s="9"/>
      <c r="H52" s="9"/>
      <c r="I52" s="9">
        <v>620000</v>
      </c>
      <c r="J52" s="47" t="s">
        <v>750</v>
      </c>
      <c r="K52" s="9"/>
      <c r="L52" s="9"/>
      <c r="M52" s="9"/>
      <c r="N52" s="9"/>
    </row>
    <row r="53" spans="1:14" ht="19" x14ac:dyDescent="0.2">
      <c r="A53" s="74"/>
      <c r="B53" s="32"/>
      <c r="C53" s="49"/>
      <c r="D53" s="13"/>
      <c r="E53" s="15"/>
      <c r="F53" s="9"/>
      <c r="G53" s="9"/>
      <c r="H53" s="9"/>
      <c r="I53" s="9">
        <v>60000</v>
      </c>
      <c r="J53" s="47" t="s">
        <v>585</v>
      </c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>
        <v>33000</v>
      </c>
      <c r="J54" s="47" t="s">
        <v>888</v>
      </c>
      <c r="K54" s="9">
        <f>SUBTOTAL(109,K68:K259)</f>
        <v>0</v>
      </c>
      <c r="L5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-33000</v>
      </c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>
        <v>80000</v>
      </c>
      <c r="J55" s="47" t="s">
        <v>889</v>
      </c>
      <c r="K55" s="9">
        <f>SUBTOTAL(109,K69:K259)</f>
        <v>0</v>
      </c>
      <c r="L5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-80000</v>
      </c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>
        <v>64500</v>
      </c>
      <c r="J56" s="47" t="s">
        <v>760</v>
      </c>
      <c r="K56" s="9">
        <f>SUBTOTAL(109,K70:K259)</f>
        <v>0</v>
      </c>
      <c r="L5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-64500</v>
      </c>
      <c r="M56" s="9"/>
      <c r="N56" s="9"/>
    </row>
    <row r="57" spans="1:14" ht="19" x14ac:dyDescent="0.2">
      <c r="A57" s="74"/>
      <c r="B57" s="58"/>
      <c r="C57" s="49"/>
      <c r="D57" s="13"/>
      <c r="E57" s="15"/>
      <c r="F57" s="9"/>
      <c r="G57" s="9"/>
      <c r="H57" s="9"/>
      <c r="I57" s="9">
        <v>16000</v>
      </c>
      <c r="J57" s="47" t="s">
        <v>890</v>
      </c>
      <c r="K57" s="9">
        <f>SUBTOTAL(109,K68:K262)</f>
        <v>0</v>
      </c>
      <c r="L57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-16000</v>
      </c>
      <c r="M57" s="9"/>
      <c r="N57" s="9"/>
    </row>
    <row r="58" spans="1:14" ht="19" x14ac:dyDescent="0.2">
      <c r="A58" s="74"/>
      <c r="B58" s="58"/>
      <c r="C58" s="49"/>
      <c r="D58" s="13"/>
      <c r="E58" s="15"/>
      <c r="F58" s="9"/>
      <c r="G58" s="9"/>
      <c r="H58" s="9"/>
      <c r="I58" s="9">
        <v>43500</v>
      </c>
      <c r="J58" s="47" t="s">
        <v>891</v>
      </c>
      <c r="K58" s="9">
        <f>SUBTOTAL(109,K69:K262)</f>
        <v>0</v>
      </c>
      <c r="L58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-43500</v>
      </c>
      <c r="M58" s="9"/>
      <c r="N58" s="9"/>
    </row>
    <row r="59" spans="1:14" ht="19" x14ac:dyDescent="0.2">
      <c r="A59" s="74"/>
      <c r="B59" s="58"/>
      <c r="C59" s="49"/>
      <c r="D59" s="13"/>
      <c r="E59" s="15"/>
      <c r="F59" s="9"/>
      <c r="G59" s="9"/>
      <c r="H59" s="9"/>
      <c r="I59" s="9">
        <v>318000</v>
      </c>
      <c r="J59" s="47" t="s">
        <v>892</v>
      </c>
      <c r="K59" s="9">
        <f>SUBTOTAL(109,K70:K262)</f>
        <v>0</v>
      </c>
      <c r="L59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-318000</v>
      </c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>
        <v>263000</v>
      </c>
      <c r="J60" s="47" t="s">
        <v>893</v>
      </c>
      <c r="K60" s="9">
        <f>SUBTOTAL(109,K69:K265)</f>
        <v>0</v>
      </c>
      <c r="L6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-263000</v>
      </c>
      <c r="M60" s="9"/>
      <c r="N60" s="9"/>
    </row>
    <row r="61" spans="1:14" ht="19" x14ac:dyDescent="0.2">
      <c r="A61" s="74">
        <v>839000</v>
      </c>
      <c r="B61" s="58"/>
      <c r="C61" s="49" t="s">
        <v>363</v>
      </c>
      <c r="D61" s="13" t="s">
        <v>565</v>
      </c>
      <c r="E61" s="15">
        <v>558000</v>
      </c>
      <c r="F61" s="9">
        <v>281000</v>
      </c>
      <c r="G61" s="9"/>
      <c r="H61" s="9"/>
      <c r="I61" s="9">
        <v>40000</v>
      </c>
      <c r="J61" s="47" t="s">
        <v>894</v>
      </c>
      <c r="K61" s="9">
        <f>SUBTOTAL(109,K70:K265)</f>
        <v>0</v>
      </c>
      <c r="L61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799000</v>
      </c>
      <c r="M61" s="9"/>
      <c r="N61" s="9"/>
    </row>
    <row r="62" spans="1:14" ht="19" x14ac:dyDescent="0.2">
      <c r="A62" s="74"/>
      <c r="B62" s="58"/>
      <c r="C62" s="49"/>
      <c r="D62" s="13"/>
      <c r="E62" s="15"/>
      <c r="F62" s="9"/>
      <c r="G62" s="9"/>
      <c r="H62" s="9"/>
      <c r="I62" s="9"/>
      <c r="J62" s="47"/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/>
      <c r="J63" s="47"/>
      <c r="K63" s="9">
        <f>SUBTOTAL(109,K70:K267)</f>
        <v>0</v>
      </c>
      <c r="L63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0</v>
      </c>
      <c r="M63" s="9"/>
      <c r="N63" s="9"/>
    </row>
    <row r="64" spans="1:14" ht="19" x14ac:dyDescent="0.2">
      <c r="A64" s="74">
        <v>1020000</v>
      </c>
      <c r="B64" s="32">
        <v>44659</v>
      </c>
      <c r="C64" s="49" t="s">
        <v>9</v>
      </c>
      <c r="D64" s="13" t="s">
        <v>405</v>
      </c>
      <c r="E64" s="15">
        <v>902000</v>
      </c>
      <c r="F64" s="9">
        <v>118000</v>
      </c>
      <c r="G64" s="9"/>
      <c r="H64" s="9"/>
      <c r="I64" s="9">
        <v>26000</v>
      </c>
      <c r="J64" s="47" t="s">
        <v>672</v>
      </c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9"/>
      <c r="H65" s="9"/>
      <c r="I65" s="9">
        <v>28000</v>
      </c>
      <c r="J65" s="47" t="s">
        <v>640</v>
      </c>
      <c r="K65" s="9">
        <f>SUBTOTAL(109,K70:K270)</f>
        <v>0</v>
      </c>
      <c r="L6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-28000</v>
      </c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>
        <v>117000</v>
      </c>
      <c r="J66" s="47" t="s">
        <v>895</v>
      </c>
      <c r="K66" s="9">
        <f>SUBTOTAL(109,K71:K270)</f>
        <v>0</v>
      </c>
      <c r="L6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-117000</v>
      </c>
      <c r="M66" s="9"/>
      <c r="N66" s="9"/>
    </row>
    <row r="67" spans="1:14" ht="19" x14ac:dyDescent="0.2">
      <c r="A67" s="74">
        <v>544000</v>
      </c>
      <c r="B67" s="33"/>
      <c r="C67" s="2" t="s">
        <v>10</v>
      </c>
      <c r="D67" s="13" t="s">
        <v>565</v>
      </c>
      <c r="E67" s="9">
        <v>363000</v>
      </c>
      <c r="F67" s="9">
        <v>181000</v>
      </c>
      <c r="G67" s="9"/>
      <c r="H67" s="9"/>
      <c r="I67" s="9"/>
      <c r="J67" s="47"/>
      <c r="K67" s="9"/>
      <c r="L67" s="9"/>
      <c r="M67" s="9"/>
      <c r="N67" s="9"/>
    </row>
    <row r="68" spans="1:14" ht="19" x14ac:dyDescent="0.2">
      <c r="A68" s="74"/>
      <c r="B68" s="32"/>
      <c r="C68" s="3"/>
      <c r="D68" s="13"/>
      <c r="E68" s="15"/>
      <c r="F68" s="9"/>
      <c r="G68" s="9"/>
      <c r="H68" s="60"/>
      <c r="I68" s="9"/>
      <c r="J68" s="47"/>
      <c r="K68" s="9"/>
      <c r="L68" s="9"/>
      <c r="M68" s="9"/>
      <c r="N68" s="9"/>
    </row>
    <row r="69" spans="1:14" ht="19" x14ac:dyDescent="0.2">
      <c r="A69" s="74"/>
      <c r="B69" s="33"/>
      <c r="C69" s="2"/>
      <c r="D69" s="13"/>
      <c r="E69" s="15"/>
      <c r="F69" s="9"/>
      <c r="G69" s="9"/>
      <c r="H69" s="9"/>
      <c r="I69" s="9"/>
      <c r="J69" s="47"/>
      <c r="K69" s="9"/>
      <c r="L69" s="9"/>
      <c r="M69" s="9"/>
      <c r="N69" s="9"/>
    </row>
    <row r="70" spans="1:14" ht="19" x14ac:dyDescent="0.2">
      <c r="A70" s="74">
        <v>924000</v>
      </c>
      <c r="B70" s="32">
        <v>44660</v>
      </c>
      <c r="C70" s="35" t="s">
        <v>9</v>
      </c>
      <c r="D70" s="13" t="s">
        <v>773</v>
      </c>
      <c r="E70" s="15">
        <v>810000</v>
      </c>
      <c r="F70" s="9">
        <v>114000</v>
      </c>
      <c r="G70" s="9"/>
      <c r="H70" s="9"/>
      <c r="I70" s="9">
        <v>500000</v>
      </c>
      <c r="J70" s="47" t="s">
        <v>741</v>
      </c>
      <c r="K70" s="9"/>
      <c r="L70" s="9"/>
      <c r="M70" s="9"/>
      <c r="N70" s="9"/>
    </row>
    <row r="71" spans="1:14" ht="19" x14ac:dyDescent="0.2">
      <c r="A71" s="61"/>
      <c r="B71" s="75"/>
      <c r="C71" s="35"/>
      <c r="D71" s="13"/>
      <c r="E71" s="15"/>
      <c r="F71" s="9"/>
      <c r="G71" s="9"/>
      <c r="H71" s="9"/>
      <c r="I71" s="9">
        <v>16000</v>
      </c>
      <c r="J71" s="47" t="s">
        <v>902</v>
      </c>
      <c r="K71" s="9"/>
      <c r="L71" s="9"/>
      <c r="M71" s="9"/>
      <c r="N71" s="9"/>
    </row>
    <row r="72" spans="1:14" ht="19" x14ac:dyDescent="0.2">
      <c r="A72" s="61">
        <v>873000</v>
      </c>
      <c r="B72" s="75"/>
      <c r="C72" s="35" t="s">
        <v>10</v>
      </c>
      <c r="D72" s="13" t="s">
        <v>565</v>
      </c>
      <c r="E72" s="15">
        <v>664000</v>
      </c>
      <c r="F72" s="9">
        <v>209000</v>
      </c>
      <c r="G72" s="9"/>
      <c r="H72" s="9"/>
      <c r="I72" s="9">
        <v>40000</v>
      </c>
      <c r="J72" s="47" t="s">
        <v>810</v>
      </c>
      <c r="K72" s="9"/>
      <c r="L72" s="9"/>
      <c r="M72" s="9"/>
      <c r="N72" s="9"/>
    </row>
    <row r="73" spans="1:14" ht="19" x14ac:dyDescent="0.2">
      <c r="A73" s="61"/>
      <c r="B73" s="58"/>
      <c r="C73" s="3"/>
      <c r="D73" s="13"/>
      <c r="E73" s="15"/>
      <c r="F73" s="9"/>
      <c r="G73" s="60"/>
      <c r="H73" s="60"/>
      <c r="I73" s="9">
        <v>21000</v>
      </c>
      <c r="J73" s="47" t="s">
        <v>811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60"/>
      <c r="H74" s="60"/>
      <c r="I74" s="9">
        <v>144000</v>
      </c>
      <c r="J74" s="47" t="s">
        <v>615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60"/>
      <c r="H75" s="60"/>
      <c r="I75" s="60">
        <v>300000</v>
      </c>
      <c r="J75" s="60" t="s">
        <v>903</v>
      </c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60"/>
      <c r="H76" s="60"/>
      <c r="I76" s="9"/>
      <c r="J76" s="47"/>
      <c r="K76" s="9"/>
      <c r="L76" s="9"/>
      <c r="M76" s="9"/>
      <c r="N76" s="9"/>
    </row>
    <row r="77" spans="1:14" ht="19" x14ac:dyDescent="0.2">
      <c r="A77" s="61">
        <v>1117000</v>
      </c>
      <c r="B77" s="58">
        <v>44661</v>
      </c>
      <c r="C77" s="2" t="s">
        <v>440</v>
      </c>
      <c r="D77" s="13" t="s">
        <v>405</v>
      </c>
      <c r="E77" s="15">
        <v>995000</v>
      </c>
      <c r="F77" s="9">
        <v>122000</v>
      </c>
      <c r="G77" s="9"/>
      <c r="H77" s="9"/>
      <c r="I77" s="9">
        <v>55000</v>
      </c>
      <c r="J77" s="47" t="s">
        <v>904</v>
      </c>
      <c r="K77" s="9"/>
      <c r="L77" s="9"/>
      <c r="M77" s="9"/>
      <c r="N77" s="9"/>
    </row>
    <row r="78" spans="1:14" ht="19" x14ac:dyDescent="0.2">
      <c r="A78" s="61"/>
      <c r="B78" s="58"/>
      <c r="C78" s="3"/>
      <c r="D78" s="13"/>
      <c r="E78" s="15"/>
      <c r="F78" s="9"/>
      <c r="G78" s="9"/>
      <c r="H78" s="9"/>
      <c r="I78" s="9">
        <v>10000</v>
      </c>
      <c r="J78" s="47" t="s">
        <v>905</v>
      </c>
      <c r="K78" s="9"/>
      <c r="L78" s="9"/>
      <c r="M78" s="9"/>
      <c r="N78" s="9"/>
    </row>
    <row r="79" spans="1:14" ht="19" x14ac:dyDescent="0.2">
      <c r="A79" s="61"/>
      <c r="B79" s="58"/>
      <c r="C79" s="49"/>
      <c r="D79" s="13"/>
      <c r="E79" s="15"/>
      <c r="F79" s="9"/>
      <c r="G79" s="9"/>
      <c r="H79" s="9"/>
      <c r="I79" s="9">
        <v>39000</v>
      </c>
      <c r="J79" s="47" t="s">
        <v>906</v>
      </c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9"/>
      <c r="H80" s="9"/>
      <c r="I80" s="9">
        <v>115000</v>
      </c>
      <c r="J80" s="47" t="s">
        <v>907</v>
      </c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9"/>
      <c r="H81" s="9"/>
      <c r="I81" s="9">
        <v>65000</v>
      </c>
      <c r="J81" s="47" t="s">
        <v>908</v>
      </c>
      <c r="K81" s="9"/>
      <c r="L81" s="9"/>
      <c r="M81" s="9"/>
      <c r="N81" s="9"/>
    </row>
    <row r="82" spans="1:14" ht="19" x14ac:dyDescent="0.2">
      <c r="A82" s="61">
        <v>622000</v>
      </c>
      <c r="B82" s="58"/>
      <c r="C82" s="49" t="s">
        <v>363</v>
      </c>
      <c r="D82" s="13" t="s">
        <v>565</v>
      </c>
      <c r="E82" s="15">
        <v>604000</v>
      </c>
      <c r="F82" s="9">
        <v>18000</v>
      </c>
      <c r="G82" s="9">
        <v>1028000</v>
      </c>
      <c r="H82" s="9" t="s">
        <v>919</v>
      </c>
      <c r="I82" s="9">
        <v>600000</v>
      </c>
      <c r="J82" s="47" t="s">
        <v>962</v>
      </c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9"/>
      <c r="H83" s="9"/>
      <c r="I83" s="9"/>
      <c r="J83" s="47"/>
      <c r="K83" s="9"/>
      <c r="L83" s="9"/>
      <c r="M83" s="9"/>
      <c r="N83" s="9"/>
    </row>
    <row r="84" spans="1:14" ht="19" x14ac:dyDescent="0.2">
      <c r="A84" s="74"/>
      <c r="B84" s="58"/>
      <c r="C84" s="49"/>
      <c r="D84" s="13"/>
      <c r="E84" s="15"/>
      <c r="F84" s="9"/>
      <c r="G84" s="9"/>
      <c r="H84" s="9"/>
      <c r="I84" s="9"/>
      <c r="J84" s="47"/>
      <c r="K84" s="9"/>
      <c r="L84" s="9"/>
      <c r="M84" s="9"/>
      <c r="N84" s="9"/>
    </row>
    <row r="85" spans="1:14" ht="19" x14ac:dyDescent="0.2">
      <c r="A85" s="61"/>
      <c r="B85" s="58">
        <v>44662</v>
      </c>
      <c r="C85" s="49"/>
      <c r="D85" s="13"/>
      <c r="E85" s="15"/>
      <c r="F85" s="9"/>
      <c r="G85" s="9"/>
      <c r="H85" s="9" t="s">
        <v>737</v>
      </c>
      <c r="I85" s="9"/>
      <c r="J85" s="47"/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9"/>
      <c r="H86" s="9"/>
      <c r="I86" s="9"/>
      <c r="J86" s="47"/>
      <c r="K86" s="9"/>
      <c r="L86" s="9"/>
      <c r="M86" s="9"/>
      <c r="N86" s="9"/>
    </row>
    <row r="87" spans="1:14" ht="19" x14ac:dyDescent="0.2">
      <c r="A87" s="61"/>
      <c r="B87" s="58"/>
      <c r="C87" s="49"/>
      <c r="D87" s="13"/>
      <c r="E87" s="15"/>
      <c r="F87" s="9"/>
      <c r="G87" s="9"/>
      <c r="H87" s="9"/>
      <c r="I87" s="9"/>
      <c r="J87" s="47"/>
      <c r="K87" s="9"/>
      <c r="L87" s="9"/>
      <c r="M87" s="9"/>
      <c r="N87" s="9"/>
    </row>
    <row r="88" spans="1:14" ht="19" x14ac:dyDescent="0.2">
      <c r="A88" s="61">
        <v>1091000</v>
      </c>
      <c r="B88" s="58">
        <v>44663</v>
      </c>
      <c r="C88" s="49" t="s">
        <v>9</v>
      </c>
      <c r="D88" s="13" t="s">
        <v>405</v>
      </c>
      <c r="E88" s="15">
        <v>789000</v>
      </c>
      <c r="F88" s="9">
        <v>302000</v>
      </c>
      <c r="G88" s="9">
        <v>3301000</v>
      </c>
      <c r="H88" s="9" t="s">
        <v>861</v>
      </c>
      <c r="I88" s="9">
        <v>12000</v>
      </c>
      <c r="J88" s="47" t="s">
        <v>910</v>
      </c>
      <c r="K88" s="9"/>
      <c r="L88" s="9"/>
      <c r="M88" s="9"/>
      <c r="N88" s="9"/>
    </row>
    <row r="89" spans="1:14" ht="19" x14ac:dyDescent="0.2">
      <c r="A89" s="74">
        <v>882000</v>
      </c>
      <c r="B89" s="58"/>
      <c r="C89" s="49" t="s">
        <v>10</v>
      </c>
      <c r="D89" s="13" t="s">
        <v>565</v>
      </c>
      <c r="E89" s="15">
        <v>646000</v>
      </c>
      <c r="F89" s="9">
        <v>236000</v>
      </c>
      <c r="G89" s="9"/>
      <c r="H89" s="9"/>
      <c r="I89" s="9">
        <v>50000</v>
      </c>
      <c r="J89" s="47" t="s">
        <v>206</v>
      </c>
      <c r="K89" s="9"/>
      <c r="L89" s="9"/>
      <c r="M89" s="9"/>
      <c r="N89" s="9"/>
    </row>
    <row r="90" spans="1:14" ht="19" x14ac:dyDescent="0.2">
      <c r="A90" s="61"/>
      <c r="B90" s="75"/>
      <c r="C90" s="2"/>
      <c r="D90" s="13"/>
      <c r="E90" s="15"/>
      <c r="F90" s="9"/>
      <c r="G90" s="9"/>
      <c r="H90" s="9"/>
      <c r="I90" s="9">
        <v>112000</v>
      </c>
      <c r="J90" s="47" t="s">
        <v>918</v>
      </c>
      <c r="K90" s="9"/>
      <c r="L90" s="9"/>
      <c r="M90" s="9"/>
      <c r="N90" s="9"/>
    </row>
    <row r="91" spans="1:14" ht="19" x14ac:dyDescent="0.2">
      <c r="A91" s="61"/>
      <c r="B91" s="58"/>
      <c r="C91" s="3"/>
      <c r="D91" s="13"/>
      <c r="E91" s="15"/>
      <c r="F91" s="9"/>
      <c r="G91" s="9"/>
      <c r="H91" s="9"/>
      <c r="I91" s="9"/>
      <c r="J91" s="47"/>
      <c r="K91" s="9"/>
      <c r="L91" s="9"/>
      <c r="M91" s="9"/>
      <c r="N91" s="9"/>
    </row>
    <row r="92" spans="1:14" ht="19" x14ac:dyDescent="0.2">
      <c r="A92" s="61">
        <v>1533000</v>
      </c>
      <c r="B92" s="58">
        <v>44664</v>
      </c>
      <c r="C92" s="49" t="s">
        <v>9</v>
      </c>
      <c r="D92" s="13" t="s">
        <v>405</v>
      </c>
      <c r="E92" s="15">
        <v>1313000</v>
      </c>
      <c r="F92" s="9">
        <v>220000</v>
      </c>
      <c r="G92" s="9"/>
      <c r="H92" s="9"/>
      <c r="I92" s="9">
        <v>18000</v>
      </c>
      <c r="J92" s="47" t="s">
        <v>911</v>
      </c>
      <c r="K92" s="9"/>
      <c r="L92" s="9"/>
      <c r="M92" s="9"/>
      <c r="N92" s="9"/>
    </row>
    <row r="93" spans="1:14" ht="19" x14ac:dyDescent="0.2">
      <c r="A93" s="74"/>
      <c r="B93" s="58"/>
      <c r="C93" s="49"/>
      <c r="D93" s="13"/>
      <c r="E93" s="15"/>
      <c r="F93" s="9"/>
      <c r="G93" s="9"/>
      <c r="H93" s="9"/>
      <c r="I93" s="9">
        <v>21000</v>
      </c>
      <c r="J93" s="47" t="s">
        <v>912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34000</v>
      </c>
      <c r="J94" s="47" t="s">
        <v>640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65000</v>
      </c>
      <c r="J95" s="47" t="s">
        <v>913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9"/>
      <c r="H96" s="9"/>
      <c r="I96" s="9">
        <v>23500</v>
      </c>
      <c r="J96" s="47" t="s">
        <v>914</v>
      </c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>
        <v>26000</v>
      </c>
      <c r="J97" s="47" t="s">
        <v>672</v>
      </c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>
        <v>4000</v>
      </c>
      <c r="J98" s="47" t="s">
        <v>681</v>
      </c>
      <c r="K98" s="9"/>
      <c r="L98" s="9"/>
      <c r="M98" s="9"/>
      <c r="N98" s="9"/>
    </row>
    <row r="99" spans="1:14" ht="19" x14ac:dyDescent="0.2">
      <c r="A99" s="61"/>
      <c r="B99" s="75"/>
      <c r="C99" s="2"/>
      <c r="D99" s="13"/>
      <c r="E99" s="15"/>
      <c r="F99" s="9"/>
      <c r="G99" s="9"/>
      <c r="H99" s="9"/>
      <c r="I99" s="9">
        <v>45000</v>
      </c>
      <c r="J99" s="47" t="s">
        <v>915</v>
      </c>
      <c r="K99" s="9"/>
      <c r="L99" s="9"/>
      <c r="M99" s="9"/>
      <c r="N99" s="9"/>
    </row>
    <row r="100" spans="1:14" ht="19" x14ac:dyDescent="0.2">
      <c r="A100" s="74"/>
      <c r="B100" s="75"/>
      <c r="C100" s="35"/>
      <c r="D100" s="13"/>
      <c r="E100" s="15"/>
      <c r="F100" s="9"/>
      <c r="G100" s="9"/>
      <c r="H100" s="9"/>
      <c r="I100" s="9">
        <v>90000</v>
      </c>
      <c r="J100" s="47" t="s">
        <v>916</v>
      </c>
      <c r="K100" s="9"/>
      <c r="L100" s="9"/>
      <c r="M100" s="9"/>
      <c r="N100" s="9"/>
    </row>
    <row r="101" spans="1:14" ht="19" x14ac:dyDescent="0.2">
      <c r="A101" s="74"/>
      <c r="B101" s="75"/>
      <c r="C101" s="35"/>
      <c r="D101" s="13"/>
      <c r="E101" s="15"/>
      <c r="F101" s="9"/>
      <c r="G101" s="9"/>
      <c r="H101" s="9"/>
      <c r="I101" s="9">
        <v>66000</v>
      </c>
      <c r="J101" s="47" t="s">
        <v>917</v>
      </c>
      <c r="K101" s="9"/>
      <c r="L101" s="9"/>
      <c r="M101" s="9"/>
      <c r="N101" s="9"/>
    </row>
    <row r="102" spans="1:14" ht="19" x14ac:dyDescent="0.2">
      <c r="A102" s="74"/>
      <c r="B102" s="75"/>
      <c r="C102" s="35"/>
      <c r="D102" s="13"/>
      <c r="E102" s="15"/>
      <c r="F102" s="9"/>
      <c r="G102" s="9"/>
      <c r="H102" s="9"/>
      <c r="I102" s="9">
        <v>144000</v>
      </c>
      <c r="J102" s="47" t="s">
        <v>615</v>
      </c>
      <c r="K102" s="9"/>
      <c r="L102" s="9"/>
      <c r="M102" s="9"/>
      <c r="N102" s="9"/>
    </row>
    <row r="103" spans="1:14" ht="19" x14ac:dyDescent="0.2">
      <c r="A103" s="74"/>
      <c r="B103" s="75"/>
      <c r="C103" s="35"/>
      <c r="D103" s="13"/>
      <c r="E103" s="15"/>
      <c r="F103" s="9"/>
      <c r="G103" s="9"/>
      <c r="H103" s="9"/>
      <c r="I103" s="9">
        <v>28000</v>
      </c>
      <c r="J103" s="47" t="s">
        <v>920</v>
      </c>
      <c r="K103" s="9"/>
      <c r="L103" s="9"/>
      <c r="M103" s="9"/>
      <c r="N103" s="9"/>
    </row>
    <row r="104" spans="1:14" ht="19" x14ac:dyDescent="0.2">
      <c r="A104" s="74"/>
      <c r="B104" s="75"/>
      <c r="C104" s="35"/>
      <c r="D104" s="13"/>
      <c r="E104" s="15"/>
      <c r="F104" s="9"/>
      <c r="G104" s="9"/>
      <c r="H104" s="9"/>
      <c r="I104" s="9">
        <v>60000</v>
      </c>
      <c r="J104" s="47" t="s">
        <v>850</v>
      </c>
      <c r="K104" s="9"/>
      <c r="L104" s="9"/>
      <c r="M104" s="9"/>
      <c r="N104" s="9"/>
    </row>
    <row r="105" spans="1:14" ht="19" x14ac:dyDescent="0.2">
      <c r="A105" s="74">
        <v>1700000</v>
      </c>
      <c r="B105" s="75"/>
      <c r="C105" s="35" t="s">
        <v>363</v>
      </c>
      <c r="D105" s="13" t="s">
        <v>565</v>
      </c>
      <c r="E105" s="15">
        <v>1484000</v>
      </c>
      <c r="F105" s="9">
        <v>216000</v>
      </c>
      <c r="G105" s="9"/>
      <c r="H105" s="9"/>
      <c r="I105" s="9">
        <v>50000</v>
      </c>
      <c r="J105" s="47" t="s">
        <v>921</v>
      </c>
      <c r="K105" s="9"/>
      <c r="L105" s="9"/>
      <c r="M105" s="9"/>
      <c r="N105" s="9"/>
    </row>
    <row r="106" spans="1:14" ht="19" x14ac:dyDescent="0.2">
      <c r="A106" s="74"/>
      <c r="B106" s="75"/>
      <c r="C106" s="35"/>
      <c r="D106" s="13"/>
      <c r="E106" s="15"/>
      <c r="F106" s="9"/>
      <c r="G106" s="9"/>
      <c r="H106" s="9"/>
      <c r="I106" s="60">
        <v>332000</v>
      </c>
      <c r="J106" s="59" t="s">
        <v>922</v>
      </c>
      <c r="K106" s="9"/>
      <c r="L106" s="9"/>
      <c r="M106" s="9"/>
      <c r="N106" s="9"/>
    </row>
    <row r="107" spans="1:14" ht="19" x14ac:dyDescent="0.2">
      <c r="A107" s="61">
        <v>948000</v>
      </c>
      <c r="B107" s="58">
        <v>44665</v>
      </c>
      <c r="C107" s="3" t="s">
        <v>9</v>
      </c>
      <c r="D107" s="13" t="s">
        <v>405</v>
      </c>
      <c r="E107" s="15">
        <v>778000</v>
      </c>
      <c r="F107" s="9">
        <v>170000</v>
      </c>
      <c r="G107" s="60"/>
      <c r="H107" s="60"/>
      <c r="I107" s="60">
        <v>199000</v>
      </c>
      <c r="J107" s="59" t="s">
        <v>924</v>
      </c>
      <c r="K107" s="9"/>
      <c r="L107" s="9"/>
      <c r="M107" s="9"/>
      <c r="N107" s="9"/>
    </row>
    <row r="108" spans="1:14" ht="19" x14ac:dyDescent="0.2">
      <c r="A108" s="74"/>
      <c r="B108" s="58"/>
      <c r="C108" s="49"/>
      <c r="D108" s="13"/>
      <c r="E108" s="15"/>
      <c r="F108" s="9"/>
      <c r="G108" s="9"/>
      <c r="H108" s="9"/>
      <c r="I108" s="9">
        <v>620000</v>
      </c>
      <c r="J108" s="47" t="s">
        <v>926</v>
      </c>
      <c r="K108" s="9">
        <f>SUBTOTAL(109,K113:K313)</f>
        <v>0</v>
      </c>
      <c r="L108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-620000</v>
      </c>
      <c r="M108" s="9"/>
      <c r="N108" s="9"/>
    </row>
    <row r="109" spans="1:14" ht="19" x14ac:dyDescent="0.2">
      <c r="A109" s="74"/>
      <c r="B109" s="58"/>
      <c r="C109" s="49"/>
      <c r="D109" s="13"/>
      <c r="E109" s="15"/>
      <c r="F109" s="9"/>
      <c r="G109" s="9"/>
      <c r="H109" s="9"/>
      <c r="I109" s="9">
        <v>60000</v>
      </c>
      <c r="J109" s="47" t="s">
        <v>585</v>
      </c>
      <c r="K109" s="9">
        <f>SUBTOTAL(109,K114:K313)</f>
        <v>0</v>
      </c>
      <c r="L109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-60000</v>
      </c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/>
      <c r="H110" s="9"/>
      <c r="I110" s="60">
        <v>13000</v>
      </c>
      <c r="J110" s="47" t="s">
        <v>928</v>
      </c>
      <c r="K110" s="9">
        <f>SUBTOTAL(109,K115:K313)</f>
        <v>0</v>
      </c>
      <c r="L11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-13000</v>
      </c>
      <c r="M110" s="9"/>
      <c r="N110" s="9"/>
    </row>
    <row r="111" spans="1:14" ht="19" x14ac:dyDescent="0.2">
      <c r="A111" s="61">
        <v>828000</v>
      </c>
      <c r="B111" s="58"/>
      <c r="C111" s="2" t="s">
        <v>10</v>
      </c>
      <c r="D111" s="13" t="s">
        <v>565</v>
      </c>
      <c r="E111" s="15">
        <v>790000</v>
      </c>
      <c r="F111" s="9">
        <v>38000</v>
      </c>
      <c r="G111" s="9"/>
      <c r="H111" s="9"/>
      <c r="I111" s="60">
        <v>160000</v>
      </c>
      <c r="J111" s="60" t="s">
        <v>923</v>
      </c>
      <c r="K111" s="9"/>
      <c r="L111" s="9"/>
      <c r="M111" s="9"/>
      <c r="N111" s="9"/>
    </row>
    <row r="112" spans="1:14" ht="19" x14ac:dyDescent="0.2">
      <c r="A112" s="74"/>
      <c r="B112" s="58"/>
      <c r="C112" s="35"/>
      <c r="D112" s="13"/>
      <c r="E112" s="15"/>
      <c r="F112" s="9"/>
      <c r="G112" s="9"/>
      <c r="H112" s="9"/>
      <c r="I112" s="9"/>
      <c r="J112" s="47"/>
      <c r="K112" s="9"/>
      <c r="L112" s="9"/>
      <c r="M112" s="9"/>
      <c r="N112" s="9"/>
    </row>
    <row r="113" spans="1:14" ht="32" x14ac:dyDescent="0.2">
      <c r="A113" s="61">
        <v>1094000</v>
      </c>
      <c r="B113" s="58">
        <v>44666</v>
      </c>
      <c r="C113" s="3" t="s">
        <v>9</v>
      </c>
      <c r="D113" s="13" t="s">
        <v>405</v>
      </c>
      <c r="E113" s="15">
        <v>873000</v>
      </c>
      <c r="F113" s="9">
        <v>221000</v>
      </c>
      <c r="G113" s="9">
        <v>888000</v>
      </c>
      <c r="H113" s="47" t="s">
        <v>929</v>
      </c>
      <c r="I113" s="9">
        <v>65000</v>
      </c>
      <c r="J113" s="47" t="s">
        <v>877</v>
      </c>
      <c r="K113" s="9"/>
      <c r="L113" s="9"/>
      <c r="M113" s="9"/>
      <c r="N113" s="9"/>
    </row>
    <row r="114" spans="1:14" ht="19" x14ac:dyDescent="0.2">
      <c r="A114" s="74"/>
      <c r="B114" s="58"/>
      <c r="C114" s="49"/>
      <c r="D114" s="13"/>
      <c r="E114" s="15"/>
      <c r="F114" s="9"/>
      <c r="G114" s="9"/>
      <c r="H114" s="9"/>
      <c r="I114" s="9">
        <v>65000</v>
      </c>
      <c r="J114" s="47" t="s">
        <v>927</v>
      </c>
      <c r="K114" s="9"/>
      <c r="L114" s="9"/>
      <c r="M114" s="9"/>
      <c r="N114" s="9"/>
    </row>
    <row r="115" spans="1:14" ht="19" x14ac:dyDescent="0.2">
      <c r="A115" s="74"/>
      <c r="B115" s="58"/>
      <c r="C115" s="49"/>
      <c r="D115" s="13"/>
      <c r="E115" s="15"/>
      <c r="F115" s="9"/>
      <c r="G115" s="9"/>
      <c r="H115" s="9"/>
      <c r="I115" s="9">
        <v>130000</v>
      </c>
      <c r="J115" s="47" t="s">
        <v>881</v>
      </c>
      <c r="K115" s="9"/>
      <c r="L115" s="9"/>
      <c r="M115" s="9"/>
      <c r="N115" s="9"/>
    </row>
    <row r="116" spans="1:14" ht="19" x14ac:dyDescent="0.2">
      <c r="A116" s="74"/>
      <c r="B116" s="58"/>
      <c r="C116" s="49"/>
      <c r="D116" s="13"/>
      <c r="E116" s="15"/>
      <c r="F116" s="9"/>
      <c r="G116" s="9"/>
      <c r="H116" s="9"/>
      <c r="I116" s="9"/>
      <c r="J116" s="47"/>
      <c r="K116" s="9"/>
      <c r="L116" s="9"/>
      <c r="M116" s="9"/>
      <c r="N116" s="9"/>
    </row>
    <row r="117" spans="1:14" ht="19" x14ac:dyDescent="0.2">
      <c r="A117" s="74"/>
      <c r="B117" s="58"/>
      <c r="C117" s="49"/>
      <c r="D117" s="13"/>
      <c r="E117" s="15"/>
      <c r="F117" s="9"/>
      <c r="G117" s="9">
        <v>240000</v>
      </c>
      <c r="H117" s="9" t="s">
        <v>931</v>
      </c>
      <c r="I117" s="9"/>
      <c r="J117" s="47"/>
      <c r="K117" s="9"/>
      <c r="L117" s="9"/>
      <c r="M117" s="9"/>
      <c r="N117" s="9"/>
    </row>
    <row r="118" spans="1:14" ht="32" x14ac:dyDescent="0.2">
      <c r="A118" s="61">
        <v>847000</v>
      </c>
      <c r="B118" s="75"/>
      <c r="C118" s="2" t="s">
        <v>10</v>
      </c>
      <c r="D118" s="13" t="s">
        <v>565</v>
      </c>
      <c r="E118" s="15">
        <v>641000</v>
      </c>
      <c r="F118" s="9">
        <v>206000</v>
      </c>
      <c r="G118" s="9">
        <v>1028000</v>
      </c>
      <c r="H118" s="47" t="s">
        <v>930</v>
      </c>
      <c r="I118" s="9">
        <v>32000</v>
      </c>
      <c r="J118" s="47" t="s">
        <v>932</v>
      </c>
      <c r="K118" s="9"/>
      <c r="L118" s="9"/>
      <c r="M118" s="9"/>
      <c r="N118" s="9"/>
    </row>
    <row r="119" spans="1:14" ht="19" x14ac:dyDescent="0.2">
      <c r="A119" s="61">
        <v>1058000</v>
      </c>
      <c r="B119" s="58">
        <v>44667</v>
      </c>
      <c r="C119" s="35" t="s">
        <v>9</v>
      </c>
      <c r="D119" s="13" t="s">
        <v>405</v>
      </c>
      <c r="E119" s="15">
        <v>890000</v>
      </c>
      <c r="F119" s="9">
        <v>168000</v>
      </c>
      <c r="G119" s="9"/>
      <c r="H119" s="9"/>
      <c r="I119" s="9">
        <v>30000</v>
      </c>
      <c r="J119" s="47" t="s">
        <v>756</v>
      </c>
      <c r="K119" s="9"/>
      <c r="L119" s="9"/>
      <c r="M119" s="9"/>
      <c r="N119" s="9"/>
    </row>
    <row r="120" spans="1:14" ht="19" x14ac:dyDescent="0.2">
      <c r="A120" s="74"/>
      <c r="B120" s="58"/>
      <c r="C120" s="35"/>
      <c r="D120" s="13"/>
      <c r="E120" s="15"/>
      <c r="F120" s="9"/>
      <c r="G120" s="9"/>
      <c r="H120" s="9"/>
      <c r="I120" s="60">
        <v>62500</v>
      </c>
      <c r="J120" s="59" t="s">
        <v>933</v>
      </c>
      <c r="K120" s="9"/>
      <c r="L120" s="9"/>
      <c r="M120" s="9"/>
      <c r="N120" s="9"/>
    </row>
    <row r="121" spans="1:14" ht="19" x14ac:dyDescent="0.2">
      <c r="A121" s="61">
        <v>1067000</v>
      </c>
      <c r="B121" s="58"/>
      <c r="C121" s="3" t="s">
        <v>10</v>
      </c>
      <c r="D121" s="13" t="s">
        <v>565</v>
      </c>
      <c r="E121" s="15">
        <v>887000</v>
      </c>
      <c r="F121" s="9">
        <v>180000</v>
      </c>
      <c r="G121" s="9"/>
      <c r="H121" s="9"/>
      <c r="I121" s="9">
        <v>26000</v>
      </c>
      <c r="J121" s="47" t="s">
        <v>672</v>
      </c>
      <c r="K121" s="9"/>
      <c r="L121" s="9"/>
      <c r="M121" s="9"/>
      <c r="N121" s="9"/>
    </row>
    <row r="122" spans="1:14" ht="19" x14ac:dyDescent="0.2">
      <c r="A122" s="61"/>
      <c r="B122" s="58"/>
      <c r="C122" s="49"/>
      <c r="D122" s="13"/>
      <c r="E122" s="15"/>
      <c r="F122" s="9"/>
      <c r="G122" s="9"/>
      <c r="H122" s="9"/>
      <c r="I122" s="9">
        <v>4000</v>
      </c>
      <c r="J122" s="47" t="s">
        <v>681</v>
      </c>
      <c r="K122" s="9"/>
      <c r="L122" s="9"/>
      <c r="M122" s="9"/>
      <c r="N122" s="9"/>
    </row>
    <row r="123" spans="1:14" ht="19" x14ac:dyDescent="0.2">
      <c r="A123" s="61"/>
      <c r="B123" s="58"/>
      <c r="C123" s="49"/>
      <c r="D123" s="13"/>
      <c r="E123" s="15"/>
      <c r="F123" s="9"/>
      <c r="G123" s="9"/>
      <c r="H123" s="9"/>
      <c r="I123" s="9">
        <v>65000</v>
      </c>
      <c r="J123" s="47" t="s">
        <v>807</v>
      </c>
      <c r="K123" s="9"/>
      <c r="L123" s="9"/>
      <c r="M123" s="9"/>
      <c r="N123" s="9"/>
    </row>
    <row r="124" spans="1:14" ht="19" x14ac:dyDescent="0.2">
      <c r="A124" s="61"/>
      <c r="B124" s="75"/>
      <c r="C124" s="2"/>
      <c r="D124" s="13"/>
      <c r="E124" s="9"/>
      <c r="F124" s="9"/>
      <c r="G124" s="9"/>
      <c r="H124" s="9"/>
      <c r="I124" s="9"/>
      <c r="J124" s="47"/>
      <c r="K124" s="9"/>
      <c r="L124" s="9"/>
      <c r="M124" s="9"/>
      <c r="N124" s="9"/>
    </row>
    <row r="125" spans="1:14" ht="19" x14ac:dyDescent="0.2">
      <c r="A125" s="74">
        <v>984000</v>
      </c>
      <c r="B125" s="58">
        <v>44668</v>
      </c>
      <c r="C125" s="35" t="s">
        <v>440</v>
      </c>
      <c r="D125" s="13" t="s">
        <v>405</v>
      </c>
      <c r="E125" s="15">
        <v>784000</v>
      </c>
      <c r="F125" s="9">
        <v>200000</v>
      </c>
      <c r="G125" s="9"/>
      <c r="H125" s="9"/>
      <c r="I125" s="9"/>
      <c r="J125" s="47"/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60"/>
      <c r="J126" s="59"/>
      <c r="K126" s="9"/>
      <c r="L126" s="9"/>
      <c r="M126" s="9"/>
      <c r="N126" s="9"/>
    </row>
    <row r="127" spans="1:14" ht="19" x14ac:dyDescent="0.2">
      <c r="A127" s="74">
        <v>413000</v>
      </c>
      <c r="B127" s="75"/>
      <c r="C127" s="35" t="s">
        <v>363</v>
      </c>
      <c r="D127" s="13" t="s">
        <v>565</v>
      </c>
      <c r="E127" s="15">
        <v>301000</v>
      </c>
      <c r="F127" s="9">
        <v>112000</v>
      </c>
      <c r="G127" s="9"/>
      <c r="H127" s="9"/>
      <c r="I127" s="9"/>
      <c r="J127" s="47"/>
      <c r="K127" s="9"/>
      <c r="L127" s="9"/>
      <c r="M127" s="9"/>
      <c r="N127" s="9"/>
    </row>
    <row r="128" spans="1:14" ht="19" x14ac:dyDescent="0.2">
      <c r="A128" s="74"/>
      <c r="B128" s="58">
        <v>44669</v>
      </c>
      <c r="C128" s="35"/>
      <c r="D128" s="13"/>
      <c r="E128" s="15"/>
      <c r="F128" s="9"/>
      <c r="G128" s="9"/>
      <c r="H128" s="9" t="s">
        <v>737</v>
      </c>
      <c r="I128" s="9"/>
      <c r="J128" s="47"/>
      <c r="K128" s="9"/>
      <c r="L128" s="9"/>
      <c r="M128" s="9"/>
      <c r="N128" s="9"/>
    </row>
    <row r="129" spans="1:14" ht="19" x14ac:dyDescent="0.2">
      <c r="A129" s="61">
        <v>1004000</v>
      </c>
      <c r="B129" s="58">
        <v>44670</v>
      </c>
      <c r="C129" s="3" t="s">
        <v>9</v>
      </c>
      <c r="D129" s="13" t="s">
        <v>405</v>
      </c>
      <c r="E129" s="9">
        <v>890000</v>
      </c>
      <c r="F129" s="9">
        <v>114000</v>
      </c>
      <c r="G129" s="9"/>
      <c r="H129" s="9"/>
      <c r="I129" s="9"/>
      <c r="J129" s="47"/>
      <c r="K129" s="9"/>
      <c r="L129" s="9"/>
      <c r="M129" s="9"/>
      <c r="N129" s="9"/>
    </row>
    <row r="130" spans="1:14" ht="19" x14ac:dyDescent="0.2">
      <c r="A130" s="74"/>
      <c r="B130" s="58"/>
      <c r="C130" s="49"/>
      <c r="D130" s="13"/>
      <c r="E130" s="15"/>
      <c r="F130" s="9"/>
      <c r="G130" s="9"/>
      <c r="H130" s="9"/>
      <c r="I130" s="9">
        <v>44000</v>
      </c>
      <c r="J130" s="47" t="s">
        <v>645</v>
      </c>
      <c r="K130" s="9">
        <f>SUBTOTAL(109,K139:K335)</f>
        <v>0</v>
      </c>
      <c r="L13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-44000</v>
      </c>
      <c r="M130" s="9"/>
      <c r="N130" s="9"/>
    </row>
    <row r="131" spans="1:14" ht="19" x14ac:dyDescent="0.2">
      <c r="A131" s="74"/>
      <c r="B131" s="58"/>
      <c r="C131" s="49"/>
      <c r="D131" s="13"/>
      <c r="E131" s="15"/>
      <c r="F131" s="9"/>
      <c r="G131" s="9"/>
      <c r="H131" s="9"/>
      <c r="I131" s="9">
        <v>15000</v>
      </c>
      <c r="J131" s="47" t="s">
        <v>934</v>
      </c>
      <c r="K131" s="9">
        <f>SUBTOTAL(109,K139:K335)</f>
        <v>0</v>
      </c>
      <c r="L131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-15000</v>
      </c>
      <c r="M131" s="9"/>
      <c r="N131" s="9"/>
    </row>
    <row r="132" spans="1:14" ht="19" x14ac:dyDescent="0.2">
      <c r="A132" s="74"/>
      <c r="B132" s="58"/>
      <c r="C132" s="49"/>
      <c r="D132" s="13"/>
      <c r="E132" s="15"/>
      <c r="F132" s="9"/>
      <c r="G132" s="9"/>
      <c r="H132" s="9"/>
      <c r="I132" s="9">
        <v>34000</v>
      </c>
      <c r="J132" s="47" t="s">
        <v>640</v>
      </c>
      <c r="K132" s="9"/>
      <c r="L132" s="9"/>
      <c r="M132" s="9"/>
      <c r="N132" s="9"/>
    </row>
    <row r="133" spans="1:14" ht="19" x14ac:dyDescent="0.2">
      <c r="A133" s="74"/>
      <c r="B133" s="58"/>
      <c r="C133" s="49"/>
      <c r="D133" s="13"/>
      <c r="E133" s="15"/>
      <c r="F133" s="9"/>
      <c r="G133" s="9"/>
      <c r="H133" s="9"/>
      <c r="I133" s="9">
        <v>50000</v>
      </c>
      <c r="J133" s="47" t="s">
        <v>666</v>
      </c>
      <c r="K133" s="9">
        <f>SUBTOTAL(109,K139:K338)</f>
        <v>0</v>
      </c>
      <c r="L133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-50000</v>
      </c>
      <c r="M133" s="9"/>
      <c r="N133" s="9"/>
    </row>
    <row r="134" spans="1:14" ht="19" x14ac:dyDescent="0.2">
      <c r="A134" s="74"/>
      <c r="B134" s="58"/>
      <c r="C134" s="49"/>
      <c r="D134" s="13"/>
      <c r="E134" s="15"/>
      <c r="F134" s="9"/>
      <c r="G134" s="9"/>
      <c r="H134" s="9"/>
      <c r="I134" s="9">
        <v>25000</v>
      </c>
      <c r="J134" s="47" t="s">
        <v>935</v>
      </c>
      <c r="K134" s="9">
        <f>SUBTOTAL(109,K139:K338)</f>
        <v>0</v>
      </c>
      <c r="L13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-25000</v>
      </c>
      <c r="M134" s="9"/>
      <c r="N134" s="9"/>
    </row>
    <row r="135" spans="1:14" ht="19" x14ac:dyDescent="0.2">
      <c r="A135" s="74"/>
      <c r="B135" s="58"/>
      <c r="C135" s="49"/>
      <c r="D135" s="13"/>
      <c r="E135" s="15"/>
      <c r="F135" s="9"/>
      <c r="G135" s="9"/>
      <c r="H135" s="9"/>
      <c r="I135" s="9">
        <v>200000</v>
      </c>
      <c r="J135" s="47" t="s">
        <v>653</v>
      </c>
      <c r="K135" s="9">
        <f>SUBTOTAL(109,K143:K340)</f>
        <v>0</v>
      </c>
      <c r="L13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-200000</v>
      </c>
      <c r="M135" s="9"/>
      <c r="N135" s="9"/>
    </row>
    <row r="136" spans="1:14" ht="19" x14ac:dyDescent="0.2">
      <c r="A136" s="74"/>
      <c r="B136" s="58"/>
      <c r="C136" s="49"/>
      <c r="D136" s="13"/>
      <c r="E136" s="15"/>
      <c r="F136" s="9"/>
      <c r="G136" s="9"/>
      <c r="H136" s="9"/>
      <c r="I136" s="9">
        <v>100000</v>
      </c>
      <c r="J136" s="47" t="s">
        <v>827</v>
      </c>
      <c r="K136" s="9">
        <f>SUBTOTAL(109,K144:K340)</f>
        <v>0</v>
      </c>
      <c r="L13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-100000</v>
      </c>
      <c r="M136" s="9"/>
      <c r="N136" s="9"/>
    </row>
    <row r="137" spans="1:14" ht="19" x14ac:dyDescent="0.2">
      <c r="A137" s="74"/>
      <c r="B137" s="58"/>
      <c r="C137" s="49"/>
      <c r="D137" s="13"/>
      <c r="E137" s="15"/>
      <c r="F137" s="9"/>
      <c r="G137" s="9"/>
      <c r="H137" s="9"/>
      <c r="I137" s="9">
        <v>35000</v>
      </c>
      <c r="J137" s="47" t="s">
        <v>936</v>
      </c>
      <c r="K137" s="9">
        <f>SUBTOTAL(109,K145:K340)</f>
        <v>0</v>
      </c>
      <c r="L137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-35000</v>
      </c>
      <c r="M137" s="9"/>
      <c r="N137" s="9"/>
    </row>
    <row r="138" spans="1:14" ht="19" x14ac:dyDescent="0.2">
      <c r="A138" s="61">
        <v>510000</v>
      </c>
      <c r="B138" s="75"/>
      <c r="C138" s="2" t="s">
        <v>10</v>
      </c>
      <c r="D138" s="13" t="s">
        <v>565</v>
      </c>
      <c r="E138" s="9">
        <v>406000</v>
      </c>
      <c r="F138" s="9">
        <v>104000</v>
      </c>
      <c r="G138" s="9"/>
      <c r="H138" s="9"/>
      <c r="I138" s="9">
        <v>161000</v>
      </c>
      <c r="J138" s="47" t="s">
        <v>937</v>
      </c>
      <c r="K138" s="9"/>
      <c r="L138" s="9"/>
      <c r="M138" s="9"/>
      <c r="N138" s="9"/>
    </row>
    <row r="139" spans="1:14" ht="19" x14ac:dyDescent="0.2">
      <c r="A139" s="74"/>
      <c r="B139" s="75"/>
      <c r="C139" s="35"/>
      <c r="D139" s="13"/>
      <c r="E139" s="15"/>
      <c r="F139" s="9"/>
      <c r="G139" s="9"/>
      <c r="H139" s="9"/>
      <c r="I139" s="9">
        <v>50000</v>
      </c>
      <c r="J139" s="47" t="s">
        <v>206</v>
      </c>
      <c r="K139" s="9"/>
      <c r="L139" s="9"/>
      <c r="M139" s="9"/>
      <c r="N139" s="9"/>
    </row>
    <row r="140" spans="1:14" ht="19" x14ac:dyDescent="0.2">
      <c r="A140" s="74"/>
      <c r="B140" s="75"/>
      <c r="C140" s="35"/>
      <c r="D140" s="13"/>
      <c r="E140" s="15"/>
      <c r="F140" s="9"/>
      <c r="G140" s="9"/>
      <c r="H140" s="9"/>
      <c r="I140" s="9">
        <v>40000</v>
      </c>
      <c r="J140" s="47" t="s">
        <v>850</v>
      </c>
      <c r="K140" s="9">
        <f>SUBTOTAL(109,K145:K345)</f>
        <v>0</v>
      </c>
      <c r="L14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-40000</v>
      </c>
      <c r="M140" s="9"/>
      <c r="N140" s="9"/>
    </row>
    <row r="141" spans="1:14" ht="19" x14ac:dyDescent="0.2">
      <c r="A141" s="74"/>
      <c r="B141" s="75"/>
      <c r="C141" s="35"/>
      <c r="D141" s="13"/>
      <c r="E141" s="15"/>
      <c r="F141" s="9"/>
      <c r="G141" s="9"/>
      <c r="H141" s="9"/>
      <c r="I141" s="9">
        <v>35000</v>
      </c>
      <c r="J141" s="47" t="s">
        <v>652</v>
      </c>
      <c r="K141" s="9">
        <f>SUBTOTAL(109,K146:K345)</f>
        <v>0</v>
      </c>
      <c r="L141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-35000</v>
      </c>
      <c r="M141" s="9"/>
      <c r="N141" s="9"/>
    </row>
    <row r="142" spans="1:14" ht="19" x14ac:dyDescent="0.2">
      <c r="A142" s="74"/>
      <c r="B142" s="75"/>
      <c r="C142" s="35"/>
      <c r="D142" s="13"/>
      <c r="E142" s="15"/>
      <c r="F142" s="9"/>
      <c r="G142" s="9"/>
      <c r="H142" s="9"/>
      <c r="I142" s="9">
        <v>144000</v>
      </c>
      <c r="J142" s="47" t="s">
        <v>615</v>
      </c>
      <c r="K142" s="9">
        <f>SUBTOTAL(109,K147:K345)</f>
        <v>0</v>
      </c>
      <c r="L142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-144000</v>
      </c>
      <c r="M142" s="9"/>
      <c r="N142" s="9"/>
    </row>
    <row r="143" spans="1:14" ht="19" x14ac:dyDescent="0.2">
      <c r="A143" s="74">
        <v>1428000</v>
      </c>
      <c r="B143" s="58">
        <v>44671</v>
      </c>
      <c r="C143" s="35" t="s">
        <v>9</v>
      </c>
      <c r="D143" s="13" t="s">
        <v>405</v>
      </c>
      <c r="E143" s="15">
        <v>1095000</v>
      </c>
      <c r="F143" s="9">
        <v>333000</v>
      </c>
      <c r="G143" s="9">
        <v>2648000</v>
      </c>
      <c r="H143" s="9" t="s">
        <v>812</v>
      </c>
      <c r="I143" s="9">
        <v>27000</v>
      </c>
      <c r="J143" s="47" t="s">
        <v>672</v>
      </c>
      <c r="K143" s="9"/>
      <c r="L143" s="9"/>
      <c r="M143" s="9"/>
      <c r="N143" s="9"/>
    </row>
    <row r="144" spans="1:14" ht="19" x14ac:dyDescent="0.2">
      <c r="A144" s="74"/>
      <c r="B144" s="58"/>
      <c r="C144" s="35"/>
      <c r="D144" s="13"/>
      <c r="E144" s="15"/>
      <c r="F144" s="9"/>
      <c r="G144" s="9"/>
      <c r="H144" s="9"/>
      <c r="I144" s="9">
        <v>130000</v>
      </c>
      <c r="J144" s="47" t="s">
        <v>881</v>
      </c>
      <c r="K144" s="9"/>
      <c r="L144" s="9"/>
      <c r="M144" s="9"/>
      <c r="N144" s="9"/>
    </row>
    <row r="145" spans="1:14" ht="19" x14ac:dyDescent="0.2">
      <c r="A145" s="61">
        <v>1011000</v>
      </c>
      <c r="B145" s="75"/>
      <c r="C145" s="2" t="s">
        <v>10</v>
      </c>
      <c r="D145" s="13" t="s">
        <v>565</v>
      </c>
      <c r="E145" s="9">
        <v>894000</v>
      </c>
      <c r="F145" s="9">
        <v>117000</v>
      </c>
      <c r="G145" s="9"/>
      <c r="H145" s="9"/>
      <c r="I145" s="76"/>
      <c r="J145" s="95"/>
      <c r="K145" s="9"/>
      <c r="L145" s="9"/>
      <c r="M145" s="9"/>
      <c r="N145" s="9"/>
    </row>
    <row r="146" spans="1:14" ht="19" x14ac:dyDescent="0.2">
      <c r="A146" s="74"/>
      <c r="B146" s="58"/>
      <c r="C146" s="49"/>
      <c r="D146" s="13"/>
      <c r="E146" s="15"/>
      <c r="F146" s="9"/>
      <c r="G146" s="9"/>
      <c r="H146" s="9"/>
      <c r="I146" s="76"/>
      <c r="J146" s="95"/>
      <c r="K146" s="9"/>
      <c r="L146" s="9"/>
      <c r="M146" s="9"/>
      <c r="N146" s="9"/>
    </row>
    <row r="147" spans="1:14" ht="19" x14ac:dyDescent="0.2">
      <c r="A147" s="61">
        <v>1385000</v>
      </c>
      <c r="B147" s="58">
        <v>44672</v>
      </c>
      <c r="C147" s="2" t="s">
        <v>9</v>
      </c>
      <c r="D147" s="13" t="s">
        <v>405</v>
      </c>
      <c r="E147" s="15">
        <v>1234000</v>
      </c>
      <c r="F147" s="9">
        <v>151000</v>
      </c>
      <c r="G147" s="9"/>
      <c r="H147" s="76"/>
      <c r="I147" s="60" t="s">
        <v>547</v>
      </c>
      <c r="J147" s="59"/>
      <c r="K147" s="9"/>
      <c r="L147" s="9"/>
      <c r="M147" s="9"/>
      <c r="N147" s="9"/>
    </row>
    <row r="148" spans="1:14" ht="19" x14ac:dyDescent="0.2">
      <c r="A148" s="74"/>
      <c r="B148" s="58"/>
      <c r="C148" s="35"/>
      <c r="D148" s="13"/>
      <c r="E148" s="15"/>
      <c r="F148" s="9"/>
      <c r="G148" s="9"/>
      <c r="H148" s="76"/>
      <c r="I148" s="60"/>
      <c r="J148" s="59"/>
      <c r="K148" s="9"/>
      <c r="L148" s="9"/>
      <c r="M148" s="9"/>
      <c r="N148" s="9"/>
    </row>
    <row r="149" spans="1:14" ht="19" x14ac:dyDescent="0.2">
      <c r="A149" s="74"/>
      <c r="B149" s="58"/>
      <c r="C149" s="35"/>
      <c r="D149" s="13"/>
      <c r="E149" s="15"/>
      <c r="F149" s="9"/>
      <c r="G149" s="9"/>
      <c r="H149" s="76"/>
      <c r="I149" s="60"/>
      <c r="J149" s="59"/>
      <c r="K149" s="9"/>
      <c r="L149" s="9"/>
      <c r="M149" s="9"/>
      <c r="N149" s="9"/>
    </row>
    <row r="150" spans="1:14" ht="19" x14ac:dyDescent="0.2">
      <c r="A150" s="74"/>
      <c r="B150" s="58"/>
      <c r="C150" s="35"/>
      <c r="D150" s="13"/>
      <c r="E150" s="15"/>
      <c r="F150" s="9"/>
      <c r="G150" s="9"/>
      <c r="H150" s="76"/>
      <c r="I150" s="60"/>
      <c r="J150" s="59"/>
      <c r="K150" s="9"/>
      <c r="L150" s="9"/>
      <c r="M150" s="9"/>
      <c r="N150" s="9"/>
    </row>
    <row r="151" spans="1:14" ht="19" x14ac:dyDescent="0.2">
      <c r="A151" s="61">
        <v>727000</v>
      </c>
      <c r="B151" s="58"/>
      <c r="C151" s="3" t="s">
        <v>10</v>
      </c>
      <c r="D151" s="13" t="s">
        <v>565</v>
      </c>
      <c r="E151" s="15">
        <v>588000</v>
      </c>
      <c r="F151" s="9">
        <v>139000</v>
      </c>
      <c r="G151" s="9"/>
      <c r="H151" s="9"/>
      <c r="I151" s="9"/>
      <c r="J151" s="47"/>
      <c r="K151" s="9"/>
      <c r="L151" s="9"/>
      <c r="M151" s="9"/>
      <c r="N151" s="9"/>
    </row>
    <row r="152" spans="1:14" ht="19" x14ac:dyDescent="0.2">
      <c r="A152" s="74"/>
      <c r="B152" s="58"/>
      <c r="C152" s="49"/>
      <c r="D152" s="13"/>
      <c r="E152" s="15"/>
      <c r="F152" s="9"/>
      <c r="G152" s="9"/>
      <c r="H152" s="9"/>
      <c r="I152" s="9"/>
      <c r="J152" s="47"/>
      <c r="K152" s="9"/>
      <c r="L152" s="9"/>
      <c r="M152" s="9"/>
      <c r="N152" s="9"/>
    </row>
    <row r="153" spans="1:14" ht="19" x14ac:dyDescent="0.2">
      <c r="A153" s="61">
        <v>1185000</v>
      </c>
      <c r="B153" s="58">
        <v>44673</v>
      </c>
      <c r="C153" s="3" t="s">
        <v>440</v>
      </c>
      <c r="D153" s="13" t="s">
        <v>405</v>
      </c>
      <c r="E153" s="15">
        <v>1042000</v>
      </c>
      <c r="F153" s="9">
        <v>143000</v>
      </c>
      <c r="G153" s="9"/>
      <c r="H153" s="47"/>
      <c r="I153" s="9">
        <v>75000</v>
      </c>
      <c r="J153" s="47" t="s">
        <v>938</v>
      </c>
      <c r="K153" s="9"/>
      <c r="L153" s="9"/>
      <c r="M153" s="9"/>
      <c r="N153" s="9"/>
    </row>
    <row r="154" spans="1:14" ht="19" x14ac:dyDescent="0.2">
      <c r="A154" s="74"/>
      <c r="B154" s="58"/>
      <c r="C154" s="49"/>
      <c r="D154" s="13"/>
      <c r="E154" s="15"/>
      <c r="F154" s="9"/>
      <c r="G154" s="9"/>
      <c r="H154" s="9"/>
      <c r="I154" s="9"/>
      <c r="J154" s="47"/>
      <c r="K154" s="9"/>
      <c r="L154" s="9"/>
      <c r="M154" s="9"/>
      <c r="N154" s="9"/>
    </row>
    <row r="155" spans="1:14" ht="19" x14ac:dyDescent="0.2">
      <c r="A155" s="74">
        <v>1050000</v>
      </c>
      <c r="B155" s="58"/>
      <c r="C155" s="49" t="s">
        <v>363</v>
      </c>
      <c r="D155" s="13" t="s">
        <v>565</v>
      </c>
      <c r="E155" s="15">
        <v>942000</v>
      </c>
      <c r="F155" s="9">
        <v>108000</v>
      </c>
      <c r="G155" s="9"/>
      <c r="H155" s="9"/>
      <c r="I155" s="9"/>
      <c r="J155" s="47"/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9"/>
      <c r="I156" s="9"/>
      <c r="J156" s="47"/>
      <c r="K156" s="9"/>
      <c r="L156" s="9"/>
      <c r="M156" s="9"/>
      <c r="N156" s="9"/>
    </row>
    <row r="157" spans="1:14" ht="19" x14ac:dyDescent="0.2">
      <c r="A157" s="61">
        <v>674000</v>
      </c>
      <c r="B157" s="58">
        <v>44674</v>
      </c>
      <c r="C157" s="3" t="s">
        <v>9</v>
      </c>
      <c r="D157" s="13" t="s">
        <v>405</v>
      </c>
      <c r="E157" s="15">
        <v>550000</v>
      </c>
      <c r="F157" s="9">
        <v>124000</v>
      </c>
      <c r="G157" s="9"/>
      <c r="H157" s="9"/>
      <c r="I157" s="9">
        <v>620000</v>
      </c>
      <c r="J157" s="47" t="s">
        <v>750</v>
      </c>
      <c r="K157" s="9"/>
      <c r="L157" s="9"/>
      <c r="M157" s="9"/>
      <c r="N157" s="9"/>
    </row>
    <row r="158" spans="1:14" ht="19" x14ac:dyDescent="0.2">
      <c r="A158" s="61"/>
      <c r="B158" s="58"/>
      <c r="C158" s="3"/>
      <c r="D158" s="13"/>
      <c r="E158" s="15"/>
      <c r="F158" s="9"/>
      <c r="G158" s="9"/>
      <c r="H158" s="60"/>
      <c r="I158" s="9">
        <v>60000</v>
      </c>
      <c r="J158" s="47" t="s">
        <v>585</v>
      </c>
      <c r="K158" s="9"/>
      <c r="L158" s="9"/>
      <c r="M158" s="9"/>
      <c r="N158" s="9"/>
    </row>
    <row r="159" spans="1:14" ht="19" x14ac:dyDescent="0.2">
      <c r="A159" s="74"/>
      <c r="B159" s="58"/>
      <c r="C159" s="49"/>
      <c r="D159" s="13"/>
      <c r="E159" s="15"/>
      <c r="F159" s="9"/>
      <c r="G159" s="9"/>
      <c r="H159" s="60"/>
      <c r="I159" s="9">
        <v>3000</v>
      </c>
      <c r="J159" s="47" t="s">
        <v>681</v>
      </c>
      <c r="K159" s="9">
        <f>SUBTOTAL(109,K171:K364)</f>
        <v>0</v>
      </c>
      <c r="L159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-3000</v>
      </c>
      <c r="M159" s="9"/>
      <c r="N159" s="9"/>
    </row>
    <row r="160" spans="1:14" ht="19" x14ac:dyDescent="0.2">
      <c r="A160" s="74"/>
      <c r="B160" s="58"/>
      <c r="C160" s="49"/>
      <c r="D160" s="13"/>
      <c r="E160" s="15"/>
      <c r="F160" s="9"/>
      <c r="G160" s="9"/>
      <c r="H160" s="60"/>
      <c r="I160" s="9">
        <v>14500</v>
      </c>
      <c r="J160" s="47" t="s">
        <v>939</v>
      </c>
      <c r="K160" s="9">
        <f>SUBTOTAL(109,K172:K364)</f>
        <v>0</v>
      </c>
      <c r="L16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-14500</v>
      </c>
      <c r="M160" s="9"/>
      <c r="N160" s="9"/>
    </row>
    <row r="161" spans="1:14" ht="19" x14ac:dyDescent="0.2">
      <c r="A161" s="74"/>
      <c r="B161" s="58"/>
      <c r="C161" s="49"/>
      <c r="D161" s="13"/>
      <c r="E161" s="15"/>
      <c r="F161" s="9"/>
      <c r="G161" s="9"/>
      <c r="H161" s="60"/>
      <c r="I161" s="9">
        <v>55500</v>
      </c>
      <c r="J161" s="47" t="s">
        <v>940</v>
      </c>
      <c r="K161" s="9">
        <f>SUBTOTAL(109,K173:K364)</f>
        <v>0</v>
      </c>
      <c r="L161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-55500</v>
      </c>
      <c r="M161" s="9"/>
      <c r="N161" s="9"/>
    </row>
    <row r="162" spans="1:14" ht="19" x14ac:dyDescent="0.2">
      <c r="A162" s="61"/>
      <c r="B162" s="58"/>
      <c r="C162" s="3"/>
      <c r="D162" s="13"/>
      <c r="E162" s="15"/>
      <c r="F162" s="9"/>
      <c r="G162" s="9"/>
      <c r="H162" s="60"/>
      <c r="I162" s="9">
        <v>27000</v>
      </c>
      <c r="J162" s="47" t="s">
        <v>672</v>
      </c>
      <c r="K162" s="9"/>
      <c r="L162" s="9"/>
      <c r="M162" s="9"/>
      <c r="N162" s="9"/>
    </row>
    <row r="163" spans="1:14" ht="19" x14ac:dyDescent="0.2">
      <c r="A163" s="74"/>
      <c r="B163" s="58"/>
      <c r="C163" s="49"/>
      <c r="D163" s="13"/>
      <c r="E163" s="15"/>
      <c r="F163" s="9"/>
      <c r="G163" s="9"/>
      <c r="H163" s="60"/>
      <c r="I163" s="9">
        <v>62500</v>
      </c>
      <c r="J163" s="47" t="s">
        <v>941</v>
      </c>
      <c r="K163" s="9">
        <f>SUBTOTAL(109,K172:K368)</f>
        <v>0</v>
      </c>
      <c r="L163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-62500</v>
      </c>
      <c r="M163" s="9"/>
      <c r="N163" s="9"/>
    </row>
    <row r="164" spans="1:14" ht="19" x14ac:dyDescent="0.2">
      <c r="A164" s="74"/>
      <c r="B164" s="58"/>
      <c r="C164" s="49"/>
      <c r="D164" s="13"/>
      <c r="E164" s="15"/>
      <c r="F164" s="9"/>
      <c r="G164" s="9"/>
      <c r="H164" s="60"/>
      <c r="I164" s="9">
        <v>50000</v>
      </c>
      <c r="J164" s="47" t="s">
        <v>942</v>
      </c>
      <c r="K164" s="9">
        <f>SUBTOTAL(109,K173:K368)</f>
        <v>0</v>
      </c>
      <c r="L16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-50000</v>
      </c>
      <c r="M164" s="9"/>
      <c r="N164" s="9"/>
    </row>
    <row r="165" spans="1:14" ht="32" x14ac:dyDescent="0.2">
      <c r="A165" s="74"/>
      <c r="B165" s="58"/>
      <c r="C165" s="49"/>
      <c r="D165" s="13"/>
      <c r="E165" s="15"/>
      <c r="F165" s="9"/>
      <c r="G165" s="9"/>
      <c r="H165" s="60"/>
      <c r="I165" s="9">
        <v>29000</v>
      </c>
      <c r="J165" s="47" t="s">
        <v>943</v>
      </c>
      <c r="K165" s="9">
        <f>SUBTOTAL(109,K178:K368)</f>
        <v>0</v>
      </c>
      <c r="L16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-29000</v>
      </c>
      <c r="M165" s="9"/>
      <c r="N165" s="9"/>
    </row>
    <row r="166" spans="1:14" ht="19" x14ac:dyDescent="0.2">
      <c r="A166" s="74"/>
      <c r="B166" s="58"/>
      <c r="C166" s="49"/>
      <c r="D166" s="13"/>
      <c r="E166" s="15"/>
      <c r="F166" s="9"/>
      <c r="G166" s="9"/>
      <c r="H166" s="60"/>
      <c r="I166" s="9">
        <v>12000</v>
      </c>
      <c r="J166" s="47" t="s">
        <v>944</v>
      </c>
      <c r="K166" s="9">
        <f>SUBTOTAL(109,K178:K371)</f>
        <v>0</v>
      </c>
      <c r="L16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-12000</v>
      </c>
      <c r="M166" s="9"/>
      <c r="N166" s="9"/>
    </row>
    <row r="167" spans="1:14" ht="19" x14ac:dyDescent="0.2">
      <c r="A167" s="61">
        <v>721000</v>
      </c>
      <c r="B167" s="75"/>
      <c r="C167" s="2" t="s">
        <v>10</v>
      </c>
      <c r="D167" s="13" t="s">
        <v>565</v>
      </c>
      <c r="E167" s="15">
        <v>553000</v>
      </c>
      <c r="F167" s="9">
        <v>168000</v>
      </c>
      <c r="G167" s="9"/>
      <c r="H167" s="77"/>
      <c r="I167" s="9">
        <v>80000</v>
      </c>
      <c r="J167" s="47" t="s">
        <v>686</v>
      </c>
      <c r="K167" s="9"/>
      <c r="L167" s="9"/>
      <c r="M167" s="9"/>
      <c r="N167" s="9"/>
    </row>
    <row r="168" spans="1:14" ht="19" x14ac:dyDescent="0.2">
      <c r="A168" s="74"/>
      <c r="B168" s="75"/>
      <c r="C168" s="35"/>
      <c r="D168" s="13"/>
      <c r="E168" s="15"/>
      <c r="F168" s="9"/>
      <c r="G168" s="9"/>
      <c r="H168" s="77"/>
      <c r="I168" s="9">
        <v>52000</v>
      </c>
      <c r="J168" s="47" t="s">
        <v>617</v>
      </c>
      <c r="K168" s="9">
        <f>SUBTOTAL(109,K173:K373)</f>
        <v>0</v>
      </c>
      <c r="L168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-52000</v>
      </c>
      <c r="M168" s="9"/>
      <c r="N168" s="9"/>
    </row>
    <row r="169" spans="1:14" ht="19" x14ac:dyDescent="0.2">
      <c r="A169" s="74"/>
      <c r="B169" s="75"/>
      <c r="C169" s="35"/>
      <c r="D169" s="13"/>
      <c r="E169" s="15"/>
      <c r="F169" s="9"/>
      <c r="G169" s="9"/>
      <c r="H169" s="77"/>
      <c r="I169" s="9">
        <v>144000</v>
      </c>
      <c r="J169" s="47" t="s">
        <v>615</v>
      </c>
      <c r="K169" s="9">
        <f>SUBTOTAL(109,K178:K373)</f>
        <v>0</v>
      </c>
      <c r="L169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-144000</v>
      </c>
      <c r="M169" s="9"/>
      <c r="N169" s="9"/>
    </row>
    <row r="170" spans="1:14" ht="19" x14ac:dyDescent="0.2">
      <c r="A170" s="74"/>
      <c r="B170" s="75"/>
      <c r="C170" s="35"/>
      <c r="D170" s="13"/>
      <c r="E170" s="15"/>
      <c r="F170" s="9"/>
      <c r="G170" s="9"/>
      <c r="H170" s="77"/>
      <c r="I170" s="9"/>
      <c r="J170" s="47"/>
      <c r="K170" s="9">
        <f>SUBTOTAL(109,K179:K373)</f>
        <v>0</v>
      </c>
      <c r="L170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0</v>
      </c>
      <c r="M170" s="9"/>
      <c r="N170" s="9"/>
    </row>
    <row r="171" spans="1:14" ht="19" x14ac:dyDescent="0.2">
      <c r="A171" s="61">
        <v>1132000</v>
      </c>
      <c r="B171" s="58">
        <v>44675</v>
      </c>
      <c r="C171" s="3" t="s">
        <v>9</v>
      </c>
      <c r="D171" s="13" t="s">
        <v>405</v>
      </c>
      <c r="E171" s="15">
        <v>967000</v>
      </c>
      <c r="F171" s="9">
        <v>165000</v>
      </c>
      <c r="G171" s="9"/>
      <c r="H171" s="9"/>
      <c r="I171" s="9">
        <v>140000</v>
      </c>
      <c r="J171" s="47" t="s">
        <v>945</v>
      </c>
      <c r="K171" s="9"/>
      <c r="L171" s="9"/>
      <c r="M171" s="9"/>
      <c r="N171" s="9"/>
    </row>
    <row r="172" spans="1:14" ht="19" x14ac:dyDescent="0.2">
      <c r="A172" s="74"/>
      <c r="B172" s="58"/>
      <c r="C172" s="49"/>
      <c r="D172" s="13"/>
      <c r="E172" s="15"/>
      <c r="F172" s="9"/>
      <c r="G172" s="9"/>
      <c r="H172" s="9"/>
      <c r="I172" s="76">
        <v>140000</v>
      </c>
      <c r="J172" s="95" t="s">
        <v>946</v>
      </c>
      <c r="K172" s="9"/>
      <c r="L172" s="9"/>
      <c r="M172" s="9"/>
      <c r="N172" s="9"/>
    </row>
    <row r="173" spans="1:14" ht="19" x14ac:dyDescent="0.2">
      <c r="A173" s="74"/>
      <c r="B173" s="58"/>
      <c r="C173" s="49"/>
      <c r="D173" s="13"/>
      <c r="E173" s="15"/>
      <c r="F173" s="9"/>
      <c r="G173" s="9"/>
      <c r="H173" s="9"/>
      <c r="I173" s="77">
        <v>200000</v>
      </c>
      <c r="J173" s="78" t="s">
        <v>653</v>
      </c>
      <c r="K173" s="9"/>
      <c r="L173" s="9"/>
      <c r="M173" s="9"/>
      <c r="N173" s="9"/>
    </row>
    <row r="174" spans="1:14" ht="19" x14ac:dyDescent="0.2">
      <c r="A174" s="74"/>
      <c r="B174" s="58"/>
      <c r="C174" s="49"/>
      <c r="D174" s="13"/>
      <c r="E174" s="15"/>
      <c r="F174" s="9"/>
      <c r="G174" s="9"/>
      <c r="H174" s="9"/>
      <c r="I174" s="77">
        <v>100000</v>
      </c>
      <c r="J174" s="78" t="s">
        <v>827</v>
      </c>
      <c r="K174" s="9">
        <f>SUBTOTAL(109,K179:K379)</f>
        <v>0</v>
      </c>
      <c r="L17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-100000</v>
      </c>
      <c r="M174" s="9"/>
      <c r="N174" s="9"/>
    </row>
    <row r="175" spans="1:14" ht="19" x14ac:dyDescent="0.2">
      <c r="A175" s="74"/>
      <c r="B175" s="58"/>
      <c r="C175" s="49"/>
      <c r="D175" s="13"/>
      <c r="E175" s="15"/>
      <c r="F175" s="9"/>
      <c r="G175" s="9"/>
      <c r="H175" s="9"/>
      <c r="I175" s="77">
        <v>35000</v>
      </c>
      <c r="J175" s="78" t="s">
        <v>655</v>
      </c>
      <c r="K175" s="9">
        <f>SUBTOTAL(109,K179:K379)</f>
        <v>0</v>
      </c>
      <c r="L17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-35000</v>
      </c>
      <c r="M175" s="9"/>
      <c r="N175" s="9"/>
    </row>
    <row r="176" spans="1:14" ht="19" x14ac:dyDescent="0.2">
      <c r="A176" s="74"/>
      <c r="B176" s="58"/>
      <c r="C176" s="49"/>
      <c r="D176" s="13"/>
      <c r="E176" s="15"/>
      <c r="F176" s="9"/>
      <c r="G176" s="9"/>
      <c r="H176" s="9"/>
      <c r="I176" s="77">
        <v>97000</v>
      </c>
      <c r="J176" s="78" t="s">
        <v>947</v>
      </c>
      <c r="K176" s="9">
        <f>SUBTOTAL(109,K179:K379)</f>
        <v>0</v>
      </c>
      <c r="L17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-97000</v>
      </c>
      <c r="M176" s="9"/>
      <c r="N176" s="9"/>
    </row>
    <row r="177" spans="1:14" ht="19" x14ac:dyDescent="0.2">
      <c r="A177" s="74"/>
      <c r="B177" s="58"/>
      <c r="C177" s="49"/>
      <c r="D177" s="13"/>
      <c r="E177" s="15"/>
      <c r="F177" s="9"/>
      <c r="G177" s="9"/>
      <c r="H177" s="9"/>
      <c r="I177" s="77">
        <v>24000</v>
      </c>
      <c r="J177" s="78" t="s">
        <v>948</v>
      </c>
      <c r="K177" s="9">
        <f>SUBTOTAL(109,K179:K382)</f>
        <v>0</v>
      </c>
      <c r="L177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-24000</v>
      </c>
      <c r="M177" s="9"/>
      <c r="N177" s="9"/>
    </row>
    <row r="178" spans="1:14" ht="19" x14ac:dyDescent="0.2">
      <c r="A178" s="74">
        <v>865000</v>
      </c>
      <c r="B178" s="58"/>
      <c r="C178" s="49" t="s">
        <v>363</v>
      </c>
      <c r="D178" s="13" t="s">
        <v>565</v>
      </c>
      <c r="E178" s="15">
        <v>787000</v>
      </c>
      <c r="F178" s="9">
        <v>78000</v>
      </c>
      <c r="G178" s="9"/>
      <c r="H178" s="9"/>
      <c r="I178" s="76"/>
      <c r="J178" s="95"/>
      <c r="K178" s="9"/>
      <c r="L178" s="9"/>
      <c r="M178" s="9"/>
      <c r="N178" s="9"/>
    </row>
    <row r="179" spans="1:14" ht="19" x14ac:dyDescent="0.2">
      <c r="A179" s="61"/>
      <c r="B179" s="58">
        <v>44676</v>
      </c>
      <c r="C179" s="49"/>
      <c r="D179" s="13"/>
      <c r="E179" s="15"/>
      <c r="F179" s="9"/>
      <c r="G179" s="9"/>
      <c r="H179" s="9" t="s">
        <v>737</v>
      </c>
      <c r="I179" s="9"/>
      <c r="J179" s="47"/>
      <c r="K179" s="9"/>
      <c r="L179" s="9"/>
      <c r="M179" s="9"/>
      <c r="N179" s="9"/>
    </row>
    <row r="180" spans="1:14" ht="19" x14ac:dyDescent="0.2">
      <c r="A180" s="74"/>
      <c r="B180" s="75"/>
      <c r="C180" s="35"/>
      <c r="D180" s="13"/>
      <c r="E180" s="15"/>
      <c r="F180" s="9"/>
      <c r="G180" s="9"/>
      <c r="H180" s="9"/>
      <c r="I180" s="9"/>
      <c r="J180" s="47"/>
      <c r="K180" s="9"/>
      <c r="L180" s="9"/>
      <c r="M180" s="9"/>
      <c r="N180" s="9"/>
    </row>
    <row r="181" spans="1:14" ht="19" x14ac:dyDescent="0.2">
      <c r="A181" s="61">
        <v>1065000</v>
      </c>
      <c r="B181" s="58">
        <v>44677</v>
      </c>
      <c r="C181" s="49" t="s">
        <v>9</v>
      </c>
      <c r="D181" s="13" t="s">
        <v>405</v>
      </c>
      <c r="E181" s="15">
        <v>927000</v>
      </c>
      <c r="F181" s="9">
        <v>138000</v>
      </c>
      <c r="G181" s="9"/>
      <c r="H181" s="9"/>
      <c r="I181" s="9">
        <v>32000</v>
      </c>
      <c r="J181" s="47" t="s">
        <v>640</v>
      </c>
      <c r="K181" s="9"/>
      <c r="L181" s="9"/>
      <c r="M181" s="9"/>
      <c r="N181" s="9"/>
    </row>
    <row r="182" spans="1:14" ht="19" x14ac:dyDescent="0.2">
      <c r="A182" s="74"/>
      <c r="B182" s="58"/>
      <c r="C182" s="49"/>
      <c r="D182" s="13"/>
      <c r="E182" s="15"/>
      <c r="F182" s="9"/>
      <c r="G182" s="9"/>
      <c r="H182" s="9"/>
      <c r="I182" s="9">
        <v>31000</v>
      </c>
      <c r="J182" s="47" t="s">
        <v>714</v>
      </c>
      <c r="K182" s="9"/>
      <c r="L182" s="9"/>
      <c r="M182" s="9"/>
      <c r="N182" s="9"/>
    </row>
    <row r="183" spans="1:14" ht="19" x14ac:dyDescent="0.2">
      <c r="A183" s="74"/>
      <c r="B183" s="58"/>
      <c r="C183" s="49"/>
      <c r="D183" s="13"/>
      <c r="E183" s="15"/>
      <c r="F183" s="9"/>
      <c r="G183" s="9"/>
      <c r="H183" s="9"/>
      <c r="I183" s="9">
        <v>27000</v>
      </c>
      <c r="J183" s="47" t="s">
        <v>672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9">
        <v>44500</v>
      </c>
      <c r="J184" s="47" t="s">
        <v>645</v>
      </c>
      <c r="K184" s="9"/>
      <c r="L184" s="9"/>
      <c r="M184" s="9"/>
      <c r="N184" s="9"/>
    </row>
    <row r="185" spans="1:14" ht="19" x14ac:dyDescent="0.2">
      <c r="A185" s="74"/>
      <c r="B185" s="58"/>
      <c r="C185" s="49"/>
      <c r="D185" s="13"/>
      <c r="E185" s="15"/>
      <c r="F185" s="9"/>
      <c r="G185" s="9"/>
      <c r="H185" s="9"/>
      <c r="I185" s="9">
        <v>407000</v>
      </c>
      <c r="J185" s="47" t="s">
        <v>949</v>
      </c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9"/>
      <c r="I186" s="9">
        <v>29000</v>
      </c>
      <c r="J186" s="47" t="s">
        <v>950</v>
      </c>
      <c r="K186" s="9"/>
      <c r="L186" s="9"/>
      <c r="M186" s="9"/>
      <c r="N186" s="9"/>
    </row>
    <row r="187" spans="1:14" ht="19" x14ac:dyDescent="0.2">
      <c r="A187" s="61">
        <v>858000</v>
      </c>
      <c r="B187" s="75"/>
      <c r="C187" s="2" t="s">
        <v>10</v>
      </c>
      <c r="D187" s="13" t="s">
        <v>565</v>
      </c>
      <c r="E187" s="15">
        <v>591000</v>
      </c>
      <c r="F187" s="9">
        <v>267000</v>
      </c>
      <c r="G187" s="9"/>
      <c r="H187" s="9"/>
      <c r="I187" s="9"/>
      <c r="J187" s="47"/>
      <c r="K187" s="9"/>
      <c r="L187" s="9"/>
      <c r="M187" s="9"/>
      <c r="N187" s="9"/>
    </row>
    <row r="188" spans="1:14" ht="19" x14ac:dyDescent="0.2">
      <c r="A188" s="74"/>
      <c r="B188" s="75"/>
      <c r="C188" s="35"/>
      <c r="D188" s="13"/>
      <c r="E188" s="15"/>
      <c r="F188" s="9"/>
      <c r="G188" s="9"/>
      <c r="H188" s="9"/>
      <c r="I188" s="9"/>
      <c r="J188" s="47"/>
      <c r="K188" s="9"/>
      <c r="L188" s="9"/>
      <c r="M188" s="9"/>
      <c r="N188" s="9"/>
    </row>
    <row r="189" spans="1:14" ht="19" x14ac:dyDescent="0.2">
      <c r="A189" s="61">
        <v>847000</v>
      </c>
      <c r="B189" s="58">
        <v>44678</v>
      </c>
      <c r="C189" s="3" t="s">
        <v>9</v>
      </c>
      <c r="D189" s="13" t="s">
        <v>405</v>
      </c>
      <c r="E189" s="9">
        <v>689000</v>
      </c>
      <c r="F189" s="9">
        <v>158000</v>
      </c>
      <c r="G189" s="9">
        <v>2657000</v>
      </c>
      <c r="H189" s="47" t="s">
        <v>812</v>
      </c>
      <c r="I189" s="9">
        <v>60000</v>
      </c>
      <c r="J189" s="47" t="s">
        <v>917</v>
      </c>
      <c r="K189" s="9"/>
      <c r="L189" s="9"/>
      <c r="M189" s="9"/>
      <c r="N189" s="9"/>
    </row>
    <row r="190" spans="1:14" ht="19" x14ac:dyDescent="0.2">
      <c r="A190" s="74"/>
      <c r="B190" s="58"/>
      <c r="C190" s="49"/>
      <c r="D190" s="13"/>
      <c r="E190" s="15"/>
      <c r="F190" s="9"/>
      <c r="G190" s="9"/>
      <c r="H190" s="9"/>
      <c r="I190" s="9">
        <v>100000</v>
      </c>
      <c r="J190" s="47" t="s">
        <v>951</v>
      </c>
      <c r="K190" s="9"/>
      <c r="L190" s="9"/>
      <c r="M190" s="9"/>
      <c r="N190" s="9"/>
    </row>
    <row r="191" spans="1:14" ht="19" x14ac:dyDescent="0.2">
      <c r="A191" s="74"/>
      <c r="B191" s="58"/>
      <c r="C191" s="49"/>
      <c r="D191" s="13"/>
      <c r="E191" s="15"/>
      <c r="F191" s="9"/>
      <c r="G191" s="9"/>
      <c r="H191" s="9"/>
      <c r="I191" s="9"/>
      <c r="J191" s="47"/>
      <c r="K191" s="9"/>
      <c r="L191" s="9"/>
      <c r="M191" s="9"/>
      <c r="N191" s="9"/>
    </row>
    <row r="192" spans="1:14" ht="19" x14ac:dyDescent="0.2">
      <c r="A192" s="74"/>
      <c r="B192" s="58"/>
      <c r="C192" s="49"/>
      <c r="D192" s="13"/>
      <c r="E192" s="15"/>
      <c r="F192" s="9"/>
      <c r="G192" s="9"/>
      <c r="H192" s="47"/>
      <c r="I192" s="9"/>
      <c r="J192" s="47"/>
      <c r="K192" s="9"/>
      <c r="L192" s="9"/>
      <c r="M192" s="9"/>
      <c r="N192" s="9"/>
    </row>
    <row r="193" spans="1:14" ht="19" x14ac:dyDescent="0.2">
      <c r="A193" s="74"/>
      <c r="B193" s="58"/>
      <c r="C193" s="49"/>
      <c r="D193" s="13"/>
      <c r="E193" s="15"/>
      <c r="F193" s="9"/>
      <c r="G193" s="9"/>
      <c r="H193" s="9"/>
      <c r="I193" s="9"/>
      <c r="J193" s="47"/>
      <c r="K193" s="9"/>
      <c r="L193" s="9"/>
      <c r="M193" s="9"/>
      <c r="N193" s="9"/>
    </row>
    <row r="194" spans="1:14" ht="32" x14ac:dyDescent="0.2">
      <c r="A194" s="61">
        <v>1106000</v>
      </c>
      <c r="B194" s="75"/>
      <c r="C194" s="2" t="s">
        <v>10</v>
      </c>
      <c r="D194" s="13" t="s">
        <v>28</v>
      </c>
      <c r="E194" s="9">
        <v>874000</v>
      </c>
      <c r="F194" s="9">
        <v>232000</v>
      </c>
      <c r="G194" s="9">
        <v>140000</v>
      </c>
      <c r="H194" s="47" t="s">
        <v>952</v>
      </c>
      <c r="I194" s="9"/>
      <c r="J194" s="47"/>
      <c r="K194" s="9"/>
      <c r="L194" s="9"/>
      <c r="M194" s="9"/>
      <c r="N194" s="9"/>
    </row>
    <row r="195" spans="1:14" ht="19" x14ac:dyDescent="0.2">
      <c r="A195" s="61">
        <v>1029000</v>
      </c>
      <c r="B195" s="58">
        <v>44679</v>
      </c>
      <c r="C195" s="2" t="s">
        <v>9</v>
      </c>
      <c r="D195" s="13" t="s">
        <v>405</v>
      </c>
      <c r="E195" s="15">
        <v>948000</v>
      </c>
      <c r="F195" s="9">
        <v>81000</v>
      </c>
      <c r="G195" s="9"/>
      <c r="H195" s="9"/>
      <c r="I195" s="9">
        <v>65000</v>
      </c>
      <c r="J195" s="47" t="s">
        <v>908</v>
      </c>
      <c r="K195" s="9"/>
      <c r="L195" s="9"/>
      <c r="M195" s="9"/>
      <c r="N195" s="9"/>
    </row>
    <row r="196" spans="1:14" ht="32" x14ac:dyDescent="0.2">
      <c r="A196" s="61">
        <v>1133000</v>
      </c>
      <c r="B196" s="58"/>
      <c r="C196" s="49" t="s">
        <v>10</v>
      </c>
      <c r="D196" s="13" t="s">
        <v>28</v>
      </c>
      <c r="E196" s="15">
        <v>1073000</v>
      </c>
      <c r="F196" s="9">
        <v>60000</v>
      </c>
      <c r="G196" s="9">
        <v>140000</v>
      </c>
      <c r="H196" s="47" t="s">
        <v>952</v>
      </c>
      <c r="I196" s="60">
        <v>50000</v>
      </c>
      <c r="J196" s="59" t="s">
        <v>206</v>
      </c>
      <c r="K196" s="9"/>
      <c r="L196" s="9"/>
      <c r="M196" s="9"/>
      <c r="N196" s="9"/>
    </row>
    <row r="197" spans="1:14" ht="19" x14ac:dyDescent="0.2">
      <c r="A197" s="61"/>
      <c r="B197" s="58"/>
      <c r="C197" s="49"/>
      <c r="D197" s="13"/>
      <c r="E197" s="15"/>
      <c r="F197" s="9"/>
      <c r="G197" s="9"/>
      <c r="H197" s="9"/>
      <c r="I197" s="9"/>
      <c r="J197" s="47"/>
      <c r="K197" s="9"/>
      <c r="L197" s="9"/>
      <c r="M197" s="9"/>
      <c r="N197" s="9"/>
    </row>
    <row r="198" spans="1:14" ht="19" x14ac:dyDescent="0.2">
      <c r="A198" s="61">
        <v>1897000</v>
      </c>
      <c r="B198" s="58">
        <v>44680</v>
      </c>
      <c r="C198" s="49" t="s">
        <v>9</v>
      </c>
      <c r="D198" s="13" t="s">
        <v>405</v>
      </c>
      <c r="E198" s="15">
        <v>1389000</v>
      </c>
      <c r="F198" s="9">
        <v>508000</v>
      </c>
      <c r="G198" s="9"/>
      <c r="H198" s="9"/>
      <c r="I198" s="9">
        <v>620000</v>
      </c>
      <c r="J198" s="47" t="s">
        <v>750</v>
      </c>
      <c r="K198" s="9"/>
      <c r="L198" s="9"/>
      <c r="M198" s="9"/>
      <c r="N198" s="9"/>
    </row>
    <row r="199" spans="1:14" ht="19" x14ac:dyDescent="0.2">
      <c r="A199" s="61"/>
      <c r="B199" s="58"/>
      <c r="C199" s="49"/>
      <c r="D199" s="13"/>
      <c r="E199" s="15"/>
      <c r="F199" s="9"/>
      <c r="G199" s="9"/>
      <c r="H199" s="9"/>
      <c r="I199" s="9">
        <v>60000</v>
      </c>
      <c r="J199" s="47" t="s">
        <v>585</v>
      </c>
      <c r="K199" s="9"/>
      <c r="L199" s="9"/>
      <c r="M199" s="9"/>
      <c r="N199" s="9"/>
    </row>
    <row r="200" spans="1:14" ht="19" x14ac:dyDescent="0.2">
      <c r="A200" s="61"/>
      <c r="B200" s="58"/>
      <c r="C200" s="49"/>
      <c r="D200" s="13"/>
      <c r="E200" s="15"/>
      <c r="F200" s="9"/>
      <c r="G200" s="9"/>
      <c r="H200" s="9"/>
      <c r="I200" s="9">
        <v>3000</v>
      </c>
      <c r="J200" s="47" t="s">
        <v>953</v>
      </c>
      <c r="K200" s="9"/>
      <c r="L200" s="9"/>
      <c r="M200" s="9"/>
      <c r="N200" s="9"/>
    </row>
    <row r="201" spans="1:14" ht="19" x14ac:dyDescent="0.2">
      <c r="A201" s="74"/>
      <c r="B201" s="58"/>
      <c r="C201" s="49"/>
      <c r="D201" s="13"/>
      <c r="E201" s="15"/>
      <c r="F201" s="9"/>
      <c r="G201" s="9"/>
      <c r="H201" s="9"/>
      <c r="I201" s="9">
        <v>24000</v>
      </c>
      <c r="J201" s="47" t="s">
        <v>954</v>
      </c>
      <c r="K201" s="9"/>
      <c r="L201" s="9"/>
      <c r="M201" s="9"/>
      <c r="N201" s="9"/>
    </row>
    <row r="202" spans="1:14" ht="19" x14ac:dyDescent="0.2">
      <c r="A202" s="74"/>
      <c r="B202" s="58"/>
      <c r="C202" s="49"/>
      <c r="D202" s="13"/>
      <c r="E202" s="15"/>
      <c r="F202" s="9"/>
      <c r="G202" s="9"/>
      <c r="H202" s="9"/>
      <c r="I202" s="9">
        <v>60000</v>
      </c>
      <c r="J202" s="47" t="s">
        <v>955</v>
      </c>
      <c r="K202" s="9">
        <f>SUBTOTAL(109,K211:K407)</f>
        <v>0</v>
      </c>
      <c r="L202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-60000</v>
      </c>
      <c r="M202" s="9"/>
      <c r="N202" s="9"/>
    </row>
    <row r="203" spans="1:14" ht="19" x14ac:dyDescent="0.2">
      <c r="A203" s="74"/>
      <c r="B203" s="58"/>
      <c r="C203" s="49"/>
      <c r="D203" s="13"/>
      <c r="E203" s="15"/>
      <c r="F203" s="9"/>
      <c r="G203" s="9"/>
      <c r="H203" s="9"/>
      <c r="I203" s="9">
        <v>500000</v>
      </c>
      <c r="J203" s="47" t="s">
        <v>741</v>
      </c>
      <c r="K203" s="9">
        <f>SUBTOTAL(109,K212:K407)</f>
        <v>0</v>
      </c>
      <c r="L203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-500000</v>
      </c>
      <c r="M203" s="9"/>
      <c r="N203" s="9"/>
    </row>
    <row r="204" spans="1:14" ht="19" x14ac:dyDescent="0.2">
      <c r="A204" s="74"/>
      <c r="B204" s="58"/>
      <c r="C204" s="49"/>
      <c r="D204" s="13"/>
      <c r="E204" s="15"/>
      <c r="F204" s="9"/>
      <c r="G204" s="9"/>
      <c r="H204" s="9"/>
      <c r="I204" s="9">
        <v>27000</v>
      </c>
      <c r="J204" s="47" t="s">
        <v>672</v>
      </c>
      <c r="K204" s="9">
        <f>SUBTOTAL(109,K213:K407)</f>
        <v>0</v>
      </c>
      <c r="L204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-27000</v>
      </c>
      <c r="M204" s="9"/>
      <c r="N204" s="9"/>
    </row>
    <row r="205" spans="1:14" ht="19" x14ac:dyDescent="0.2">
      <c r="A205" s="74"/>
      <c r="B205" s="58"/>
      <c r="C205" s="49"/>
      <c r="D205" s="13"/>
      <c r="E205" s="15"/>
      <c r="F205" s="9"/>
      <c r="G205" s="9"/>
      <c r="H205" s="9"/>
      <c r="I205" s="9">
        <v>16000</v>
      </c>
      <c r="J205" s="47" t="s">
        <v>956</v>
      </c>
      <c r="K205" s="9">
        <f>SUBTOTAL(109,K214:K407)</f>
        <v>0</v>
      </c>
      <c r="L205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-16000</v>
      </c>
      <c r="M205" s="9"/>
      <c r="N205" s="9"/>
    </row>
    <row r="206" spans="1:14" ht="19" x14ac:dyDescent="0.2">
      <c r="A206" s="74"/>
      <c r="B206" s="58"/>
      <c r="C206" s="49"/>
      <c r="D206" s="13"/>
      <c r="E206" s="15"/>
      <c r="F206" s="9"/>
      <c r="G206" s="9"/>
      <c r="H206" s="9"/>
      <c r="I206" s="9">
        <v>24000</v>
      </c>
      <c r="J206" s="47" t="s">
        <v>957</v>
      </c>
      <c r="K206" s="9">
        <f>SUBTOTAL(109,K212:K411)</f>
        <v>0</v>
      </c>
      <c r="L206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-24000</v>
      </c>
      <c r="M206" s="9"/>
      <c r="N206" s="9"/>
    </row>
    <row r="207" spans="1:14" ht="19" x14ac:dyDescent="0.2">
      <c r="A207" s="74"/>
      <c r="B207" s="58"/>
      <c r="C207" s="49"/>
      <c r="D207" s="13"/>
      <c r="E207" s="15"/>
      <c r="F207" s="9"/>
      <c r="G207" s="9"/>
      <c r="H207" s="9"/>
      <c r="I207" s="9">
        <v>22000</v>
      </c>
      <c r="J207" s="47" t="s">
        <v>958</v>
      </c>
      <c r="K207" s="9">
        <f>SUBTOTAL(109,K213:K411)</f>
        <v>0</v>
      </c>
      <c r="L207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-22000</v>
      </c>
      <c r="M207" s="9"/>
      <c r="N207" s="9"/>
    </row>
    <row r="208" spans="1:14" ht="19" x14ac:dyDescent="0.2">
      <c r="A208" s="74"/>
      <c r="B208" s="58"/>
      <c r="C208" s="49"/>
      <c r="D208" s="13"/>
      <c r="E208" s="15"/>
      <c r="F208" s="9"/>
      <c r="G208" s="9"/>
      <c r="H208" s="9"/>
      <c r="I208" s="9">
        <v>450000</v>
      </c>
      <c r="J208" s="47" t="s">
        <v>964</v>
      </c>
      <c r="K208" s="9">
        <f>SUBTOTAL(109,K214:K411)</f>
        <v>0</v>
      </c>
      <c r="L208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-450000</v>
      </c>
      <c r="M208" s="9"/>
      <c r="N208" s="9"/>
    </row>
    <row r="209" spans="1:14" ht="19" x14ac:dyDescent="0.2">
      <c r="A209" s="74"/>
      <c r="B209" s="58"/>
      <c r="C209" s="49"/>
      <c r="D209" s="13"/>
      <c r="E209" s="15"/>
      <c r="F209" s="9"/>
      <c r="G209" s="9"/>
      <c r="H209" s="9"/>
      <c r="I209" s="9">
        <v>75000</v>
      </c>
      <c r="J209" s="47" t="s">
        <v>959</v>
      </c>
      <c r="K209" s="9">
        <f>SUBTOTAL(109,K214:K414)</f>
        <v>0</v>
      </c>
      <c r="L209" s="9">
        <f>Таблица1345678912101113[[#This Row],[Нал]]+Таблица1345678912101113[[#This Row],[Терминал]]-Таблица1345678912101113[[#This Row],[Расход]]-Таблица1345678912101113[[#This Row],[Закуп]]-Таблица1345678912101113[[#This Row],[Расход со счета]]</f>
        <v>-75000</v>
      </c>
      <c r="M209" s="9"/>
      <c r="N209" s="9"/>
    </row>
    <row r="210" spans="1:14" ht="19" x14ac:dyDescent="0.2">
      <c r="A210" s="61">
        <v>645000</v>
      </c>
      <c r="B210" s="58"/>
      <c r="C210" s="49" t="s">
        <v>10</v>
      </c>
      <c r="D210" s="13" t="s">
        <v>565</v>
      </c>
      <c r="E210" s="15">
        <v>565000</v>
      </c>
      <c r="F210" s="9">
        <v>80000</v>
      </c>
      <c r="G210" s="9"/>
      <c r="H210" s="9"/>
      <c r="I210" s="9">
        <v>80000</v>
      </c>
      <c r="J210" s="47" t="s">
        <v>686</v>
      </c>
      <c r="K210" s="9"/>
      <c r="L210" s="9"/>
      <c r="M210" s="9"/>
      <c r="N210" s="9"/>
    </row>
    <row r="211" spans="1:14" ht="19" x14ac:dyDescent="0.2">
      <c r="A211" s="74"/>
      <c r="B211" s="58"/>
      <c r="C211" s="49"/>
      <c r="D211" s="13"/>
      <c r="E211" s="15"/>
      <c r="F211" s="9"/>
      <c r="G211" s="9"/>
      <c r="H211" s="9"/>
      <c r="I211" s="9">
        <v>52000</v>
      </c>
      <c r="J211" s="47" t="s">
        <v>617</v>
      </c>
      <c r="K211" s="9"/>
      <c r="L211" s="9"/>
      <c r="M211" s="9"/>
      <c r="N211" s="9"/>
    </row>
    <row r="212" spans="1:14" ht="19" x14ac:dyDescent="0.2">
      <c r="A212" s="74"/>
      <c r="B212" s="58"/>
      <c r="C212" s="49"/>
      <c r="D212" s="13"/>
      <c r="E212" s="15"/>
      <c r="F212" s="9"/>
      <c r="G212" s="9"/>
      <c r="H212" s="9"/>
      <c r="I212" s="9">
        <v>144000</v>
      </c>
      <c r="J212" s="47" t="s">
        <v>615</v>
      </c>
      <c r="K212" s="9"/>
      <c r="L212" s="9"/>
      <c r="M212" s="9"/>
      <c r="N212" s="9"/>
    </row>
    <row r="213" spans="1:14" ht="19" x14ac:dyDescent="0.2">
      <c r="A213" s="74"/>
      <c r="B213" s="58"/>
      <c r="C213" s="49"/>
      <c r="D213" s="13"/>
      <c r="E213" s="15"/>
      <c r="F213" s="9"/>
      <c r="G213" s="9"/>
      <c r="H213" s="9"/>
      <c r="I213" s="9">
        <v>100000</v>
      </c>
      <c r="J213" s="47" t="s">
        <v>827</v>
      </c>
      <c r="K213" s="9"/>
      <c r="L213" s="9"/>
      <c r="M213" s="9"/>
      <c r="N213" s="9"/>
    </row>
    <row r="214" spans="1:14" ht="19" x14ac:dyDescent="0.2">
      <c r="A214" s="74"/>
      <c r="B214" s="58"/>
      <c r="C214" s="49"/>
      <c r="D214" s="13"/>
      <c r="E214" s="15"/>
      <c r="F214" s="9"/>
      <c r="G214" s="9"/>
      <c r="H214" s="9"/>
      <c r="I214" s="9">
        <v>600000</v>
      </c>
      <c r="J214" s="47" t="s">
        <v>1010</v>
      </c>
      <c r="K214" s="9"/>
      <c r="L214" s="9"/>
      <c r="M214" s="9"/>
      <c r="N214" s="9"/>
    </row>
    <row r="215" spans="1:14" ht="19" x14ac:dyDescent="0.2">
      <c r="A215" s="61">
        <v>1295000</v>
      </c>
      <c r="B215" s="58">
        <v>44681</v>
      </c>
      <c r="C215" s="2" t="s">
        <v>9</v>
      </c>
      <c r="D215" s="13" t="s">
        <v>405</v>
      </c>
      <c r="E215" s="15">
        <v>1089000</v>
      </c>
      <c r="F215" s="9">
        <v>206000</v>
      </c>
      <c r="G215" s="9">
        <v>1820000</v>
      </c>
      <c r="H215" s="47" t="s">
        <v>960</v>
      </c>
      <c r="I215" s="9">
        <v>1150000</v>
      </c>
      <c r="J215" s="47" t="s">
        <v>966</v>
      </c>
      <c r="K215" s="9"/>
      <c r="L215" s="9"/>
      <c r="M215" s="9"/>
      <c r="N215" s="9"/>
    </row>
    <row r="216" spans="1:14" ht="19" x14ac:dyDescent="0.2">
      <c r="A216" s="61"/>
      <c r="B216" s="75"/>
      <c r="C216" s="35"/>
      <c r="D216" s="13"/>
      <c r="E216" s="15"/>
      <c r="F216" s="9"/>
      <c r="G216" s="9"/>
      <c r="H216" s="9"/>
      <c r="I216" s="9"/>
      <c r="J216" s="47"/>
      <c r="K216" s="9"/>
      <c r="L216" s="9"/>
      <c r="M216" s="9"/>
      <c r="N216" s="9"/>
    </row>
    <row r="217" spans="1:14" ht="19" x14ac:dyDescent="0.2">
      <c r="A217" s="74"/>
      <c r="B217" s="75"/>
      <c r="C217" s="35"/>
      <c r="D217" s="13"/>
      <c r="E217" s="15"/>
      <c r="F217" s="9"/>
      <c r="G217" s="9"/>
      <c r="H217" s="9"/>
      <c r="I217" s="9"/>
      <c r="J217" s="47"/>
      <c r="K217" s="9"/>
      <c r="L217" s="9"/>
      <c r="M217" s="9"/>
      <c r="N217" s="9"/>
    </row>
    <row r="218" spans="1:14" ht="19" x14ac:dyDescent="0.2">
      <c r="A218" s="61">
        <v>581000</v>
      </c>
      <c r="B218" s="75"/>
      <c r="C218" s="35" t="s">
        <v>10</v>
      </c>
      <c r="D218" s="13" t="s">
        <v>565</v>
      </c>
      <c r="E218" s="15">
        <v>460000</v>
      </c>
      <c r="F218" s="9">
        <v>121000</v>
      </c>
      <c r="G218" s="9">
        <v>1540000</v>
      </c>
      <c r="H218" s="47" t="s">
        <v>961</v>
      </c>
      <c r="I218" s="9"/>
      <c r="J218" s="47"/>
      <c r="K218" s="9"/>
      <c r="L218" s="9"/>
      <c r="M218" s="9"/>
      <c r="N218" s="9"/>
    </row>
    <row r="219" spans="1:14" ht="19" x14ac:dyDescent="0.2">
      <c r="A219" s="61"/>
      <c r="B219" s="58"/>
      <c r="C219" s="35"/>
      <c r="D219" s="13"/>
      <c r="E219" s="15"/>
      <c r="F219" s="9"/>
      <c r="G219" s="9"/>
      <c r="H219" s="9"/>
      <c r="I219" s="9"/>
      <c r="J219" s="47"/>
      <c r="K219" s="9"/>
      <c r="L219" s="9"/>
      <c r="M219" s="9"/>
      <c r="N219" s="9"/>
    </row>
    <row r="220" spans="1:14" ht="19" x14ac:dyDescent="0.2">
      <c r="A220" s="61"/>
      <c r="B220" s="58"/>
      <c r="C220" s="35"/>
      <c r="D220" s="13"/>
      <c r="E220" s="15"/>
      <c r="F220" s="9"/>
      <c r="G220" s="9"/>
      <c r="H220" s="9"/>
      <c r="I220" s="9"/>
      <c r="J220" s="47"/>
      <c r="K220" s="9"/>
      <c r="L220" s="9"/>
      <c r="M220" s="9"/>
      <c r="N220" s="9"/>
    </row>
    <row r="221" spans="1:14" ht="19" x14ac:dyDescent="0.2">
      <c r="A221" s="61"/>
      <c r="B221" s="58"/>
      <c r="C221" s="35"/>
      <c r="D221" s="13"/>
      <c r="E221" s="15"/>
      <c r="F221" s="9"/>
      <c r="G221" s="9">
        <v>1000000</v>
      </c>
      <c r="H221" s="47" t="s">
        <v>965</v>
      </c>
      <c r="I221" s="9"/>
      <c r="J221" s="47"/>
      <c r="K221" s="9"/>
      <c r="L221" s="9"/>
      <c r="M221" s="10"/>
      <c r="N221" s="10"/>
    </row>
    <row r="222" spans="1:14" ht="19" x14ac:dyDescent="0.2">
      <c r="A222" s="61"/>
      <c r="B222" s="75"/>
      <c r="C222" s="35"/>
      <c r="D222" s="13"/>
      <c r="E222" s="15"/>
      <c r="F222" s="9"/>
      <c r="G222" s="9"/>
      <c r="H222" s="47"/>
      <c r="I222" s="9"/>
      <c r="J222" s="47"/>
      <c r="K222" s="9"/>
      <c r="L222" s="9"/>
      <c r="M222" s="10"/>
      <c r="N222" s="10"/>
    </row>
    <row r="223" spans="1:14" ht="19" x14ac:dyDescent="0.2">
      <c r="A223" s="61"/>
      <c r="B223" s="75"/>
      <c r="C223" s="35"/>
      <c r="D223" s="13"/>
      <c r="E223" s="15"/>
      <c r="F223" s="9"/>
      <c r="G223" s="9"/>
      <c r="H223" s="47"/>
      <c r="I223" s="9"/>
      <c r="J223" s="47"/>
      <c r="K223" s="9"/>
      <c r="L223" s="9"/>
      <c r="M223" s="10"/>
      <c r="N223" s="10"/>
    </row>
    <row r="224" spans="1:14" ht="19" x14ac:dyDescent="0.2">
      <c r="A224" s="61"/>
      <c r="B224" s="75"/>
      <c r="C224" s="35"/>
      <c r="D224" s="13"/>
      <c r="E224" s="15"/>
      <c r="F224" s="9"/>
      <c r="G224" s="9"/>
      <c r="H224" s="60"/>
      <c r="I224" s="9"/>
      <c r="J224" s="47"/>
      <c r="K224" s="9"/>
      <c r="L224" s="9"/>
      <c r="M224" s="10"/>
      <c r="N224" s="10"/>
    </row>
    <row r="225" spans="1:14" ht="19" x14ac:dyDescent="0.2">
      <c r="A225" s="61"/>
      <c r="B225" s="75"/>
      <c r="C225" s="35"/>
      <c r="D225" s="13"/>
      <c r="E225" s="15"/>
      <c r="F225" s="9"/>
      <c r="G225" s="9"/>
      <c r="H225" s="9"/>
      <c r="I225" s="9"/>
      <c r="J225" s="47"/>
      <c r="K225" s="9"/>
      <c r="L225" s="9"/>
      <c r="M225" s="10"/>
      <c r="N225" s="10"/>
    </row>
    <row r="226" spans="1:14" ht="19" x14ac:dyDescent="0.2">
      <c r="A226" s="61"/>
      <c r="B226" s="75"/>
      <c r="C226" s="35"/>
      <c r="D226" s="13"/>
      <c r="E226" s="15"/>
      <c r="F226" s="9"/>
      <c r="G226" s="9"/>
      <c r="H226" s="9"/>
      <c r="I226" s="9"/>
      <c r="J226" s="47"/>
      <c r="K226" s="9"/>
      <c r="L226" s="9"/>
      <c r="M226" s="10"/>
      <c r="N226" s="10"/>
    </row>
    <row r="227" spans="1:14" ht="19" x14ac:dyDescent="0.2">
      <c r="A227" s="61"/>
      <c r="B227" s="75"/>
      <c r="C227" s="35"/>
      <c r="D227" s="13"/>
      <c r="E227" s="15"/>
      <c r="F227" s="9"/>
      <c r="G227" s="9"/>
      <c r="H227" s="9"/>
      <c r="I227" s="9"/>
      <c r="J227" s="47"/>
      <c r="K227" s="9"/>
      <c r="L227" s="9"/>
      <c r="M227" s="10"/>
      <c r="N227" s="10"/>
    </row>
    <row r="228" spans="1:14" ht="19" x14ac:dyDescent="0.2">
      <c r="A228" s="80"/>
      <c r="B228" s="81"/>
      <c r="C228" s="82"/>
      <c r="D228" s="83"/>
      <c r="E228" s="84"/>
      <c r="F228" s="10"/>
      <c r="G228" s="10"/>
      <c r="H228" s="10"/>
      <c r="I228" s="10"/>
      <c r="J228" s="97"/>
      <c r="K228" s="10"/>
      <c r="L228" s="10"/>
      <c r="M228" s="10"/>
      <c r="N228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N228"/>
  <sheetViews>
    <sheetView zoomScaleNormal="150" zoomScaleSheetLayoutView="100" workbookViewId="0">
      <selection activeCell="I211" sqref="I211:I213"/>
    </sheetView>
  </sheetViews>
  <sheetFormatPr baseColWidth="10" defaultColWidth="8.83203125" defaultRowHeight="15" x14ac:dyDescent="0.2"/>
  <cols>
    <col min="1" max="1" width="22.83203125" bestFit="1" customWidth="1"/>
    <col min="2" max="2" width="8.83203125" bestFit="1" customWidth="1"/>
    <col min="3" max="3" width="14.33203125" bestFit="1" customWidth="1"/>
    <col min="4" max="4" width="11.1640625" bestFit="1" customWidth="1"/>
    <col min="5" max="5" width="22.83203125" bestFit="1" customWidth="1"/>
    <col min="6" max="6" width="25.83203125" customWidth="1"/>
    <col min="7" max="7" width="22.83203125" bestFit="1" customWidth="1"/>
    <col min="8" max="8" width="30.83203125" customWidth="1"/>
    <col min="9" max="9" width="23.1640625" bestFit="1" customWidth="1"/>
    <col min="10" max="10" width="27.6640625" customWidth="1"/>
    <col min="11" max="11" width="18.5" bestFit="1" customWidth="1"/>
    <col min="12" max="12" width="20.1640625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6" t="s">
        <v>896</v>
      </c>
      <c r="G4" s="307"/>
      <c r="H4" s="71" t="s">
        <v>175</v>
      </c>
      <c r="I4" s="71">
        <v>14245700</v>
      </c>
      <c r="J4" s="72">
        <f>I4/10820</f>
        <v>1316.6081330868763</v>
      </c>
    </row>
    <row r="5" spans="1:14" ht="24" x14ac:dyDescent="0.3">
      <c r="B5" s="99" t="s">
        <v>1064</v>
      </c>
      <c r="G5" s="73"/>
      <c r="H5" s="71" t="s">
        <v>176</v>
      </c>
      <c r="I5" s="71">
        <v>6105300</v>
      </c>
      <c r="J5" s="72">
        <f>I5/10820</f>
        <v>564.26062846580407</v>
      </c>
    </row>
    <row r="6" spans="1:14" ht="24" x14ac:dyDescent="0.3">
      <c r="B6" s="99"/>
      <c r="G6" s="73"/>
      <c r="H6" s="71" t="s">
        <v>178</v>
      </c>
      <c r="I6" s="71">
        <v>6013110</v>
      </c>
      <c r="J6" s="72" t="s">
        <v>1130</v>
      </c>
      <c r="L6" s="85"/>
      <c r="M6" s="85"/>
    </row>
    <row r="7" spans="1:14" ht="26" x14ac:dyDescent="0.3">
      <c r="B7" s="100" t="s">
        <v>1063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SUM(A11:A227)</f>
        <v>69782000</v>
      </c>
      <c r="B10" s="65"/>
      <c r="C10" s="66" t="s">
        <v>13</v>
      </c>
      <c r="D10" s="67"/>
      <c r="E10" s="68">
        <f>SUM(E11:E227)</f>
        <v>58414000</v>
      </c>
      <c r="F10" s="69">
        <f>SUM(F11:F227)</f>
        <v>11368000</v>
      </c>
      <c r="G10" s="69">
        <f>SUM(G11:G227)</f>
        <v>25160000</v>
      </c>
      <c r="H10" s="69"/>
      <c r="I10" s="69">
        <f>SUM(I11:I227)</f>
        <v>15733000</v>
      </c>
      <c r="J10" s="69"/>
      <c r="K10" s="69">
        <f>SUBTOTAL(109,K11:K215)</f>
        <v>0</v>
      </c>
      <c r="L10" s="69"/>
      <c r="M10" s="8"/>
      <c r="N10" s="8"/>
    </row>
    <row r="11" spans="1:14" ht="19" x14ac:dyDescent="0.2">
      <c r="A11" s="61">
        <v>1557000</v>
      </c>
      <c r="B11" s="58">
        <v>44835</v>
      </c>
      <c r="C11" s="3" t="s">
        <v>440</v>
      </c>
      <c r="D11" s="13" t="s">
        <v>773</v>
      </c>
      <c r="E11" s="9">
        <v>1394000</v>
      </c>
      <c r="F11" s="9">
        <v>163000</v>
      </c>
      <c r="G11" s="9"/>
      <c r="H11" s="9"/>
      <c r="I11" s="9">
        <v>100000</v>
      </c>
      <c r="J11" s="9" t="s">
        <v>659</v>
      </c>
      <c r="K11" s="9"/>
      <c r="L11" s="9"/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/>
      <c r="H12" s="9"/>
      <c r="I12" s="9">
        <v>50000</v>
      </c>
      <c r="J12" s="9" t="s">
        <v>654</v>
      </c>
      <c r="K12" s="9"/>
      <c r="L12" s="9"/>
      <c r="M12" s="9"/>
      <c r="N12" s="9"/>
    </row>
    <row r="13" spans="1:14" ht="19" x14ac:dyDescent="0.2">
      <c r="A13" s="74">
        <v>1021000</v>
      </c>
      <c r="B13" s="58"/>
      <c r="C13" s="49" t="s">
        <v>363</v>
      </c>
      <c r="D13" s="13" t="s">
        <v>565</v>
      </c>
      <c r="E13" s="15">
        <v>969000</v>
      </c>
      <c r="F13" s="9">
        <v>52000</v>
      </c>
      <c r="G13" s="9">
        <v>402000</v>
      </c>
      <c r="H13" s="9" t="s">
        <v>1032</v>
      </c>
      <c r="I13" s="9">
        <v>6000</v>
      </c>
      <c r="J13" s="9" t="s">
        <v>971</v>
      </c>
      <c r="K13" s="9"/>
      <c r="L13" s="9"/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>
        <v>62500</v>
      </c>
      <c r="J14" s="9" t="s">
        <v>969</v>
      </c>
      <c r="K14" s="9"/>
      <c r="L14" s="9"/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>
        <v>19500</v>
      </c>
      <c r="J15" s="9" t="s">
        <v>970</v>
      </c>
      <c r="K15" s="9"/>
      <c r="L15" s="9"/>
      <c r="M15" s="9"/>
      <c r="N15" s="9"/>
    </row>
    <row r="16" spans="1:14" ht="19" x14ac:dyDescent="0.2">
      <c r="A16" s="74"/>
      <c r="B16" s="58"/>
      <c r="C16" s="49"/>
      <c r="D16" s="13"/>
      <c r="E16" s="15"/>
      <c r="F16" s="9"/>
      <c r="G16" s="9"/>
      <c r="H16" s="9"/>
      <c r="I16" s="9">
        <v>26000</v>
      </c>
      <c r="J16" s="9" t="s">
        <v>672</v>
      </c>
      <c r="K16" s="9"/>
      <c r="L16" s="9"/>
      <c r="M16" s="9"/>
      <c r="N16" s="9"/>
    </row>
    <row r="17" spans="1:14" ht="19" x14ac:dyDescent="0.2">
      <c r="A17" s="74"/>
      <c r="B17" s="58"/>
      <c r="C17" s="49"/>
      <c r="D17" s="13"/>
      <c r="E17" s="15"/>
      <c r="F17" s="9"/>
      <c r="G17" s="9"/>
      <c r="H17" s="9"/>
      <c r="I17" s="9">
        <v>34000</v>
      </c>
      <c r="J17" s="9" t="s">
        <v>640</v>
      </c>
      <c r="K17" s="9"/>
      <c r="L17" s="9"/>
      <c r="M17" s="9"/>
      <c r="N17" s="9"/>
    </row>
    <row r="18" spans="1:14" ht="19" x14ac:dyDescent="0.2">
      <c r="A18" s="74"/>
      <c r="B18" s="58"/>
      <c r="C18" s="49"/>
      <c r="D18" s="13"/>
      <c r="E18" s="15"/>
      <c r="F18" s="9"/>
      <c r="G18" s="9"/>
      <c r="H18" s="9"/>
      <c r="I18" s="9">
        <v>50000</v>
      </c>
      <c r="J18" s="9" t="s">
        <v>206</v>
      </c>
      <c r="K18" s="9"/>
      <c r="L18" s="9"/>
      <c r="M18" s="9"/>
      <c r="N18" s="9"/>
    </row>
    <row r="19" spans="1:14" ht="19" x14ac:dyDescent="0.2">
      <c r="A19" s="74"/>
      <c r="B19" s="58"/>
      <c r="C19" s="49"/>
      <c r="D19" s="13"/>
      <c r="E19" s="15"/>
      <c r="F19" s="9"/>
      <c r="G19" s="9"/>
      <c r="H19" s="9"/>
      <c r="I19" s="9"/>
      <c r="J19" s="9"/>
      <c r="K19" s="9"/>
      <c r="L19" s="9"/>
      <c r="M19" s="9"/>
      <c r="N19" s="9"/>
    </row>
    <row r="20" spans="1:14" ht="19" x14ac:dyDescent="0.2">
      <c r="A20" s="61">
        <v>926000</v>
      </c>
      <c r="B20" s="58">
        <v>44836</v>
      </c>
      <c r="C20" s="35" t="s">
        <v>9</v>
      </c>
      <c r="D20" s="13" t="s">
        <v>773</v>
      </c>
      <c r="E20" s="15">
        <v>856000</v>
      </c>
      <c r="F20" s="9">
        <v>70000</v>
      </c>
      <c r="G20" s="60"/>
      <c r="H20" s="60"/>
      <c r="I20" s="9"/>
      <c r="J20" s="9"/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60"/>
      <c r="J21" s="60"/>
      <c r="K21" s="9"/>
      <c r="L21" s="9"/>
      <c r="M21" s="9"/>
      <c r="N21" s="9"/>
    </row>
    <row r="22" spans="1:14" ht="19" x14ac:dyDescent="0.2">
      <c r="A22" s="74"/>
      <c r="B22" s="58"/>
      <c r="C22" s="35" t="s">
        <v>363</v>
      </c>
      <c r="D22" s="13"/>
      <c r="E22" s="15"/>
      <c r="F22" s="9"/>
      <c r="G22" s="9"/>
      <c r="H22" s="9" t="s">
        <v>737</v>
      </c>
      <c r="I22" s="60"/>
      <c r="J22" s="60"/>
      <c r="K22" s="9"/>
      <c r="L22" s="9"/>
      <c r="M22" s="9"/>
      <c r="N22" s="9"/>
    </row>
    <row r="23" spans="1:14" ht="19" x14ac:dyDescent="0.2">
      <c r="A23" s="74"/>
      <c r="B23" s="58"/>
      <c r="C23" s="35"/>
      <c r="D23" s="13"/>
      <c r="E23" s="15"/>
      <c r="F23" s="9"/>
      <c r="G23" s="9"/>
      <c r="H23" s="9"/>
      <c r="I23" s="60"/>
      <c r="J23" s="60"/>
      <c r="K23" s="9"/>
      <c r="L23" s="9"/>
      <c r="M23" s="9"/>
      <c r="N23" s="9"/>
    </row>
    <row r="24" spans="1:14" ht="19" x14ac:dyDescent="0.2">
      <c r="A24" s="74"/>
      <c r="B24" s="58"/>
      <c r="C24" s="35"/>
      <c r="D24" s="13"/>
      <c r="E24" s="15"/>
      <c r="F24" s="9"/>
      <c r="G24" s="9"/>
      <c r="H24" s="9"/>
      <c r="I24" s="60"/>
      <c r="J24" s="60"/>
      <c r="K24" s="9"/>
      <c r="L24" s="9"/>
      <c r="M24" s="9"/>
      <c r="N24" s="9"/>
    </row>
    <row r="25" spans="1:14" ht="19" x14ac:dyDescent="0.2">
      <c r="A25" s="61"/>
      <c r="B25" s="58"/>
      <c r="C25" s="3"/>
      <c r="D25" s="13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9" x14ac:dyDescent="0.2">
      <c r="A26" s="61">
        <v>1334000</v>
      </c>
      <c r="B26" s="58">
        <v>44837</v>
      </c>
      <c r="C26" s="49" t="s">
        <v>440</v>
      </c>
      <c r="D26" s="13" t="s">
        <v>405</v>
      </c>
      <c r="E26" s="15">
        <v>1127000</v>
      </c>
      <c r="F26" s="9">
        <v>207000</v>
      </c>
      <c r="G26" s="9"/>
      <c r="H26" s="9"/>
      <c r="I26" s="9">
        <v>24000</v>
      </c>
      <c r="J26" s="9" t="s">
        <v>972</v>
      </c>
      <c r="K26" s="9"/>
      <c r="L26" s="9"/>
      <c r="M26" s="9"/>
      <c r="N26" s="9"/>
    </row>
    <row r="27" spans="1:14" ht="19" x14ac:dyDescent="0.2">
      <c r="A27" s="74"/>
      <c r="B27" s="58"/>
      <c r="C27" s="49"/>
      <c r="D27" s="13"/>
      <c r="E27" s="15"/>
      <c r="F27" s="9"/>
      <c r="G27" s="9"/>
      <c r="H27" s="9"/>
      <c r="I27" s="9">
        <v>27000</v>
      </c>
      <c r="J27" s="9" t="s">
        <v>672</v>
      </c>
      <c r="K27" s="9"/>
      <c r="L27" s="9"/>
      <c r="M27" s="9"/>
      <c r="N27" s="9"/>
    </row>
    <row r="28" spans="1:14" ht="19" x14ac:dyDescent="0.2">
      <c r="A28" s="61"/>
      <c r="B28" s="58"/>
      <c r="C28" s="3"/>
      <c r="D28" s="13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74">
        <v>1310000</v>
      </c>
      <c r="B29" s="58"/>
      <c r="C29" s="49" t="s">
        <v>363</v>
      </c>
      <c r="D29" s="13" t="s">
        <v>565</v>
      </c>
      <c r="E29" s="15">
        <v>1103000</v>
      </c>
      <c r="F29" s="9">
        <v>207000</v>
      </c>
      <c r="G29" s="9"/>
      <c r="H29" s="9"/>
      <c r="I29" s="9"/>
      <c r="J29" s="9"/>
      <c r="K29" s="9"/>
      <c r="L29" s="9"/>
      <c r="M29" s="9"/>
      <c r="N29" s="9"/>
    </row>
    <row r="30" spans="1:14" ht="19" x14ac:dyDescent="0.2">
      <c r="A30" s="61">
        <v>1092000</v>
      </c>
      <c r="B30" s="58">
        <v>44838</v>
      </c>
      <c r="C30" s="49" t="s">
        <v>440</v>
      </c>
      <c r="D30" s="13" t="s">
        <v>405</v>
      </c>
      <c r="E30" s="15">
        <v>754000</v>
      </c>
      <c r="F30" s="9">
        <v>338000</v>
      </c>
      <c r="G30" s="9"/>
      <c r="H30" s="9"/>
      <c r="I30" s="9">
        <v>39000</v>
      </c>
      <c r="J30" s="9" t="s">
        <v>973</v>
      </c>
      <c r="K30" s="9"/>
      <c r="L30" s="9"/>
      <c r="M30" s="9"/>
      <c r="N30" s="9"/>
    </row>
    <row r="31" spans="1:14" ht="19" x14ac:dyDescent="0.2">
      <c r="A31" s="74"/>
      <c r="B31" s="58"/>
      <c r="C31" s="49"/>
      <c r="D31" s="13"/>
      <c r="E31" s="15"/>
      <c r="F31" s="9"/>
      <c r="G31" s="9"/>
      <c r="H31" s="9"/>
      <c r="I31" s="9"/>
      <c r="J31" s="9"/>
      <c r="K31" s="9"/>
      <c r="L31" s="9"/>
      <c r="M31" s="9"/>
      <c r="N31" s="9"/>
    </row>
    <row r="32" spans="1:14" ht="19" x14ac:dyDescent="0.2">
      <c r="A32" s="74">
        <v>1036000</v>
      </c>
      <c r="B32" s="58"/>
      <c r="C32" s="49" t="s">
        <v>363</v>
      </c>
      <c r="D32" s="13" t="s">
        <v>565</v>
      </c>
      <c r="E32" s="15">
        <v>930000</v>
      </c>
      <c r="F32" s="9">
        <v>106000</v>
      </c>
      <c r="G32" s="9"/>
      <c r="H32" s="9"/>
      <c r="I32" s="9"/>
      <c r="J32" s="9"/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/>
      <c r="J33" s="9"/>
      <c r="K33" s="9"/>
      <c r="L33" s="9"/>
      <c r="M33" s="9"/>
      <c r="N33" s="9"/>
    </row>
    <row r="34" spans="1:14" ht="19" x14ac:dyDescent="0.2">
      <c r="A34" s="74">
        <v>1668000</v>
      </c>
      <c r="B34" s="32">
        <v>44839</v>
      </c>
      <c r="C34" s="49" t="s">
        <v>9</v>
      </c>
      <c r="D34" s="13" t="s">
        <v>405</v>
      </c>
      <c r="E34" s="15">
        <v>1434000</v>
      </c>
      <c r="F34" s="9">
        <v>234000</v>
      </c>
      <c r="G34" s="9">
        <v>2656000</v>
      </c>
      <c r="H34" s="9" t="s">
        <v>812</v>
      </c>
      <c r="I34" s="9">
        <v>44500</v>
      </c>
      <c r="J34" s="9" t="s">
        <v>974</v>
      </c>
      <c r="K34" s="9"/>
      <c r="L34" s="9"/>
      <c r="M34" s="9"/>
      <c r="N34" s="9"/>
    </row>
    <row r="35" spans="1:14" ht="19" x14ac:dyDescent="0.2">
      <c r="A35" s="74"/>
      <c r="B35" s="58"/>
      <c r="C35" s="49"/>
      <c r="D35" s="13"/>
      <c r="E35" s="15"/>
      <c r="F35" s="9"/>
      <c r="G35" s="9"/>
      <c r="H35" s="9"/>
      <c r="I35" s="9">
        <v>39000</v>
      </c>
      <c r="J35" s="9" t="s">
        <v>975</v>
      </c>
      <c r="K35" s="9"/>
      <c r="L35" s="9"/>
      <c r="M35" s="9"/>
      <c r="N35" s="9"/>
    </row>
    <row r="36" spans="1:14" ht="19" x14ac:dyDescent="0.2">
      <c r="A36" s="61"/>
      <c r="B36" s="58"/>
      <c r="C36" s="49"/>
      <c r="D36" s="13"/>
      <c r="E36" s="15"/>
      <c r="F36" s="9"/>
      <c r="G36" s="9"/>
      <c r="H36" s="9"/>
      <c r="I36" s="9">
        <v>21500</v>
      </c>
      <c r="J36" s="9" t="s">
        <v>976</v>
      </c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10000</v>
      </c>
      <c r="J37" s="9" t="s">
        <v>977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>
        <v>26500</v>
      </c>
      <c r="J38" s="9" t="s">
        <v>978</v>
      </c>
      <c r="K38" s="9"/>
      <c r="L38" s="9"/>
      <c r="M38" s="9"/>
      <c r="N38" s="9"/>
    </row>
    <row r="39" spans="1:14" ht="19" x14ac:dyDescent="0.2">
      <c r="A39" s="74"/>
      <c r="B39" s="58"/>
      <c r="C39" s="49"/>
      <c r="D39" s="13"/>
      <c r="E39" s="15"/>
      <c r="F39" s="9"/>
      <c r="G39" s="9"/>
      <c r="H39" s="9"/>
      <c r="I39" s="9">
        <v>4000</v>
      </c>
      <c r="J39" s="9" t="s">
        <v>642</v>
      </c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>
        <v>134000</v>
      </c>
      <c r="J40" s="9" t="s">
        <v>979</v>
      </c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9"/>
      <c r="I41" s="9">
        <v>178000</v>
      </c>
      <c r="J41" s="9" t="s">
        <v>980</v>
      </c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9"/>
      <c r="I42" s="9">
        <v>19000</v>
      </c>
      <c r="J42" s="9" t="s">
        <v>948</v>
      </c>
      <c r="K42" s="9"/>
      <c r="L42" s="9"/>
      <c r="M42" s="9"/>
      <c r="N42" s="9"/>
    </row>
    <row r="43" spans="1:14" ht="19" x14ac:dyDescent="0.2">
      <c r="A43" s="74">
        <v>1272000</v>
      </c>
      <c r="B43" s="58"/>
      <c r="C43" s="49" t="s">
        <v>806</v>
      </c>
      <c r="D43" s="13" t="s">
        <v>565</v>
      </c>
      <c r="E43" s="15">
        <v>917000</v>
      </c>
      <c r="F43" s="9">
        <v>355000</v>
      </c>
      <c r="G43" s="9"/>
      <c r="H43" s="9"/>
      <c r="I43" s="9">
        <v>200000</v>
      </c>
      <c r="J43" s="9" t="s">
        <v>653</v>
      </c>
      <c r="K43" s="9"/>
      <c r="L43" s="9"/>
      <c r="M43" s="9"/>
      <c r="N43" s="9"/>
    </row>
    <row r="44" spans="1:14" ht="19" x14ac:dyDescent="0.2">
      <c r="A44" s="74"/>
      <c r="B44" s="58"/>
      <c r="C44" s="49"/>
      <c r="D44" s="13"/>
      <c r="E44" s="15"/>
      <c r="F44" s="9"/>
      <c r="G44" s="9"/>
      <c r="H44" s="9"/>
      <c r="I44" s="9">
        <v>50000</v>
      </c>
      <c r="J44" s="9" t="s">
        <v>654</v>
      </c>
      <c r="K44" s="9"/>
      <c r="L44" s="9"/>
      <c r="M44" s="9"/>
      <c r="N44" s="9"/>
    </row>
    <row r="45" spans="1:14" ht="19" x14ac:dyDescent="0.2">
      <c r="A45" s="74"/>
      <c r="B45" s="58"/>
      <c r="C45" s="49"/>
      <c r="D45" s="13"/>
      <c r="E45" s="15"/>
      <c r="F45" s="9"/>
      <c r="G45" s="9"/>
      <c r="H45" s="9"/>
      <c r="I45" s="9"/>
      <c r="J45" s="9"/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/>
      <c r="J46" s="9"/>
      <c r="K46" s="9"/>
      <c r="L46" s="9"/>
      <c r="M46" s="9"/>
      <c r="N46" s="9"/>
    </row>
    <row r="47" spans="1:14" ht="19" x14ac:dyDescent="0.2">
      <c r="A47" s="61">
        <v>1547000</v>
      </c>
      <c r="B47" s="58">
        <v>44657</v>
      </c>
      <c r="C47" s="2" t="s">
        <v>9</v>
      </c>
      <c r="D47" s="13" t="s">
        <v>405</v>
      </c>
      <c r="E47" s="9">
        <v>1306000</v>
      </c>
      <c r="F47" s="9">
        <v>241000</v>
      </c>
      <c r="G47" s="9"/>
      <c r="H47" s="9"/>
      <c r="I47" s="9">
        <v>144000</v>
      </c>
      <c r="J47" s="9" t="s">
        <v>615</v>
      </c>
      <c r="K47" s="9"/>
      <c r="L47" s="9"/>
      <c r="M47" s="9"/>
      <c r="N47" s="9"/>
    </row>
    <row r="48" spans="1:14" ht="19" x14ac:dyDescent="0.2">
      <c r="A48" s="74"/>
      <c r="B48" s="58"/>
      <c r="C48" s="35"/>
      <c r="D48" s="13"/>
      <c r="E48" s="15"/>
      <c r="F48" s="9"/>
      <c r="G48" s="9"/>
      <c r="H48" s="9"/>
      <c r="I48" s="9">
        <v>80000</v>
      </c>
      <c r="J48" s="9" t="s">
        <v>651</v>
      </c>
      <c r="K48" s="9"/>
      <c r="L48" s="9"/>
      <c r="M48" s="9"/>
      <c r="N48" s="9"/>
    </row>
    <row r="49" spans="1:14" ht="19" x14ac:dyDescent="0.2">
      <c r="A49" s="74"/>
      <c r="B49" s="58"/>
      <c r="C49" s="35"/>
      <c r="D49" s="13"/>
      <c r="E49" s="15"/>
      <c r="F49" s="9"/>
      <c r="G49" s="9"/>
      <c r="H49" s="9"/>
      <c r="I49" s="9">
        <v>28000</v>
      </c>
      <c r="J49" s="9" t="s">
        <v>640</v>
      </c>
      <c r="K49" s="9"/>
      <c r="L49" s="9"/>
      <c r="M49" s="9"/>
      <c r="N49" s="9"/>
    </row>
    <row r="50" spans="1:14" ht="19" x14ac:dyDescent="0.2">
      <c r="A50" s="74"/>
      <c r="B50" s="58"/>
      <c r="C50" s="35"/>
      <c r="D50" s="13"/>
      <c r="E50" s="15"/>
      <c r="F50" s="9"/>
      <c r="G50" s="9"/>
      <c r="H50" s="9"/>
      <c r="I50" s="9">
        <v>42000</v>
      </c>
      <c r="J50" s="9" t="s">
        <v>714</v>
      </c>
      <c r="K50" s="9"/>
      <c r="L50" s="9"/>
      <c r="M50" s="9"/>
      <c r="N50" s="9"/>
    </row>
    <row r="51" spans="1:14" ht="19" x14ac:dyDescent="0.2">
      <c r="A51" s="74"/>
      <c r="B51" s="58"/>
      <c r="C51" s="35"/>
      <c r="D51" s="13"/>
      <c r="E51" s="15"/>
      <c r="F51" s="9"/>
      <c r="G51" s="9"/>
      <c r="H51" s="9"/>
      <c r="I51" s="9"/>
      <c r="J51" s="9"/>
      <c r="K51" s="9"/>
      <c r="L51" s="9"/>
      <c r="M51" s="9"/>
      <c r="N51" s="9"/>
    </row>
    <row r="52" spans="1:14" ht="19" x14ac:dyDescent="0.2">
      <c r="A52" s="74"/>
      <c r="B52" s="58"/>
      <c r="C52" s="35"/>
      <c r="D52" s="13"/>
      <c r="E52" s="15"/>
      <c r="F52" s="9"/>
      <c r="G52" s="9"/>
      <c r="H52" s="9"/>
      <c r="I52" s="9"/>
      <c r="J52" s="9"/>
      <c r="K52" s="9"/>
      <c r="L52" s="9"/>
      <c r="M52" s="9"/>
      <c r="N52" s="9"/>
    </row>
    <row r="53" spans="1:14" ht="19" x14ac:dyDescent="0.2">
      <c r="A53" s="61">
        <v>2027000</v>
      </c>
      <c r="B53" s="58"/>
      <c r="C53" s="3" t="s">
        <v>10</v>
      </c>
      <c r="D53" s="13" t="s">
        <v>565</v>
      </c>
      <c r="E53" s="9">
        <v>1728000</v>
      </c>
      <c r="F53" s="9">
        <v>299000</v>
      </c>
      <c r="G53" s="9"/>
      <c r="H53" s="9"/>
      <c r="I53" s="9"/>
      <c r="J53" s="9"/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/>
      <c r="J54" s="9"/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/>
      <c r="J55" s="9"/>
      <c r="K55" s="9"/>
      <c r="L55" s="9"/>
      <c r="M55" s="9"/>
      <c r="N55" s="9"/>
    </row>
    <row r="56" spans="1:14" ht="32" x14ac:dyDescent="0.2">
      <c r="A56" s="74">
        <v>1473000</v>
      </c>
      <c r="B56" s="32">
        <v>44658</v>
      </c>
      <c r="C56" s="49" t="s">
        <v>440</v>
      </c>
      <c r="D56" s="13" t="s">
        <v>685</v>
      </c>
      <c r="E56" s="15">
        <v>1323000</v>
      </c>
      <c r="F56" s="9">
        <v>150000</v>
      </c>
      <c r="G56" s="9"/>
      <c r="H56" s="9"/>
      <c r="I56" s="9">
        <v>620000</v>
      </c>
      <c r="J56" s="47" t="s">
        <v>117</v>
      </c>
      <c r="K56" s="9"/>
      <c r="L56" s="9"/>
      <c r="M56" s="9"/>
      <c r="N56" s="9"/>
    </row>
    <row r="57" spans="1:14" ht="32" x14ac:dyDescent="0.2">
      <c r="A57" s="74"/>
      <c r="B57" s="32"/>
      <c r="C57" s="49"/>
      <c r="D57" s="13"/>
      <c r="E57" s="15"/>
      <c r="F57" s="9"/>
      <c r="G57" s="9"/>
      <c r="H57" s="9"/>
      <c r="I57" s="9">
        <v>310000</v>
      </c>
      <c r="J57" s="47" t="s">
        <v>981</v>
      </c>
      <c r="K57" s="9"/>
      <c r="L57" s="9"/>
      <c r="M57" s="9"/>
      <c r="N57" s="9"/>
    </row>
    <row r="58" spans="1:14" ht="19" x14ac:dyDescent="0.2">
      <c r="A58" s="74"/>
      <c r="B58" s="32"/>
      <c r="C58" s="49"/>
      <c r="D58" s="13"/>
      <c r="E58" s="15"/>
      <c r="F58" s="9"/>
      <c r="G58" s="9"/>
      <c r="H58" s="9"/>
      <c r="I58" s="9">
        <v>90000</v>
      </c>
      <c r="J58" s="9" t="s">
        <v>701</v>
      </c>
      <c r="K58" s="9"/>
      <c r="L58" s="9"/>
      <c r="M58" s="9"/>
      <c r="N58" s="9"/>
    </row>
    <row r="59" spans="1:14" ht="19" x14ac:dyDescent="0.2">
      <c r="A59" s="74"/>
      <c r="B59" s="32"/>
      <c r="C59" s="49"/>
      <c r="D59" s="13"/>
      <c r="E59" s="15"/>
      <c r="F59" s="9"/>
      <c r="G59" s="9"/>
      <c r="H59" s="9"/>
      <c r="I59" s="9">
        <v>48000</v>
      </c>
      <c r="J59" s="9" t="s">
        <v>982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/>
      <c r="J60" s="9"/>
      <c r="K60" s="9"/>
      <c r="L60" s="9"/>
      <c r="M60" s="9"/>
      <c r="N60" s="9"/>
    </row>
    <row r="61" spans="1:14" ht="19" x14ac:dyDescent="0.2">
      <c r="A61" s="74">
        <v>1467000</v>
      </c>
      <c r="B61" s="58"/>
      <c r="C61" s="49" t="s">
        <v>363</v>
      </c>
      <c r="D61" s="13" t="s">
        <v>565</v>
      </c>
      <c r="E61" s="15">
        <v>1299000</v>
      </c>
      <c r="F61" s="9">
        <v>168000</v>
      </c>
      <c r="G61" s="9"/>
      <c r="H61" s="9"/>
      <c r="I61" s="9">
        <v>144000</v>
      </c>
      <c r="J61" s="9" t="s">
        <v>615</v>
      </c>
      <c r="K61" s="9"/>
      <c r="L61" s="9"/>
      <c r="M61" s="9"/>
      <c r="N61" s="9"/>
    </row>
    <row r="62" spans="1:14" ht="19" x14ac:dyDescent="0.2">
      <c r="A62" s="74"/>
      <c r="B62" s="58"/>
      <c r="C62" s="49"/>
      <c r="D62" s="13"/>
      <c r="E62" s="15"/>
      <c r="F62" s="9"/>
      <c r="G62" s="9"/>
      <c r="H62" s="9"/>
      <c r="I62" s="9">
        <v>80000</v>
      </c>
      <c r="J62" s="9" t="s">
        <v>651</v>
      </c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>
        <v>52000</v>
      </c>
      <c r="J63" s="9" t="s">
        <v>983</v>
      </c>
      <c r="K63" s="9"/>
      <c r="L63" s="9"/>
      <c r="M63" s="9"/>
      <c r="N63" s="9"/>
    </row>
    <row r="64" spans="1:14" ht="19" x14ac:dyDescent="0.2">
      <c r="A64" s="74">
        <v>1094000</v>
      </c>
      <c r="B64" s="32">
        <v>44659</v>
      </c>
      <c r="C64" s="49" t="s">
        <v>9</v>
      </c>
      <c r="D64" s="13" t="s">
        <v>685</v>
      </c>
      <c r="E64" s="15">
        <v>911000</v>
      </c>
      <c r="F64" s="9">
        <v>183000</v>
      </c>
      <c r="G64" s="9"/>
      <c r="H64" s="9"/>
      <c r="I64" s="9">
        <v>500000</v>
      </c>
      <c r="J64" s="9" t="s">
        <v>984</v>
      </c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9"/>
      <c r="H65" s="9"/>
      <c r="I65" s="9">
        <v>26000</v>
      </c>
      <c r="J65" s="9" t="s">
        <v>672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>
        <v>500000</v>
      </c>
      <c r="J66" s="9" t="s">
        <v>984</v>
      </c>
      <c r="K66" s="9"/>
      <c r="L66" s="9"/>
      <c r="M66" s="9"/>
      <c r="N66" s="9"/>
    </row>
    <row r="67" spans="1:14" ht="32" x14ac:dyDescent="0.2">
      <c r="A67" s="74"/>
      <c r="B67" s="58"/>
      <c r="C67" s="49"/>
      <c r="D67" s="13"/>
      <c r="E67" s="15"/>
      <c r="F67" s="9"/>
      <c r="G67" s="9"/>
      <c r="H67" s="9"/>
      <c r="I67" s="9">
        <v>175500</v>
      </c>
      <c r="J67" s="47" t="s">
        <v>986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/>
      <c r="J68" s="9"/>
      <c r="K68" s="9"/>
      <c r="L68" s="9"/>
      <c r="M68" s="9"/>
      <c r="N68" s="9"/>
    </row>
    <row r="69" spans="1:14" ht="19" x14ac:dyDescent="0.2">
      <c r="A69" s="74">
        <v>899000</v>
      </c>
      <c r="B69" s="33"/>
      <c r="C69" s="2" t="s">
        <v>10</v>
      </c>
      <c r="D69" s="13" t="s">
        <v>565</v>
      </c>
      <c r="E69" s="9">
        <v>658000</v>
      </c>
      <c r="F69" s="9">
        <v>241000</v>
      </c>
      <c r="G69" s="9"/>
      <c r="H69" s="9"/>
      <c r="I69" s="9">
        <v>100000</v>
      </c>
      <c r="J69" s="9" t="s">
        <v>827</v>
      </c>
      <c r="K69" s="9"/>
      <c r="L69" s="9"/>
      <c r="M69" s="9"/>
      <c r="N69" s="9"/>
    </row>
    <row r="70" spans="1:14" ht="19" x14ac:dyDescent="0.2">
      <c r="A70" s="74"/>
      <c r="B70" s="32"/>
      <c r="C70" s="3"/>
      <c r="D70" s="13"/>
      <c r="E70" s="15"/>
      <c r="F70" s="9"/>
      <c r="G70" s="9"/>
      <c r="H70" s="60"/>
      <c r="I70" s="9">
        <v>50000</v>
      </c>
      <c r="J70" s="9" t="s">
        <v>59</v>
      </c>
      <c r="K70" s="9"/>
      <c r="L70" s="9"/>
      <c r="M70" s="9"/>
      <c r="N70" s="9"/>
    </row>
    <row r="71" spans="1:14" ht="19" x14ac:dyDescent="0.2">
      <c r="A71" s="74"/>
      <c r="B71" s="33"/>
      <c r="C71" s="2"/>
      <c r="D71" s="13"/>
      <c r="E71" s="15"/>
      <c r="F71" s="9"/>
      <c r="G71" s="9"/>
      <c r="H71" s="9"/>
      <c r="I71" s="9"/>
      <c r="J71" s="9"/>
      <c r="K71" s="9"/>
      <c r="L71" s="9"/>
      <c r="M71" s="9"/>
      <c r="N71" s="9"/>
    </row>
    <row r="72" spans="1:14" ht="19" x14ac:dyDescent="0.2">
      <c r="A72" s="74"/>
      <c r="B72" s="32">
        <v>44660</v>
      </c>
      <c r="C72" s="35"/>
      <c r="D72" s="13"/>
      <c r="E72" s="15"/>
      <c r="F72" s="9"/>
      <c r="G72" s="9"/>
      <c r="H72" s="9" t="s">
        <v>737</v>
      </c>
      <c r="I72" s="9"/>
      <c r="J72" s="9"/>
      <c r="K72" s="9"/>
      <c r="L72" s="9"/>
      <c r="M72" s="9"/>
      <c r="N72" s="9"/>
    </row>
    <row r="73" spans="1:14" ht="19" x14ac:dyDescent="0.2">
      <c r="A73" s="74"/>
      <c r="B73" s="58"/>
      <c r="C73" s="49"/>
      <c r="D73" s="13"/>
      <c r="E73" s="15"/>
      <c r="F73" s="9"/>
      <c r="G73" s="60"/>
      <c r="H73" s="60"/>
      <c r="I73" s="9"/>
      <c r="J73" s="9"/>
      <c r="K73" s="9"/>
      <c r="L73" s="9"/>
      <c r="M73" s="9"/>
      <c r="N73" s="9"/>
    </row>
    <row r="74" spans="1:14" ht="19" x14ac:dyDescent="0.2">
      <c r="A74" s="61">
        <v>1491000</v>
      </c>
      <c r="B74" s="58">
        <v>44661</v>
      </c>
      <c r="C74" s="2" t="s">
        <v>440</v>
      </c>
      <c r="D74" s="13" t="s">
        <v>405</v>
      </c>
      <c r="E74" s="15">
        <v>1238000</v>
      </c>
      <c r="F74" s="9">
        <v>253000</v>
      </c>
      <c r="G74" s="9"/>
      <c r="H74" s="9"/>
      <c r="I74" s="9">
        <v>306000</v>
      </c>
      <c r="J74" s="9" t="s">
        <v>987</v>
      </c>
      <c r="K74" s="9"/>
      <c r="L74" s="9"/>
      <c r="M74" s="9"/>
      <c r="N74" s="9"/>
    </row>
    <row r="75" spans="1:14" ht="19" x14ac:dyDescent="0.2">
      <c r="A75" s="61"/>
      <c r="B75" s="58"/>
      <c r="C75" s="3"/>
      <c r="D75" s="13"/>
      <c r="E75" s="15"/>
      <c r="F75" s="9"/>
      <c r="G75" s="9"/>
      <c r="H75" s="9"/>
      <c r="I75" s="9">
        <v>69500</v>
      </c>
      <c r="J75" s="9" t="s">
        <v>988</v>
      </c>
      <c r="K75" s="9"/>
      <c r="L75" s="9"/>
      <c r="M75" s="9"/>
      <c r="N75" s="9"/>
    </row>
    <row r="76" spans="1:14" ht="19" x14ac:dyDescent="0.2">
      <c r="A76" s="61"/>
      <c r="B76" s="58"/>
      <c r="C76" s="49"/>
      <c r="D76" s="13"/>
      <c r="E76" s="15"/>
      <c r="F76" s="9"/>
      <c r="G76" s="9"/>
      <c r="H76" s="9"/>
      <c r="I76" s="9">
        <v>14500</v>
      </c>
      <c r="J76" s="9" t="s">
        <v>989</v>
      </c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9"/>
      <c r="H77" s="9"/>
      <c r="I77" s="9">
        <v>9000</v>
      </c>
      <c r="J77" s="9" t="s">
        <v>863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9"/>
      <c r="H78" s="9"/>
      <c r="I78" s="9">
        <v>27000</v>
      </c>
      <c r="J78" s="9" t="s">
        <v>990</v>
      </c>
      <c r="K78" s="9"/>
      <c r="L78" s="9"/>
      <c r="M78" s="9"/>
      <c r="N78" s="9"/>
    </row>
    <row r="79" spans="1:14" ht="19" x14ac:dyDescent="0.2">
      <c r="A79" s="61">
        <v>1050000</v>
      </c>
      <c r="B79" s="58"/>
      <c r="C79" s="49" t="s">
        <v>363</v>
      </c>
      <c r="D79" s="13" t="s">
        <v>565</v>
      </c>
      <c r="E79" s="15">
        <v>817000</v>
      </c>
      <c r="F79" s="9">
        <v>233000</v>
      </c>
      <c r="G79" s="9">
        <v>529000</v>
      </c>
      <c r="H79" s="9" t="s">
        <v>799</v>
      </c>
      <c r="I79" s="9">
        <v>15500</v>
      </c>
      <c r="J79" s="9" t="s">
        <v>991</v>
      </c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9"/>
      <c r="H80" s="9"/>
      <c r="I80" s="9">
        <v>35500</v>
      </c>
      <c r="J80" s="9" t="s">
        <v>992</v>
      </c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9"/>
      <c r="H81" s="9"/>
      <c r="I81" s="9">
        <v>200000</v>
      </c>
      <c r="J81" s="9" t="s">
        <v>993</v>
      </c>
      <c r="K81" s="9"/>
      <c r="L81" s="9"/>
      <c r="M81" s="9"/>
      <c r="N81" s="9"/>
    </row>
    <row r="82" spans="1:14" ht="19" x14ac:dyDescent="0.2">
      <c r="A82" s="61">
        <v>1424000</v>
      </c>
      <c r="B82" s="58">
        <v>44662</v>
      </c>
      <c r="C82" s="49" t="s">
        <v>440</v>
      </c>
      <c r="D82" s="13" t="s">
        <v>405</v>
      </c>
      <c r="E82" s="15">
        <v>1279000</v>
      </c>
      <c r="F82" s="9">
        <v>145000</v>
      </c>
      <c r="G82" s="9"/>
      <c r="H82" s="9"/>
      <c r="I82" s="9"/>
      <c r="J82" s="9"/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9"/>
      <c r="H83" s="9"/>
      <c r="I83" s="9"/>
      <c r="J83" s="9"/>
      <c r="K83" s="9"/>
      <c r="L83" s="9"/>
      <c r="M83" s="9"/>
      <c r="N83" s="9"/>
    </row>
    <row r="84" spans="1:14" ht="19" x14ac:dyDescent="0.2">
      <c r="A84" s="61">
        <v>1055000</v>
      </c>
      <c r="B84" s="58"/>
      <c r="C84" s="49" t="s">
        <v>363</v>
      </c>
      <c r="D84" s="13" t="s">
        <v>565</v>
      </c>
      <c r="E84" s="15">
        <v>851000</v>
      </c>
      <c r="F84" s="9">
        <v>204000</v>
      </c>
      <c r="G84" s="9"/>
      <c r="H84" s="9"/>
      <c r="I84" s="9">
        <v>80000</v>
      </c>
      <c r="J84" s="9" t="s">
        <v>651</v>
      </c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9"/>
      <c r="H85" s="9"/>
      <c r="I85" s="9">
        <v>28000</v>
      </c>
      <c r="J85" s="9" t="s">
        <v>994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9"/>
      <c r="H86" s="9"/>
      <c r="I86" s="9">
        <v>144000</v>
      </c>
      <c r="J86" s="9" t="s">
        <v>615</v>
      </c>
      <c r="K86" s="9"/>
      <c r="L86" s="9"/>
      <c r="M86" s="9"/>
      <c r="N86" s="9"/>
    </row>
    <row r="87" spans="1:14" ht="19" x14ac:dyDescent="0.2">
      <c r="A87" s="61">
        <v>1328000</v>
      </c>
      <c r="B87" s="58">
        <v>44663</v>
      </c>
      <c r="C87" s="49" t="s">
        <v>9</v>
      </c>
      <c r="D87" s="13" t="s">
        <v>405</v>
      </c>
      <c r="E87" s="15">
        <v>1168000</v>
      </c>
      <c r="F87" s="9">
        <v>160000</v>
      </c>
      <c r="G87" s="9"/>
      <c r="H87" s="9"/>
      <c r="I87" s="9">
        <v>17000</v>
      </c>
      <c r="J87" s="9" t="s">
        <v>948</v>
      </c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9"/>
      <c r="H88" s="9"/>
      <c r="I88" s="9">
        <v>100000</v>
      </c>
      <c r="J88" s="9" t="s">
        <v>659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9"/>
      <c r="H89" s="9"/>
      <c r="I89" s="9">
        <v>100000</v>
      </c>
      <c r="J89" s="9" t="s">
        <v>827</v>
      </c>
      <c r="K89" s="9"/>
      <c r="L89" s="9"/>
      <c r="M89" s="9"/>
      <c r="N89" s="9"/>
    </row>
    <row r="90" spans="1:14" ht="19" x14ac:dyDescent="0.2">
      <c r="A90" s="74">
        <v>1048000</v>
      </c>
      <c r="B90" s="58"/>
      <c r="C90" s="49" t="s">
        <v>10</v>
      </c>
      <c r="D90" s="13" t="s">
        <v>565</v>
      </c>
      <c r="E90" s="15">
        <v>910000</v>
      </c>
      <c r="F90" s="9">
        <v>138000</v>
      </c>
      <c r="G90" s="9"/>
      <c r="H90" s="9"/>
      <c r="I90" s="9">
        <v>77500</v>
      </c>
      <c r="J90" s="9" t="s">
        <v>995</v>
      </c>
      <c r="K90" s="9"/>
      <c r="L90" s="9"/>
      <c r="M90" s="9"/>
      <c r="N90" s="9"/>
    </row>
    <row r="91" spans="1:14" ht="19" x14ac:dyDescent="0.2">
      <c r="A91" s="61"/>
      <c r="B91" s="75"/>
      <c r="C91" s="2"/>
      <c r="D91" s="13"/>
      <c r="E91" s="15"/>
      <c r="F91" s="9"/>
      <c r="G91" s="9"/>
      <c r="H91" s="9"/>
      <c r="I91" s="9">
        <v>4500</v>
      </c>
      <c r="J91" s="9" t="s">
        <v>642</v>
      </c>
      <c r="K91" s="9"/>
      <c r="L91" s="9"/>
      <c r="M91" s="9"/>
      <c r="N91" s="9"/>
    </row>
    <row r="92" spans="1:14" ht="19" x14ac:dyDescent="0.2">
      <c r="A92" s="61"/>
      <c r="B92" s="58"/>
      <c r="C92" s="3"/>
      <c r="D92" s="13"/>
      <c r="E92" s="15"/>
      <c r="F92" s="9"/>
      <c r="G92" s="9"/>
      <c r="H92" s="9"/>
      <c r="I92" s="9">
        <v>104000</v>
      </c>
      <c r="J92" s="9" t="s">
        <v>807</v>
      </c>
      <c r="K92" s="9"/>
      <c r="L92" s="9"/>
      <c r="M92" s="9"/>
      <c r="N92" s="9"/>
    </row>
    <row r="93" spans="1:14" ht="19" x14ac:dyDescent="0.2">
      <c r="A93" s="61">
        <v>1368000</v>
      </c>
      <c r="B93" s="58">
        <v>44664</v>
      </c>
      <c r="C93" s="49" t="s">
        <v>9</v>
      </c>
      <c r="D93" s="13" t="s">
        <v>405</v>
      </c>
      <c r="E93" s="15">
        <v>1236000</v>
      </c>
      <c r="F93" s="9">
        <v>132000</v>
      </c>
      <c r="G93" s="9"/>
      <c r="H93" s="9"/>
      <c r="I93" s="9">
        <v>44500</v>
      </c>
      <c r="J93" s="9" t="s">
        <v>769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90000</v>
      </c>
      <c r="J94" s="9" t="s">
        <v>996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68000</v>
      </c>
      <c r="J95" s="9" t="s">
        <v>997</v>
      </c>
      <c r="K95" s="9"/>
      <c r="L95" s="9"/>
      <c r="M95" s="9"/>
      <c r="N95" s="9"/>
    </row>
    <row r="96" spans="1:14" ht="19" x14ac:dyDescent="0.2">
      <c r="A96" s="74"/>
      <c r="B96" s="75"/>
      <c r="C96" s="35"/>
      <c r="D96" s="13"/>
      <c r="E96" s="15"/>
      <c r="F96" s="9"/>
      <c r="G96" s="9"/>
      <c r="H96" s="9"/>
      <c r="I96" s="9">
        <v>14000</v>
      </c>
      <c r="J96" s="9" t="s">
        <v>948</v>
      </c>
      <c r="K96" s="9"/>
      <c r="L96" s="9"/>
      <c r="M96" s="9"/>
      <c r="N96" s="9"/>
    </row>
    <row r="97" spans="1:14" ht="19" x14ac:dyDescent="0.2">
      <c r="A97" s="74">
        <v>1201000</v>
      </c>
      <c r="B97" s="75"/>
      <c r="C97" s="35" t="s">
        <v>363</v>
      </c>
      <c r="D97" s="13" t="s">
        <v>565</v>
      </c>
      <c r="E97" s="15">
        <v>889000</v>
      </c>
      <c r="F97" s="9">
        <v>312000</v>
      </c>
      <c r="G97" s="9"/>
      <c r="H97" s="9"/>
      <c r="I97" s="9">
        <v>144000</v>
      </c>
      <c r="J97" s="9" t="s">
        <v>615</v>
      </c>
      <c r="K97" s="9"/>
      <c r="L97" s="9"/>
      <c r="M97" s="9"/>
      <c r="N97" s="9"/>
    </row>
    <row r="98" spans="1:14" ht="19" x14ac:dyDescent="0.2">
      <c r="A98" s="74"/>
      <c r="B98" s="75"/>
      <c r="C98" s="35"/>
      <c r="D98" s="13"/>
      <c r="E98" s="15"/>
      <c r="F98" s="9"/>
      <c r="G98" s="9"/>
      <c r="H98" s="9"/>
      <c r="I98" s="60">
        <v>200000</v>
      </c>
      <c r="J98" s="60" t="s">
        <v>653</v>
      </c>
      <c r="K98" s="9"/>
      <c r="L98" s="9"/>
      <c r="M98" s="9"/>
      <c r="N98" s="9"/>
    </row>
    <row r="99" spans="1:14" ht="19" x14ac:dyDescent="0.2">
      <c r="A99" s="74"/>
      <c r="B99" s="75"/>
      <c r="C99" s="35"/>
      <c r="D99" s="13"/>
      <c r="E99" s="15"/>
      <c r="F99" s="9"/>
      <c r="G99" s="9"/>
      <c r="H99" s="9"/>
      <c r="I99" s="60">
        <v>35000</v>
      </c>
      <c r="J99" s="60" t="s">
        <v>655</v>
      </c>
      <c r="K99" s="9"/>
      <c r="L99" s="9"/>
      <c r="M99" s="9"/>
      <c r="N99" s="9"/>
    </row>
    <row r="100" spans="1:14" ht="19" x14ac:dyDescent="0.2">
      <c r="A100" s="74"/>
      <c r="B100" s="75"/>
      <c r="C100" s="35"/>
      <c r="D100" s="13"/>
      <c r="E100" s="15"/>
      <c r="F100" s="9"/>
      <c r="G100" s="9"/>
      <c r="H100" s="9"/>
      <c r="I100" s="60"/>
      <c r="J100" s="60"/>
      <c r="K100" s="9"/>
      <c r="L100" s="9"/>
      <c r="M100" s="9"/>
      <c r="N100" s="9"/>
    </row>
    <row r="101" spans="1:14" ht="19" x14ac:dyDescent="0.2">
      <c r="A101" s="61">
        <v>1620000</v>
      </c>
      <c r="B101" s="58">
        <v>44665</v>
      </c>
      <c r="C101" s="3" t="s">
        <v>9</v>
      </c>
      <c r="D101" s="13" t="s">
        <v>405</v>
      </c>
      <c r="E101" s="15">
        <v>1391000</v>
      </c>
      <c r="F101" s="9">
        <v>229000</v>
      </c>
      <c r="G101" s="60"/>
      <c r="H101" s="60"/>
      <c r="I101" s="60">
        <v>34000</v>
      </c>
      <c r="J101" s="60" t="s">
        <v>640</v>
      </c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9">
        <v>33000</v>
      </c>
      <c r="J102" s="9" t="s">
        <v>998</v>
      </c>
      <c r="K102" s="9"/>
      <c r="L102" s="9"/>
      <c r="M102" s="9"/>
      <c r="N102" s="9"/>
    </row>
    <row r="103" spans="1:14" ht="32" x14ac:dyDescent="0.2">
      <c r="A103" s="74"/>
      <c r="B103" s="58"/>
      <c r="C103" s="49"/>
      <c r="D103" s="13"/>
      <c r="E103" s="15"/>
      <c r="F103" s="9"/>
      <c r="G103" s="9"/>
      <c r="H103" s="9"/>
      <c r="I103" s="9">
        <v>620000</v>
      </c>
      <c r="J103" s="47" t="s">
        <v>999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60">
        <v>60000</v>
      </c>
      <c r="J104" s="9" t="s">
        <v>585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60">
        <v>32000</v>
      </c>
      <c r="J105" s="9" t="s">
        <v>1000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60">
        <v>35000</v>
      </c>
      <c r="J106" s="9" t="s">
        <v>1001</v>
      </c>
      <c r="K106" s="9"/>
      <c r="L106" s="9"/>
      <c r="M106" s="9"/>
      <c r="N106" s="9"/>
    </row>
    <row r="107" spans="1:14" ht="19" x14ac:dyDescent="0.2">
      <c r="A107" s="61">
        <v>1133000</v>
      </c>
      <c r="B107" s="58"/>
      <c r="C107" s="2" t="s">
        <v>10</v>
      </c>
      <c r="D107" s="13" t="s">
        <v>565</v>
      </c>
      <c r="E107" s="15">
        <v>989000</v>
      </c>
      <c r="F107" s="9">
        <v>144000</v>
      </c>
      <c r="G107" s="9"/>
      <c r="H107" s="9"/>
      <c r="I107" s="9"/>
      <c r="J107" s="9"/>
      <c r="K107" s="9"/>
      <c r="L107" s="9"/>
      <c r="M107" s="9"/>
      <c r="N107" s="9"/>
    </row>
    <row r="108" spans="1:14" ht="19" x14ac:dyDescent="0.2">
      <c r="A108" s="74"/>
      <c r="B108" s="58"/>
      <c r="C108" s="35"/>
      <c r="D108" s="13"/>
      <c r="E108" s="15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9" x14ac:dyDescent="0.2">
      <c r="A109" s="61">
        <v>1695000</v>
      </c>
      <c r="B109" s="58">
        <v>44666</v>
      </c>
      <c r="C109" s="3" t="s">
        <v>9</v>
      </c>
      <c r="D109" s="13" t="s">
        <v>405</v>
      </c>
      <c r="E109" s="15">
        <v>1449000</v>
      </c>
      <c r="F109" s="9">
        <v>246000</v>
      </c>
      <c r="G109" s="9">
        <v>2680000</v>
      </c>
      <c r="H109" s="9" t="s">
        <v>812</v>
      </c>
      <c r="I109" s="9"/>
      <c r="J109" s="9"/>
      <c r="K109" s="9"/>
      <c r="L109" s="9"/>
      <c r="M109" s="9"/>
      <c r="N109" s="9"/>
    </row>
    <row r="110" spans="1:14" ht="32" x14ac:dyDescent="0.2">
      <c r="A110" s="74"/>
      <c r="B110" s="58"/>
      <c r="C110" s="49"/>
      <c r="D110" s="13"/>
      <c r="E110" s="15"/>
      <c r="F110" s="9"/>
      <c r="G110" s="9">
        <v>608000</v>
      </c>
      <c r="H110" s="47" t="s">
        <v>1002</v>
      </c>
      <c r="I110" s="9"/>
      <c r="J110" s="9"/>
      <c r="K110" s="9"/>
      <c r="L110" s="9"/>
      <c r="M110" s="9"/>
      <c r="N110" s="9"/>
    </row>
    <row r="111" spans="1:14" ht="19" x14ac:dyDescent="0.2">
      <c r="A111" s="74"/>
      <c r="B111" s="58"/>
      <c r="C111" s="49"/>
      <c r="D111" s="13"/>
      <c r="E111" s="15"/>
      <c r="F111" s="9"/>
      <c r="G111" s="9">
        <v>280000</v>
      </c>
      <c r="H111" s="9" t="s">
        <v>699</v>
      </c>
      <c r="I111" s="9"/>
      <c r="J111" s="9"/>
      <c r="K111" s="9"/>
      <c r="L111" s="9"/>
      <c r="M111" s="9"/>
      <c r="N111" s="9"/>
    </row>
    <row r="112" spans="1:14" ht="32" x14ac:dyDescent="0.2">
      <c r="A112" s="74"/>
      <c r="B112" s="58"/>
      <c r="C112" s="49"/>
      <c r="D112" s="13"/>
      <c r="E112" s="15"/>
      <c r="F112" s="9"/>
      <c r="G112" s="9">
        <v>1028000</v>
      </c>
      <c r="H112" s="47" t="s">
        <v>1003</v>
      </c>
      <c r="I112" s="9"/>
      <c r="J112" s="9"/>
      <c r="K112" s="9"/>
      <c r="L112" s="9"/>
      <c r="M112" s="9"/>
      <c r="N112" s="9"/>
    </row>
    <row r="113" spans="1:14" ht="19" x14ac:dyDescent="0.2">
      <c r="A113" s="74"/>
      <c r="B113" s="58"/>
      <c r="C113" s="49"/>
      <c r="D113" s="13"/>
      <c r="E113" s="15"/>
      <c r="F113" s="9"/>
      <c r="G113" s="9">
        <v>240000</v>
      </c>
      <c r="H113" s="9" t="s">
        <v>870</v>
      </c>
      <c r="I113" s="9"/>
      <c r="J113" s="9"/>
      <c r="K113" s="9"/>
      <c r="L113" s="9"/>
      <c r="M113" s="9"/>
      <c r="N113" s="9"/>
    </row>
    <row r="114" spans="1:14" ht="19" x14ac:dyDescent="0.2">
      <c r="A114" s="61">
        <v>1182000</v>
      </c>
      <c r="B114" s="75"/>
      <c r="C114" s="2" t="s">
        <v>10</v>
      </c>
      <c r="D114" s="13" t="s">
        <v>565</v>
      </c>
      <c r="E114" s="15">
        <v>1057000</v>
      </c>
      <c r="F114" s="9">
        <v>125000</v>
      </c>
      <c r="G114" s="9"/>
      <c r="H114" s="9"/>
      <c r="I114" s="9">
        <v>50000</v>
      </c>
      <c r="J114" s="9" t="s">
        <v>59</v>
      </c>
      <c r="K114" s="9"/>
      <c r="L114" s="9"/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/>
      <c r="H115" s="9"/>
      <c r="I115" s="9">
        <v>30000</v>
      </c>
      <c r="J115" s="9" t="s">
        <v>756</v>
      </c>
      <c r="K115" s="9"/>
      <c r="L115" s="9"/>
      <c r="M115" s="9"/>
      <c r="N115" s="9"/>
    </row>
    <row r="116" spans="1:14" ht="19" x14ac:dyDescent="0.2">
      <c r="A116" s="74"/>
      <c r="B116" s="75"/>
      <c r="C116" s="35"/>
      <c r="D116" s="13"/>
      <c r="E116" s="15"/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19" x14ac:dyDescent="0.2">
      <c r="A117" s="61"/>
      <c r="B117" s="58">
        <v>44667</v>
      </c>
      <c r="C117" s="35"/>
      <c r="D117" s="13"/>
      <c r="E117" s="15"/>
      <c r="F117" s="9"/>
      <c r="G117" s="9"/>
      <c r="H117" s="9" t="s">
        <v>737</v>
      </c>
      <c r="I117" s="9"/>
      <c r="J117" s="9"/>
      <c r="K117" s="9"/>
      <c r="L117" s="9"/>
      <c r="M117" s="9"/>
      <c r="N117" s="9"/>
    </row>
    <row r="118" spans="1:14" ht="19" x14ac:dyDescent="0.2">
      <c r="A118" s="61"/>
      <c r="B118" s="75"/>
      <c r="C118" s="2"/>
      <c r="D118" s="13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74">
        <v>1305000</v>
      </c>
      <c r="B119" s="58">
        <v>44668</v>
      </c>
      <c r="C119" s="35" t="s">
        <v>440</v>
      </c>
      <c r="D119" s="13" t="s">
        <v>405</v>
      </c>
      <c r="E119" s="15">
        <v>1160000</v>
      </c>
      <c r="F119" s="9">
        <v>145000</v>
      </c>
      <c r="G119" s="9"/>
      <c r="H119" s="9"/>
      <c r="I119" s="9">
        <v>65000</v>
      </c>
      <c r="J119" s="9" t="s">
        <v>908</v>
      </c>
      <c r="K119" s="9"/>
      <c r="L119" s="9"/>
      <c r="M119" s="9"/>
      <c r="N119" s="9"/>
    </row>
    <row r="120" spans="1:14" ht="32" x14ac:dyDescent="0.2">
      <c r="A120" s="74"/>
      <c r="B120" s="58"/>
      <c r="C120" s="35"/>
      <c r="D120" s="13"/>
      <c r="E120" s="15"/>
      <c r="F120" s="9"/>
      <c r="G120" s="9"/>
      <c r="H120" s="9"/>
      <c r="I120" s="9">
        <v>620000</v>
      </c>
      <c r="J120" s="47" t="s">
        <v>117</v>
      </c>
      <c r="K120" s="9"/>
      <c r="L120" s="9"/>
      <c r="M120" s="9"/>
      <c r="N120" s="9"/>
    </row>
    <row r="121" spans="1:14" ht="19" x14ac:dyDescent="0.2">
      <c r="A121" s="74"/>
      <c r="B121" s="58"/>
      <c r="C121" s="35"/>
      <c r="D121" s="13"/>
      <c r="E121" s="15"/>
      <c r="F121" s="9"/>
      <c r="G121" s="9"/>
      <c r="H121" s="9"/>
      <c r="I121" s="9">
        <v>60000</v>
      </c>
      <c r="J121" s="9" t="s">
        <v>585</v>
      </c>
      <c r="K121" s="9"/>
      <c r="L121" s="9"/>
      <c r="M121" s="9"/>
      <c r="N121" s="9"/>
    </row>
    <row r="122" spans="1:14" ht="19" x14ac:dyDescent="0.2">
      <c r="A122" s="74"/>
      <c r="B122" s="75"/>
      <c r="C122" s="35"/>
      <c r="D122" s="13"/>
      <c r="E122" s="15"/>
      <c r="F122" s="9"/>
      <c r="G122" s="9"/>
      <c r="H122" s="9"/>
      <c r="I122" s="60"/>
      <c r="J122" s="60"/>
      <c r="K122" s="9"/>
      <c r="L122" s="9"/>
      <c r="M122" s="9"/>
      <c r="N122" s="9"/>
    </row>
    <row r="123" spans="1:14" ht="19" x14ac:dyDescent="0.2">
      <c r="A123" s="74">
        <v>910000</v>
      </c>
      <c r="B123" s="75"/>
      <c r="C123" s="35" t="s">
        <v>363</v>
      </c>
      <c r="D123" s="13" t="s">
        <v>565</v>
      </c>
      <c r="E123" s="15">
        <v>637000</v>
      </c>
      <c r="F123" s="9">
        <v>273000</v>
      </c>
      <c r="G123" s="9"/>
      <c r="H123" s="9"/>
      <c r="I123" s="9">
        <v>144000</v>
      </c>
      <c r="J123" s="9" t="s">
        <v>615</v>
      </c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9">
        <v>60000</v>
      </c>
      <c r="J124" s="9" t="s">
        <v>850</v>
      </c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/>
      <c r="H125" s="9"/>
      <c r="I125" s="9">
        <v>35000</v>
      </c>
      <c r="J125" s="9" t="s">
        <v>1001</v>
      </c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9">
        <v>30000</v>
      </c>
      <c r="J126" s="9" t="s">
        <v>756</v>
      </c>
      <c r="K126" s="9"/>
      <c r="L126" s="9"/>
      <c r="M126" s="9"/>
      <c r="N126" s="9"/>
    </row>
    <row r="127" spans="1:14" ht="19" x14ac:dyDescent="0.2">
      <c r="A127" s="74"/>
      <c r="B127" s="75"/>
      <c r="C127" s="35"/>
      <c r="D127" s="13"/>
      <c r="E127" s="15"/>
      <c r="F127" s="9"/>
      <c r="G127" s="9"/>
      <c r="H127" s="9"/>
      <c r="I127" s="9">
        <f>SUBTOTAL(109,I126)</f>
        <v>30000</v>
      </c>
      <c r="J127" s="9" t="s">
        <v>672</v>
      </c>
      <c r="K127" s="9"/>
      <c r="L127" s="9"/>
      <c r="M127" s="9"/>
      <c r="N127" s="9"/>
    </row>
    <row r="128" spans="1:14" ht="19" x14ac:dyDescent="0.2">
      <c r="A128" s="74"/>
      <c r="B128" s="75"/>
      <c r="C128" s="35"/>
      <c r="D128" s="13"/>
      <c r="E128" s="15"/>
      <c r="F128" s="9"/>
      <c r="G128" s="9"/>
      <c r="H128" s="9"/>
      <c r="I128" s="9"/>
      <c r="J128" s="9"/>
      <c r="K128" s="9"/>
      <c r="L128" s="9"/>
      <c r="M128" s="9"/>
      <c r="N128" s="9"/>
    </row>
    <row r="129" spans="1:14" ht="19" x14ac:dyDescent="0.2">
      <c r="A129" s="74">
        <v>1857000</v>
      </c>
      <c r="B129" s="58">
        <v>44669</v>
      </c>
      <c r="C129" s="35" t="s">
        <v>440</v>
      </c>
      <c r="D129" s="13" t="s">
        <v>405</v>
      </c>
      <c r="E129" s="15">
        <v>1513000</v>
      </c>
      <c r="F129" s="9">
        <v>344000</v>
      </c>
      <c r="G129" s="9"/>
      <c r="H129" s="9"/>
      <c r="I129" s="9">
        <v>63000</v>
      </c>
      <c r="J129" s="9" t="s">
        <v>1004</v>
      </c>
      <c r="K129" s="9"/>
      <c r="L129" s="9"/>
      <c r="M129" s="9"/>
      <c r="N129" s="9"/>
    </row>
    <row r="130" spans="1:14" ht="19" x14ac:dyDescent="0.2">
      <c r="A130" s="74"/>
      <c r="B130" s="58"/>
      <c r="C130" s="35"/>
      <c r="D130" s="13"/>
      <c r="E130" s="15"/>
      <c r="F130" s="9"/>
      <c r="G130" s="9"/>
      <c r="H130" s="9"/>
      <c r="I130" s="9">
        <v>11500</v>
      </c>
      <c r="J130" s="9" t="s">
        <v>1005</v>
      </c>
      <c r="K130" s="9"/>
      <c r="L130" s="9"/>
      <c r="M130" s="9"/>
      <c r="N130" s="9"/>
    </row>
    <row r="131" spans="1:14" ht="19" x14ac:dyDescent="0.2">
      <c r="A131" s="74"/>
      <c r="B131" s="58"/>
      <c r="C131" s="35"/>
      <c r="D131" s="13"/>
      <c r="E131" s="15"/>
      <c r="F131" s="9"/>
      <c r="G131" s="9"/>
      <c r="H131" s="9"/>
      <c r="I131" s="9">
        <v>27000</v>
      </c>
      <c r="J131" s="9" t="s">
        <v>672</v>
      </c>
      <c r="K131" s="9"/>
      <c r="L131" s="9"/>
      <c r="M131" s="9"/>
      <c r="N131" s="9"/>
    </row>
    <row r="132" spans="1:14" ht="19" x14ac:dyDescent="0.2">
      <c r="A132" s="74"/>
      <c r="B132" s="58"/>
      <c r="C132" s="35"/>
      <c r="D132" s="13"/>
      <c r="E132" s="15"/>
      <c r="F132" s="9"/>
      <c r="G132" s="9"/>
      <c r="H132" s="9"/>
      <c r="I132" s="9">
        <v>15000</v>
      </c>
      <c r="J132" s="9" t="s">
        <v>1006</v>
      </c>
      <c r="K132" s="9"/>
      <c r="L132" s="9"/>
      <c r="M132" s="9"/>
      <c r="N132" s="9"/>
    </row>
    <row r="133" spans="1:14" ht="19" x14ac:dyDescent="0.2">
      <c r="A133" s="74">
        <v>1442000</v>
      </c>
      <c r="B133" s="58"/>
      <c r="C133" s="35" t="s">
        <v>806</v>
      </c>
      <c r="D133" s="13" t="s">
        <v>565</v>
      </c>
      <c r="E133" s="15">
        <v>987000</v>
      </c>
      <c r="F133" s="9">
        <v>455000</v>
      </c>
      <c r="G133" s="9"/>
      <c r="H133" s="9"/>
      <c r="I133" s="9">
        <v>75000</v>
      </c>
      <c r="J133" s="9" t="s">
        <v>1007</v>
      </c>
      <c r="K133" s="9"/>
      <c r="L133" s="9"/>
      <c r="M133" s="9"/>
      <c r="N133" s="9"/>
    </row>
    <row r="134" spans="1:14" ht="19" x14ac:dyDescent="0.2">
      <c r="A134" s="74"/>
      <c r="B134" s="58"/>
      <c r="C134" s="35"/>
      <c r="D134" s="13"/>
      <c r="E134" s="15"/>
      <c r="F134" s="9"/>
      <c r="G134" s="9"/>
      <c r="H134" s="9"/>
      <c r="I134" s="9">
        <v>75000</v>
      </c>
      <c r="J134" s="9" t="s">
        <v>1008</v>
      </c>
      <c r="K134" s="9"/>
      <c r="L134" s="9"/>
      <c r="M134" s="9"/>
      <c r="N134" s="9"/>
    </row>
    <row r="135" spans="1:14" ht="19" x14ac:dyDescent="0.2">
      <c r="A135" s="74"/>
      <c r="B135" s="58"/>
      <c r="C135" s="35"/>
      <c r="D135" s="13"/>
      <c r="E135" s="15"/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19" x14ac:dyDescent="0.2">
      <c r="A136" s="61">
        <v>1367000</v>
      </c>
      <c r="B136" s="58">
        <v>44670</v>
      </c>
      <c r="C136" s="3" t="s">
        <v>9</v>
      </c>
      <c r="D136" s="13" t="s">
        <v>405</v>
      </c>
      <c r="E136" s="9">
        <v>1283000</v>
      </c>
      <c r="F136" s="9">
        <v>84000</v>
      </c>
      <c r="G136" s="9"/>
      <c r="H136" s="9"/>
      <c r="I136" s="9">
        <v>60000</v>
      </c>
      <c r="J136" s="9" t="s">
        <v>850</v>
      </c>
      <c r="K136" s="9"/>
      <c r="L136" s="9"/>
      <c r="M136" s="9"/>
      <c r="N136" s="9"/>
    </row>
    <row r="137" spans="1:14" ht="19" x14ac:dyDescent="0.2">
      <c r="A137" s="74"/>
      <c r="B137" s="58"/>
      <c r="C137" s="49"/>
      <c r="D137" s="13"/>
      <c r="E137" s="15"/>
      <c r="F137" s="9"/>
      <c r="G137" s="9"/>
      <c r="H137" s="9"/>
      <c r="I137" s="9">
        <v>52000</v>
      </c>
      <c r="J137" s="9" t="s">
        <v>1009</v>
      </c>
      <c r="K137" s="9"/>
      <c r="L137" s="9"/>
      <c r="M137" s="9"/>
      <c r="N137" s="9"/>
    </row>
    <row r="138" spans="1:14" ht="19" x14ac:dyDescent="0.2">
      <c r="A138" s="74"/>
      <c r="B138" s="58"/>
      <c r="C138" s="49"/>
      <c r="D138" s="13"/>
      <c r="E138" s="15"/>
      <c r="F138" s="9"/>
      <c r="G138" s="9"/>
      <c r="H138" s="9"/>
      <c r="I138" s="9">
        <v>144000</v>
      </c>
      <c r="J138" s="9" t="s">
        <v>615</v>
      </c>
      <c r="K138" s="9"/>
      <c r="L138" s="9"/>
      <c r="M138" s="9"/>
      <c r="N138" s="9"/>
    </row>
    <row r="139" spans="1:14" ht="19" x14ac:dyDescent="0.2">
      <c r="A139" s="74"/>
      <c r="B139" s="58"/>
      <c r="C139" s="49"/>
      <c r="D139" s="13"/>
      <c r="E139" s="15"/>
      <c r="F139" s="9"/>
      <c r="G139" s="9"/>
      <c r="H139" s="9"/>
      <c r="I139" s="9"/>
      <c r="J139" s="9"/>
      <c r="K139" s="9"/>
      <c r="L139" s="9"/>
      <c r="M139" s="9"/>
      <c r="N139" s="9"/>
    </row>
    <row r="140" spans="1:14" ht="19" x14ac:dyDescent="0.2">
      <c r="A140" s="61">
        <v>792000</v>
      </c>
      <c r="B140" s="75"/>
      <c r="C140" s="2" t="s">
        <v>10</v>
      </c>
      <c r="D140" s="13" t="s">
        <v>565</v>
      </c>
      <c r="E140" s="9">
        <v>663000</v>
      </c>
      <c r="F140" s="9">
        <v>129000</v>
      </c>
      <c r="G140" s="9"/>
      <c r="H140" s="9"/>
      <c r="I140" s="9">
        <v>179000</v>
      </c>
      <c r="J140" s="9" t="s">
        <v>1022</v>
      </c>
      <c r="K140" s="9"/>
      <c r="L140" s="9"/>
      <c r="M140" s="9"/>
      <c r="N140" s="9"/>
    </row>
    <row r="141" spans="1:14" ht="19" x14ac:dyDescent="0.2">
      <c r="A141" s="74"/>
      <c r="B141" s="75"/>
      <c r="C141" s="35"/>
      <c r="D141" s="13"/>
      <c r="E141" s="15"/>
      <c r="F141" s="9"/>
      <c r="G141" s="9"/>
      <c r="H141" s="9"/>
      <c r="I141" s="9">
        <v>179000</v>
      </c>
      <c r="J141" s="9" t="s">
        <v>1023</v>
      </c>
      <c r="K141" s="9"/>
      <c r="L141" s="9"/>
      <c r="M141" s="9"/>
      <c r="N141" s="9"/>
    </row>
    <row r="142" spans="1:14" ht="19" x14ac:dyDescent="0.2">
      <c r="A142" s="74"/>
      <c r="B142" s="75"/>
      <c r="C142" s="35"/>
      <c r="D142" s="13"/>
      <c r="E142" s="15"/>
      <c r="F142" s="9"/>
      <c r="G142" s="9"/>
      <c r="H142" s="9"/>
      <c r="I142" s="9">
        <v>179000</v>
      </c>
      <c r="J142" s="9" t="s">
        <v>1024</v>
      </c>
      <c r="K142" s="9"/>
      <c r="L142" s="9"/>
      <c r="M142" s="9"/>
      <c r="N142" s="9"/>
    </row>
    <row r="143" spans="1:14" ht="19" x14ac:dyDescent="0.2">
      <c r="A143" s="74"/>
      <c r="B143" s="75"/>
      <c r="C143" s="35"/>
      <c r="D143" s="13"/>
      <c r="E143" s="15"/>
      <c r="F143" s="9"/>
      <c r="G143" s="9"/>
      <c r="H143" s="9"/>
      <c r="I143" s="9">
        <v>134000</v>
      </c>
      <c r="J143" s="9" t="s">
        <v>1025</v>
      </c>
      <c r="K143" s="9"/>
      <c r="L143" s="9"/>
      <c r="M143" s="9"/>
      <c r="N143" s="9"/>
    </row>
    <row r="144" spans="1:14" ht="19" x14ac:dyDescent="0.2">
      <c r="A144" s="74"/>
      <c r="B144" s="75"/>
      <c r="C144" s="35"/>
      <c r="D144" s="13"/>
      <c r="E144" s="15"/>
      <c r="F144" s="9"/>
      <c r="G144" s="9"/>
      <c r="H144" s="9"/>
      <c r="I144" s="9"/>
      <c r="J144" s="9"/>
      <c r="K144" s="9"/>
      <c r="L144" s="9"/>
      <c r="M144" s="9"/>
      <c r="N144" s="9"/>
    </row>
    <row r="145" spans="1:14" ht="19" x14ac:dyDescent="0.2">
      <c r="A145" s="74">
        <v>1188000</v>
      </c>
      <c r="B145" s="58">
        <v>44671</v>
      </c>
      <c r="C145" s="35" t="s">
        <v>9</v>
      </c>
      <c r="D145" s="13" t="s">
        <v>405</v>
      </c>
      <c r="E145" s="15">
        <v>819000</v>
      </c>
      <c r="F145" s="9">
        <v>369000</v>
      </c>
      <c r="G145" s="9">
        <v>3351000</v>
      </c>
      <c r="H145" s="9" t="s">
        <v>658</v>
      </c>
      <c r="I145" s="9"/>
      <c r="J145" s="9"/>
      <c r="K145" s="9"/>
      <c r="L145" s="9"/>
      <c r="M145" s="9"/>
      <c r="N145" s="9"/>
    </row>
    <row r="146" spans="1:14" ht="19" x14ac:dyDescent="0.2">
      <c r="A146" s="74"/>
      <c r="B146" s="58"/>
      <c r="C146" s="35"/>
      <c r="D146" s="13"/>
      <c r="E146" s="15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9" x14ac:dyDescent="0.2">
      <c r="A147" s="61">
        <v>1576000</v>
      </c>
      <c r="B147" s="75"/>
      <c r="C147" s="2" t="s">
        <v>10</v>
      </c>
      <c r="D147" s="13" t="s">
        <v>565</v>
      </c>
      <c r="E147" s="9">
        <v>1169000</v>
      </c>
      <c r="F147" s="9">
        <v>407000</v>
      </c>
      <c r="G147" s="9"/>
      <c r="H147" s="9"/>
      <c r="I147" s="76">
        <v>200000</v>
      </c>
      <c r="J147" s="76" t="s">
        <v>653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76">
        <v>100000</v>
      </c>
      <c r="J148" s="76" t="s">
        <v>827</v>
      </c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76">
        <v>35000</v>
      </c>
      <c r="J149" s="76" t="s">
        <v>655</v>
      </c>
      <c r="K149" s="9"/>
      <c r="L149" s="9"/>
      <c r="M149" s="9"/>
      <c r="N149" s="9"/>
    </row>
    <row r="150" spans="1:14" ht="19" x14ac:dyDescent="0.2">
      <c r="A150" s="74"/>
      <c r="B150" s="58"/>
      <c r="C150" s="49"/>
      <c r="D150" s="13"/>
      <c r="E150" s="15"/>
      <c r="F150" s="9"/>
      <c r="G150" s="9"/>
      <c r="H150" s="9"/>
      <c r="I150" s="76"/>
      <c r="J150" s="76"/>
      <c r="K150" s="9"/>
      <c r="L150" s="9"/>
      <c r="M150" s="9"/>
      <c r="N150" s="9"/>
    </row>
    <row r="151" spans="1:14" ht="19" x14ac:dyDescent="0.2">
      <c r="A151" s="61">
        <v>1176000</v>
      </c>
      <c r="B151" s="58">
        <v>44672</v>
      </c>
      <c r="C151" s="2" t="s">
        <v>9</v>
      </c>
      <c r="D151" s="13" t="s">
        <v>405</v>
      </c>
      <c r="E151" s="15">
        <v>964000</v>
      </c>
      <c r="F151" s="9">
        <v>212000</v>
      </c>
      <c r="G151" s="9"/>
      <c r="H151" s="76"/>
      <c r="I151" s="60">
        <v>31000</v>
      </c>
      <c r="J151" s="60" t="s">
        <v>714</v>
      </c>
      <c r="K151" s="9"/>
      <c r="L151" s="9"/>
      <c r="M151" s="9"/>
      <c r="N151" s="9"/>
    </row>
    <row r="152" spans="1:14" ht="19" x14ac:dyDescent="0.2">
      <c r="A152" s="74"/>
      <c r="B152" s="58"/>
      <c r="C152" s="35"/>
      <c r="D152" s="13"/>
      <c r="E152" s="15"/>
      <c r="F152" s="9"/>
      <c r="G152" s="9">
        <v>250000</v>
      </c>
      <c r="H152" s="76" t="s">
        <v>963</v>
      </c>
      <c r="I152" s="60">
        <v>54000</v>
      </c>
      <c r="J152" s="60" t="s">
        <v>716</v>
      </c>
      <c r="K152" s="9"/>
      <c r="L152" s="9"/>
      <c r="M152" s="9"/>
      <c r="N152" s="9"/>
    </row>
    <row r="153" spans="1:14" ht="19" x14ac:dyDescent="0.2">
      <c r="A153" s="74"/>
      <c r="B153" s="58"/>
      <c r="C153" s="35"/>
      <c r="D153" s="13"/>
      <c r="E153" s="15"/>
      <c r="F153" s="9"/>
      <c r="G153" s="9"/>
      <c r="H153" s="76"/>
      <c r="I153" s="60"/>
      <c r="J153" s="60"/>
      <c r="K153" s="9"/>
      <c r="L153" s="9"/>
      <c r="M153" s="9"/>
      <c r="N153" s="9"/>
    </row>
    <row r="154" spans="1:14" ht="19" x14ac:dyDescent="0.2">
      <c r="A154" s="74"/>
      <c r="B154" s="58"/>
      <c r="C154" s="35"/>
      <c r="D154" s="13"/>
      <c r="E154" s="15"/>
      <c r="F154" s="9"/>
      <c r="G154" s="9"/>
      <c r="H154" s="76"/>
      <c r="I154" s="60"/>
      <c r="J154" s="60"/>
      <c r="K154" s="9"/>
      <c r="L154" s="9"/>
      <c r="M154" s="9"/>
      <c r="N154" s="9"/>
    </row>
    <row r="155" spans="1:14" ht="19" x14ac:dyDescent="0.2">
      <c r="A155" s="61">
        <v>1512000</v>
      </c>
      <c r="B155" s="58"/>
      <c r="C155" s="3" t="s">
        <v>10</v>
      </c>
      <c r="D155" s="13" t="s">
        <v>565</v>
      </c>
      <c r="E155" s="15">
        <v>1368000</v>
      </c>
      <c r="F155" s="9">
        <v>144000</v>
      </c>
      <c r="G155" s="9"/>
      <c r="H155" s="9"/>
      <c r="I155" s="9">
        <v>80000</v>
      </c>
      <c r="J155" s="9" t="s">
        <v>651</v>
      </c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9"/>
      <c r="I156" s="9">
        <v>144000</v>
      </c>
      <c r="J156" s="9" t="s">
        <v>615</v>
      </c>
      <c r="K156" s="9"/>
      <c r="L156" s="9"/>
      <c r="M156" s="9"/>
      <c r="N156" s="9"/>
    </row>
    <row r="157" spans="1:14" ht="19" x14ac:dyDescent="0.2">
      <c r="A157" s="61">
        <v>1004000</v>
      </c>
      <c r="B157" s="58">
        <v>44673</v>
      </c>
      <c r="C157" s="3" t="s">
        <v>440</v>
      </c>
      <c r="D157" s="13" t="s">
        <v>405</v>
      </c>
      <c r="E157" s="15">
        <v>792000</v>
      </c>
      <c r="F157" s="9">
        <v>212000</v>
      </c>
      <c r="G157" s="9"/>
      <c r="H157" s="9"/>
      <c r="I157" s="9">
        <v>52000</v>
      </c>
      <c r="J157" s="9" t="s">
        <v>1011</v>
      </c>
      <c r="K157" s="9"/>
      <c r="L157" s="9"/>
      <c r="M157" s="9"/>
      <c r="N157" s="9"/>
    </row>
    <row r="158" spans="1:14" ht="19" x14ac:dyDescent="0.2">
      <c r="A158" s="74"/>
      <c r="B158" s="58"/>
      <c r="C158" s="49"/>
      <c r="D158" s="13"/>
      <c r="E158" s="15"/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9" x14ac:dyDescent="0.2">
      <c r="A159" s="74">
        <v>1046000</v>
      </c>
      <c r="B159" s="58"/>
      <c r="C159" s="49" t="s">
        <v>363</v>
      </c>
      <c r="D159" s="13" t="s">
        <v>565</v>
      </c>
      <c r="E159" s="15">
        <v>930000</v>
      </c>
      <c r="F159" s="9">
        <v>116000</v>
      </c>
      <c r="G159" s="9"/>
      <c r="H159" s="9"/>
      <c r="I159" s="9">
        <v>50000</v>
      </c>
      <c r="J159" s="9" t="s">
        <v>59</v>
      </c>
      <c r="K159" s="9"/>
      <c r="L159" s="9"/>
      <c r="M159" s="9"/>
      <c r="N159" s="9"/>
    </row>
    <row r="160" spans="1:14" ht="19" x14ac:dyDescent="0.2">
      <c r="A160" s="74"/>
      <c r="B160" s="58"/>
      <c r="C160" s="49"/>
      <c r="D160" s="13"/>
      <c r="E160" s="15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19" x14ac:dyDescent="0.2">
      <c r="A161" s="61"/>
      <c r="B161" s="58">
        <v>44674</v>
      </c>
      <c r="C161" s="3"/>
      <c r="D161" s="13"/>
      <c r="E161" s="15"/>
      <c r="F161" s="9"/>
      <c r="G161" s="9"/>
      <c r="H161" s="9" t="s">
        <v>737</v>
      </c>
      <c r="I161" s="9">
        <v>48000</v>
      </c>
      <c r="J161" s="9" t="s">
        <v>982</v>
      </c>
      <c r="K161" s="9"/>
      <c r="L161" s="9"/>
      <c r="M161" s="9"/>
      <c r="N161" s="9"/>
    </row>
    <row r="162" spans="1:14" ht="19" x14ac:dyDescent="0.2">
      <c r="A162" s="74"/>
      <c r="B162" s="75"/>
      <c r="C162" s="35"/>
      <c r="D162" s="13"/>
      <c r="E162" s="15"/>
      <c r="F162" s="9"/>
      <c r="G162" s="9"/>
      <c r="H162" s="77"/>
      <c r="I162" s="9">
        <v>90000</v>
      </c>
      <c r="J162" s="9" t="s">
        <v>916</v>
      </c>
      <c r="K162" s="9"/>
      <c r="L162" s="9"/>
      <c r="M162" s="9"/>
      <c r="N162" s="9"/>
    </row>
    <row r="163" spans="1:14" ht="19" x14ac:dyDescent="0.2">
      <c r="A163" s="61">
        <v>2173000</v>
      </c>
      <c r="B163" s="58">
        <v>44675</v>
      </c>
      <c r="C163" s="3" t="s">
        <v>9</v>
      </c>
      <c r="D163" s="13" t="s">
        <v>405</v>
      </c>
      <c r="E163" s="15">
        <v>1959000</v>
      </c>
      <c r="F163" s="9">
        <v>214000</v>
      </c>
      <c r="G163" s="9"/>
      <c r="H163" s="9"/>
      <c r="I163" s="9">
        <v>3000</v>
      </c>
      <c r="J163" s="9" t="s">
        <v>1012</v>
      </c>
      <c r="K163" s="9"/>
      <c r="L163" s="9"/>
      <c r="M163" s="9"/>
      <c r="N163" s="9"/>
    </row>
    <row r="164" spans="1:14" ht="19" x14ac:dyDescent="0.2">
      <c r="A164" s="74"/>
      <c r="B164" s="58"/>
      <c r="C164" s="49"/>
      <c r="D164" s="13"/>
      <c r="E164" s="15"/>
      <c r="F164" s="9"/>
      <c r="G164" s="9"/>
      <c r="H164" s="9"/>
      <c r="I164" s="76">
        <v>44500</v>
      </c>
      <c r="J164" s="76" t="s">
        <v>645</v>
      </c>
      <c r="K164" s="9"/>
      <c r="L164" s="9"/>
      <c r="M164" s="9"/>
      <c r="N164" s="9"/>
    </row>
    <row r="165" spans="1:14" ht="19" x14ac:dyDescent="0.2">
      <c r="A165" s="74"/>
      <c r="B165" s="58"/>
      <c r="C165" s="49"/>
      <c r="D165" s="13"/>
      <c r="E165" s="15"/>
      <c r="F165" s="9"/>
      <c r="G165" s="9"/>
      <c r="H165" s="9"/>
      <c r="I165" s="77">
        <v>31000</v>
      </c>
      <c r="J165" s="77" t="s">
        <v>1013</v>
      </c>
      <c r="K165" s="9"/>
      <c r="L165" s="9"/>
      <c r="M165" s="9"/>
      <c r="N165" s="9"/>
    </row>
    <row r="166" spans="1:14" ht="19" x14ac:dyDescent="0.2">
      <c r="A166" s="74"/>
      <c r="B166" s="58"/>
      <c r="C166" s="49"/>
      <c r="D166" s="13"/>
      <c r="E166" s="15"/>
      <c r="F166" s="9"/>
      <c r="G166" s="9"/>
      <c r="H166" s="9"/>
      <c r="I166" s="77">
        <v>14000</v>
      </c>
      <c r="J166" s="77" t="s">
        <v>1014</v>
      </c>
      <c r="K166" s="9"/>
      <c r="L166" s="9"/>
      <c r="M166" s="9"/>
      <c r="N166" s="9"/>
    </row>
    <row r="167" spans="1:14" ht="19" x14ac:dyDescent="0.2">
      <c r="A167" s="74"/>
      <c r="B167" s="58"/>
      <c r="C167" s="49"/>
      <c r="D167" s="13"/>
      <c r="E167" s="15"/>
      <c r="F167" s="9"/>
      <c r="G167" s="9"/>
      <c r="H167" s="9"/>
      <c r="I167" s="77">
        <v>22500</v>
      </c>
      <c r="J167" s="77" t="s">
        <v>1015</v>
      </c>
      <c r="K167" s="9"/>
      <c r="L167" s="9"/>
      <c r="M167" s="9"/>
      <c r="N167" s="9"/>
    </row>
    <row r="168" spans="1:14" ht="19" x14ac:dyDescent="0.2">
      <c r="A168" s="74"/>
      <c r="B168" s="58"/>
      <c r="C168" s="49"/>
      <c r="D168" s="13"/>
      <c r="E168" s="15"/>
      <c r="F168" s="9"/>
      <c r="G168" s="9"/>
      <c r="H168" s="9"/>
      <c r="I168" s="77">
        <v>78000</v>
      </c>
      <c r="J168" s="77" t="s">
        <v>1016</v>
      </c>
      <c r="K168" s="9"/>
      <c r="L168" s="9"/>
      <c r="M168" s="9"/>
      <c r="N168" s="9"/>
    </row>
    <row r="169" spans="1:14" ht="19" x14ac:dyDescent="0.2">
      <c r="A169" s="74"/>
      <c r="B169" s="58"/>
      <c r="C169" s="49"/>
      <c r="D169" s="13"/>
      <c r="E169" s="15"/>
      <c r="F169" s="9"/>
      <c r="G169" s="9"/>
      <c r="H169" s="9"/>
      <c r="I169" s="77">
        <v>144000</v>
      </c>
      <c r="J169" s="77" t="s">
        <v>615</v>
      </c>
      <c r="K169" s="9"/>
      <c r="L169" s="9"/>
      <c r="M169" s="9"/>
      <c r="N169" s="9"/>
    </row>
    <row r="170" spans="1:14" ht="19" x14ac:dyDescent="0.2">
      <c r="A170" s="74">
        <v>1004000</v>
      </c>
      <c r="B170" s="58"/>
      <c r="C170" s="49" t="s">
        <v>363</v>
      </c>
      <c r="D170" s="13" t="s">
        <v>773</v>
      </c>
      <c r="E170" s="15">
        <v>775000</v>
      </c>
      <c r="F170" s="9">
        <v>229000</v>
      </c>
      <c r="G170" s="9"/>
      <c r="H170" s="9"/>
      <c r="I170" s="76">
        <v>200000</v>
      </c>
      <c r="J170" s="76" t="s">
        <v>653</v>
      </c>
      <c r="K170" s="9"/>
      <c r="L170" s="9"/>
      <c r="M170" s="9"/>
      <c r="N170" s="9"/>
    </row>
    <row r="171" spans="1:14" ht="19" x14ac:dyDescent="0.2">
      <c r="A171" s="61">
        <v>1346000</v>
      </c>
      <c r="B171" s="58">
        <v>44676</v>
      </c>
      <c r="C171" s="49" t="s">
        <v>1021</v>
      </c>
      <c r="D171" s="13" t="s">
        <v>405</v>
      </c>
      <c r="E171" s="15">
        <v>1173000</v>
      </c>
      <c r="F171" s="9">
        <v>173000</v>
      </c>
      <c r="G171" s="9">
        <v>2680000</v>
      </c>
      <c r="H171" s="9" t="s">
        <v>812</v>
      </c>
      <c r="I171" s="9">
        <v>100000</v>
      </c>
      <c r="J171" s="9" t="s">
        <v>827</v>
      </c>
      <c r="K171" s="9"/>
      <c r="L171" s="9"/>
      <c r="M171" s="9"/>
      <c r="N171" s="9"/>
    </row>
    <row r="172" spans="1:14" ht="19" x14ac:dyDescent="0.2">
      <c r="A172" s="74"/>
      <c r="B172" s="75"/>
      <c r="C172" s="35"/>
      <c r="D172" s="13"/>
      <c r="E172" s="15"/>
      <c r="F172" s="9"/>
      <c r="G172" s="9"/>
      <c r="H172" s="9"/>
      <c r="I172" s="9">
        <v>35000</v>
      </c>
      <c r="J172" s="9" t="s">
        <v>655</v>
      </c>
      <c r="K172" s="9"/>
      <c r="L172" s="9"/>
      <c r="M172" s="9"/>
      <c r="N172" s="9"/>
    </row>
    <row r="173" spans="1:14" ht="19" x14ac:dyDescent="0.2">
      <c r="A173" s="74"/>
      <c r="B173" s="75"/>
      <c r="C173" s="35"/>
      <c r="D173" s="13"/>
      <c r="E173" s="15"/>
      <c r="F173" s="9"/>
      <c r="G173" s="9"/>
      <c r="H173" s="9"/>
      <c r="I173" s="76">
        <v>288000</v>
      </c>
      <c r="J173" s="76" t="s">
        <v>1017</v>
      </c>
      <c r="K173" s="9"/>
      <c r="L173" s="9"/>
      <c r="M173" s="9"/>
      <c r="N173" s="9"/>
    </row>
    <row r="174" spans="1:14" ht="19" x14ac:dyDescent="0.2">
      <c r="A174" s="74"/>
      <c r="B174" s="75"/>
      <c r="C174" s="35"/>
      <c r="D174" s="13"/>
      <c r="E174" s="15"/>
      <c r="F174" s="9"/>
      <c r="G174" s="9"/>
      <c r="H174" s="9"/>
      <c r="I174" s="9">
        <v>10000</v>
      </c>
      <c r="J174" s="9" t="s">
        <v>1018</v>
      </c>
      <c r="K174" s="9"/>
      <c r="L174" s="9"/>
      <c r="M174" s="9"/>
      <c r="N174" s="9"/>
    </row>
    <row r="175" spans="1:14" ht="32" x14ac:dyDescent="0.2">
      <c r="A175" s="74"/>
      <c r="B175" s="75"/>
      <c r="C175" s="35"/>
      <c r="D175" s="13"/>
      <c r="E175" s="15"/>
      <c r="F175" s="9"/>
      <c r="G175" s="9"/>
      <c r="H175" s="9"/>
      <c r="I175" s="9">
        <v>50000</v>
      </c>
      <c r="J175" s="47" t="s">
        <v>1019</v>
      </c>
      <c r="K175" s="9"/>
      <c r="L175" s="9"/>
      <c r="M175" s="9"/>
      <c r="N175" s="9"/>
    </row>
    <row r="176" spans="1:14" ht="32" x14ac:dyDescent="0.2">
      <c r="A176" s="74"/>
      <c r="B176" s="75"/>
      <c r="C176" s="35"/>
      <c r="D176" s="13"/>
      <c r="E176" s="15"/>
      <c r="F176" s="9"/>
      <c r="G176" s="9"/>
      <c r="H176" s="9"/>
      <c r="I176" s="9">
        <v>29000</v>
      </c>
      <c r="J176" s="47" t="s">
        <v>1020</v>
      </c>
      <c r="K176" s="9"/>
      <c r="L176" s="9"/>
      <c r="M176" s="9"/>
      <c r="N176" s="9"/>
    </row>
    <row r="177" spans="1:14" ht="19" x14ac:dyDescent="0.2">
      <c r="A177" s="74">
        <v>1521000</v>
      </c>
      <c r="B177" s="75"/>
      <c r="C177" s="35" t="s">
        <v>363</v>
      </c>
      <c r="D177" s="13" t="s">
        <v>565</v>
      </c>
      <c r="E177" s="15">
        <v>1087000</v>
      </c>
      <c r="F177" s="9">
        <v>434000</v>
      </c>
      <c r="G177" s="9"/>
      <c r="H177" s="9"/>
      <c r="I177" s="9">
        <v>124500</v>
      </c>
      <c r="J177" s="9" t="s">
        <v>703</v>
      </c>
      <c r="K177" s="9"/>
      <c r="L177" s="9"/>
      <c r="M177" s="9"/>
      <c r="N177" s="9"/>
    </row>
    <row r="178" spans="1:14" ht="19" x14ac:dyDescent="0.2">
      <c r="A178" s="74"/>
      <c r="B178" s="75"/>
      <c r="C178" s="35"/>
      <c r="D178" s="13"/>
      <c r="E178" s="15"/>
      <c r="F178" s="9"/>
      <c r="G178" s="9"/>
      <c r="H178" s="9"/>
      <c r="I178" s="9">
        <v>120000</v>
      </c>
      <c r="J178" s="9" t="s">
        <v>1026</v>
      </c>
      <c r="K178" s="9"/>
      <c r="L178" s="9"/>
      <c r="M178" s="9"/>
      <c r="N178" s="9"/>
    </row>
    <row r="179" spans="1:14" ht="19" x14ac:dyDescent="0.2">
      <c r="A179" s="61">
        <v>1994000</v>
      </c>
      <c r="B179" s="58">
        <v>44677</v>
      </c>
      <c r="C179" s="49" t="s">
        <v>9</v>
      </c>
      <c r="D179" s="13" t="s">
        <v>405</v>
      </c>
      <c r="E179" s="15">
        <v>1652000</v>
      </c>
      <c r="F179" s="9">
        <v>342000</v>
      </c>
      <c r="G179" s="9"/>
      <c r="H179" s="9"/>
      <c r="I179" s="76">
        <v>78000</v>
      </c>
      <c r="J179" s="76" t="s">
        <v>1027</v>
      </c>
      <c r="K179" s="9"/>
      <c r="L179" s="9"/>
      <c r="M179" s="9"/>
      <c r="N179" s="9"/>
    </row>
    <row r="180" spans="1:14" ht="19" x14ac:dyDescent="0.2">
      <c r="A180" s="74"/>
      <c r="B180" s="58"/>
      <c r="C180" s="49"/>
      <c r="D180" s="13"/>
      <c r="E180" s="15"/>
      <c r="F180" s="9"/>
      <c r="G180" s="9"/>
      <c r="H180" s="9"/>
      <c r="I180" s="9">
        <v>46000</v>
      </c>
      <c r="J180" s="9" t="s">
        <v>1028</v>
      </c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9">
        <v>4000</v>
      </c>
      <c r="J181" s="47" t="s">
        <v>1029</v>
      </c>
      <c r="K181" s="9"/>
      <c r="L181" s="9"/>
      <c r="M181" s="9"/>
      <c r="N181" s="9"/>
    </row>
    <row r="182" spans="1:14" ht="19" x14ac:dyDescent="0.2">
      <c r="A182" s="74"/>
      <c r="B182" s="58"/>
      <c r="C182" s="49"/>
      <c r="D182" s="13"/>
      <c r="E182" s="15"/>
      <c r="F182" s="9"/>
      <c r="G182" s="9"/>
      <c r="H182" s="9"/>
      <c r="I182" s="9">
        <v>27000</v>
      </c>
      <c r="J182" s="47" t="s">
        <v>672</v>
      </c>
      <c r="K182" s="9"/>
      <c r="L182" s="9"/>
      <c r="M182" s="9"/>
      <c r="N182" s="9"/>
    </row>
    <row r="183" spans="1:14" ht="32" x14ac:dyDescent="0.2">
      <c r="A183" s="74"/>
      <c r="B183" s="58"/>
      <c r="C183" s="49"/>
      <c r="D183" s="13"/>
      <c r="E183" s="15"/>
      <c r="F183" s="9"/>
      <c r="G183" s="9">
        <v>3126000</v>
      </c>
      <c r="H183" s="9" t="s">
        <v>1031</v>
      </c>
      <c r="I183" s="9">
        <v>310000</v>
      </c>
      <c r="J183" s="47" t="s">
        <v>1030</v>
      </c>
      <c r="K183" s="9"/>
      <c r="L183" s="9"/>
      <c r="M183" s="9"/>
      <c r="N183" s="9"/>
    </row>
    <row r="184" spans="1:14" ht="32" x14ac:dyDescent="0.2">
      <c r="A184" s="74"/>
      <c r="B184" s="58"/>
      <c r="C184" s="49"/>
      <c r="D184" s="13"/>
      <c r="E184" s="15"/>
      <c r="F184" s="9"/>
      <c r="G184" s="9"/>
      <c r="H184" s="9"/>
      <c r="I184" s="9">
        <v>310000</v>
      </c>
      <c r="J184" s="47" t="s">
        <v>828</v>
      </c>
      <c r="K184" s="9"/>
      <c r="L184" s="9"/>
      <c r="M184" s="9"/>
      <c r="N184" s="9"/>
    </row>
    <row r="185" spans="1:14" ht="19" x14ac:dyDescent="0.2">
      <c r="A185" s="61">
        <v>1090000</v>
      </c>
      <c r="B185" s="75"/>
      <c r="C185" s="2" t="s">
        <v>10</v>
      </c>
      <c r="D185" s="13" t="s">
        <v>565</v>
      </c>
      <c r="E185" s="15">
        <v>941000</v>
      </c>
      <c r="F185" s="9">
        <v>149000</v>
      </c>
      <c r="G185" s="9"/>
      <c r="H185" s="9"/>
      <c r="I185" s="9">
        <v>60000</v>
      </c>
      <c r="J185" s="9" t="s">
        <v>585</v>
      </c>
      <c r="K185" s="9"/>
      <c r="L185" s="9"/>
      <c r="M185" s="9"/>
      <c r="N185" s="9"/>
    </row>
    <row r="186" spans="1:14" ht="19" x14ac:dyDescent="0.2">
      <c r="A186" s="74"/>
      <c r="B186" s="75"/>
      <c r="C186" s="35"/>
      <c r="D186" s="13"/>
      <c r="E186" s="15"/>
      <c r="F186" s="9"/>
      <c r="G186" s="9"/>
      <c r="H186" s="9"/>
      <c r="I186" s="9">
        <v>65000</v>
      </c>
      <c r="J186" s="9" t="s">
        <v>1033</v>
      </c>
      <c r="K186" s="9"/>
      <c r="L186" s="9"/>
      <c r="M186" s="9"/>
      <c r="N186" s="9"/>
    </row>
    <row r="187" spans="1:14" ht="19" x14ac:dyDescent="0.2">
      <c r="A187" s="74"/>
      <c r="B187" s="75"/>
      <c r="C187" s="35"/>
      <c r="D187" s="13"/>
      <c r="E187" s="15"/>
      <c r="F187" s="9"/>
      <c r="G187" s="9"/>
      <c r="H187" s="9"/>
      <c r="I187" s="9">
        <v>355000</v>
      </c>
      <c r="J187" s="9" t="s">
        <v>1034</v>
      </c>
      <c r="K187" s="9"/>
      <c r="L187" s="9"/>
      <c r="M187" s="9"/>
      <c r="N187" s="9"/>
    </row>
    <row r="188" spans="1:14" ht="19" x14ac:dyDescent="0.2">
      <c r="A188" s="74"/>
      <c r="B188" s="75"/>
      <c r="C188" s="35"/>
      <c r="D188" s="13"/>
      <c r="E188" s="15"/>
      <c r="F188" s="9"/>
      <c r="G188" s="9"/>
      <c r="H188" s="9"/>
      <c r="I188" s="9">
        <v>60000</v>
      </c>
      <c r="J188" s="9" t="s">
        <v>850</v>
      </c>
      <c r="K188" s="9"/>
      <c r="L188" s="9"/>
      <c r="M188" s="9"/>
      <c r="N188" s="9"/>
    </row>
    <row r="189" spans="1:14" ht="19" x14ac:dyDescent="0.2">
      <c r="A189" s="74"/>
      <c r="B189" s="75"/>
      <c r="C189" s="35"/>
      <c r="D189" s="13"/>
      <c r="E189" s="15"/>
      <c r="F189" s="9"/>
      <c r="G189" s="9"/>
      <c r="H189" s="9"/>
      <c r="I189" s="9">
        <v>35000</v>
      </c>
      <c r="J189" s="9" t="s">
        <v>652</v>
      </c>
      <c r="K189" s="9"/>
      <c r="L189" s="9"/>
      <c r="M189" s="9"/>
      <c r="N189" s="9"/>
    </row>
    <row r="190" spans="1:14" ht="19" x14ac:dyDescent="0.2">
      <c r="A190" s="74"/>
      <c r="B190" s="75"/>
      <c r="C190" s="35"/>
      <c r="D190" s="13"/>
      <c r="E190" s="15"/>
      <c r="F190" s="9"/>
      <c r="G190" s="9"/>
      <c r="H190" s="9"/>
      <c r="I190" s="9">
        <v>144000</v>
      </c>
      <c r="J190" s="9" t="s">
        <v>615</v>
      </c>
      <c r="K190" s="9"/>
      <c r="L190" s="9"/>
      <c r="M190" s="9"/>
      <c r="N190" s="9"/>
    </row>
    <row r="191" spans="1:14" ht="19" x14ac:dyDescent="0.2">
      <c r="A191" s="61">
        <v>1527000</v>
      </c>
      <c r="B191" s="58">
        <v>44678</v>
      </c>
      <c r="C191" s="3" t="s">
        <v>9</v>
      </c>
      <c r="D191" s="13" t="s">
        <v>405</v>
      </c>
      <c r="E191" s="9">
        <v>1359000</v>
      </c>
      <c r="F191" s="9">
        <v>168000</v>
      </c>
      <c r="G191" s="9"/>
      <c r="H191" s="9"/>
      <c r="I191" s="60">
        <v>390000</v>
      </c>
      <c r="J191" s="60" t="s">
        <v>1035</v>
      </c>
      <c r="K191" s="9"/>
      <c r="L191" s="9"/>
      <c r="M191" s="9"/>
      <c r="N191" s="9"/>
    </row>
    <row r="192" spans="1:14" ht="19" x14ac:dyDescent="0.2">
      <c r="A192" s="74"/>
      <c r="B192" s="58"/>
      <c r="C192" s="49"/>
      <c r="D192" s="13"/>
      <c r="E192" s="15"/>
      <c r="F192" s="9"/>
      <c r="G192" s="9"/>
      <c r="H192" s="9"/>
      <c r="I192" s="9">
        <v>140000</v>
      </c>
      <c r="J192" s="9" t="s">
        <v>1036</v>
      </c>
      <c r="K192" s="9"/>
      <c r="L192" s="9"/>
      <c r="M192" s="9"/>
      <c r="N192" s="9"/>
    </row>
    <row r="193" spans="1:14" ht="19" x14ac:dyDescent="0.2">
      <c r="A193" s="74"/>
      <c r="B193" s="58"/>
      <c r="C193" s="49"/>
      <c r="D193" s="13"/>
      <c r="E193" s="15"/>
      <c r="F193" s="9"/>
      <c r="G193" s="9"/>
      <c r="H193" s="9"/>
      <c r="I193" s="9"/>
      <c r="J193" s="9" t="s">
        <v>547</v>
      </c>
      <c r="K193" s="9"/>
      <c r="L193" s="9"/>
      <c r="M193" s="9"/>
      <c r="N193" s="9"/>
    </row>
    <row r="194" spans="1:14" ht="19" x14ac:dyDescent="0.2">
      <c r="A194" s="74"/>
      <c r="B194" s="58"/>
      <c r="C194" s="49"/>
      <c r="D194" s="13"/>
      <c r="E194" s="15"/>
      <c r="F194" s="9"/>
      <c r="G194" s="9"/>
      <c r="H194" s="9"/>
      <c r="I194" s="9"/>
      <c r="J194" s="9"/>
      <c r="K194" s="9"/>
      <c r="L194" s="9"/>
      <c r="M194" s="9"/>
      <c r="N194" s="9"/>
    </row>
    <row r="195" spans="1:14" ht="19" x14ac:dyDescent="0.2">
      <c r="A195" s="74"/>
      <c r="B195" s="58"/>
      <c r="C195" s="49"/>
      <c r="D195" s="13"/>
      <c r="E195" s="15"/>
      <c r="F195" s="9"/>
      <c r="G195" s="9"/>
      <c r="H195" s="9"/>
      <c r="I195" s="9"/>
      <c r="J195" s="9"/>
      <c r="K195" s="9"/>
      <c r="L195" s="9"/>
      <c r="M195" s="9"/>
      <c r="N195" s="9"/>
    </row>
    <row r="196" spans="1:14" ht="19" x14ac:dyDescent="0.2">
      <c r="A196" s="61">
        <v>1447000</v>
      </c>
      <c r="B196" s="75"/>
      <c r="C196" s="2" t="s">
        <v>10</v>
      </c>
      <c r="D196" s="13" t="s">
        <v>565</v>
      </c>
      <c r="E196" s="9">
        <v>1143000</v>
      </c>
      <c r="F196" s="9">
        <v>304000</v>
      </c>
      <c r="G196" s="9"/>
      <c r="H196" s="9"/>
      <c r="I196" s="9">
        <v>53000</v>
      </c>
      <c r="J196" s="9" t="s">
        <v>1037</v>
      </c>
      <c r="K196" s="9"/>
      <c r="L196" s="9"/>
      <c r="M196" s="9"/>
      <c r="N196" s="9"/>
    </row>
    <row r="197" spans="1:14" ht="19" x14ac:dyDescent="0.2">
      <c r="A197" s="74"/>
      <c r="B197" s="75"/>
      <c r="C197" s="35"/>
      <c r="D197" s="13"/>
      <c r="E197" s="15"/>
      <c r="F197" s="9"/>
      <c r="G197" s="9"/>
      <c r="H197" s="9"/>
      <c r="I197" s="9"/>
      <c r="J197" s="9"/>
      <c r="K197" s="9"/>
      <c r="L197" s="9"/>
      <c r="M197" s="9"/>
      <c r="N197" s="9"/>
    </row>
    <row r="198" spans="1:14" ht="19" x14ac:dyDescent="0.2">
      <c r="A198" s="61">
        <v>738000</v>
      </c>
      <c r="B198" s="58">
        <v>44679</v>
      </c>
      <c r="C198" s="2" t="s">
        <v>9</v>
      </c>
      <c r="D198" s="13" t="s">
        <v>405</v>
      </c>
      <c r="E198" s="15">
        <v>706000</v>
      </c>
      <c r="F198" s="9">
        <v>32000</v>
      </c>
      <c r="G198" s="9"/>
      <c r="H198" s="9"/>
      <c r="I198" s="9">
        <v>500000</v>
      </c>
      <c r="J198" s="9" t="s">
        <v>741</v>
      </c>
      <c r="K198" s="9"/>
      <c r="L198" s="9"/>
      <c r="M198" s="9"/>
      <c r="N198" s="9"/>
    </row>
    <row r="199" spans="1:14" ht="19" x14ac:dyDescent="0.2">
      <c r="A199" s="74"/>
      <c r="B199" s="58"/>
      <c r="C199" s="35"/>
      <c r="D199" s="13"/>
      <c r="E199" s="15"/>
      <c r="F199" s="9"/>
      <c r="G199" s="9"/>
      <c r="H199" s="9"/>
      <c r="I199" s="9">
        <v>22000</v>
      </c>
      <c r="J199" s="9" t="s">
        <v>902</v>
      </c>
      <c r="K199" s="9"/>
      <c r="L199" s="9"/>
      <c r="M199" s="9"/>
      <c r="N199" s="9"/>
    </row>
    <row r="200" spans="1:14" ht="19" x14ac:dyDescent="0.2">
      <c r="A200" s="74"/>
      <c r="B200" s="58"/>
      <c r="C200" s="35"/>
      <c r="D200" s="13"/>
      <c r="E200" s="15"/>
      <c r="F200" s="9"/>
      <c r="G200" s="9"/>
      <c r="H200" s="9"/>
      <c r="I200" s="9"/>
      <c r="J200" s="9"/>
      <c r="K200" s="9"/>
      <c r="L200" s="9"/>
      <c r="M200" s="9"/>
      <c r="N200" s="9"/>
    </row>
    <row r="201" spans="1:14" ht="19" x14ac:dyDescent="0.2">
      <c r="A201" s="61">
        <v>1158000</v>
      </c>
      <c r="B201" s="58"/>
      <c r="C201" s="49" t="s">
        <v>10</v>
      </c>
      <c r="D201" s="13" t="s">
        <v>565</v>
      </c>
      <c r="E201" s="15">
        <v>956000</v>
      </c>
      <c r="F201" s="9">
        <v>202000</v>
      </c>
      <c r="G201" s="9"/>
      <c r="H201" s="9"/>
      <c r="I201" s="60">
        <v>144000</v>
      </c>
      <c r="J201" s="60" t="s">
        <v>615</v>
      </c>
      <c r="K201" s="9"/>
      <c r="L201" s="9"/>
      <c r="M201" s="9"/>
      <c r="N201" s="9"/>
    </row>
    <row r="202" spans="1:14" ht="19" x14ac:dyDescent="0.2">
      <c r="A202" s="61"/>
      <c r="B202" s="58"/>
      <c r="C202" s="49"/>
      <c r="D202" s="13"/>
      <c r="E202" s="15"/>
      <c r="F202" s="9"/>
      <c r="G202" s="9"/>
      <c r="H202" s="9"/>
      <c r="I202" s="9">
        <v>35000</v>
      </c>
      <c r="J202" s="9" t="s">
        <v>652</v>
      </c>
      <c r="K202" s="9"/>
      <c r="L202" s="9"/>
      <c r="M202" s="9"/>
      <c r="N202" s="9"/>
    </row>
    <row r="203" spans="1:14" ht="19" x14ac:dyDescent="0.2">
      <c r="A203" s="61">
        <v>1466000</v>
      </c>
      <c r="B203" s="58">
        <v>44680</v>
      </c>
      <c r="C203" s="49" t="s">
        <v>9</v>
      </c>
      <c r="D203" s="13" t="s">
        <v>405</v>
      </c>
      <c r="E203" s="15">
        <v>1116000</v>
      </c>
      <c r="F203" s="9">
        <v>350000</v>
      </c>
      <c r="G203" s="9"/>
      <c r="H203" s="9"/>
      <c r="I203" s="9">
        <v>100000</v>
      </c>
      <c r="J203" s="9" t="s">
        <v>889</v>
      </c>
      <c r="K203" s="9"/>
      <c r="L203" s="9"/>
      <c r="M203" s="9"/>
      <c r="N203" s="9"/>
    </row>
    <row r="204" spans="1:14" ht="19" x14ac:dyDescent="0.2">
      <c r="A204" s="61"/>
      <c r="B204" s="58"/>
      <c r="C204" s="49"/>
      <c r="D204" s="13"/>
      <c r="E204" s="15"/>
      <c r="F204" s="9"/>
      <c r="G204" s="9"/>
      <c r="H204" s="9"/>
      <c r="I204" s="9">
        <v>220000</v>
      </c>
      <c r="J204" s="9" t="s">
        <v>1038</v>
      </c>
      <c r="K204" s="9"/>
      <c r="L204" s="9"/>
      <c r="M204" s="9"/>
      <c r="N204" s="9"/>
    </row>
    <row r="205" spans="1:14" ht="19" x14ac:dyDescent="0.2">
      <c r="A205" s="61"/>
      <c r="B205" s="58"/>
      <c r="C205" s="49"/>
      <c r="D205" s="13"/>
      <c r="E205" s="15"/>
      <c r="F205" s="9"/>
      <c r="G205" s="9"/>
      <c r="H205" s="9"/>
      <c r="I205" s="9">
        <v>30000</v>
      </c>
      <c r="J205" s="9" t="s">
        <v>672</v>
      </c>
      <c r="K205" s="9"/>
      <c r="L205" s="9"/>
      <c r="M205" s="9"/>
      <c r="N205" s="9"/>
    </row>
    <row r="206" spans="1:14" ht="19" x14ac:dyDescent="0.2">
      <c r="A206" s="74"/>
      <c r="B206" s="58"/>
      <c r="C206" s="49"/>
      <c r="D206" s="13"/>
      <c r="E206" s="15"/>
      <c r="F206" s="9"/>
      <c r="G206" s="9"/>
      <c r="H206" s="9"/>
      <c r="I206" s="9">
        <v>26000</v>
      </c>
      <c r="J206" s="9" t="s">
        <v>1039</v>
      </c>
      <c r="K206" s="9"/>
      <c r="L206" s="9"/>
      <c r="M206" s="9"/>
      <c r="N206" s="9"/>
    </row>
    <row r="207" spans="1:14" ht="19" x14ac:dyDescent="0.2">
      <c r="A207" s="74"/>
      <c r="B207" s="58"/>
      <c r="C207" s="49"/>
      <c r="D207" s="13"/>
      <c r="E207" s="15"/>
      <c r="F207" s="9"/>
      <c r="G207" s="9"/>
      <c r="H207" s="9"/>
      <c r="I207" s="9"/>
      <c r="J207" s="9"/>
      <c r="K207" s="9"/>
      <c r="L207" s="9"/>
      <c r="M207" s="9"/>
      <c r="N207" s="9"/>
    </row>
    <row r="208" spans="1:14" ht="19" x14ac:dyDescent="0.2">
      <c r="A208" s="74"/>
      <c r="B208" s="58"/>
      <c r="C208" s="49"/>
      <c r="D208" s="13"/>
      <c r="E208" s="15"/>
      <c r="F208" s="9"/>
      <c r="G208" s="9"/>
      <c r="H208" s="9"/>
      <c r="I208" s="9"/>
      <c r="J208" s="9"/>
      <c r="K208" s="9"/>
      <c r="L208" s="9"/>
      <c r="M208" s="9"/>
      <c r="N208" s="9"/>
    </row>
    <row r="209" spans="1:14" ht="19" x14ac:dyDescent="0.2">
      <c r="A209" s="74"/>
      <c r="B209" s="58"/>
      <c r="C209" s="49"/>
      <c r="D209" s="13"/>
      <c r="E209" s="15"/>
      <c r="F209" s="9"/>
      <c r="G209" s="9"/>
      <c r="H209" s="9"/>
      <c r="I209" s="9"/>
      <c r="J209" s="9"/>
      <c r="K209" s="9"/>
      <c r="L209" s="9"/>
      <c r="M209" s="9"/>
      <c r="N209" s="9"/>
    </row>
    <row r="210" spans="1:14" ht="19" x14ac:dyDescent="0.2">
      <c r="A210" s="61">
        <v>1217000</v>
      </c>
      <c r="B210" s="58"/>
      <c r="C210" s="49" t="s">
        <v>10</v>
      </c>
      <c r="D210" s="13" t="s">
        <v>565</v>
      </c>
      <c r="E210" s="15">
        <v>1041000</v>
      </c>
      <c r="F210" s="9">
        <v>176000</v>
      </c>
      <c r="G210" s="9"/>
      <c r="H210" s="9"/>
      <c r="I210" s="9">
        <v>50000</v>
      </c>
      <c r="J210" s="9" t="s">
        <v>59</v>
      </c>
      <c r="K210" s="9"/>
      <c r="L210" s="9"/>
      <c r="M210" s="9"/>
      <c r="N210" s="9"/>
    </row>
    <row r="211" spans="1:14" ht="19" x14ac:dyDescent="0.2">
      <c r="A211" s="74"/>
      <c r="B211" s="58"/>
      <c r="C211" s="49"/>
      <c r="D211" s="13"/>
      <c r="E211" s="15"/>
      <c r="F211" s="9"/>
      <c r="G211" s="9"/>
      <c r="H211" s="9"/>
      <c r="I211" s="9">
        <v>200000</v>
      </c>
      <c r="J211" s="9" t="s">
        <v>653</v>
      </c>
      <c r="K211" s="9"/>
      <c r="L211" s="9"/>
      <c r="M211" s="9"/>
      <c r="N211" s="9"/>
    </row>
    <row r="212" spans="1:14" ht="19" x14ac:dyDescent="0.2">
      <c r="A212" s="74"/>
      <c r="B212" s="58"/>
      <c r="C212" s="49"/>
      <c r="D212" s="13"/>
      <c r="E212" s="15"/>
      <c r="F212" s="9"/>
      <c r="G212" s="9"/>
      <c r="H212" s="9"/>
      <c r="I212" s="9">
        <v>100000</v>
      </c>
      <c r="J212" s="9" t="s">
        <v>827</v>
      </c>
      <c r="K212" s="9"/>
      <c r="L212" s="9"/>
      <c r="M212" s="9"/>
      <c r="N212" s="9"/>
    </row>
    <row r="213" spans="1:14" ht="19" x14ac:dyDescent="0.2">
      <c r="A213" s="74"/>
      <c r="B213" s="58"/>
      <c r="C213" s="49"/>
      <c r="D213" s="13"/>
      <c r="E213" s="15"/>
      <c r="F213" s="9"/>
      <c r="G213" s="9"/>
      <c r="H213" s="9"/>
      <c r="I213" s="9">
        <v>35000</v>
      </c>
      <c r="J213" s="9" t="s">
        <v>655</v>
      </c>
      <c r="K213" s="9"/>
      <c r="L213" s="9"/>
      <c r="M213" s="9"/>
      <c r="N213" s="9"/>
    </row>
    <row r="214" spans="1:14" ht="19" x14ac:dyDescent="0.2">
      <c r="A214" s="74"/>
      <c r="B214" s="58"/>
      <c r="C214" s="49"/>
      <c r="D214" s="13"/>
      <c r="E214" s="15"/>
      <c r="F214" s="9"/>
      <c r="G214" s="9"/>
      <c r="H214" s="9"/>
      <c r="I214" s="9"/>
      <c r="J214" s="9"/>
      <c r="K214" s="9"/>
      <c r="L214" s="9"/>
      <c r="M214" s="9"/>
      <c r="N214" s="9"/>
    </row>
    <row r="215" spans="1:14" ht="19" x14ac:dyDescent="0.2">
      <c r="A215" s="61"/>
      <c r="B215" s="58">
        <v>44864</v>
      </c>
      <c r="C215" s="2"/>
      <c r="D215" s="13"/>
      <c r="E215" s="15"/>
      <c r="F215" s="9"/>
      <c r="G215" s="9"/>
      <c r="H215" s="9" t="s">
        <v>737</v>
      </c>
      <c r="I215" s="9"/>
      <c r="J215" s="9"/>
      <c r="K215" s="9"/>
      <c r="L215" s="9"/>
      <c r="M215" s="9"/>
      <c r="N215" s="9"/>
    </row>
    <row r="216" spans="1:14" ht="19" x14ac:dyDescent="0.2">
      <c r="A216" s="61"/>
      <c r="B216" s="75"/>
      <c r="C216" s="35"/>
      <c r="D216" s="13"/>
      <c r="E216" s="15"/>
      <c r="F216" s="9"/>
      <c r="G216" s="9"/>
      <c r="H216" s="9"/>
      <c r="I216" s="9">
        <v>7000</v>
      </c>
      <c r="J216" s="9" t="s">
        <v>1043</v>
      </c>
      <c r="K216" s="9"/>
      <c r="L216" s="9"/>
      <c r="M216" s="9"/>
      <c r="N216" s="9"/>
    </row>
    <row r="217" spans="1:14" ht="19" x14ac:dyDescent="0.2">
      <c r="A217" s="74">
        <v>1717000</v>
      </c>
      <c r="B217" s="58">
        <v>44865</v>
      </c>
      <c r="C217" s="35" t="s">
        <v>440</v>
      </c>
      <c r="D217" s="13" t="s">
        <v>405</v>
      </c>
      <c r="E217" s="15">
        <v>1394000</v>
      </c>
      <c r="F217" s="9">
        <v>323000</v>
      </c>
      <c r="G217" s="9">
        <v>1820000</v>
      </c>
      <c r="H217" s="9" t="s">
        <v>1040</v>
      </c>
      <c r="I217" s="9">
        <v>12000</v>
      </c>
      <c r="J217" s="9" t="s">
        <v>1042</v>
      </c>
      <c r="K217" s="9"/>
      <c r="L217" s="9"/>
      <c r="M217" s="9"/>
      <c r="N217" s="9"/>
    </row>
    <row r="218" spans="1:14" ht="19" x14ac:dyDescent="0.2">
      <c r="A218" s="61"/>
      <c r="B218" s="75"/>
      <c r="C218" s="35"/>
      <c r="D218" s="13"/>
      <c r="E218" s="15"/>
      <c r="F218" s="9"/>
      <c r="G218" s="9"/>
      <c r="H218" s="9"/>
      <c r="I218" s="9">
        <v>4500</v>
      </c>
      <c r="J218" s="9" t="s">
        <v>642</v>
      </c>
      <c r="K218" s="9"/>
      <c r="L218" s="9"/>
      <c r="M218" s="9"/>
      <c r="N218" s="9"/>
    </row>
    <row r="219" spans="1:14" ht="19" x14ac:dyDescent="0.2">
      <c r="A219" s="61">
        <v>891000</v>
      </c>
      <c r="B219" s="58"/>
      <c r="C219" s="35" t="s">
        <v>363</v>
      </c>
      <c r="D219" s="13" t="s">
        <v>565</v>
      </c>
      <c r="E219" s="15">
        <v>844000</v>
      </c>
      <c r="F219" s="9">
        <v>47000</v>
      </c>
      <c r="G219" s="9">
        <v>1680000</v>
      </c>
      <c r="H219" s="9" t="s">
        <v>778</v>
      </c>
      <c r="I219" s="9">
        <v>780000</v>
      </c>
      <c r="J219" s="9" t="s">
        <v>1062</v>
      </c>
      <c r="K219" s="9"/>
      <c r="L219" s="9"/>
      <c r="M219" s="9"/>
      <c r="N219" s="9"/>
    </row>
    <row r="220" spans="1:14" ht="19" x14ac:dyDescent="0.2">
      <c r="A220" s="61"/>
      <c r="B220" s="58"/>
      <c r="C220" s="35"/>
      <c r="D220" s="13"/>
      <c r="E220" s="15"/>
      <c r="F220" s="9"/>
      <c r="G220" s="9"/>
      <c r="H220" s="9"/>
      <c r="I220" s="9"/>
      <c r="J220" s="9"/>
      <c r="K220" s="9"/>
      <c r="L220" s="9"/>
      <c r="M220" s="9"/>
      <c r="N220" s="9"/>
    </row>
    <row r="221" spans="1:14" ht="19" x14ac:dyDescent="0.2">
      <c r="A221" s="61"/>
      <c r="B221" s="58"/>
      <c r="C221" s="35"/>
      <c r="D221" s="13"/>
      <c r="E221" s="15"/>
      <c r="F221" s="9"/>
      <c r="G221" s="9">
        <v>1000000</v>
      </c>
      <c r="H221" s="9" t="s">
        <v>1041</v>
      </c>
      <c r="I221" s="9"/>
      <c r="J221" s="9"/>
      <c r="K221" s="9"/>
      <c r="L221" s="9"/>
      <c r="M221" s="10"/>
      <c r="N221" s="10"/>
    </row>
    <row r="222" spans="1:14" ht="19" x14ac:dyDescent="0.2">
      <c r="A222" s="61"/>
      <c r="B222" s="75"/>
      <c r="C222" s="35"/>
      <c r="D222" s="13"/>
      <c r="E222" s="15"/>
      <c r="F222" s="9"/>
      <c r="G222" s="9">
        <v>2830000</v>
      </c>
      <c r="H222" s="9" t="s">
        <v>1065</v>
      </c>
      <c r="I222" s="9"/>
      <c r="J222" s="9"/>
      <c r="K222" s="9"/>
      <c r="L222" s="9"/>
      <c r="M222" s="10"/>
      <c r="N222" s="10"/>
    </row>
    <row r="223" spans="1:14" ht="19" x14ac:dyDescent="0.2">
      <c r="A223" s="61"/>
      <c r="B223" s="75"/>
      <c r="C223" s="35"/>
      <c r="D223" s="13"/>
      <c r="E223" s="15"/>
      <c r="F223" s="9"/>
      <c r="G223" s="9"/>
      <c r="H223" s="9"/>
      <c r="I223" s="9"/>
      <c r="J223" s="9"/>
      <c r="K223" s="9"/>
      <c r="L223" s="9"/>
      <c r="M223" s="10"/>
      <c r="N223" s="10"/>
    </row>
    <row r="224" spans="1:14" ht="19" x14ac:dyDescent="0.2">
      <c r="A224" s="61"/>
      <c r="B224" s="75"/>
      <c r="C224" s="35"/>
      <c r="D224" s="13"/>
      <c r="E224" s="15"/>
      <c r="F224" s="9"/>
      <c r="G224" s="9"/>
      <c r="H224" s="60"/>
      <c r="I224" s="9"/>
      <c r="J224" s="9"/>
      <c r="K224" s="9"/>
      <c r="L224" s="9"/>
      <c r="M224" s="10"/>
      <c r="N224" s="10"/>
    </row>
    <row r="225" spans="1:14" ht="19" x14ac:dyDescent="0.2">
      <c r="A225" s="61"/>
      <c r="B225" s="75"/>
      <c r="C225" s="35"/>
      <c r="D225" s="13"/>
      <c r="E225" s="15"/>
      <c r="F225" s="9"/>
      <c r="G225" s="9"/>
      <c r="H225" s="9"/>
      <c r="I225" s="9"/>
      <c r="J225" s="9"/>
      <c r="K225" s="9"/>
      <c r="L225" s="9"/>
      <c r="M225" s="10"/>
      <c r="N225" s="10"/>
    </row>
    <row r="226" spans="1:14" ht="19" x14ac:dyDescent="0.2">
      <c r="A226" s="61"/>
      <c r="B226" s="75"/>
      <c r="C226" s="35"/>
      <c r="D226" s="13"/>
      <c r="E226" s="15"/>
      <c r="F226" s="9"/>
      <c r="G226" s="9"/>
      <c r="H226" s="9"/>
      <c r="I226" s="9"/>
      <c r="J226" s="9"/>
      <c r="K226" s="9"/>
      <c r="L226" s="9"/>
      <c r="M226" s="10"/>
      <c r="N226" s="10"/>
    </row>
    <row r="227" spans="1:14" ht="19" x14ac:dyDescent="0.2">
      <c r="A227" s="61"/>
      <c r="B227" s="75"/>
      <c r="C227" s="35"/>
      <c r="D227" s="13"/>
      <c r="E227" s="15"/>
      <c r="F227" s="9"/>
      <c r="G227" s="9"/>
      <c r="H227" s="9"/>
      <c r="I227" s="9"/>
      <c r="J227" s="9"/>
      <c r="K227" s="9"/>
      <c r="L227" s="9"/>
      <c r="M227" s="10"/>
      <c r="N227" s="10"/>
    </row>
    <row r="228" spans="1:14" ht="19" x14ac:dyDescent="0.2">
      <c r="A228" s="80"/>
      <c r="B228" s="81"/>
      <c r="C228" s="82"/>
      <c r="D228" s="83"/>
      <c r="E228" s="84"/>
      <c r="F228" s="10"/>
      <c r="G228" s="10"/>
      <c r="H228" s="10"/>
      <c r="I228" s="10"/>
      <c r="J228" s="10"/>
      <c r="K228" s="10"/>
      <c r="L228" s="10"/>
      <c r="M228" s="10"/>
      <c r="N228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N248"/>
  <sheetViews>
    <sheetView zoomScale="55" zoomScaleNormal="55" zoomScaleSheetLayoutView="100" workbookViewId="0">
      <selection activeCell="A91" sqref="A91"/>
    </sheetView>
  </sheetViews>
  <sheetFormatPr baseColWidth="10" defaultColWidth="8.83203125" defaultRowHeight="15" x14ac:dyDescent="0.2"/>
  <cols>
    <col min="1" max="1" width="25" customWidth="1"/>
    <col min="2" max="2" width="11.5" customWidth="1"/>
    <col min="3" max="3" width="15" customWidth="1"/>
    <col min="4" max="4" width="13.5" customWidth="1"/>
    <col min="5" max="5" width="24.83203125" customWidth="1"/>
    <col min="6" max="6" width="25.1640625" customWidth="1"/>
    <col min="7" max="7" width="23.5" bestFit="1" customWidth="1"/>
    <col min="8" max="8" width="24.6640625" customWidth="1"/>
    <col min="9" max="9" width="25.83203125" customWidth="1"/>
    <col min="10" max="10" width="28.5" bestFit="1" customWidth="1"/>
    <col min="11" max="11" width="18.83203125" bestFit="1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6" t="s">
        <v>896</v>
      </c>
      <c r="G4" s="307"/>
      <c r="H4" s="71" t="s">
        <v>175</v>
      </c>
      <c r="I4" s="71">
        <v>14516600</v>
      </c>
      <c r="J4" s="72">
        <f>I4/10820</f>
        <v>1341.645101663586</v>
      </c>
    </row>
    <row r="5" spans="1:14" ht="24" x14ac:dyDescent="0.3">
      <c r="B5" s="99" t="s">
        <v>1124</v>
      </c>
      <c r="G5" s="73"/>
      <c r="H5" s="71" t="s">
        <v>176</v>
      </c>
      <c r="I5" s="71">
        <v>6221400</v>
      </c>
      <c r="J5" s="72">
        <f>I5/10820</f>
        <v>574.99075785582249</v>
      </c>
    </row>
    <row r="6" spans="1:14" ht="24" x14ac:dyDescent="0.3">
      <c r="B6" s="99"/>
      <c r="G6" s="73"/>
      <c r="H6" s="71" t="s">
        <v>178</v>
      </c>
      <c r="I6" s="71">
        <v>11535260</v>
      </c>
      <c r="J6" s="72" t="s">
        <v>1137</v>
      </c>
      <c r="L6" s="85"/>
      <c r="M6" s="85"/>
    </row>
    <row r="7" spans="1:14" ht="26" x14ac:dyDescent="0.3">
      <c r="B7" s="100" t="s">
        <v>1125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SUM(A11:A247)</f>
        <v>77673000</v>
      </c>
      <c r="B10" s="65"/>
      <c r="C10" s="66" t="s">
        <v>13</v>
      </c>
      <c r="D10" s="67"/>
      <c r="E10" s="68">
        <f>SUM(E11:E247)</f>
        <v>64983000</v>
      </c>
      <c r="F10" s="69">
        <f>SUM(F11:F247)</f>
        <v>12690000</v>
      </c>
      <c r="G10" s="69">
        <f>SUM(G11:G247)</f>
        <v>25678000</v>
      </c>
      <c r="H10" s="69"/>
      <c r="I10" s="69">
        <f>SUM(I11:I247)</f>
        <v>19607000</v>
      </c>
      <c r="J10" s="69"/>
      <c r="K10" s="69">
        <f>SUBTOTAL(109,K11:K235)</f>
        <v>0</v>
      </c>
      <c r="L10" s="69"/>
      <c r="M10" s="8"/>
      <c r="N10" s="8"/>
    </row>
    <row r="11" spans="1:14" ht="19" x14ac:dyDescent="0.2">
      <c r="A11" s="61">
        <v>1638000</v>
      </c>
      <c r="B11" s="58">
        <v>44835</v>
      </c>
      <c r="C11" s="3" t="s">
        <v>440</v>
      </c>
      <c r="D11" s="13" t="s">
        <v>405</v>
      </c>
      <c r="E11" s="9">
        <v>1504000</v>
      </c>
      <c r="F11" s="9">
        <v>134000</v>
      </c>
      <c r="G11" s="9"/>
      <c r="H11" s="9"/>
      <c r="I11" s="9">
        <v>310000</v>
      </c>
      <c r="J11" s="47" t="s">
        <v>1030</v>
      </c>
      <c r="K11" s="9"/>
      <c r="L11" s="9"/>
      <c r="M11" s="9"/>
      <c r="N11" s="9"/>
    </row>
    <row r="12" spans="1:14" ht="32" x14ac:dyDescent="0.2">
      <c r="A12" s="74"/>
      <c r="B12" s="58"/>
      <c r="C12" s="49"/>
      <c r="D12" s="13"/>
      <c r="E12" s="15"/>
      <c r="F12" s="9"/>
      <c r="G12" s="9">
        <v>405000</v>
      </c>
      <c r="H12" s="9" t="s">
        <v>1122</v>
      </c>
      <c r="I12" s="9">
        <v>310000</v>
      </c>
      <c r="J12" s="47" t="s">
        <v>828</v>
      </c>
      <c r="K12" s="9"/>
      <c r="L12" s="9"/>
      <c r="M12" s="9"/>
      <c r="N12" s="9"/>
    </row>
    <row r="13" spans="1:14" ht="19" x14ac:dyDescent="0.2">
      <c r="A13" s="74"/>
      <c r="B13" s="58"/>
      <c r="C13" s="49"/>
      <c r="D13" s="13"/>
      <c r="E13" s="15"/>
      <c r="F13" s="9"/>
      <c r="G13" s="9">
        <v>2680000</v>
      </c>
      <c r="H13" s="9" t="s">
        <v>1045</v>
      </c>
      <c r="I13" s="9">
        <v>60000</v>
      </c>
      <c r="J13" s="9" t="s">
        <v>585</v>
      </c>
      <c r="K13" s="9"/>
      <c r="L13" s="9"/>
      <c r="M13" s="9"/>
      <c r="N13" s="9"/>
    </row>
    <row r="14" spans="1:14" ht="32" x14ac:dyDescent="0.2">
      <c r="A14" s="74"/>
      <c r="B14" s="58"/>
      <c r="C14" s="49"/>
      <c r="D14" s="13"/>
      <c r="E14" s="15"/>
      <c r="F14" s="9"/>
      <c r="G14" s="9"/>
      <c r="H14" s="9"/>
      <c r="I14" s="9">
        <v>178000</v>
      </c>
      <c r="J14" s="47" t="s">
        <v>1044</v>
      </c>
      <c r="K14" s="9"/>
      <c r="L14" s="9"/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>
        <v>30000</v>
      </c>
      <c r="J15" s="9" t="s">
        <v>672</v>
      </c>
      <c r="K15" s="9"/>
      <c r="L15" s="9"/>
      <c r="M15" s="9"/>
      <c r="N15" s="9"/>
    </row>
    <row r="16" spans="1:14" ht="19" x14ac:dyDescent="0.2">
      <c r="A16" s="74">
        <v>2088000</v>
      </c>
      <c r="B16" s="58"/>
      <c r="C16" s="49" t="s">
        <v>363</v>
      </c>
      <c r="D16" s="13" t="s">
        <v>565</v>
      </c>
      <c r="E16" s="15">
        <v>1769000</v>
      </c>
      <c r="F16" s="9">
        <v>319000</v>
      </c>
      <c r="G16" s="9"/>
      <c r="H16" s="9"/>
      <c r="I16" s="9">
        <v>32000</v>
      </c>
      <c r="J16" s="9" t="s">
        <v>640</v>
      </c>
      <c r="K16" s="9"/>
      <c r="L16" s="9"/>
      <c r="M16" s="9"/>
      <c r="N16" s="9"/>
    </row>
    <row r="17" spans="1:14" ht="19" x14ac:dyDescent="0.2">
      <c r="A17" s="74"/>
      <c r="B17" s="58"/>
      <c r="C17" s="49"/>
      <c r="D17" s="13"/>
      <c r="E17" s="15"/>
      <c r="F17" s="9"/>
      <c r="G17" s="9"/>
      <c r="H17" s="9"/>
      <c r="I17" s="9"/>
      <c r="J17" s="9"/>
      <c r="K17" s="9"/>
      <c r="L17" s="9"/>
      <c r="M17" s="9"/>
      <c r="N17" s="9"/>
    </row>
    <row r="18" spans="1:14" ht="32" x14ac:dyDescent="0.2">
      <c r="A18" s="61">
        <v>1314000</v>
      </c>
      <c r="B18" s="58">
        <v>44836</v>
      </c>
      <c r="C18" s="35" t="s">
        <v>9</v>
      </c>
      <c r="D18" s="13" t="s">
        <v>405</v>
      </c>
      <c r="E18" s="15">
        <v>984000</v>
      </c>
      <c r="F18" s="9">
        <v>330000</v>
      </c>
      <c r="G18" s="60">
        <v>1300000</v>
      </c>
      <c r="H18" s="59" t="s">
        <v>1050</v>
      </c>
      <c r="I18" s="9">
        <v>373000</v>
      </c>
      <c r="J18" s="9" t="s">
        <v>1046</v>
      </c>
      <c r="K18" s="9"/>
      <c r="L18" s="9"/>
      <c r="M18" s="9"/>
      <c r="N18" s="9"/>
    </row>
    <row r="19" spans="1:14" ht="19" x14ac:dyDescent="0.2">
      <c r="A19" s="74"/>
      <c r="B19" s="58"/>
      <c r="C19" s="35"/>
      <c r="D19" s="13"/>
      <c r="E19" s="15"/>
      <c r="F19" s="9"/>
      <c r="G19" s="9"/>
      <c r="H19" s="9"/>
      <c r="I19" s="9">
        <v>44500</v>
      </c>
      <c r="J19" s="9" t="s">
        <v>769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21000</v>
      </c>
      <c r="J20" s="9" t="s">
        <v>1047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>
        <v>18000</v>
      </c>
      <c r="J21" s="9" t="s">
        <v>1048</v>
      </c>
      <c r="K21" s="9"/>
      <c r="L21" s="9"/>
      <c r="M21" s="9"/>
      <c r="N21" s="9"/>
    </row>
    <row r="22" spans="1:14" ht="19" x14ac:dyDescent="0.2">
      <c r="A22" s="74">
        <v>1398000</v>
      </c>
      <c r="B22" s="58"/>
      <c r="C22" s="35" t="s">
        <v>363</v>
      </c>
      <c r="D22" s="13" t="s">
        <v>565</v>
      </c>
      <c r="E22" s="15">
        <v>989000</v>
      </c>
      <c r="F22" s="9">
        <v>409000</v>
      </c>
      <c r="G22" s="9"/>
      <c r="H22" s="9"/>
      <c r="I22" s="9">
        <v>27000</v>
      </c>
      <c r="J22" s="9" t="s">
        <v>672</v>
      </c>
      <c r="K22" s="9"/>
      <c r="L22" s="9"/>
      <c r="M22" s="9"/>
      <c r="N22" s="9"/>
    </row>
    <row r="23" spans="1:14" ht="19" x14ac:dyDescent="0.2">
      <c r="A23" s="74"/>
      <c r="B23" s="58"/>
      <c r="C23" s="35"/>
      <c r="D23" s="13"/>
      <c r="E23" s="15"/>
      <c r="F23" s="9"/>
      <c r="G23" s="9"/>
      <c r="H23" s="9"/>
      <c r="I23" s="9">
        <v>68500</v>
      </c>
      <c r="J23" s="9" t="s">
        <v>1049</v>
      </c>
      <c r="K23" s="9"/>
      <c r="L23" s="9"/>
      <c r="M23" s="9"/>
      <c r="N23" s="9"/>
    </row>
    <row r="24" spans="1:14" ht="19" x14ac:dyDescent="0.2">
      <c r="A24" s="74"/>
      <c r="B24" s="58"/>
      <c r="C24" s="35"/>
      <c r="D24" s="13"/>
      <c r="E24" s="15"/>
      <c r="F24" s="9"/>
      <c r="G24" s="9"/>
      <c r="H24" s="9"/>
      <c r="I24" s="9">
        <v>160000</v>
      </c>
      <c r="J24" s="9" t="s">
        <v>1051</v>
      </c>
      <c r="K24" s="9"/>
      <c r="L24" s="9"/>
      <c r="M24" s="9"/>
      <c r="N24" s="9"/>
    </row>
    <row r="25" spans="1:14" ht="19" x14ac:dyDescent="0.2">
      <c r="A25" s="74"/>
      <c r="B25" s="58"/>
      <c r="C25" s="35"/>
      <c r="D25" s="13"/>
      <c r="E25" s="15"/>
      <c r="F25" s="9"/>
      <c r="G25" s="9"/>
      <c r="H25" s="9"/>
      <c r="I25" s="60">
        <v>144000</v>
      </c>
      <c r="J25" s="60" t="s">
        <v>615</v>
      </c>
      <c r="K25" s="9"/>
      <c r="L25" s="9"/>
      <c r="M25" s="9"/>
      <c r="N25" s="9"/>
    </row>
    <row r="26" spans="1:14" ht="19" x14ac:dyDescent="0.2">
      <c r="A26" s="74"/>
      <c r="B26" s="58"/>
      <c r="C26" s="35"/>
      <c r="D26" s="13"/>
      <c r="E26" s="15"/>
      <c r="F26" s="9"/>
      <c r="G26" s="9"/>
      <c r="H26" s="9"/>
      <c r="I26" s="60">
        <v>80000</v>
      </c>
      <c r="J26" s="60" t="s">
        <v>651</v>
      </c>
      <c r="K26" s="9"/>
      <c r="L26" s="9"/>
      <c r="M26" s="9"/>
      <c r="N26" s="9"/>
    </row>
    <row r="27" spans="1:14" ht="19" x14ac:dyDescent="0.2">
      <c r="A27" s="61"/>
      <c r="B27" s="58"/>
      <c r="C27" s="3"/>
      <c r="D27" s="13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9" x14ac:dyDescent="0.2">
      <c r="A28" s="61">
        <v>1493000</v>
      </c>
      <c r="B28" s="58">
        <v>44837</v>
      </c>
      <c r="C28" s="49" t="s">
        <v>440</v>
      </c>
      <c r="D28" s="13" t="s">
        <v>405</v>
      </c>
      <c r="E28" s="15">
        <v>1237000</v>
      </c>
      <c r="F28" s="9">
        <v>256000</v>
      </c>
      <c r="G28" s="9"/>
      <c r="H28" s="9"/>
      <c r="I28" s="9">
        <v>26000</v>
      </c>
      <c r="J28" s="9" t="s">
        <v>1052</v>
      </c>
      <c r="K28" s="9"/>
      <c r="L28" s="9"/>
      <c r="M28" s="9"/>
      <c r="N28" s="9"/>
    </row>
    <row r="29" spans="1:14" ht="19" x14ac:dyDescent="0.2">
      <c r="A29" s="74"/>
      <c r="B29" s="58"/>
      <c r="C29" s="49"/>
      <c r="D29" s="13"/>
      <c r="E29" s="15"/>
      <c r="F29" s="9"/>
      <c r="G29" s="9"/>
      <c r="H29" s="9"/>
      <c r="I29" s="9">
        <v>13000</v>
      </c>
      <c r="J29" s="9" t="s">
        <v>1053</v>
      </c>
      <c r="K29" s="9"/>
      <c r="L29" s="9"/>
      <c r="M29" s="9"/>
      <c r="N29" s="9"/>
    </row>
    <row r="30" spans="1:14" ht="19" x14ac:dyDescent="0.2">
      <c r="A30" s="61"/>
      <c r="B30" s="58"/>
      <c r="C30" s="3"/>
      <c r="D30" s="13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9" x14ac:dyDescent="0.2">
      <c r="A31" s="74">
        <v>1492000</v>
      </c>
      <c r="B31" s="58"/>
      <c r="C31" s="49" t="s">
        <v>363</v>
      </c>
      <c r="D31" s="13" t="s">
        <v>565</v>
      </c>
      <c r="E31" s="15">
        <v>1230000</v>
      </c>
      <c r="F31" s="9">
        <v>262000</v>
      </c>
      <c r="G31" s="9"/>
      <c r="H31" s="9"/>
      <c r="I31" s="9"/>
      <c r="J31" s="9"/>
      <c r="K31" s="9"/>
      <c r="L31" s="9"/>
      <c r="M31" s="9"/>
      <c r="N31" s="9"/>
    </row>
    <row r="32" spans="1:14" ht="19" x14ac:dyDescent="0.2">
      <c r="A32" s="61">
        <v>1540000</v>
      </c>
      <c r="B32" s="58">
        <v>44838</v>
      </c>
      <c r="C32" s="49" t="s">
        <v>440</v>
      </c>
      <c r="D32" s="13" t="s">
        <v>405</v>
      </c>
      <c r="E32" s="15">
        <v>1265000</v>
      </c>
      <c r="F32" s="9">
        <v>275000</v>
      </c>
      <c r="G32" s="9"/>
      <c r="H32" s="9"/>
      <c r="I32" s="9">
        <v>75000</v>
      </c>
      <c r="J32" s="9" t="s">
        <v>813</v>
      </c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>
        <v>620000</v>
      </c>
      <c r="J33" s="47" t="s">
        <v>117</v>
      </c>
      <c r="K33" s="9"/>
      <c r="L33" s="9"/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/>
      <c r="H34" s="9"/>
      <c r="I34" s="9">
        <v>60000</v>
      </c>
      <c r="J34" s="9" t="s">
        <v>585</v>
      </c>
      <c r="K34" s="9"/>
      <c r="L34" s="9"/>
      <c r="M34" s="9"/>
      <c r="N34" s="9"/>
    </row>
    <row r="35" spans="1:14" ht="19" x14ac:dyDescent="0.2">
      <c r="A35" s="74"/>
      <c r="B35" s="58"/>
      <c r="C35" s="49"/>
      <c r="D35" s="13"/>
      <c r="E35" s="15"/>
      <c r="F35" s="9"/>
      <c r="G35" s="9"/>
      <c r="H35" s="9"/>
      <c r="I35" s="9">
        <v>80000</v>
      </c>
      <c r="J35" s="9" t="s">
        <v>651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35000</v>
      </c>
      <c r="J36" s="9" t="s">
        <v>652</v>
      </c>
      <c r="K36" s="9"/>
      <c r="L36" s="9"/>
      <c r="M36" s="9"/>
      <c r="N36" s="9"/>
    </row>
    <row r="37" spans="1:14" ht="19" x14ac:dyDescent="0.2">
      <c r="A37" s="74">
        <v>1276000</v>
      </c>
      <c r="B37" s="58"/>
      <c r="C37" s="49" t="s">
        <v>363</v>
      </c>
      <c r="D37" s="13" t="s">
        <v>565</v>
      </c>
      <c r="E37" s="15">
        <v>991000</v>
      </c>
      <c r="F37" s="9">
        <v>285000</v>
      </c>
      <c r="G37" s="9"/>
      <c r="H37" s="9"/>
      <c r="I37" s="9">
        <v>140000</v>
      </c>
      <c r="J37" s="9" t="s">
        <v>1054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>
        <v>422000</v>
      </c>
      <c r="H38" s="9" t="s">
        <v>1056</v>
      </c>
      <c r="I38" s="9">
        <v>180000</v>
      </c>
      <c r="J38" s="9" t="s">
        <v>1055</v>
      </c>
      <c r="K38" s="9"/>
      <c r="L38" s="9"/>
      <c r="M38" s="9"/>
      <c r="N38" s="9"/>
    </row>
    <row r="39" spans="1:14" ht="19" x14ac:dyDescent="0.2">
      <c r="A39" s="74">
        <v>1211000</v>
      </c>
      <c r="B39" s="32">
        <v>44839</v>
      </c>
      <c r="C39" s="49" t="s">
        <v>9</v>
      </c>
      <c r="D39" s="13" t="s">
        <v>405</v>
      </c>
      <c r="E39" s="15">
        <v>1062000</v>
      </c>
      <c r="F39" s="9">
        <v>149000</v>
      </c>
      <c r="G39" s="9"/>
      <c r="H39" s="9"/>
      <c r="I39" s="9">
        <v>30000</v>
      </c>
      <c r="J39" s="9" t="s">
        <v>672</v>
      </c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>
        <v>144000</v>
      </c>
      <c r="J40" s="9" t="s">
        <v>615</v>
      </c>
      <c r="K40" s="9"/>
      <c r="L40" s="9"/>
      <c r="M40" s="9"/>
      <c r="N40" s="9"/>
    </row>
    <row r="41" spans="1:14" ht="19" x14ac:dyDescent="0.2">
      <c r="A41" s="74">
        <v>1516000</v>
      </c>
      <c r="B41" s="58"/>
      <c r="C41" s="49" t="s">
        <v>806</v>
      </c>
      <c r="D41" s="13" t="s">
        <v>565</v>
      </c>
      <c r="E41" s="15">
        <v>1064000</v>
      </c>
      <c r="F41" s="9">
        <v>452000</v>
      </c>
      <c r="G41" s="9"/>
      <c r="H41" s="9"/>
      <c r="I41" s="9">
        <v>200000</v>
      </c>
      <c r="J41" s="9" t="s">
        <v>653</v>
      </c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9"/>
      <c r="I42" s="9">
        <v>100000</v>
      </c>
      <c r="J42" s="9" t="s">
        <v>827</v>
      </c>
      <c r="K42" s="9"/>
      <c r="L42" s="9"/>
      <c r="M42" s="9"/>
      <c r="N42" s="9"/>
    </row>
    <row r="43" spans="1:14" ht="19" x14ac:dyDescent="0.2">
      <c r="A43" s="74"/>
      <c r="B43" s="58"/>
      <c r="C43" s="49"/>
      <c r="D43" s="13"/>
      <c r="E43" s="15"/>
      <c r="F43" s="9"/>
      <c r="G43" s="9"/>
      <c r="H43" s="9"/>
      <c r="I43" s="9">
        <v>35000</v>
      </c>
      <c r="J43" s="9" t="s">
        <v>1057</v>
      </c>
      <c r="K43" s="9"/>
      <c r="L43" s="9"/>
      <c r="M43" s="9"/>
      <c r="N43" s="9"/>
    </row>
    <row r="44" spans="1:14" ht="19" x14ac:dyDescent="0.2">
      <c r="A44" s="74"/>
      <c r="B44" s="58"/>
      <c r="C44" s="49"/>
      <c r="D44" s="13"/>
      <c r="E44" s="15"/>
      <c r="F44" s="9"/>
      <c r="G44" s="9"/>
      <c r="H44" s="9"/>
      <c r="I44" s="9">
        <v>50000</v>
      </c>
      <c r="J44" s="9" t="s">
        <v>206</v>
      </c>
      <c r="K44" s="9"/>
      <c r="L44" s="9"/>
      <c r="M44" s="9"/>
      <c r="N44" s="9"/>
    </row>
    <row r="45" spans="1:14" ht="19" x14ac:dyDescent="0.2">
      <c r="A45" s="61"/>
      <c r="B45" s="58">
        <v>44657</v>
      </c>
      <c r="C45" s="2"/>
      <c r="D45" s="13"/>
      <c r="E45" s="9"/>
      <c r="F45" s="9"/>
      <c r="G45" s="9"/>
      <c r="H45" s="9" t="s">
        <v>737</v>
      </c>
      <c r="I45" s="9"/>
      <c r="J45" s="9"/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/>
      <c r="J46" s="9"/>
      <c r="K46" s="9"/>
      <c r="L46" s="9"/>
      <c r="M46" s="9"/>
      <c r="N46" s="9"/>
    </row>
    <row r="47" spans="1:14" ht="19" x14ac:dyDescent="0.2">
      <c r="A47" s="74">
        <v>1956000</v>
      </c>
      <c r="B47" s="32">
        <v>44658</v>
      </c>
      <c r="C47" s="49" t="s">
        <v>440</v>
      </c>
      <c r="D47" s="13" t="s">
        <v>405</v>
      </c>
      <c r="E47" s="15">
        <v>1693000</v>
      </c>
      <c r="F47" s="9">
        <v>263000</v>
      </c>
      <c r="G47" s="9">
        <v>217000</v>
      </c>
      <c r="H47" s="9" t="s">
        <v>1061</v>
      </c>
      <c r="I47" s="9">
        <v>28000</v>
      </c>
      <c r="J47" s="9" t="s">
        <v>1058</v>
      </c>
      <c r="K47" s="9"/>
      <c r="L47" s="9"/>
      <c r="M47" s="9"/>
      <c r="N47" s="9"/>
    </row>
    <row r="48" spans="1:14" ht="19" x14ac:dyDescent="0.2">
      <c r="A48" s="74"/>
      <c r="B48" s="32"/>
      <c r="C48" s="49"/>
      <c r="D48" s="13"/>
      <c r="E48" s="15"/>
      <c r="F48" s="9"/>
      <c r="G48" s="9"/>
      <c r="H48" s="9"/>
      <c r="I48" s="9">
        <v>12000</v>
      </c>
      <c r="J48" s="9" t="s">
        <v>1059</v>
      </c>
      <c r="K48" s="9"/>
      <c r="L48" s="9"/>
      <c r="M48" s="9"/>
      <c r="N48" s="9"/>
    </row>
    <row r="49" spans="1:14" ht="19" x14ac:dyDescent="0.2">
      <c r="A49" s="74"/>
      <c r="B49" s="32"/>
      <c r="C49" s="49"/>
      <c r="D49" s="13"/>
      <c r="E49" s="15"/>
      <c r="F49" s="9"/>
      <c r="G49" s="9"/>
      <c r="H49" s="9"/>
      <c r="I49" s="9">
        <v>9000</v>
      </c>
      <c r="J49" s="9" t="s">
        <v>1060</v>
      </c>
      <c r="K49" s="9"/>
      <c r="L49" s="9"/>
      <c r="M49" s="9"/>
      <c r="N49" s="9"/>
    </row>
    <row r="50" spans="1:14" ht="19" x14ac:dyDescent="0.2">
      <c r="A50" s="74"/>
      <c r="B50" s="32"/>
      <c r="C50" s="49"/>
      <c r="D50" s="13"/>
      <c r="E50" s="15"/>
      <c r="F50" s="9"/>
      <c r="G50" s="9"/>
      <c r="H50" s="9"/>
      <c r="I50" s="9">
        <v>27000</v>
      </c>
      <c r="J50" s="9" t="s">
        <v>672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>
        <v>48000</v>
      </c>
      <c r="J51" s="9" t="s">
        <v>982</v>
      </c>
      <c r="K51" s="9"/>
      <c r="L51" s="9"/>
      <c r="M51" s="9"/>
      <c r="N51" s="9"/>
    </row>
    <row r="52" spans="1:14" ht="19" x14ac:dyDescent="0.2">
      <c r="A52" s="74">
        <v>1514000</v>
      </c>
      <c r="B52" s="58"/>
      <c r="C52" s="49" t="s">
        <v>363</v>
      </c>
      <c r="D52" s="13" t="s">
        <v>565</v>
      </c>
      <c r="E52" s="15">
        <v>1352000</v>
      </c>
      <c r="F52" s="9">
        <v>162000</v>
      </c>
      <c r="G52" s="9"/>
      <c r="H52" s="9"/>
      <c r="I52" s="9">
        <v>19500</v>
      </c>
      <c r="J52" s="9" t="s">
        <v>714</v>
      </c>
      <c r="K52" s="9"/>
      <c r="L52" s="9"/>
      <c r="M52" s="9"/>
      <c r="N52" s="9"/>
    </row>
    <row r="53" spans="1:14" ht="19" x14ac:dyDescent="0.2">
      <c r="A53" s="74"/>
      <c r="B53" s="58"/>
      <c r="C53" s="49"/>
      <c r="D53" s="13"/>
      <c r="E53" s="15"/>
      <c r="F53" s="9"/>
      <c r="G53" s="9"/>
      <c r="H53" s="9"/>
      <c r="I53" s="9">
        <v>78000</v>
      </c>
      <c r="J53" s="9" t="s">
        <v>1016</v>
      </c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>
        <v>180000</v>
      </c>
      <c r="J54" s="9" t="s">
        <v>1066</v>
      </c>
      <c r="K54" s="9"/>
      <c r="L54" s="9"/>
      <c r="M54" s="9"/>
      <c r="N54" s="9"/>
    </row>
    <row r="55" spans="1:14" ht="19" x14ac:dyDescent="0.2">
      <c r="A55" s="74">
        <v>2296000</v>
      </c>
      <c r="B55" s="32">
        <v>44659</v>
      </c>
      <c r="C55" s="49" t="s">
        <v>9</v>
      </c>
      <c r="D55" s="13" t="s">
        <v>405</v>
      </c>
      <c r="E55" s="15">
        <v>1830000</v>
      </c>
      <c r="F55" s="9">
        <v>466000</v>
      </c>
      <c r="G55" s="9">
        <v>565000</v>
      </c>
      <c r="H55" s="9" t="s">
        <v>63</v>
      </c>
      <c r="I55" s="9">
        <v>6000</v>
      </c>
      <c r="J55" s="9" t="s">
        <v>642</v>
      </c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>
        <v>200000</v>
      </c>
      <c r="J56" s="9" t="s">
        <v>1067</v>
      </c>
      <c r="K56" s="9"/>
      <c r="L56" s="9"/>
      <c r="M56" s="9"/>
      <c r="N56" s="9"/>
    </row>
    <row r="57" spans="1:14" ht="19" x14ac:dyDescent="0.2">
      <c r="A57" s="74"/>
      <c r="B57" s="58"/>
      <c r="C57" s="49"/>
      <c r="D57" s="13"/>
      <c r="E57" s="15"/>
      <c r="F57" s="9"/>
      <c r="G57" s="9"/>
      <c r="H57" s="9"/>
      <c r="I57" s="9">
        <v>124500</v>
      </c>
      <c r="J57" s="9" t="s">
        <v>703</v>
      </c>
      <c r="K57" s="9"/>
      <c r="L57" s="9"/>
      <c r="M57" s="9"/>
      <c r="N57" s="9"/>
    </row>
    <row r="58" spans="1:14" ht="19" x14ac:dyDescent="0.2">
      <c r="A58" s="74"/>
      <c r="B58" s="58"/>
      <c r="C58" s="49"/>
      <c r="D58" s="13"/>
      <c r="E58" s="15"/>
      <c r="F58" s="9"/>
      <c r="G58" s="9"/>
      <c r="H58" s="9"/>
      <c r="I58" s="9">
        <v>11000</v>
      </c>
      <c r="J58" s="9" t="s">
        <v>1068</v>
      </c>
      <c r="K58" s="9"/>
      <c r="L58" s="9"/>
      <c r="M58" s="9"/>
      <c r="N58" s="9"/>
    </row>
    <row r="59" spans="1:14" ht="19" x14ac:dyDescent="0.2">
      <c r="A59" s="74"/>
      <c r="B59" s="58"/>
      <c r="C59" s="49"/>
      <c r="D59" s="13"/>
      <c r="E59" s="15"/>
      <c r="F59" s="9"/>
      <c r="G59" s="9"/>
      <c r="H59" s="9"/>
      <c r="I59" s="9"/>
      <c r="J59" s="9"/>
      <c r="K59" s="9"/>
      <c r="L59" s="9"/>
      <c r="M59" s="9"/>
      <c r="N59" s="9"/>
    </row>
    <row r="60" spans="1:14" ht="19" x14ac:dyDescent="0.2">
      <c r="A60" s="74">
        <v>1667000</v>
      </c>
      <c r="B60" s="33"/>
      <c r="C60" s="2" t="s">
        <v>10</v>
      </c>
      <c r="D60" s="13" t="s">
        <v>565</v>
      </c>
      <c r="E60" s="9">
        <v>1441000</v>
      </c>
      <c r="F60" s="9">
        <v>226000</v>
      </c>
      <c r="G60" s="9"/>
      <c r="H60" s="9"/>
      <c r="I60" s="9"/>
      <c r="J60" s="9"/>
      <c r="K60" s="9"/>
      <c r="L60" s="9"/>
      <c r="M60" s="9"/>
      <c r="N60" s="9"/>
    </row>
    <row r="61" spans="1:14" ht="19" x14ac:dyDescent="0.2">
      <c r="A61" s="74"/>
      <c r="B61" s="32"/>
      <c r="C61" s="3"/>
      <c r="D61" s="13"/>
      <c r="E61" s="15"/>
      <c r="F61" s="9"/>
      <c r="G61" s="9"/>
      <c r="H61" s="60"/>
      <c r="I61" s="9"/>
      <c r="J61" s="9"/>
      <c r="K61" s="9"/>
      <c r="L61" s="9"/>
      <c r="M61" s="9"/>
      <c r="N61" s="9"/>
    </row>
    <row r="62" spans="1:14" ht="19" x14ac:dyDescent="0.2">
      <c r="A62" s="74"/>
      <c r="B62" s="33"/>
      <c r="C62" s="2"/>
      <c r="D62" s="13"/>
      <c r="E62" s="15"/>
      <c r="F62" s="9"/>
      <c r="G62" s="9"/>
      <c r="H62" s="9"/>
      <c r="I62" s="9"/>
      <c r="J62" s="9"/>
      <c r="K62" s="9"/>
      <c r="L62" s="9"/>
      <c r="M62" s="9"/>
      <c r="N62" s="9"/>
    </row>
    <row r="63" spans="1:14" ht="32" x14ac:dyDescent="0.2">
      <c r="A63" s="74">
        <v>1819000</v>
      </c>
      <c r="B63" s="32">
        <v>44660</v>
      </c>
      <c r="C63" s="35" t="s">
        <v>440</v>
      </c>
      <c r="D63" s="13" t="s">
        <v>405</v>
      </c>
      <c r="E63" s="15">
        <v>1548000</v>
      </c>
      <c r="F63" s="9">
        <v>271000</v>
      </c>
      <c r="G63" s="9"/>
      <c r="H63" s="9"/>
      <c r="I63" s="9">
        <v>620000</v>
      </c>
      <c r="J63" s="47" t="s">
        <v>999</v>
      </c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60"/>
      <c r="H64" s="60"/>
      <c r="I64" s="9">
        <v>60000</v>
      </c>
      <c r="J64" s="9" t="s">
        <v>585</v>
      </c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60"/>
      <c r="H65" s="60"/>
      <c r="I65" s="9">
        <v>22000</v>
      </c>
      <c r="J65" s="9" t="s">
        <v>782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60"/>
      <c r="H66" s="60"/>
      <c r="I66" s="9">
        <v>23000</v>
      </c>
      <c r="J66" s="9" t="s">
        <v>972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60"/>
      <c r="H67" s="60"/>
      <c r="I67" s="9">
        <v>27000</v>
      </c>
      <c r="J67" s="9" t="s">
        <v>672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60"/>
      <c r="H68" s="60"/>
      <c r="I68" s="9">
        <v>160000</v>
      </c>
      <c r="J68" s="9" t="s">
        <v>1051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60"/>
      <c r="H69" s="60"/>
      <c r="I69" s="9">
        <v>104000</v>
      </c>
      <c r="J69" s="9" t="s">
        <v>807</v>
      </c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60"/>
      <c r="H70" s="60"/>
      <c r="I70" s="9">
        <v>32000</v>
      </c>
      <c r="J70" s="9" t="s">
        <v>640</v>
      </c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60"/>
      <c r="H71" s="60"/>
      <c r="I71" s="9">
        <v>80000</v>
      </c>
      <c r="J71" s="9" t="s">
        <v>651</v>
      </c>
      <c r="K71" s="9"/>
      <c r="L71" s="9"/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60"/>
      <c r="H72" s="60"/>
      <c r="I72" s="9">
        <v>35000</v>
      </c>
      <c r="J72" s="9" t="s">
        <v>652</v>
      </c>
      <c r="K72" s="9"/>
      <c r="L72" s="9"/>
      <c r="M72" s="9"/>
      <c r="N72" s="9"/>
    </row>
    <row r="73" spans="1:14" ht="19" x14ac:dyDescent="0.2">
      <c r="A73" s="74">
        <v>1180000</v>
      </c>
      <c r="B73" s="58"/>
      <c r="C73" s="49" t="s">
        <v>806</v>
      </c>
      <c r="D73" s="13" t="s">
        <v>565</v>
      </c>
      <c r="E73" s="15">
        <v>934000</v>
      </c>
      <c r="F73" s="9">
        <v>246000</v>
      </c>
      <c r="G73" s="60"/>
      <c r="H73" s="60"/>
      <c r="I73" s="9">
        <v>144000</v>
      </c>
      <c r="J73" s="9" t="s">
        <v>615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60"/>
      <c r="H74" s="60"/>
      <c r="I74" s="9"/>
      <c r="J74" s="9"/>
      <c r="K74" s="9"/>
      <c r="L74" s="9"/>
      <c r="M74" s="9"/>
      <c r="N74" s="9"/>
    </row>
    <row r="75" spans="1:14" ht="19" x14ac:dyDescent="0.2">
      <c r="A75" s="61">
        <v>1436000</v>
      </c>
      <c r="B75" s="58">
        <v>44661</v>
      </c>
      <c r="C75" s="2" t="s">
        <v>440</v>
      </c>
      <c r="D75" s="13" t="s">
        <v>405</v>
      </c>
      <c r="E75" s="15">
        <v>1321000</v>
      </c>
      <c r="F75" s="9">
        <v>115000</v>
      </c>
      <c r="G75" s="9">
        <v>2694000</v>
      </c>
      <c r="H75" s="9" t="s">
        <v>1045</v>
      </c>
      <c r="I75" s="9">
        <v>500000</v>
      </c>
      <c r="J75" s="9" t="s">
        <v>741</v>
      </c>
      <c r="K75" s="9"/>
      <c r="L75" s="9"/>
      <c r="M75" s="9"/>
      <c r="N75" s="9"/>
    </row>
    <row r="76" spans="1:14" ht="19" x14ac:dyDescent="0.2">
      <c r="A76" s="61"/>
      <c r="B76" s="58"/>
      <c r="C76" s="3"/>
      <c r="D76" s="13"/>
      <c r="E76" s="15"/>
      <c r="F76" s="9"/>
      <c r="G76" s="9">
        <v>1300000</v>
      </c>
      <c r="H76" s="9" t="s">
        <v>1070</v>
      </c>
      <c r="I76" s="9">
        <v>200000</v>
      </c>
      <c r="J76" s="9" t="s">
        <v>1069</v>
      </c>
      <c r="K76" s="9"/>
      <c r="L76" s="9"/>
      <c r="M76" s="9"/>
      <c r="N76" s="9"/>
    </row>
    <row r="77" spans="1:14" ht="19" x14ac:dyDescent="0.2">
      <c r="A77" s="61"/>
      <c r="B77" s="58"/>
      <c r="C77" s="49"/>
      <c r="D77" s="13"/>
      <c r="E77" s="15"/>
      <c r="F77" s="9"/>
      <c r="G77" s="9"/>
      <c r="H77" s="9"/>
      <c r="I77" s="9">
        <v>26000</v>
      </c>
      <c r="J77" s="9" t="s">
        <v>672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9"/>
      <c r="H78" s="9"/>
      <c r="I78" s="9">
        <v>15000</v>
      </c>
      <c r="J78" s="9" t="s">
        <v>1071</v>
      </c>
      <c r="K78" s="9"/>
      <c r="L78" s="9"/>
      <c r="M78" s="9"/>
      <c r="N78" s="9"/>
    </row>
    <row r="79" spans="1:14" ht="19" x14ac:dyDescent="0.2">
      <c r="A79" s="74"/>
      <c r="B79" s="58"/>
      <c r="C79" s="49"/>
      <c r="D79" s="13"/>
      <c r="E79" s="15"/>
      <c r="F79" s="9"/>
      <c r="G79" s="9"/>
      <c r="H79" s="9"/>
      <c r="I79" s="9">
        <v>18000</v>
      </c>
      <c r="J79" s="9" t="s">
        <v>1072</v>
      </c>
      <c r="K79" s="9"/>
      <c r="L79" s="9"/>
      <c r="M79" s="9"/>
      <c r="N79" s="9"/>
    </row>
    <row r="80" spans="1:14" ht="19" x14ac:dyDescent="0.2">
      <c r="A80" s="61">
        <v>1498000</v>
      </c>
      <c r="B80" s="58"/>
      <c r="C80" s="49" t="s">
        <v>363</v>
      </c>
      <c r="D80" s="13" t="s">
        <v>565</v>
      </c>
      <c r="E80" s="15">
        <v>1284000</v>
      </c>
      <c r="F80" s="9">
        <v>214000</v>
      </c>
      <c r="G80" s="9"/>
      <c r="H80" s="9"/>
      <c r="I80" s="9">
        <v>36000</v>
      </c>
      <c r="J80" s="9" t="s">
        <v>1073</v>
      </c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9"/>
      <c r="H81" s="9"/>
      <c r="I81" s="9">
        <v>75000</v>
      </c>
      <c r="J81" s="9" t="s">
        <v>1074</v>
      </c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9"/>
      <c r="H82" s="9"/>
      <c r="I82" s="9">
        <v>75000</v>
      </c>
      <c r="J82" s="9" t="s">
        <v>1075</v>
      </c>
      <c r="K82" s="9"/>
      <c r="L82" s="9"/>
      <c r="M82" s="9"/>
      <c r="N82" s="9"/>
    </row>
    <row r="83" spans="1:14" ht="19" x14ac:dyDescent="0.2">
      <c r="A83" s="61">
        <v>1188000</v>
      </c>
      <c r="B83" s="58">
        <v>44662</v>
      </c>
      <c r="C83" s="49" t="s">
        <v>440</v>
      </c>
      <c r="D83" s="13" t="s">
        <v>405</v>
      </c>
      <c r="E83" s="15">
        <v>953000</v>
      </c>
      <c r="F83" s="9">
        <v>235000</v>
      </c>
      <c r="G83" s="9"/>
      <c r="H83" s="9"/>
      <c r="I83" s="9">
        <v>144000</v>
      </c>
      <c r="J83" s="9" t="s">
        <v>615</v>
      </c>
      <c r="K83" s="9"/>
      <c r="L83" s="9"/>
      <c r="M83" s="9"/>
      <c r="N83" s="9"/>
    </row>
    <row r="84" spans="1:14" ht="19" x14ac:dyDescent="0.2">
      <c r="A84" s="74"/>
      <c r="B84" s="58"/>
      <c r="C84" s="49"/>
      <c r="D84" s="13"/>
      <c r="E84" s="15"/>
      <c r="F84" s="9"/>
      <c r="G84" s="9"/>
      <c r="H84" s="9"/>
      <c r="I84" s="9">
        <v>104000</v>
      </c>
      <c r="J84" s="9" t="s">
        <v>807</v>
      </c>
      <c r="K84" s="9"/>
      <c r="L84" s="9"/>
      <c r="M84" s="9"/>
      <c r="N84" s="9"/>
    </row>
    <row r="85" spans="1:14" ht="19" x14ac:dyDescent="0.2">
      <c r="A85" s="61">
        <v>2003000</v>
      </c>
      <c r="B85" s="58"/>
      <c r="C85" s="49" t="s">
        <v>363</v>
      </c>
      <c r="D85" s="13" t="s">
        <v>565</v>
      </c>
      <c r="E85" s="15">
        <v>1818000</v>
      </c>
      <c r="F85" s="9">
        <v>185000</v>
      </c>
      <c r="G85" s="9"/>
      <c r="H85" s="9"/>
      <c r="I85" s="9">
        <v>140000</v>
      </c>
      <c r="J85" s="9" t="s">
        <v>1076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9"/>
      <c r="H86" s="9"/>
      <c r="I86" s="9">
        <v>200000</v>
      </c>
      <c r="J86" s="9" t="s">
        <v>653</v>
      </c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9"/>
      <c r="H87" s="9"/>
      <c r="I87" s="9">
        <v>20000</v>
      </c>
      <c r="J87" s="9" t="s">
        <v>1077</v>
      </c>
      <c r="K87" s="9"/>
      <c r="L87" s="9"/>
      <c r="M87" s="9"/>
      <c r="N87" s="9"/>
    </row>
    <row r="88" spans="1:14" ht="19" x14ac:dyDescent="0.2">
      <c r="A88" s="61">
        <v>1107000</v>
      </c>
      <c r="B88" s="58">
        <v>44663</v>
      </c>
      <c r="C88" s="49" t="s">
        <v>9</v>
      </c>
      <c r="D88" s="13" t="s">
        <v>405</v>
      </c>
      <c r="E88" s="15">
        <v>881000</v>
      </c>
      <c r="F88" s="9">
        <v>226000</v>
      </c>
      <c r="G88" s="9"/>
      <c r="H88" s="9"/>
      <c r="I88" s="9">
        <v>17500</v>
      </c>
      <c r="J88" s="9" t="s">
        <v>1078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9"/>
      <c r="H89" s="9"/>
      <c r="I89" s="9">
        <v>40000</v>
      </c>
      <c r="J89" s="9" t="s">
        <v>810</v>
      </c>
      <c r="K89" s="9"/>
      <c r="L89" s="9"/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9"/>
      <c r="H90" s="9"/>
      <c r="I90" s="9">
        <v>20000</v>
      </c>
      <c r="J90" s="9" t="s">
        <v>948</v>
      </c>
      <c r="K90" s="9"/>
      <c r="L90" s="9"/>
      <c r="M90" s="9"/>
      <c r="N90" s="9"/>
    </row>
    <row r="91" spans="1:14" ht="19" x14ac:dyDescent="0.2">
      <c r="A91" s="74">
        <v>956000</v>
      </c>
      <c r="B91" s="58"/>
      <c r="C91" s="49" t="s">
        <v>10</v>
      </c>
      <c r="D91" s="13" t="s">
        <v>565</v>
      </c>
      <c r="E91" s="15">
        <v>918000</v>
      </c>
      <c r="F91" s="9">
        <v>38000</v>
      </c>
      <c r="G91" s="9">
        <v>3355000</v>
      </c>
      <c r="H91" s="9" t="s">
        <v>861</v>
      </c>
      <c r="I91" s="9">
        <v>50000</v>
      </c>
      <c r="J91" s="9" t="s">
        <v>59</v>
      </c>
      <c r="K91" s="9"/>
      <c r="L91" s="9"/>
      <c r="M91" s="9"/>
      <c r="N91" s="9"/>
    </row>
    <row r="92" spans="1:14" ht="19" x14ac:dyDescent="0.2">
      <c r="A92" s="61"/>
      <c r="B92" s="75"/>
      <c r="C92" s="2"/>
      <c r="D92" s="13"/>
      <c r="E92" s="15"/>
      <c r="F92" s="9"/>
      <c r="G92" s="9"/>
      <c r="H92" s="9"/>
      <c r="I92" s="9">
        <v>100000</v>
      </c>
      <c r="J92" s="9" t="s">
        <v>889</v>
      </c>
      <c r="K92" s="9"/>
      <c r="L92" s="9"/>
      <c r="M92" s="9"/>
      <c r="N92" s="9"/>
    </row>
    <row r="93" spans="1:14" ht="19" x14ac:dyDescent="0.2">
      <c r="A93" s="61"/>
      <c r="B93" s="58"/>
      <c r="C93" s="3"/>
      <c r="D93" s="13"/>
      <c r="E93" s="15"/>
      <c r="F93" s="9"/>
      <c r="G93" s="9"/>
      <c r="H93" s="9"/>
      <c r="I93" s="9">
        <v>56000</v>
      </c>
      <c r="J93" s="9" t="s">
        <v>859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144000</v>
      </c>
      <c r="J94" s="9" t="s">
        <v>615</v>
      </c>
      <c r="K94" s="9"/>
      <c r="L94" s="9"/>
      <c r="M94" s="9"/>
      <c r="N94" s="9"/>
    </row>
    <row r="95" spans="1:14" ht="19" x14ac:dyDescent="0.2">
      <c r="A95" s="61"/>
      <c r="B95" s="58">
        <v>44664</v>
      </c>
      <c r="C95" s="49"/>
      <c r="D95" s="13"/>
      <c r="E95" s="15"/>
      <c r="F95" s="9"/>
      <c r="G95" s="9"/>
      <c r="H95" s="9" t="s">
        <v>737</v>
      </c>
      <c r="I95" s="9"/>
      <c r="J95" s="9"/>
      <c r="K95" s="9"/>
      <c r="L95" s="9"/>
      <c r="M95" s="9"/>
      <c r="N95" s="9"/>
    </row>
    <row r="96" spans="1:14" ht="19" x14ac:dyDescent="0.2">
      <c r="A96" s="74"/>
      <c r="B96" s="75"/>
      <c r="C96" s="35"/>
      <c r="D96" s="13"/>
      <c r="E96" s="15"/>
      <c r="F96" s="9"/>
      <c r="G96" s="9"/>
      <c r="H96" s="9"/>
      <c r="I96" s="60"/>
      <c r="J96" s="60"/>
      <c r="K96" s="9"/>
      <c r="L96" s="9"/>
      <c r="M96" s="9"/>
      <c r="N96" s="9"/>
    </row>
    <row r="97" spans="1:14" ht="19" x14ac:dyDescent="0.2">
      <c r="A97" s="74"/>
      <c r="B97" s="75"/>
      <c r="C97" s="35"/>
      <c r="D97" s="13"/>
      <c r="E97" s="15"/>
      <c r="F97" s="9"/>
      <c r="G97" s="9"/>
      <c r="H97" s="9"/>
      <c r="I97" s="60"/>
      <c r="J97" s="60"/>
      <c r="K97" s="9"/>
      <c r="L97" s="9"/>
      <c r="M97" s="9"/>
      <c r="N97" s="9"/>
    </row>
    <row r="98" spans="1:14" ht="19" x14ac:dyDescent="0.2">
      <c r="A98" s="61">
        <v>1745000</v>
      </c>
      <c r="B98" s="58">
        <v>44665</v>
      </c>
      <c r="C98" s="3" t="s">
        <v>9</v>
      </c>
      <c r="D98" s="13" t="s">
        <v>405</v>
      </c>
      <c r="E98" s="15">
        <v>1529000</v>
      </c>
      <c r="F98" s="9">
        <v>216000</v>
      </c>
      <c r="G98" s="60"/>
      <c r="H98" s="60"/>
      <c r="I98" s="60">
        <v>12000</v>
      </c>
      <c r="J98" s="60" t="s">
        <v>1079</v>
      </c>
      <c r="K98" s="9"/>
      <c r="L98" s="9"/>
      <c r="M98" s="9"/>
      <c r="N98" s="9"/>
    </row>
    <row r="99" spans="1:14" ht="19" x14ac:dyDescent="0.2">
      <c r="A99" s="74"/>
      <c r="B99" s="58"/>
      <c r="C99" s="49"/>
      <c r="D99" s="13"/>
      <c r="E99" s="15"/>
      <c r="F99" s="9"/>
      <c r="G99" s="9"/>
      <c r="H99" s="9"/>
      <c r="I99" s="9">
        <v>25000</v>
      </c>
      <c r="J99" s="9" t="s">
        <v>714</v>
      </c>
      <c r="K99" s="9"/>
      <c r="L99" s="9"/>
      <c r="M99" s="9"/>
      <c r="N99" s="9"/>
    </row>
    <row r="100" spans="1:14" ht="19" x14ac:dyDescent="0.2">
      <c r="A100" s="74"/>
      <c r="B100" s="58"/>
      <c r="C100" s="49"/>
      <c r="D100" s="13"/>
      <c r="E100" s="15"/>
      <c r="F100" s="9"/>
      <c r="G100" s="9"/>
      <c r="H100" s="9"/>
      <c r="I100" s="9">
        <v>23500</v>
      </c>
      <c r="J100" s="9" t="s">
        <v>992</v>
      </c>
      <c r="K100" s="9"/>
      <c r="L100" s="9"/>
      <c r="M100" s="9"/>
      <c r="N100" s="9"/>
    </row>
    <row r="101" spans="1:14" ht="19" x14ac:dyDescent="0.2">
      <c r="A101" s="74"/>
      <c r="B101" s="58"/>
      <c r="C101" s="49"/>
      <c r="D101" s="13"/>
      <c r="E101" s="15"/>
      <c r="F101" s="9"/>
      <c r="G101" s="9"/>
      <c r="H101" s="9"/>
      <c r="I101" s="60">
        <v>29500</v>
      </c>
      <c r="J101" s="9" t="s">
        <v>950</v>
      </c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60">
        <v>44500</v>
      </c>
      <c r="J102" s="9" t="s">
        <v>769</v>
      </c>
      <c r="K102" s="9"/>
      <c r="L102" s="9"/>
      <c r="M102" s="9"/>
      <c r="N102" s="9"/>
    </row>
    <row r="103" spans="1:14" ht="19" x14ac:dyDescent="0.2">
      <c r="A103" s="74"/>
      <c r="B103" s="58"/>
      <c r="C103" s="49"/>
      <c r="D103" s="13"/>
      <c r="E103" s="15"/>
      <c r="F103" s="9"/>
      <c r="G103" s="9"/>
      <c r="H103" s="9"/>
      <c r="I103" s="60">
        <v>26000</v>
      </c>
      <c r="J103" s="9" t="s">
        <v>672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9">
        <v>620000</v>
      </c>
      <c r="J104" s="47" t="s">
        <v>117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60">
        <v>60000</v>
      </c>
      <c r="J105" s="9" t="s">
        <v>585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60">
        <v>30000</v>
      </c>
      <c r="J106" s="9" t="s">
        <v>756</v>
      </c>
      <c r="K106" s="9"/>
      <c r="L106" s="9"/>
      <c r="M106" s="9"/>
      <c r="N106" s="9"/>
    </row>
    <row r="107" spans="1:14" ht="19" x14ac:dyDescent="0.2">
      <c r="A107" s="61">
        <v>1355000</v>
      </c>
      <c r="B107" s="58"/>
      <c r="C107" s="2" t="s">
        <v>10</v>
      </c>
      <c r="D107" s="13" t="s">
        <v>685</v>
      </c>
      <c r="E107" s="15">
        <v>1225000</v>
      </c>
      <c r="F107" s="9">
        <v>130000</v>
      </c>
      <c r="G107" s="9"/>
      <c r="H107" s="9"/>
      <c r="I107" s="9">
        <v>100000</v>
      </c>
      <c r="J107" s="47" t="s">
        <v>827</v>
      </c>
      <c r="K107" s="9"/>
      <c r="L107" s="9"/>
      <c r="M107" s="9"/>
      <c r="N107" s="9"/>
    </row>
    <row r="108" spans="1:14" ht="19" x14ac:dyDescent="0.2">
      <c r="A108" s="74"/>
      <c r="B108" s="58"/>
      <c r="C108" s="35"/>
      <c r="D108" s="13"/>
      <c r="E108" s="15"/>
      <c r="F108" s="9"/>
      <c r="G108" s="9"/>
      <c r="H108" s="9"/>
      <c r="I108" s="9">
        <v>35000</v>
      </c>
      <c r="J108" s="9" t="s">
        <v>655</v>
      </c>
      <c r="K108" s="9"/>
      <c r="L108" s="9"/>
      <c r="M108" s="9"/>
      <c r="N108" s="9"/>
    </row>
    <row r="109" spans="1:14" ht="19" x14ac:dyDescent="0.2">
      <c r="A109" s="74"/>
      <c r="B109" s="58"/>
      <c r="C109" s="35"/>
      <c r="D109" s="13"/>
      <c r="E109" s="15"/>
      <c r="F109" s="9"/>
      <c r="G109" s="9"/>
      <c r="H109" s="9"/>
      <c r="I109" s="9">
        <v>144000</v>
      </c>
      <c r="J109" s="9" t="s">
        <v>615</v>
      </c>
      <c r="K109" s="9"/>
      <c r="L109" s="9"/>
      <c r="M109" s="9"/>
      <c r="N109" s="9"/>
    </row>
    <row r="110" spans="1:14" ht="19" x14ac:dyDescent="0.2">
      <c r="A110" s="74"/>
      <c r="B110" s="58"/>
      <c r="C110" s="35"/>
      <c r="D110" s="13"/>
      <c r="E110" s="15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32" x14ac:dyDescent="0.2">
      <c r="A111" s="61">
        <v>1962000</v>
      </c>
      <c r="B111" s="58">
        <v>44666</v>
      </c>
      <c r="C111" s="3" t="s">
        <v>9</v>
      </c>
      <c r="D111" s="13" t="s">
        <v>405</v>
      </c>
      <c r="E111" s="15">
        <v>1594000</v>
      </c>
      <c r="F111" s="9">
        <v>368000</v>
      </c>
      <c r="G111" s="9">
        <v>1028000</v>
      </c>
      <c r="H111" s="47" t="s">
        <v>1081</v>
      </c>
      <c r="I111" s="9">
        <v>84000</v>
      </c>
      <c r="J111" s="9" t="s">
        <v>1083</v>
      </c>
      <c r="K111" s="9"/>
      <c r="L111" s="9"/>
      <c r="M111" s="9"/>
      <c r="N111" s="9"/>
    </row>
    <row r="112" spans="1:14" ht="19" x14ac:dyDescent="0.2">
      <c r="A112" s="74"/>
      <c r="B112" s="58"/>
      <c r="C112" s="49"/>
      <c r="D112" s="13"/>
      <c r="E112" s="15"/>
      <c r="F112" s="9"/>
      <c r="G112" s="9"/>
      <c r="H112" s="9"/>
      <c r="I112" s="9">
        <v>26000</v>
      </c>
      <c r="J112" s="9" t="s">
        <v>1084</v>
      </c>
      <c r="K112" s="9"/>
      <c r="L112" s="9"/>
      <c r="M112" s="9"/>
      <c r="N112" s="9"/>
    </row>
    <row r="113" spans="1:14" ht="32" x14ac:dyDescent="0.2">
      <c r="A113" s="74"/>
      <c r="B113" s="58"/>
      <c r="C113" s="49"/>
      <c r="D113" s="13"/>
      <c r="E113" s="15"/>
      <c r="F113" s="9"/>
      <c r="G113" s="9">
        <v>280000</v>
      </c>
      <c r="H113" s="47" t="s">
        <v>1082</v>
      </c>
      <c r="I113" s="9">
        <v>9000</v>
      </c>
      <c r="J113" s="9" t="s">
        <v>642</v>
      </c>
      <c r="K113" s="9"/>
      <c r="L113" s="9"/>
      <c r="M113" s="9"/>
      <c r="N113" s="9"/>
    </row>
    <row r="114" spans="1:14" ht="19" x14ac:dyDescent="0.2">
      <c r="A114" s="74"/>
      <c r="B114" s="58"/>
      <c r="C114" s="49"/>
      <c r="D114" s="13"/>
      <c r="E114" s="15"/>
      <c r="F114" s="9"/>
      <c r="G114" s="9"/>
      <c r="H114" s="9"/>
      <c r="I114" s="9">
        <v>27000</v>
      </c>
      <c r="J114" s="9" t="s">
        <v>672</v>
      </c>
      <c r="K114" s="9"/>
      <c r="L114" s="9"/>
      <c r="M114" s="9"/>
      <c r="N114" s="9"/>
    </row>
    <row r="115" spans="1:14" ht="19" x14ac:dyDescent="0.2">
      <c r="A115" s="74"/>
      <c r="B115" s="58"/>
      <c r="C115" s="49"/>
      <c r="D115" s="13"/>
      <c r="E115" s="15"/>
      <c r="F115" s="9"/>
      <c r="G115" s="9"/>
      <c r="H115" s="9"/>
      <c r="I115" s="9">
        <v>104000</v>
      </c>
      <c r="J115" s="9" t="s">
        <v>807</v>
      </c>
      <c r="K115" s="9"/>
      <c r="L115" s="9"/>
      <c r="M115" s="9"/>
      <c r="N115" s="9"/>
    </row>
    <row r="116" spans="1:14" ht="32" x14ac:dyDescent="0.2">
      <c r="A116" s="61">
        <v>1743000</v>
      </c>
      <c r="B116" s="75"/>
      <c r="C116" s="2" t="s">
        <v>10</v>
      </c>
      <c r="D116" s="13" t="s">
        <v>685</v>
      </c>
      <c r="E116" s="15">
        <v>1373000</v>
      </c>
      <c r="F116" s="9">
        <v>370000</v>
      </c>
      <c r="G116" s="9">
        <v>748000</v>
      </c>
      <c r="H116" s="47" t="s">
        <v>1080</v>
      </c>
      <c r="I116" s="9">
        <v>30000</v>
      </c>
      <c r="J116" s="9" t="s">
        <v>756</v>
      </c>
      <c r="K116" s="9"/>
      <c r="L116" s="9"/>
      <c r="M116" s="9"/>
      <c r="N116" s="9"/>
    </row>
    <row r="117" spans="1:14" ht="19" x14ac:dyDescent="0.2">
      <c r="A117" s="74"/>
      <c r="B117" s="75"/>
      <c r="C117" s="35"/>
      <c r="D117" s="13"/>
      <c r="E117" s="15"/>
      <c r="F117" s="9"/>
      <c r="G117" s="9"/>
      <c r="H117" s="9"/>
      <c r="I117" s="9">
        <v>100000</v>
      </c>
      <c r="J117" s="9" t="s">
        <v>1085</v>
      </c>
      <c r="K117" s="9"/>
      <c r="L117" s="9"/>
      <c r="M117" s="9"/>
      <c r="N117" s="9"/>
    </row>
    <row r="118" spans="1:14" ht="19" x14ac:dyDescent="0.2">
      <c r="A118" s="74"/>
      <c r="B118" s="75"/>
      <c r="C118" s="35"/>
      <c r="D118" s="13"/>
      <c r="E118" s="1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61">
        <v>2279000</v>
      </c>
      <c r="B119" s="58">
        <v>44667</v>
      </c>
      <c r="C119" s="35" t="s">
        <v>440</v>
      </c>
      <c r="D119" s="13" t="s">
        <v>405</v>
      </c>
      <c r="E119" s="15">
        <v>1998000</v>
      </c>
      <c r="F119" s="9">
        <v>281000</v>
      </c>
      <c r="G119" s="9">
        <v>2694000</v>
      </c>
      <c r="H119" s="9" t="s">
        <v>1045</v>
      </c>
      <c r="I119" s="9">
        <v>355000</v>
      </c>
      <c r="J119" s="47" t="s">
        <v>1086</v>
      </c>
      <c r="K119" s="9"/>
      <c r="L119" s="9"/>
      <c r="M119" s="9"/>
      <c r="N119" s="9"/>
    </row>
    <row r="120" spans="1:14" ht="19" x14ac:dyDescent="0.2">
      <c r="A120" s="61"/>
      <c r="B120" s="75"/>
      <c r="C120" s="2"/>
      <c r="D120" s="13"/>
      <c r="E120" s="9"/>
      <c r="F120" s="9"/>
      <c r="G120" s="9"/>
      <c r="H120" s="9"/>
      <c r="I120" s="9">
        <v>30000</v>
      </c>
      <c r="J120" s="9" t="s">
        <v>756</v>
      </c>
      <c r="K120" s="9"/>
      <c r="L120" s="9"/>
      <c r="M120" s="9"/>
      <c r="N120" s="9"/>
    </row>
    <row r="121" spans="1:14" ht="19" x14ac:dyDescent="0.2">
      <c r="A121" s="74"/>
      <c r="B121" s="75"/>
      <c r="C121" s="35"/>
      <c r="D121" s="13"/>
      <c r="E121" s="15"/>
      <c r="F121" s="9"/>
      <c r="G121" s="9"/>
      <c r="H121" s="9"/>
      <c r="I121" s="9">
        <v>250000</v>
      </c>
      <c r="J121" s="9" t="s">
        <v>1087</v>
      </c>
      <c r="K121" s="9"/>
      <c r="L121" s="9"/>
      <c r="M121" s="9"/>
      <c r="N121" s="9"/>
    </row>
    <row r="122" spans="1:14" ht="19" x14ac:dyDescent="0.2">
      <c r="A122" s="74"/>
      <c r="B122" s="75"/>
      <c r="C122" s="35"/>
      <c r="D122" s="13"/>
      <c r="E122" s="15"/>
      <c r="F122" s="9"/>
      <c r="G122" s="9"/>
      <c r="H122" s="9"/>
      <c r="I122" s="9">
        <v>200000</v>
      </c>
      <c r="J122" s="9" t="s">
        <v>1112</v>
      </c>
      <c r="K122" s="9"/>
      <c r="L122" s="9"/>
      <c r="M122" s="9"/>
      <c r="N122" s="9"/>
    </row>
    <row r="123" spans="1:14" ht="19" x14ac:dyDescent="0.2">
      <c r="A123" s="74">
        <v>1276000</v>
      </c>
      <c r="B123" s="75"/>
      <c r="C123" s="35" t="s">
        <v>363</v>
      </c>
      <c r="D123" s="13" t="s">
        <v>565</v>
      </c>
      <c r="E123" s="15">
        <v>942000</v>
      </c>
      <c r="F123" s="9">
        <v>334000</v>
      </c>
      <c r="G123" s="9"/>
      <c r="H123" s="9"/>
      <c r="I123" s="9">
        <v>100000</v>
      </c>
      <c r="J123" s="9" t="s">
        <v>889</v>
      </c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9">
        <v>135000</v>
      </c>
      <c r="J124" s="9" t="s">
        <v>1088</v>
      </c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/>
      <c r="H125" s="9"/>
      <c r="I125" s="9">
        <v>56000</v>
      </c>
      <c r="J125" s="9" t="s">
        <v>859</v>
      </c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9">
        <v>200000</v>
      </c>
      <c r="J126" s="9" t="s">
        <v>653</v>
      </c>
      <c r="K126" s="9"/>
      <c r="L126" s="9"/>
      <c r="M126" s="9"/>
      <c r="N126" s="9"/>
    </row>
    <row r="127" spans="1:14" ht="19" x14ac:dyDescent="0.2">
      <c r="A127" s="74"/>
      <c r="B127" s="75"/>
      <c r="C127" s="35"/>
      <c r="D127" s="13"/>
      <c r="E127" s="15"/>
      <c r="F127" s="9"/>
      <c r="G127" s="9"/>
      <c r="H127" s="9"/>
      <c r="I127" s="9">
        <v>100000</v>
      </c>
      <c r="J127" s="9" t="s">
        <v>827</v>
      </c>
      <c r="K127" s="9"/>
      <c r="L127" s="9"/>
      <c r="M127" s="9"/>
      <c r="N127" s="9"/>
    </row>
    <row r="128" spans="1:14" ht="19" x14ac:dyDescent="0.2">
      <c r="A128" s="74">
        <v>1685000</v>
      </c>
      <c r="B128" s="58">
        <v>44668</v>
      </c>
      <c r="C128" s="35" t="s">
        <v>440</v>
      </c>
      <c r="D128" s="13" t="s">
        <v>405</v>
      </c>
      <c r="E128" s="15">
        <v>1398000</v>
      </c>
      <c r="F128" s="9">
        <v>287000</v>
      </c>
      <c r="G128" s="9">
        <v>650000</v>
      </c>
      <c r="H128" s="9" t="s">
        <v>1089</v>
      </c>
      <c r="I128" s="9">
        <v>26000</v>
      </c>
      <c r="J128" s="9" t="s">
        <v>672</v>
      </c>
      <c r="K128" s="9"/>
      <c r="L128" s="9"/>
      <c r="M128" s="9"/>
      <c r="N128" s="9"/>
    </row>
    <row r="129" spans="1:14" ht="19" x14ac:dyDescent="0.2">
      <c r="A129" s="74"/>
      <c r="B129" s="58"/>
      <c r="C129" s="35"/>
      <c r="D129" s="13"/>
      <c r="E129" s="15"/>
      <c r="F129" s="9"/>
      <c r="G129" s="9"/>
      <c r="H129" s="9"/>
      <c r="I129" s="9">
        <v>30000</v>
      </c>
      <c r="J129" s="9" t="s">
        <v>756</v>
      </c>
      <c r="K129" s="9"/>
      <c r="L129" s="9"/>
      <c r="M129" s="9"/>
      <c r="N129" s="9"/>
    </row>
    <row r="130" spans="1:14" ht="19" x14ac:dyDescent="0.2">
      <c r="A130" s="74"/>
      <c r="B130" s="58"/>
      <c r="C130" s="35"/>
      <c r="D130" s="13"/>
      <c r="E130" s="15"/>
      <c r="F130" s="9"/>
      <c r="G130" s="9" t="s">
        <v>547</v>
      </c>
      <c r="H130" s="9"/>
      <c r="I130" s="9"/>
      <c r="J130" s="9"/>
      <c r="K130" s="9"/>
      <c r="L130" s="9"/>
      <c r="M130" s="9"/>
      <c r="N130" s="9"/>
    </row>
    <row r="131" spans="1:14" ht="19" x14ac:dyDescent="0.2">
      <c r="A131" s="74"/>
      <c r="B131" s="75"/>
      <c r="C131" s="35"/>
      <c r="D131" s="13"/>
      <c r="E131" s="15"/>
      <c r="F131" s="9"/>
      <c r="G131" s="9"/>
      <c r="H131" s="9"/>
      <c r="I131" s="60"/>
      <c r="J131" s="60"/>
      <c r="K131" s="9"/>
      <c r="L131" s="9"/>
      <c r="M131" s="9"/>
      <c r="N131" s="9"/>
    </row>
    <row r="132" spans="1:14" ht="19" x14ac:dyDescent="0.2">
      <c r="A132" s="74">
        <v>1558000</v>
      </c>
      <c r="B132" s="75"/>
      <c r="C132" s="35" t="s">
        <v>363</v>
      </c>
      <c r="D132" s="13" t="s">
        <v>565</v>
      </c>
      <c r="E132" s="15">
        <v>1420000</v>
      </c>
      <c r="F132" s="9">
        <v>138000</v>
      </c>
      <c r="G132" s="9"/>
      <c r="H132" s="9"/>
      <c r="I132" s="9">
        <v>200000</v>
      </c>
      <c r="J132" s="9" t="s">
        <v>1090</v>
      </c>
      <c r="K132" s="9"/>
      <c r="L132" s="9"/>
      <c r="M132" s="9"/>
      <c r="N132" s="9"/>
    </row>
    <row r="133" spans="1:14" ht="19" x14ac:dyDescent="0.2">
      <c r="A133" s="74"/>
      <c r="B133" s="75"/>
      <c r="C133" s="35"/>
      <c r="D133" s="13"/>
      <c r="E133" s="15"/>
      <c r="F133" s="9"/>
      <c r="G133" s="9"/>
      <c r="H133" s="9"/>
      <c r="I133" s="9">
        <v>65000</v>
      </c>
      <c r="J133" s="9" t="s">
        <v>908</v>
      </c>
      <c r="K133" s="9"/>
      <c r="L133" s="9"/>
      <c r="M133" s="9"/>
      <c r="N133" s="9"/>
    </row>
    <row r="134" spans="1:14" ht="19" x14ac:dyDescent="0.2">
      <c r="A134" s="74"/>
      <c r="B134" s="75"/>
      <c r="C134" s="35"/>
      <c r="D134" s="13"/>
      <c r="E134" s="15"/>
      <c r="F134" s="9"/>
      <c r="G134" s="9"/>
      <c r="H134" s="9"/>
      <c r="I134" s="9">
        <v>144000</v>
      </c>
      <c r="J134" s="9" t="s">
        <v>615</v>
      </c>
      <c r="K134" s="9"/>
      <c r="L134" s="9"/>
      <c r="M134" s="9"/>
      <c r="N134" s="9"/>
    </row>
    <row r="135" spans="1:14" ht="19" x14ac:dyDescent="0.2">
      <c r="A135" s="74"/>
      <c r="B135" s="75"/>
      <c r="C135" s="35"/>
      <c r="D135" s="13"/>
      <c r="E135" s="15"/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19" x14ac:dyDescent="0.2">
      <c r="A136" s="74"/>
      <c r="B136" s="75"/>
      <c r="C136" s="35"/>
      <c r="D136" s="13"/>
      <c r="E136" s="15"/>
      <c r="F136" s="9"/>
      <c r="G136" s="9"/>
      <c r="H136" s="9"/>
      <c r="I136" s="9"/>
      <c r="J136" s="9"/>
      <c r="K136" s="9"/>
      <c r="L136" s="9"/>
      <c r="M136" s="9"/>
      <c r="N136" s="9"/>
    </row>
    <row r="137" spans="1:14" ht="19" x14ac:dyDescent="0.2">
      <c r="A137" s="74"/>
      <c r="B137" s="75"/>
      <c r="C137" s="35"/>
      <c r="D137" s="13"/>
      <c r="E137" s="15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9" x14ac:dyDescent="0.2">
      <c r="A138" s="74">
        <v>2178000</v>
      </c>
      <c r="B138" s="58">
        <v>44669</v>
      </c>
      <c r="C138" s="35" t="s">
        <v>440</v>
      </c>
      <c r="D138" s="13" t="s">
        <v>405</v>
      </c>
      <c r="E138" s="15">
        <v>1841000</v>
      </c>
      <c r="F138" s="9">
        <v>337000</v>
      </c>
      <c r="G138" s="9"/>
      <c r="H138" s="9"/>
      <c r="I138" s="9">
        <v>27000</v>
      </c>
      <c r="J138" s="9" t="s">
        <v>672</v>
      </c>
      <c r="K138" s="9"/>
      <c r="L138" s="9"/>
      <c r="M138" s="9"/>
      <c r="N138" s="9"/>
    </row>
    <row r="139" spans="1:14" ht="19" x14ac:dyDescent="0.2">
      <c r="A139" s="74"/>
      <c r="B139" s="58"/>
      <c r="C139" s="35"/>
      <c r="D139" s="13"/>
      <c r="E139" s="15"/>
      <c r="F139" s="9"/>
      <c r="G139" s="9"/>
      <c r="H139" s="9"/>
      <c r="I139" s="9">
        <v>6000</v>
      </c>
      <c r="J139" s="9" t="s">
        <v>642</v>
      </c>
      <c r="K139" s="9"/>
      <c r="L139" s="9"/>
      <c r="M139" s="9"/>
      <c r="N139" s="9"/>
    </row>
    <row r="140" spans="1:14" ht="19" x14ac:dyDescent="0.2">
      <c r="A140" s="74"/>
      <c r="B140" s="58"/>
      <c r="C140" s="35"/>
      <c r="D140" s="13"/>
      <c r="E140" s="15"/>
      <c r="F140" s="9"/>
      <c r="G140" s="9"/>
      <c r="H140" s="9"/>
      <c r="I140" s="9">
        <v>13000</v>
      </c>
      <c r="J140" s="9" t="s">
        <v>1091</v>
      </c>
      <c r="K140" s="9"/>
      <c r="L140" s="9"/>
      <c r="M140" s="9"/>
      <c r="N140" s="9"/>
    </row>
    <row r="141" spans="1:14" ht="19" x14ac:dyDescent="0.2">
      <c r="A141" s="74"/>
      <c r="B141" s="58"/>
      <c r="C141" s="35"/>
      <c r="D141" s="13"/>
      <c r="E141" s="15"/>
      <c r="F141" s="9"/>
      <c r="G141" s="9"/>
      <c r="H141" s="9"/>
      <c r="I141" s="9">
        <v>24000</v>
      </c>
      <c r="J141" s="9" t="s">
        <v>1092</v>
      </c>
      <c r="K141" s="9"/>
      <c r="L141" s="9"/>
      <c r="M141" s="9"/>
      <c r="N141" s="9"/>
    </row>
    <row r="142" spans="1:14" ht="19" x14ac:dyDescent="0.2">
      <c r="A142" s="74"/>
      <c r="B142" s="58"/>
      <c r="C142" s="35"/>
      <c r="D142" s="13"/>
      <c r="E142" s="15"/>
      <c r="F142" s="9"/>
      <c r="G142" s="9"/>
      <c r="H142" s="9"/>
      <c r="I142" s="9">
        <v>30000</v>
      </c>
      <c r="J142" s="9" t="s">
        <v>756</v>
      </c>
      <c r="K142" s="9"/>
      <c r="L142" s="9"/>
      <c r="M142" s="9"/>
      <c r="N142" s="9"/>
    </row>
    <row r="143" spans="1:14" ht="19" x14ac:dyDescent="0.2">
      <c r="A143" s="74"/>
      <c r="B143" s="58"/>
      <c r="C143" s="35"/>
      <c r="D143" s="13"/>
      <c r="E143" s="15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9" x14ac:dyDescent="0.2">
      <c r="A144" s="74">
        <v>1300000</v>
      </c>
      <c r="B144" s="58"/>
      <c r="C144" s="35" t="s">
        <v>806</v>
      </c>
      <c r="D144" s="13" t="s">
        <v>565</v>
      </c>
      <c r="E144" s="15">
        <v>1142000</v>
      </c>
      <c r="F144" s="9">
        <v>158000</v>
      </c>
      <c r="G144" s="9"/>
      <c r="H144" s="9"/>
      <c r="I144" s="9"/>
      <c r="J144" s="9"/>
      <c r="K144" s="9"/>
      <c r="L144" s="9"/>
      <c r="M144" s="9"/>
      <c r="N144" s="9"/>
    </row>
    <row r="145" spans="1:14" ht="19" x14ac:dyDescent="0.2">
      <c r="A145" s="74"/>
      <c r="B145" s="58"/>
      <c r="C145" s="35"/>
      <c r="D145" s="13"/>
      <c r="E145" s="15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9" x14ac:dyDescent="0.2">
      <c r="A146" s="74"/>
      <c r="B146" s="58"/>
      <c r="C146" s="35"/>
      <c r="D146" s="13"/>
      <c r="E146" s="15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9" x14ac:dyDescent="0.2">
      <c r="A147" s="61">
        <v>1673000</v>
      </c>
      <c r="B147" s="58">
        <v>44670</v>
      </c>
      <c r="C147" s="3" t="s">
        <v>9</v>
      </c>
      <c r="D147" s="13" t="s">
        <v>405</v>
      </c>
      <c r="E147" s="9">
        <v>1305000</v>
      </c>
      <c r="F147" s="9">
        <v>368000</v>
      </c>
      <c r="G147" s="9"/>
      <c r="H147" s="9"/>
      <c r="I147" s="9">
        <v>30000</v>
      </c>
      <c r="J147" s="9" t="s">
        <v>1093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9">
        <v>410000</v>
      </c>
      <c r="J148" s="9" t="s">
        <v>1105</v>
      </c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9">
        <v>620000</v>
      </c>
      <c r="J149" s="47" t="s">
        <v>117</v>
      </c>
      <c r="K149" s="9"/>
      <c r="L149" s="9"/>
      <c r="M149" s="9"/>
      <c r="N149" s="9"/>
    </row>
    <row r="150" spans="1:14" ht="32" x14ac:dyDescent="0.2">
      <c r="A150" s="74"/>
      <c r="B150" s="58"/>
      <c r="C150" s="49"/>
      <c r="D150" s="13"/>
      <c r="E150" s="15"/>
      <c r="F150" s="9"/>
      <c r="G150" s="9"/>
      <c r="H150" s="9"/>
      <c r="I150" s="9">
        <v>310000</v>
      </c>
      <c r="J150" s="47" t="s">
        <v>828</v>
      </c>
      <c r="K150" s="9"/>
      <c r="L150" s="9"/>
      <c r="M150" s="9"/>
      <c r="N150" s="9"/>
    </row>
    <row r="151" spans="1:14" ht="19" x14ac:dyDescent="0.2">
      <c r="A151" s="74"/>
      <c r="B151" s="58"/>
      <c r="C151" s="49"/>
      <c r="D151" s="13"/>
      <c r="E151" s="15"/>
      <c r="F151" s="9"/>
      <c r="G151" s="9"/>
      <c r="H151" s="9"/>
      <c r="I151" s="9">
        <v>90000</v>
      </c>
      <c r="J151" s="9" t="s">
        <v>701</v>
      </c>
      <c r="K151" s="9"/>
      <c r="L151" s="9"/>
      <c r="M151" s="9"/>
      <c r="N151" s="9"/>
    </row>
    <row r="152" spans="1:14" ht="19" x14ac:dyDescent="0.2">
      <c r="A152" s="74"/>
      <c r="B152" s="58"/>
      <c r="C152" s="49"/>
      <c r="D152" s="13"/>
      <c r="E152" s="15"/>
      <c r="F152" s="9"/>
      <c r="G152" s="9"/>
      <c r="H152" s="9"/>
      <c r="I152" s="9">
        <v>140000</v>
      </c>
      <c r="J152" s="9" t="s">
        <v>1094</v>
      </c>
      <c r="K152" s="9"/>
      <c r="L152" s="9"/>
      <c r="M152" s="9"/>
      <c r="N152" s="9"/>
    </row>
    <row r="153" spans="1:14" ht="19" x14ac:dyDescent="0.2">
      <c r="A153" s="74"/>
      <c r="B153" s="58"/>
      <c r="C153" s="49"/>
      <c r="D153" s="13"/>
      <c r="E153" s="15"/>
      <c r="F153" s="9"/>
      <c r="G153" s="9"/>
      <c r="H153" s="9"/>
      <c r="I153" s="9">
        <v>140000</v>
      </c>
      <c r="J153" s="9" t="s">
        <v>1095</v>
      </c>
      <c r="K153" s="9"/>
      <c r="L153" s="9"/>
      <c r="M153" s="9"/>
      <c r="N153" s="9"/>
    </row>
    <row r="154" spans="1:14" ht="19" x14ac:dyDescent="0.2">
      <c r="A154" s="74"/>
      <c r="B154" s="58"/>
      <c r="C154" s="49"/>
      <c r="D154" s="13"/>
      <c r="E154" s="15"/>
      <c r="F154" s="9"/>
      <c r="G154" s="9"/>
      <c r="H154" s="9"/>
      <c r="I154" s="9">
        <v>140000</v>
      </c>
      <c r="J154" s="9" t="s">
        <v>1096</v>
      </c>
      <c r="K154" s="9"/>
      <c r="L154" s="9"/>
      <c r="M154" s="9"/>
      <c r="N154" s="9"/>
    </row>
    <row r="155" spans="1:14" ht="19" x14ac:dyDescent="0.2">
      <c r="A155" s="74"/>
      <c r="B155" s="58"/>
      <c r="C155" s="49"/>
      <c r="D155" s="13"/>
      <c r="E155" s="15"/>
      <c r="F155" s="9"/>
      <c r="G155" s="9"/>
      <c r="H155" s="9"/>
      <c r="I155" s="9">
        <v>255000</v>
      </c>
      <c r="J155" s="9" t="s">
        <v>1099</v>
      </c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9"/>
      <c r="I156" s="9"/>
      <c r="J156" s="9"/>
      <c r="K156" s="9"/>
      <c r="L156" s="9"/>
      <c r="M156" s="9"/>
      <c r="N156" s="9"/>
    </row>
    <row r="157" spans="1:14" ht="19" x14ac:dyDescent="0.2">
      <c r="A157" s="61">
        <v>1038000</v>
      </c>
      <c r="B157" s="75"/>
      <c r="C157" s="2" t="s">
        <v>10</v>
      </c>
      <c r="D157" s="13" t="s">
        <v>565</v>
      </c>
      <c r="E157" s="9">
        <v>761000</v>
      </c>
      <c r="F157" s="9">
        <v>277000</v>
      </c>
      <c r="G157" s="9"/>
      <c r="H157" s="9"/>
      <c r="I157" s="9">
        <v>50000</v>
      </c>
      <c r="J157" s="9" t="s">
        <v>59</v>
      </c>
      <c r="K157" s="9"/>
      <c r="L157" s="9"/>
      <c r="M157" s="9"/>
      <c r="N157" s="9"/>
    </row>
    <row r="158" spans="1:14" ht="19" x14ac:dyDescent="0.2">
      <c r="A158" s="74"/>
      <c r="B158" s="75"/>
      <c r="C158" s="35"/>
      <c r="D158" s="13"/>
      <c r="E158" s="15"/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9" x14ac:dyDescent="0.2">
      <c r="A159" s="74"/>
      <c r="B159" s="75"/>
      <c r="C159" s="35"/>
      <c r="D159" s="13"/>
      <c r="E159" s="15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9" x14ac:dyDescent="0.2">
      <c r="A160" s="74"/>
      <c r="B160" s="75"/>
      <c r="C160" s="35"/>
      <c r="D160" s="13"/>
      <c r="E160" s="15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19" x14ac:dyDescent="0.2">
      <c r="A161" s="74"/>
      <c r="B161" s="75"/>
      <c r="C161" s="35"/>
      <c r="D161" s="13"/>
      <c r="E161" s="15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9" x14ac:dyDescent="0.2">
      <c r="A162" s="74"/>
      <c r="B162" s="58">
        <v>44671</v>
      </c>
      <c r="C162" s="35"/>
      <c r="D162" s="13"/>
      <c r="E162" s="15"/>
      <c r="F162" s="9"/>
      <c r="G162" s="9"/>
      <c r="H162" s="9" t="s">
        <v>737</v>
      </c>
      <c r="I162" s="9"/>
      <c r="J162" s="9"/>
      <c r="K162" s="9"/>
      <c r="L162" s="9"/>
      <c r="M162" s="9"/>
      <c r="N162" s="9"/>
    </row>
    <row r="163" spans="1:14" ht="19" x14ac:dyDescent="0.2">
      <c r="A163" s="74"/>
      <c r="B163" s="58"/>
      <c r="C163" s="49"/>
      <c r="D163" s="13"/>
      <c r="E163" s="15"/>
      <c r="F163" s="9"/>
      <c r="G163" s="9"/>
      <c r="H163" s="9"/>
      <c r="I163" s="76"/>
      <c r="J163" s="76"/>
      <c r="K163" s="9"/>
      <c r="L163" s="9"/>
      <c r="M163" s="9"/>
      <c r="N163" s="9"/>
    </row>
    <row r="164" spans="1:14" ht="19" x14ac:dyDescent="0.2">
      <c r="A164" s="61">
        <v>1447000</v>
      </c>
      <c r="B164" s="58">
        <v>44672</v>
      </c>
      <c r="C164" s="2" t="s">
        <v>9</v>
      </c>
      <c r="D164" s="13" t="s">
        <v>685</v>
      </c>
      <c r="E164" s="15">
        <v>1211000</v>
      </c>
      <c r="F164" s="9">
        <v>236000</v>
      </c>
      <c r="G164" s="9">
        <v>2700000</v>
      </c>
      <c r="H164" s="76" t="s">
        <v>1045</v>
      </c>
      <c r="I164" s="60">
        <v>127500</v>
      </c>
      <c r="J164" s="60" t="s">
        <v>1097</v>
      </c>
      <c r="K164" s="9"/>
      <c r="L164" s="9"/>
      <c r="M164" s="9"/>
      <c r="N164" s="9"/>
    </row>
    <row r="165" spans="1:14" ht="19" x14ac:dyDescent="0.2">
      <c r="A165" s="74"/>
      <c r="B165" s="58"/>
      <c r="C165" s="35"/>
      <c r="D165" s="13"/>
      <c r="E165" s="15"/>
      <c r="F165" s="9"/>
      <c r="G165" s="9"/>
      <c r="H165" s="76"/>
      <c r="I165" s="60">
        <v>24000</v>
      </c>
      <c r="J165" s="60" t="s">
        <v>672</v>
      </c>
      <c r="K165" s="9"/>
      <c r="L165" s="9"/>
      <c r="M165" s="9"/>
      <c r="N165" s="9"/>
    </row>
    <row r="166" spans="1:14" ht="19" x14ac:dyDescent="0.2">
      <c r="A166" s="74"/>
      <c r="B166" s="58"/>
      <c r="C166" s="35"/>
      <c r="D166" s="13"/>
      <c r="E166" s="15"/>
      <c r="F166" s="9"/>
      <c r="G166" s="9"/>
      <c r="H166" s="76"/>
      <c r="I166" s="60">
        <v>44500</v>
      </c>
      <c r="J166" s="60" t="s">
        <v>645</v>
      </c>
      <c r="K166" s="9"/>
      <c r="L166" s="9"/>
      <c r="M166" s="9"/>
      <c r="N166" s="9"/>
    </row>
    <row r="167" spans="1:14" ht="19" x14ac:dyDescent="0.2">
      <c r="A167" s="74"/>
      <c r="B167" s="58"/>
      <c r="C167" s="35"/>
      <c r="D167" s="13"/>
      <c r="E167" s="15"/>
      <c r="F167" s="9"/>
      <c r="G167" s="9"/>
      <c r="H167" s="76"/>
      <c r="I167" s="60">
        <v>115000</v>
      </c>
      <c r="J167" s="60" t="s">
        <v>1098</v>
      </c>
      <c r="K167" s="9"/>
      <c r="L167" s="9"/>
      <c r="M167" s="9"/>
      <c r="N167" s="9"/>
    </row>
    <row r="168" spans="1:14" ht="19" x14ac:dyDescent="0.2">
      <c r="A168" s="74"/>
      <c r="B168" s="58"/>
      <c r="C168" s="35"/>
      <c r="D168" s="13"/>
      <c r="E168" s="15"/>
      <c r="F168" s="9"/>
      <c r="G168" s="9"/>
      <c r="H168" s="76"/>
      <c r="I168" s="60">
        <v>48000</v>
      </c>
      <c r="J168" s="60" t="s">
        <v>982</v>
      </c>
      <c r="K168" s="9"/>
      <c r="L168" s="9"/>
      <c r="M168" s="9"/>
      <c r="N168" s="9"/>
    </row>
    <row r="169" spans="1:14" ht="19" x14ac:dyDescent="0.2">
      <c r="A169" s="74"/>
      <c r="B169" s="58"/>
      <c r="C169" s="35"/>
      <c r="D169" s="13"/>
      <c r="E169" s="15"/>
      <c r="F169" s="9"/>
      <c r="G169" s="9"/>
      <c r="H169" s="76"/>
      <c r="I169" s="60">
        <v>14000</v>
      </c>
      <c r="J169" s="60" t="s">
        <v>934</v>
      </c>
      <c r="K169" s="9"/>
      <c r="L169" s="9"/>
      <c r="M169" s="9"/>
      <c r="N169" s="9"/>
    </row>
    <row r="170" spans="1:14" ht="19" x14ac:dyDescent="0.2">
      <c r="A170" s="74"/>
      <c r="B170" s="58"/>
      <c r="C170" s="35"/>
      <c r="D170" s="13"/>
      <c r="E170" s="15"/>
      <c r="F170" s="9"/>
      <c r="G170" s="9"/>
      <c r="H170" s="76"/>
      <c r="I170" s="60">
        <v>6000</v>
      </c>
      <c r="J170" s="60" t="s">
        <v>702</v>
      </c>
      <c r="K170" s="9"/>
      <c r="L170" s="9"/>
      <c r="M170" s="9"/>
      <c r="N170" s="9"/>
    </row>
    <row r="171" spans="1:14" ht="19" x14ac:dyDescent="0.2">
      <c r="A171" s="74"/>
      <c r="B171" s="58"/>
      <c r="C171" s="35"/>
      <c r="D171" s="13"/>
      <c r="E171" s="15"/>
      <c r="F171" s="9"/>
      <c r="G171" s="9"/>
      <c r="H171" s="76"/>
      <c r="I171" s="60">
        <v>100000</v>
      </c>
      <c r="J171" s="60" t="s">
        <v>1100</v>
      </c>
      <c r="K171" s="9"/>
      <c r="L171" s="9"/>
      <c r="M171" s="9"/>
      <c r="N171" s="9"/>
    </row>
    <row r="172" spans="1:14" ht="19" x14ac:dyDescent="0.2">
      <c r="A172" s="61">
        <v>1184000</v>
      </c>
      <c r="B172" s="58"/>
      <c r="C172" s="3" t="s">
        <v>10</v>
      </c>
      <c r="D172" s="13" t="s">
        <v>565</v>
      </c>
      <c r="E172" s="15">
        <v>827000</v>
      </c>
      <c r="F172" s="9">
        <v>357000</v>
      </c>
      <c r="G172" s="9"/>
      <c r="H172" s="9"/>
      <c r="I172" s="9">
        <v>200000</v>
      </c>
      <c r="J172" s="9" t="s">
        <v>653</v>
      </c>
      <c r="K172" s="9"/>
      <c r="L172" s="9"/>
      <c r="M172" s="9"/>
      <c r="N172" s="9"/>
    </row>
    <row r="173" spans="1:14" ht="19" x14ac:dyDescent="0.2">
      <c r="A173" s="74"/>
      <c r="B173" s="58"/>
      <c r="C173" s="49"/>
      <c r="D173" s="13"/>
      <c r="E173" s="15"/>
      <c r="F173" s="9"/>
      <c r="G173" s="9"/>
      <c r="H173" s="9"/>
      <c r="I173" s="9">
        <v>100000</v>
      </c>
      <c r="J173" s="9" t="s">
        <v>827</v>
      </c>
      <c r="K173" s="9"/>
      <c r="L173" s="9"/>
      <c r="M173" s="9"/>
      <c r="N173" s="9"/>
    </row>
    <row r="174" spans="1:14" ht="19" x14ac:dyDescent="0.2">
      <c r="A174" s="74"/>
      <c r="B174" s="58"/>
      <c r="C174" s="49"/>
      <c r="D174" s="13"/>
      <c r="E174" s="15"/>
      <c r="F174" s="9"/>
      <c r="G174" s="9"/>
      <c r="H174" s="9"/>
      <c r="I174" s="9">
        <v>100000</v>
      </c>
      <c r="J174" s="9" t="s">
        <v>889</v>
      </c>
      <c r="K174" s="9"/>
      <c r="L174" s="9"/>
      <c r="M174" s="9"/>
      <c r="N174" s="9"/>
    </row>
    <row r="175" spans="1:14" ht="19" x14ac:dyDescent="0.2">
      <c r="A175" s="74"/>
      <c r="B175" s="58"/>
      <c r="C175" s="49"/>
      <c r="D175" s="13"/>
      <c r="E175" s="15"/>
      <c r="F175" s="9"/>
      <c r="G175" s="9"/>
      <c r="H175" s="9"/>
      <c r="I175" s="9">
        <v>56000</v>
      </c>
      <c r="J175" s="9" t="s">
        <v>859</v>
      </c>
      <c r="K175" s="9"/>
      <c r="L175" s="9"/>
      <c r="M175" s="9"/>
      <c r="N175" s="9"/>
    </row>
    <row r="176" spans="1:14" ht="19" x14ac:dyDescent="0.2">
      <c r="A176" s="74"/>
      <c r="B176" s="58"/>
      <c r="C176" s="49"/>
      <c r="D176" s="13"/>
      <c r="E176" s="15"/>
      <c r="F176" s="9"/>
      <c r="G176" s="9"/>
      <c r="H176" s="9"/>
      <c r="I176" s="9">
        <v>144000</v>
      </c>
      <c r="J176" s="9" t="s">
        <v>615</v>
      </c>
      <c r="K176" s="9"/>
      <c r="L176" s="9"/>
      <c r="M176" s="9"/>
      <c r="N176" s="9"/>
    </row>
    <row r="177" spans="1:14" ht="19" x14ac:dyDescent="0.2">
      <c r="A177" s="61">
        <v>1566000</v>
      </c>
      <c r="B177" s="58">
        <v>44673</v>
      </c>
      <c r="C177" s="3" t="s">
        <v>440</v>
      </c>
      <c r="D177" s="13" t="s">
        <v>685</v>
      </c>
      <c r="E177" s="15">
        <v>1380000</v>
      </c>
      <c r="F177" s="9">
        <v>186000</v>
      </c>
      <c r="G177" s="9"/>
      <c r="H177" s="9"/>
      <c r="I177" s="9">
        <v>51000</v>
      </c>
      <c r="J177" s="9" t="s">
        <v>1101</v>
      </c>
      <c r="K177" s="9"/>
      <c r="L177" s="9"/>
      <c r="M177" s="9"/>
      <c r="N177" s="9"/>
    </row>
    <row r="178" spans="1:14" ht="19" x14ac:dyDescent="0.2">
      <c r="A178" s="74"/>
      <c r="B178" s="58"/>
      <c r="C178" s="49"/>
      <c r="D178" s="13"/>
      <c r="E178" s="15"/>
      <c r="F178" s="9"/>
      <c r="G178" s="9"/>
      <c r="H178" s="9"/>
      <c r="I178" s="9">
        <v>13000</v>
      </c>
      <c r="J178" s="9" t="s">
        <v>1102</v>
      </c>
      <c r="K178" s="9"/>
      <c r="L178" s="9"/>
      <c r="M178" s="9"/>
      <c r="N178" s="9"/>
    </row>
    <row r="179" spans="1:14" ht="19" x14ac:dyDescent="0.2">
      <c r="A179" s="74"/>
      <c r="B179" s="58"/>
      <c r="C179" s="49"/>
      <c r="D179" s="13"/>
      <c r="E179" s="15"/>
      <c r="F179" s="9"/>
      <c r="G179" s="9"/>
      <c r="H179" s="9"/>
      <c r="I179" s="9"/>
      <c r="J179" s="9" t="s">
        <v>1103</v>
      </c>
      <c r="K179" s="9"/>
      <c r="L179" s="9"/>
      <c r="M179" s="9"/>
      <c r="N179" s="9"/>
    </row>
    <row r="180" spans="1:14" ht="19" x14ac:dyDescent="0.2">
      <c r="A180" s="74">
        <v>1617000</v>
      </c>
      <c r="B180" s="58"/>
      <c r="C180" s="49" t="s">
        <v>363</v>
      </c>
      <c r="D180" s="13" t="s">
        <v>565</v>
      </c>
      <c r="E180" s="15">
        <v>1431000</v>
      </c>
      <c r="F180" s="9">
        <v>186000</v>
      </c>
      <c r="G180" s="9"/>
      <c r="H180" s="9"/>
      <c r="I180" s="9">
        <v>200000</v>
      </c>
      <c r="J180" s="9" t="s">
        <v>1090</v>
      </c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9"/>
      <c r="J181" s="9"/>
      <c r="K181" s="9"/>
      <c r="L181" s="9"/>
      <c r="M181" s="9"/>
      <c r="N181" s="9"/>
    </row>
    <row r="182" spans="1:14" ht="19" x14ac:dyDescent="0.2">
      <c r="A182" s="61">
        <v>934000</v>
      </c>
      <c r="B182" s="58">
        <v>44674</v>
      </c>
      <c r="C182" s="3" t="s">
        <v>440</v>
      </c>
      <c r="D182" s="13" t="s">
        <v>405</v>
      </c>
      <c r="E182" s="15">
        <v>878000</v>
      </c>
      <c r="F182" s="9">
        <v>56000</v>
      </c>
      <c r="G182" s="9"/>
      <c r="H182" s="9"/>
      <c r="I182" s="9">
        <v>149000</v>
      </c>
      <c r="J182" s="9" t="s">
        <v>1104</v>
      </c>
      <c r="K182" s="9"/>
      <c r="L182" s="9"/>
      <c r="M182" s="9"/>
      <c r="N182" s="9"/>
    </row>
    <row r="183" spans="1:14" ht="19" x14ac:dyDescent="0.2">
      <c r="A183" s="74"/>
      <c r="B183" s="75"/>
      <c r="C183" s="35"/>
      <c r="D183" s="13"/>
      <c r="E183" s="15"/>
      <c r="F183" s="9"/>
      <c r="G183" s="9"/>
      <c r="H183" s="77"/>
      <c r="I183" s="9">
        <v>28000</v>
      </c>
      <c r="J183" s="9" t="s">
        <v>672</v>
      </c>
      <c r="K183" s="9"/>
      <c r="L183" s="9"/>
      <c r="M183" s="9"/>
      <c r="N183" s="9"/>
    </row>
    <row r="184" spans="1:14" ht="19" x14ac:dyDescent="0.2">
      <c r="A184" s="74"/>
      <c r="B184" s="75"/>
      <c r="C184" s="35"/>
      <c r="D184" s="13"/>
      <c r="E184" s="15"/>
      <c r="F184" s="9"/>
      <c r="G184" s="9"/>
      <c r="H184" s="77"/>
      <c r="I184" s="9">
        <v>52000</v>
      </c>
      <c r="J184" s="9" t="s">
        <v>1011</v>
      </c>
      <c r="K184" s="9"/>
      <c r="L184" s="9"/>
      <c r="M184" s="9"/>
      <c r="N184" s="9"/>
    </row>
    <row r="185" spans="1:14" ht="19" x14ac:dyDescent="0.2">
      <c r="A185" s="74">
        <v>1666000</v>
      </c>
      <c r="B185" s="75"/>
      <c r="C185" s="35" t="s">
        <v>363</v>
      </c>
      <c r="D185" s="13" t="s">
        <v>565</v>
      </c>
      <c r="E185" s="15">
        <v>1432000</v>
      </c>
      <c r="F185" s="9">
        <v>234000</v>
      </c>
      <c r="G185" s="9"/>
      <c r="H185" s="77"/>
      <c r="I185" s="9">
        <v>130000</v>
      </c>
      <c r="J185" s="9" t="s">
        <v>881</v>
      </c>
      <c r="K185" s="9"/>
      <c r="L185" s="9"/>
      <c r="M185" s="9"/>
      <c r="N185" s="9"/>
    </row>
    <row r="186" spans="1:14" ht="19" x14ac:dyDescent="0.2">
      <c r="A186" s="74"/>
      <c r="B186" s="75"/>
      <c r="C186" s="35"/>
      <c r="D186" s="13"/>
      <c r="E186" s="15"/>
      <c r="F186" s="9"/>
      <c r="G186" s="9"/>
      <c r="H186" s="77"/>
      <c r="I186" s="9"/>
      <c r="J186" s="9"/>
      <c r="K186" s="9"/>
      <c r="L186" s="9"/>
      <c r="M186" s="9"/>
      <c r="N186" s="9"/>
    </row>
    <row r="187" spans="1:14" ht="19" x14ac:dyDescent="0.2">
      <c r="A187" s="61">
        <v>1219000</v>
      </c>
      <c r="B187" s="58">
        <v>44675</v>
      </c>
      <c r="C187" s="3" t="s">
        <v>9</v>
      </c>
      <c r="D187" s="13" t="s">
        <v>405</v>
      </c>
      <c r="E187" s="15">
        <v>1028000</v>
      </c>
      <c r="F187" s="9">
        <v>191000</v>
      </c>
      <c r="G187" s="9"/>
      <c r="H187" s="9"/>
      <c r="I187" s="9">
        <v>149000</v>
      </c>
      <c r="J187" s="9" t="s">
        <v>1104</v>
      </c>
      <c r="K187" s="9"/>
      <c r="L187" s="9"/>
      <c r="M187" s="9"/>
      <c r="N187" s="9"/>
    </row>
    <row r="188" spans="1:14" ht="32" x14ac:dyDescent="0.2">
      <c r="A188" s="74"/>
      <c r="B188" s="58"/>
      <c r="C188" s="49"/>
      <c r="D188" s="13"/>
      <c r="E188" s="15"/>
      <c r="F188" s="9"/>
      <c r="G188" s="9"/>
      <c r="H188" s="9"/>
      <c r="I188" s="76">
        <v>620000</v>
      </c>
      <c r="J188" s="95" t="s">
        <v>828</v>
      </c>
      <c r="K188" s="9"/>
      <c r="L188" s="9"/>
      <c r="M188" s="9"/>
      <c r="N188" s="9"/>
    </row>
    <row r="189" spans="1:14" ht="19" x14ac:dyDescent="0.2">
      <c r="A189" s="74"/>
      <c r="B189" s="58"/>
      <c r="C189" s="49"/>
      <c r="D189" s="13"/>
      <c r="E189" s="15"/>
      <c r="F189" s="9"/>
      <c r="G189" s="9"/>
      <c r="H189" s="9"/>
      <c r="I189" s="77">
        <v>60000</v>
      </c>
      <c r="J189" s="77" t="s">
        <v>585</v>
      </c>
      <c r="K189" s="9"/>
      <c r="L189" s="9"/>
      <c r="M189" s="9"/>
      <c r="N189" s="9"/>
    </row>
    <row r="190" spans="1:14" ht="19" x14ac:dyDescent="0.2">
      <c r="A190" s="74"/>
      <c r="B190" s="58"/>
      <c r="C190" s="49"/>
      <c r="D190" s="13"/>
      <c r="E190" s="15"/>
      <c r="F190" s="9"/>
      <c r="G190" s="9"/>
      <c r="H190" s="9"/>
      <c r="I190" s="77">
        <v>200000</v>
      </c>
      <c r="J190" s="77" t="s">
        <v>653</v>
      </c>
      <c r="K190" s="9"/>
      <c r="L190" s="9"/>
      <c r="M190" s="9"/>
      <c r="N190" s="9"/>
    </row>
    <row r="191" spans="1:14" ht="19" x14ac:dyDescent="0.2">
      <c r="A191" s="74"/>
      <c r="B191" s="58"/>
      <c r="C191" s="49"/>
      <c r="D191" s="13"/>
      <c r="E191" s="15"/>
      <c r="F191" s="9"/>
      <c r="G191" s="9"/>
      <c r="H191" s="9"/>
      <c r="I191" s="77">
        <v>100000</v>
      </c>
      <c r="J191" s="77" t="s">
        <v>827</v>
      </c>
      <c r="K191" s="9"/>
      <c r="L191" s="9"/>
      <c r="M191" s="9"/>
      <c r="N191" s="9"/>
    </row>
    <row r="192" spans="1:14" ht="19" x14ac:dyDescent="0.2">
      <c r="A192" s="74">
        <v>1166000</v>
      </c>
      <c r="B192" s="58"/>
      <c r="C192" s="49" t="s">
        <v>363</v>
      </c>
      <c r="D192" s="13" t="s">
        <v>565</v>
      </c>
      <c r="E192" s="15">
        <v>1033000</v>
      </c>
      <c r="F192" s="9">
        <v>133000</v>
      </c>
      <c r="G192" s="9"/>
      <c r="H192" s="9"/>
      <c r="I192" s="76"/>
      <c r="J192" s="76"/>
      <c r="K192" s="9"/>
      <c r="L192" s="9"/>
      <c r="M192" s="9"/>
      <c r="N192" s="9"/>
    </row>
    <row r="193" spans="1:14" ht="19" x14ac:dyDescent="0.2">
      <c r="A193" s="61">
        <v>1115000</v>
      </c>
      <c r="B193" s="58">
        <v>44676</v>
      </c>
      <c r="C193" s="49" t="s">
        <v>1021</v>
      </c>
      <c r="D193" s="13" t="s">
        <v>405</v>
      </c>
      <c r="E193" s="15">
        <v>919000</v>
      </c>
      <c r="F193" s="9">
        <v>196000</v>
      </c>
      <c r="G193" s="9"/>
      <c r="H193" s="9"/>
      <c r="I193" s="9">
        <v>7000</v>
      </c>
      <c r="J193" s="9" t="s">
        <v>1106</v>
      </c>
      <c r="K193" s="9"/>
      <c r="L193" s="9"/>
      <c r="M193" s="9"/>
      <c r="N193" s="9"/>
    </row>
    <row r="194" spans="1:14" ht="19" x14ac:dyDescent="0.2">
      <c r="A194" s="74"/>
      <c r="B194" s="75"/>
      <c r="C194" s="35"/>
      <c r="D194" s="13"/>
      <c r="E194" s="15"/>
      <c r="F194" s="9"/>
      <c r="G194" s="9"/>
      <c r="H194" s="9"/>
      <c r="I194" s="9">
        <v>27000</v>
      </c>
      <c r="J194" s="9" t="s">
        <v>672</v>
      </c>
      <c r="K194" s="9"/>
      <c r="L194" s="9"/>
      <c r="M194" s="9"/>
      <c r="N194" s="9"/>
    </row>
    <row r="195" spans="1:14" ht="19" x14ac:dyDescent="0.2">
      <c r="A195" s="74"/>
      <c r="B195" s="75"/>
      <c r="C195" s="35"/>
      <c r="D195" s="13"/>
      <c r="E195" s="15"/>
      <c r="F195" s="9"/>
      <c r="G195" s="9"/>
      <c r="H195" s="9"/>
      <c r="I195" s="76">
        <v>31000</v>
      </c>
      <c r="J195" s="76" t="s">
        <v>714</v>
      </c>
      <c r="K195" s="9"/>
      <c r="L195" s="9"/>
      <c r="M195" s="9"/>
      <c r="N195" s="9"/>
    </row>
    <row r="196" spans="1:14" ht="19" x14ac:dyDescent="0.2">
      <c r="A196" s="74"/>
      <c r="B196" s="75"/>
      <c r="C196" s="35"/>
      <c r="D196" s="13"/>
      <c r="E196" s="15"/>
      <c r="F196" s="9"/>
      <c r="G196" s="9"/>
      <c r="H196" s="9"/>
      <c r="I196" s="9">
        <v>75000</v>
      </c>
      <c r="J196" s="9" t="s">
        <v>1107</v>
      </c>
      <c r="K196" s="9"/>
      <c r="L196" s="9"/>
      <c r="M196" s="9"/>
      <c r="N196" s="9"/>
    </row>
    <row r="197" spans="1:14" ht="19" x14ac:dyDescent="0.2">
      <c r="A197" s="74"/>
      <c r="B197" s="75"/>
      <c r="C197" s="35"/>
      <c r="D197" s="13"/>
      <c r="E197" s="15"/>
      <c r="F197" s="9"/>
      <c r="G197" s="9"/>
      <c r="H197" s="9"/>
      <c r="I197" s="9">
        <v>75000</v>
      </c>
      <c r="J197" s="9" t="s">
        <v>1108</v>
      </c>
      <c r="K197" s="9"/>
      <c r="L197" s="9"/>
      <c r="M197" s="9"/>
      <c r="N197" s="9"/>
    </row>
    <row r="198" spans="1:14" ht="19" x14ac:dyDescent="0.2">
      <c r="A198" s="74"/>
      <c r="B198" s="75"/>
      <c r="C198" s="35"/>
      <c r="D198" s="13"/>
      <c r="E198" s="15"/>
      <c r="F198" s="9"/>
      <c r="G198" s="9"/>
      <c r="H198" s="9"/>
      <c r="I198" s="9">
        <v>52000</v>
      </c>
      <c r="J198" s="9" t="s">
        <v>1109</v>
      </c>
      <c r="K198" s="9"/>
      <c r="L198" s="9"/>
      <c r="M198" s="9"/>
      <c r="N198" s="9"/>
    </row>
    <row r="199" spans="1:14" ht="19" x14ac:dyDescent="0.2">
      <c r="A199" s="74">
        <v>1145000</v>
      </c>
      <c r="B199" s="75"/>
      <c r="C199" s="35" t="s">
        <v>363</v>
      </c>
      <c r="D199" s="13" t="s">
        <v>565</v>
      </c>
      <c r="E199" s="15">
        <v>928000</v>
      </c>
      <c r="F199" s="9">
        <v>217000</v>
      </c>
      <c r="G199" s="9"/>
      <c r="H199" s="9"/>
      <c r="I199" s="9">
        <v>135000</v>
      </c>
      <c r="J199" s="9" t="s">
        <v>615</v>
      </c>
      <c r="K199" s="9"/>
      <c r="L199" s="9"/>
      <c r="M199" s="9"/>
      <c r="N199" s="9"/>
    </row>
    <row r="200" spans="1:14" ht="19" x14ac:dyDescent="0.2">
      <c r="A200" s="74"/>
      <c r="B200" s="75"/>
      <c r="C200" s="35"/>
      <c r="D200" s="13"/>
      <c r="E200" s="15"/>
      <c r="F200" s="9"/>
      <c r="G200" s="9"/>
      <c r="H200" s="9"/>
      <c r="I200" s="9">
        <v>100000</v>
      </c>
      <c r="J200" s="9" t="s">
        <v>889</v>
      </c>
      <c r="K200" s="9"/>
      <c r="L200" s="9"/>
      <c r="M200" s="9"/>
      <c r="N200" s="9"/>
    </row>
    <row r="201" spans="1:14" ht="19" x14ac:dyDescent="0.2">
      <c r="A201" s="61">
        <v>1676000</v>
      </c>
      <c r="B201" s="58">
        <v>44677</v>
      </c>
      <c r="C201" s="49" t="s">
        <v>9</v>
      </c>
      <c r="D201" s="13" t="s">
        <v>405</v>
      </c>
      <c r="E201" s="15">
        <v>1251000</v>
      </c>
      <c r="F201" s="9">
        <v>425000</v>
      </c>
      <c r="G201" s="9"/>
      <c r="H201" s="9"/>
      <c r="I201" s="76">
        <v>52000</v>
      </c>
      <c r="J201" s="76" t="s">
        <v>617</v>
      </c>
      <c r="K201" s="9"/>
      <c r="L201" s="9"/>
      <c r="M201" s="9"/>
      <c r="N201" s="9"/>
    </row>
    <row r="202" spans="1:14" ht="19" x14ac:dyDescent="0.2">
      <c r="A202" s="74"/>
      <c r="B202" s="58"/>
      <c r="C202" s="49"/>
      <c r="D202" s="13"/>
      <c r="E202" s="15"/>
      <c r="F202" s="9"/>
      <c r="G202" s="9"/>
      <c r="H202" s="9"/>
      <c r="I202" s="9">
        <v>211000</v>
      </c>
      <c r="J202" s="9" t="s">
        <v>1110</v>
      </c>
      <c r="K202" s="9"/>
      <c r="L202" s="9"/>
      <c r="M202" s="9"/>
      <c r="N202" s="9"/>
    </row>
    <row r="203" spans="1:14" ht="19" x14ac:dyDescent="0.2">
      <c r="A203" s="74"/>
      <c r="B203" s="58"/>
      <c r="C203" s="49"/>
      <c r="D203" s="13"/>
      <c r="E203" s="15"/>
      <c r="F203" s="9"/>
      <c r="G203" s="9"/>
      <c r="H203" s="9"/>
      <c r="I203" s="9"/>
      <c r="J203" s="9"/>
      <c r="K203" s="9"/>
      <c r="L203" s="9"/>
      <c r="M203" s="9"/>
      <c r="N203" s="9"/>
    </row>
    <row r="204" spans="1:14" ht="19" x14ac:dyDescent="0.2">
      <c r="A204" s="61">
        <v>1094000</v>
      </c>
      <c r="B204" s="75"/>
      <c r="C204" s="2" t="s">
        <v>10</v>
      </c>
      <c r="D204" s="13" t="s">
        <v>565</v>
      </c>
      <c r="E204" s="15">
        <v>851000</v>
      </c>
      <c r="F204" s="9">
        <v>243000</v>
      </c>
      <c r="G204" s="9"/>
      <c r="H204" s="9"/>
      <c r="I204" s="9"/>
      <c r="J204" s="9"/>
      <c r="K204" s="9"/>
      <c r="L204" s="9"/>
      <c r="M204" s="9"/>
      <c r="N204" s="9"/>
    </row>
    <row r="205" spans="1:14" ht="19" x14ac:dyDescent="0.2">
      <c r="A205" s="74"/>
      <c r="B205" s="75"/>
      <c r="C205" s="35"/>
      <c r="D205" s="13"/>
      <c r="E205" s="15"/>
      <c r="F205" s="9"/>
      <c r="G205" s="9"/>
      <c r="H205" s="9"/>
      <c r="I205" s="9"/>
      <c r="J205" s="9"/>
      <c r="K205" s="9"/>
      <c r="L205" s="9"/>
      <c r="M205" s="9"/>
      <c r="N205" s="9"/>
    </row>
    <row r="206" spans="1:14" ht="19" x14ac:dyDescent="0.2">
      <c r="A206" s="61"/>
      <c r="B206" s="58">
        <v>44678</v>
      </c>
      <c r="C206" s="3"/>
      <c r="D206" s="13"/>
      <c r="E206" s="9"/>
      <c r="F206" s="9"/>
      <c r="G206" s="9"/>
      <c r="H206" s="9" t="s">
        <v>737</v>
      </c>
      <c r="I206" s="60"/>
      <c r="J206" s="60"/>
      <c r="K206" s="9"/>
      <c r="L206" s="9"/>
      <c r="M206" s="9"/>
      <c r="N206" s="9"/>
    </row>
    <row r="207" spans="1:14" ht="19" x14ac:dyDescent="0.2">
      <c r="A207" s="61">
        <v>1088000</v>
      </c>
      <c r="B207" s="58">
        <v>44679</v>
      </c>
      <c r="C207" s="2" t="s">
        <v>9</v>
      </c>
      <c r="D207" s="13" t="s">
        <v>405</v>
      </c>
      <c r="E207" s="15">
        <v>975000</v>
      </c>
      <c r="F207" s="9">
        <v>113000</v>
      </c>
      <c r="G207" s="9"/>
      <c r="H207" s="9"/>
      <c r="I207" s="9">
        <v>44500</v>
      </c>
      <c r="J207" s="9" t="s">
        <v>645</v>
      </c>
      <c r="K207" s="9"/>
      <c r="L207" s="9"/>
      <c r="M207" s="9"/>
      <c r="N207" s="9"/>
    </row>
    <row r="208" spans="1:14" ht="19" x14ac:dyDescent="0.2">
      <c r="A208" s="74"/>
      <c r="B208" s="58"/>
      <c r="C208" s="35"/>
      <c r="D208" s="13"/>
      <c r="E208" s="15"/>
      <c r="F208" s="9"/>
      <c r="G208" s="9"/>
      <c r="H208" s="9"/>
      <c r="I208" s="9">
        <v>151000</v>
      </c>
      <c r="J208" s="9" t="s">
        <v>1104</v>
      </c>
      <c r="K208" s="9"/>
      <c r="L208" s="9"/>
      <c r="M208" s="9"/>
      <c r="N208" s="9"/>
    </row>
    <row r="209" spans="1:14" ht="19" x14ac:dyDescent="0.2">
      <c r="A209" s="74"/>
      <c r="B209" s="58"/>
      <c r="C209" s="35"/>
      <c r="D209" s="13"/>
      <c r="E209" s="15"/>
      <c r="F209" s="9"/>
      <c r="G209" s="9"/>
      <c r="H209" s="9"/>
      <c r="I209" s="9">
        <v>24000</v>
      </c>
      <c r="J209" s="9" t="s">
        <v>672</v>
      </c>
      <c r="K209" s="9"/>
      <c r="L209" s="9"/>
      <c r="M209" s="9"/>
      <c r="N209" s="9"/>
    </row>
    <row r="210" spans="1:14" ht="19" x14ac:dyDescent="0.2">
      <c r="A210" s="74"/>
      <c r="B210" s="58"/>
      <c r="C210" s="35"/>
      <c r="D210" s="13"/>
      <c r="E210" s="15"/>
      <c r="F210" s="9"/>
      <c r="G210" s="9"/>
      <c r="H210" s="9"/>
      <c r="I210" s="9">
        <v>23000</v>
      </c>
      <c r="J210" s="9" t="s">
        <v>972</v>
      </c>
      <c r="K210" s="9"/>
      <c r="L210" s="9"/>
      <c r="M210" s="9"/>
      <c r="N210" s="9"/>
    </row>
    <row r="211" spans="1:14" ht="19" x14ac:dyDescent="0.2">
      <c r="A211" s="74"/>
      <c r="B211" s="58"/>
      <c r="C211" s="35"/>
      <c r="D211" s="13"/>
      <c r="E211" s="15"/>
      <c r="F211" s="9"/>
      <c r="G211" s="9"/>
      <c r="H211" s="9"/>
      <c r="I211" s="60">
        <v>10000</v>
      </c>
      <c r="J211" s="60" t="s">
        <v>1060</v>
      </c>
      <c r="K211" s="9"/>
      <c r="L211" s="9"/>
      <c r="M211" s="9"/>
      <c r="N211" s="9"/>
    </row>
    <row r="212" spans="1:14" ht="19" x14ac:dyDescent="0.2">
      <c r="A212" s="74"/>
      <c r="B212" s="58"/>
      <c r="C212" s="35"/>
      <c r="D212" s="13"/>
      <c r="E212" s="15"/>
      <c r="F212" s="9"/>
      <c r="G212" s="9"/>
      <c r="H212" s="9"/>
      <c r="I212" s="9">
        <v>15000</v>
      </c>
      <c r="J212" s="9" t="s">
        <v>948</v>
      </c>
      <c r="K212" s="9"/>
      <c r="L212" s="9"/>
      <c r="M212" s="9"/>
      <c r="N212" s="9"/>
    </row>
    <row r="213" spans="1:14" ht="19" x14ac:dyDescent="0.2">
      <c r="A213" s="74"/>
      <c r="B213" s="58"/>
      <c r="C213" s="35"/>
      <c r="D213" s="13"/>
      <c r="E213" s="15"/>
      <c r="F213" s="9"/>
      <c r="G213" s="9"/>
      <c r="H213" s="9"/>
      <c r="I213" s="9">
        <v>92000</v>
      </c>
      <c r="J213" s="9" t="s">
        <v>821</v>
      </c>
      <c r="K213" s="9"/>
      <c r="L213" s="9"/>
      <c r="M213" s="9"/>
      <c r="N213" s="9"/>
    </row>
    <row r="214" spans="1:14" ht="19" x14ac:dyDescent="0.2">
      <c r="A214" s="74"/>
      <c r="B214" s="58"/>
      <c r="C214" s="35"/>
      <c r="D214" s="13"/>
      <c r="E214" s="15"/>
      <c r="F214" s="9"/>
      <c r="G214" s="9"/>
      <c r="H214" s="9"/>
      <c r="I214" s="9">
        <v>80000</v>
      </c>
      <c r="J214" s="9" t="s">
        <v>651</v>
      </c>
      <c r="K214" s="9"/>
      <c r="L214" s="9"/>
      <c r="M214" s="9"/>
      <c r="N214" s="9"/>
    </row>
    <row r="215" spans="1:14" ht="19" x14ac:dyDescent="0.2">
      <c r="A215" s="74"/>
      <c r="B215" s="58"/>
      <c r="C215" s="35"/>
      <c r="D215" s="13"/>
      <c r="E215" s="15"/>
      <c r="F215" s="9"/>
      <c r="G215" s="9"/>
      <c r="H215" s="9"/>
      <c r="I215" s="9">
        <v>56000</v>
      </c>
      <c r="J215" s="9" t="s">
        <v>859</v>
      </c>
      <c r="K215" s="9"/>
      <c r="L215" s="9"/>
      <c r="M215" s="9"/>
      <c r="N215" s="9"/>
    </row>
    <row r="216" spans="1:14" ht="19" x14ac:dyDescent="0.2">
      <c r="A216" s="74"/>
      <c r="B216" s="58"/>
      <c r="C216" s="35"/>
      <c r="D216" s="13"/>
      <c r="E216" s="15"/>
      <c r="F216" s="9"/>
      <c r="G216" s="9"/>
      <c r="H216" s="9"/>
      <c r="I216" s="9">
        <v>144000</v>
      </c>
      <c r="J216" s="9" t="s">
        <v>615</v>
      </c>
      <c r="K216" s="9"/>
      <c r="L216" s="9"/>
      <c r="M216" s="9"/>
      <c r="N216" s="9"/>
    </row>
    <row r="217" spans="1:14" ht="19" x14ac:dyDescent="0.2">
      <c r="A217" s="74"/>
      <c r="B217" s="58"/>
      <c r="C217" s="35"/>
      <c r="D217" s="13"/>
      <c r="E217" s="15"/>
      <c r="F217" s="9"/>
      <c r="G217" s="9"/>
      <c r="H217" s="9"/>
      <c r="I217" s="9">
        <v>200000</v>
      </c>
      <c r="J217" s="9" t="s">
        <v>1111</v>
      </c>
      <c r="K217" s="9"/>
      <c r="L217" s="9"/>
      <c r="M217" s="9"/>
      <c r="N217" s="9"/>
    </row>
    <row r="218" spans="1:14" ht="19" x14ac:dyDescent="0.2">
      <c r="A218" s="74"/>
      <c r="B218" s="58"/>
      <c r="C218" s="35"/>
      <c r="D218" s="13"/>
      <c r="E218" s="15"/>
      <c r="F218" s="9"/>
      <c r="G218" s="9"/>
      <c r="H218" s="9"/>
      <c r="I218" s="9"/>
      <c r="J218" s="9"/>
      <c r="K218" s="9"/>
      <c r="L218" s="9"/>
      <c r="M218" s="9"/>
      <c r="N218" s="9"/>
    </row>
    <row r="219" spans="1:14" ht="19" x14ac:dyDescent="0.2">
      <c r="A219" s="61">
        <v>1524000</v>
      </c>
      <c r="B219" s="58"/>
      <c r="C219" s="49" t="s">
        <v>10</v>
      </c>
      <c r="D219" s="13" t="s">
        <v>565</v>
      </c>
      <c r="E219" s="15">
        <v>1341000</v>
      </c>
      <c r="F219" s="9">
        <v>183000</v>
      </c>
      <c r="G219" s="9"/>
      <c r="H219" s="9"/>
      <c r="I219" s="60">
        <v>140000</v>
      </c>
      <c r="J219" s="60" t="s">
        <v>1076</v>
      </c>
      <c r="K219" s="9"/>
      <c r="L219" s="9"/>
      <c r="M219" s="9"/>
      <c r="N219" s="9"/>
    </row>
    <row r="220" spans="1:14" ht="19" x14ac:dyDescent="0.2">
      <c r="A220" s="61"/>
      <c r="B220" s="58"/>
      <c r="C220" s="49"/>
      <c r="D220" s="13"/>
      <c r="E220" s="15"/>
      <c r="F220" s="9"/>
      <c r="G220" s="9"/>
      <c r="H220" s="9"/>
      <c r="I220" s="9">
        <v>75000</v>
      </c>
      <c r="J220" s="9" t="s">
        <v>1113</v>
      </c>
      <c r="K220" s="9"/>
      <c r="L220" s="9"/>
      <c r="M220" s="9"/>
      <c r="N220" s="9"/>
    </row>
    <row r="221" spans="1:14" ht="19" x14ac:dyDescent="0.2">
      <c r="A221" s="74"/>
      <c r="B221" s="58"/>
      <c r="C221" s="49"/>
      <c r="D221" s="13"/>
      <c r="E221" s="15"/>
      <c r="F221" s="9"/>
      <c r="G221" s="9"/>
      <c r="H221" s="9"/>
      <c r="I221" s="9">
        <v>50000</v>
      </c>
      <c r="J221" s="9" t="s">
        <v>59</v>
      </c>
      <c r="K221" s="9"/>
      <c r="L221" s="9"/>
      <c r="M221" s="9"/>
      <c r="N221" s="9"/>
    </row>
    <row r="222" spans="1:14" ht="19" x14ac:dyDescent="0.2">
      <c r="A222" s="74"/>
      <c r="B222" s="58"/>
      <c r="C222" s="49"/>
      <c r="D222" s="13"/>
      <c r="E222" s="15"/>
      <c r="F222" s="9"/>
      <c r="G222" s="9"/>
      <c r="H222" s="9"/>
      <c r="I222" s="9">
        <v>17000</v>
      </c>
      <c r="J222" s="9" t="s">
        <v>1114</v>
      </c>
      <c r="K222" s="9"/>
      <c r="L222" s="9"/>
      <c r="M222" s="9"/>
      <c r="N222" s="9"/>
    </row>
    <row r="223" spans="1:14" ht="19" x14ac:dyDescent="0.2">
      <c r="A223" s="61">
        <v>1759000</v>
      </c>
      <c r="B223" s="58">
        <v>44680</v>
      </c>
      <c r="C223" s="49" t="s">
        <v>9</v>
      </c>
      <c r="D223" s="13" t="s">
        <v>405</v>
      </c>
      <c r="E223" s="15">
        <v>1581000</v>
      </c>
      <c r="F223" s="9">
        <v>178000</v>
      </c>
      <c r="G223" s="9"/>
      <c r="H223" s="9"/>
      <c r="I223" s="9">
        <v>143000</v>
      </c>
      <c r="J223" s="9" t="s">
        <v>1104</v>
      </c>
      <c r="K223" s="9"/>
      <c r="L223" s="9"/>
      <c r="M223" s="9"/>
      <c r="N223" s="9"/>
    </row>
    <row r="224" spans="1:14" ht="19" x14ac:dyDescent="0.2">
      <c r="A224" s="61"/>
      <c r="B224" s="58"/>
      <c r="C224" s="49"/>
      <c r="D224" s="13"/>
      <c r="E224" s="15"/>
      <c r="F224" s="9"/>
      <c r="G224" s="9"/>
      <c r="H224" s="9"/>
      <c r="I224" s="9">
        <v>13000</v>
      </c>
      <c r="J224" s="9" t="s">
        <v>1115</v>
      </c>
      <c r="K224" s="9"/>
      <c r="L224" s="9"/>
      <c r="M224" s="9"/>
      <c r="N224" s="9"/>
    </row>
    <row r="225" spans="1:14" ht="19" x14ac:dyDescent="0.2">
      <c r="A225" s="61"/>
      <c r="B225" s="58"/>
      <c r="C225" s="49"/>
      <c r="D225" s="13"/>
      <c r="E225" s="15"/>
      <c r="F225" s="9"/>
      <c r="G225" s="9"/>
      <c r="H225" s="9"/>
      <c r="I225" s="9">
        <v>270000</v>
      </c>
      <c r="J225" s="9" t="s">
        <v>1116</v>
      </c>
      <c r="K225" s="9"/>
      <c r="L225" s="9"/>
      <c r="M225" s="9"/>
      <c r="N225" s="9"/>
    </row>
    <row r="226" spans="1:14" ht="19" x14ac:dyDescent="0.2">
      <c r="A226" s="74">
        <v>1304000</v>
      </c>
      <c r="B226" s="58"/>
      <c r="C226" s="49" t="s">
        <v>10</v>
      </c>
      <c r="D226" s="13" t="s">
        <v>565</v>
      </c>
      <c r="E226" s="15">
        <v>1132000</v>
      </c>
      <c r="F226" s="9">
        <v>172000</v>
      </c>
      <c r="G226" s="9"/>
      <c r="H226" s="9"/>
      <c r="I226" s="9">
        <v>200000</v>
      </c>
      <c r="J226" s="9" t="s">
        <v>653</v>
      </c>
      <c r="K226" s="9"/>
      <c r="L226" s="9"/>
      <c r="M226" s="9"/>
      <c r="N226" s="9"/>
    </row>
    <row r="227" spans="1:14" ht="19" x14ac:dyDescent="0.2">
      <c r="A227" s="74"/>
      <c r="B227" s="58"/>
      <c r="C227" s="49"/>
      <c r="D227" s="13"/>
      <c r="E227" s="15"/>
      <c r="F227" s="9"/>
      <c r="G227" s="9"/>
      <c r="H227" s="9"/>
      <c r="I227" s="9">
        <v>35000</v>
      </c>
      <c r="J227" s="9" t="s">
        <v>655</v>
      </c>
      <c r="K227" s="9"/>
      <c r="L227" s="9"/>
      <c r="M227" s="9"/>
      <c r="N227" s="9"/>
    </row>
    <row r="228" spans="1:14" ht="19" x14ac:dyDescent="0.2">
      <c r="A228" s="74"/>
      <c r="B228" s="58"/>
      <c r="C228" s="49"/>
      <c r="D228" s="13"/>
      <c r="E228" s="15"/>
      <c r="F228" s="9"/>
      <c r="G228" s="9"/>
      <c r="H228" s="9"/>
      <c r="I228" s="9">
        <v>100000</v>
      </c>
      <c r="J228" s="9" t="s">
        <v>827</v>
      </c>
      <c r="K228" s="9"/>
      <c r="L228" s="9"/>
      <c r="M228" s="9"/>
      <c r="N228" s="9"/>
    </row>
    <row r="229" spans="1:14" ht="19" x14ac:dyDescent="0.2">
      <c r="A229" s="74"/>
      <c r="B229" s="58"/>
      <c r="C229" s="49"/>
      <c r="D229" s="13"/>
      <c r="E229" s="15"/>
      <c r="F229" s="9"/>
      <c r="G229" s="9"/>
      <c r="H229" s="9"/>
      <c r="I229" s="9">
        <v>579500</v>
      </c>
      <c r="J229" s="9" t="s">
        <v>1117</v>
      </c>
      <c r="K229" s="9"/>
      <c r="L229" s="9"/>
      <c r="M229" s="9"/>
      <c r="N229" s="9"/>
    </row>
    <row r="230" spans="1:14" ht="32" x14ac:dyDescent="0.2">
      <c r="A230" s="61">
        <v>1241000</v>
      </c>
      <c r="B230" s="58">
        <v>44864</v>
      </c>
      <c r="C230" s="49" t="s">
        <v>9</v>
      </c>
      <c r="D230" s="13" t="s">
        <v>405</v>
      </c>
      <c r="E230" s="15">
        <v>971000</v>
      </c>
      <c r="F230" s="9">
        <v>270000</v>
      </c>
      <c r="G230" s="9">
        <v>280000</v>
      </c>
      <c r="H230" s="47" t="s">
        <v>1082</v>
      </c>
      <c r="I230" s="9">
        <v>23000</v>
      </c>
      <c r="J230" s="9" t="s">
        <v>1118</v>
      </c>
      <c r="K230" s="9"/>
      <c r="L230" s="9"/>
      <c r="M230" s="9"/>
      <c r="N230" s="9"/>
    </row>
    <row r="231" spans="1:14" ht="19" x14ac:dyDescent="0.2">
      <c r="A231" s="74"/>
      <c r="B231" s="58"/>
      <c r="C231" s="49"/>
      <c r="D231" s="13"/>
      <c r="E231" s="15"/>
      <c r="F231" s="9"/>
      <c r="G231" s="9">
        <v>1540000</v>
      </c>
      <c r="H231" s="47" t="s">
        <v>1121</v>
      </c>
      <c r="I231" s="9">
        <v>16000</v>
      </c>
      <c r="J231" s="9" t="s">
        <v>1119</v>
      </c>
      <c r="K231" s="9"/>
      <c r="L231" s="9"/>
      <c r="M231" s="9"/>
      <c r="N231" s="9"/>
    </row>
    <row r="232" spans="1:14" ht="32" x14ac:dyDescent="0.2">
      <c r="A232" s="74"/>
      <c r="B232" s="58"/>
      <c r="C232" s="49"/>
      <c r="D232" s="13"/>
      <c r="E232" s="15"/>
      <c r="F232" s="9"/>
      <c r="G232" s="9">
        <v>1820000</v>
      </c>
      <c r="H232" s="47" t="s">
        <v>710</v>
      </c>
      <c r="I232" s="9">
        <v>9000</v>
      </c>
      <c r="J232" s="9" t="s">
        <v>642</v>
      </c>
      <c r="K232" s="9"/>
      <c r="L232" s="9"/>
      <c r="M232" s="9"/>
      <c r="N232" s="9"/>
    </row>
    <row r="233" spans="1:14" ht="19" x14ac:dyDescent="0.2">
      <c r="A233" s="74"/>
      <c r="B233" s="58"/>
      <c r="C233" s="49"/>
      <c r="D233" s="13"/>
      <c r="E233" s="15"/>
      <c r="F233" s="9"/>
      <c r="G233" s="9"/>
      <c r="H233" s="9"/>
      <c r="I233" s="9">
        <v>54000</v>
      </c>
      <c r="J233" s="9" t="s">
        <v>716</v>
      </c>
      <c r="K233" s="9"/>
      <c r="L233" s="9"/>
      <c r="M233" s="9"/>
      <c r="N233" s="9"/>
    </row>
    <row r="234" spans="1:14" ht="19" x14ac:dyDescent="0.2">
      <c r="A234" s="74"/>
      <c r="B234" s="58"/>
      <c r="C234" s="49"/>
      <c r="D234" s="13"/>
      <c r="E234" s="15"/>
      <c r="F234" s="9"/>
      <c r="G234" s="9"/>
      <c r="H234" s="9"/>
      <c r="I234" s="9">
        <v>52000</v>
      </c>
      <c r="J234" s="9" t="s">
        <v>1109</v>
      </c>
      <c r="K234" s="9"/>
      <c r="L234" s="9"/>
      <c r="M234" s="9"/>
      <c r="N234" s="9"/>
    </row>
    <row r="235" spans="1:14" ht="19" x14ac:dyDescent="0.2">
      <c r="A235" s="61"/>
      <c r="B235" s="58"/>
      <c r="C235" s="2"/>
      <c r="D235" s="13"/>
      <c r="E235" s="15"/>
      <c r="F235" s="9"/>
      <c r="G235" s="9"/>
      <c r="H235" s="9"/>
      <c r="I235" s="9">
        <v>15000</v>
      </c>
      <c r="J235" s="9" t="s">
        <v>1120</v>
      </c>
      <c r="K235" s="9"/>
      <c r="L235" s="9"/>
      <c r="M235" s="9"/>
      <c r="N235" s="9"/>
    </row>
    <row r="236" spans="1:14" ht="19" x14ac:dyDescent="0.2">
      <c r="A236" s="61">
        <v>1550000</v>
      </c>
      <c r="B236" s="75"/>
      <c r="C236" s="35" t="s">
        <v>10</v>
      </c>
      <c r="D236" s="13" t="s">
        <v>565</v>
      </c>
      <c r="E236" s="15">
        <v>1218000</v>
      </c>
      <c r="F236" s="9">
        <v>332000</v>
      </c>
      <c r="G236" s="9"/>
      <c r="H236" s="9"/>
      <c r="I236" s="9"/>
      <c r="J236" s="9"/>
      <c r="K236" s="9"/>
      <c r="L236" s="9"/>
      <c r="M236" s="9"/>
      <c r="N236" s="9"/>
    </row>
    <row r="237" spans="1:14" ht="19" x14ac:dyDescent="0.2">
      <c r="A237" s="74"/>
      <c r="B237" s="58"/>
      <c r="C237" s="35"/>
      <c r="D237" s="13"/>
      <c r="E237" s="15"/>
      <c r="F237" s="9"/>
      <c r="G237" s="9">
        <v>1000000</v>
      </c>
      <c r="H237" s="9" t="s">
        <v>785</v>
      </c>
      <c r="I237" s="9"/>
      <c r="J237" s="9"/>
      <c r="K237" s="9"/>
      <c r="L237" s="9"/>
      <c r="M237" s="9"/>
      <c r="N237" s="9"/>
    </row>
    <row r="238" spans="1:14" ht="19" x14ac:dyDescent="0.2">
      <c r="A238" s="61"/>
      <c r="B238" s="75"/>
      <c r="C238" s="35"/>
      <c r="D238" s="13"/>
      <c r="E238" s="15"/>
      <c r="F238" s="9"/>
      <c r="G238" s="9"/>
      <c r="H238" s="9"/>
      <c r="I238" s="9"/>
      <c r="J238" s="9"/>
      <c r="K238" s="9"/>
      <c r="L238" s="9"/>
      <c r="M238" s="9"/>
      <c r="N238" s="9"/>
    </row>
    <row r="239" spans="1:14" ht="19" x14ac:dyDescent="0.2">
      <c r="A239" s="61"/>
      <c r="B239" s="58"/>
      <c r="C239" s="35"/>
      <c r="D239" s="13"/>
      <c r="E239" s="15"/>
      <c r="F239" s="9"/>
      <c r="G239" s="9"/>
      <c r="H239" s="9"/>
      <c r="I239" s="9"/>
      <c r="J239" s="9"/>
      <c r="K239" s="9"/>
      <c r="L239" s="9"/>
      <c r="M239" s="9"/>
      <c r="N239" s="9"/>
    </row>
    <row r="240" spans="1:14" ht="19" x14ac:dyDescent="0.2">
      <c r="A240" s="61"/>
      <c r="B240" s="58"/>
      <c r="C240" s="35"/>
      <c r="D240" s="13"/>
      <c r="E240" s="15"/>
      <c r="F240" s="9"/>
      <c r="G240" s="9"/>
      <c r="H240" s="9"/>
      <c r="I240" s="9"/>
      <c r="J240" s="9"/>
      <c r="K240" s="9"/>
      <c r="L240" s="9"/>
      <c r="M240" s="9"/>
      <c r="N240" s="9"/>
    </row>
    <row r="241" spans="1:14" ht="19" x14ac:dyDescent="0.2">
      <c r="A241" s="61"/>
      <c r="B241" s="58"/>
      <c r="C241" s="35"/>
      <c r="D241" s="13"/>
      <c r="E241" s="15"/>
      <c r="F241" s="9"/>
      <c r="G241" s="9"/>
      <c r="H241" s="9"/>
      <c r="I241" s="9"/>
      <c r="J241" s="9"/>
      <c r="K241" s="9"/>
      <c r="L241" s="9"/>
      <c r="M241" s="10"/>
      <c r="N241" s="10"/>
    </row>
    <row r="242" spans="1:14" ht="19" x14ac:dyDescent="0.2">
      <c r="A242" s="61"/>
      <c r="B242" s="75"/>
      <c r="C242" s="35"/>
      <c r="D242" s="13"/>
      <c r="E242" s="15"/>
      <c r="F242" s="9"/>
      <c r="G242" s="9"/>
      <c r="H242" s="9"/>
      <c r="I242" s="9"/>
      <c r="J242" s="9"/>
      <c r="K242" s="9"/>
      <c r="L242" s="9"/>
      <c r="M242" s="10"/>
      <c r="N242" s="10"/>
    </row>
    <row r="243" spans="1:14" ht="19" x14ac:dyDescent="0.2">
      <c r="A243" s="61"/>
      <c r="B243" s="75"/>
      <c r="C243" s="35"/>
      <c r="D243" s="13"/>
      <c r="E243" s="15"/>
      <c r="F243" s="9"/>
      <c r="G243" s="9"/>
      <c r="H243" s="9"/>
      <c r="I243" s="9"/>
      <c r="J243" s="9"/>
      <c r="K243" s="9"/>
      <c r="L243" s="9"/>
      <c r="M243" s="10"/>
      <c r="N243" s="10"/>
    </row>
    <row r="244" spans="1:14" ht="19" x14ac:dyDescent="0.2">
      <c r="A244" s="61"/>
      <c r="B244" s="75"/>
      <c r="C244" s="35"/>
      <c r="D244" s="13"/>
      <c r="E244" s="15"/>
      <c r="F244" s="9"/>
      <c r="G244" s="9"/>
      <c r="H244" s="60"/>
      <c r="I244" s="9"/>
      <c r="J244" s="9"/>
      <c r="K244" s="9"/>
      <c r="L244" s="9"/>
      <c r="M244" s="10"/>
      <c r="N244" s="10"/>
    </row>
    <row r="245" spans="1:14" ht="19" x14ac:dyDescent="0.2">
      <c r="A245" s="61"/>
      <c r="B245" s="75"/>
      <c r="C245" s="35"/>
      <c r="D245" s="13"/>
      <c r="E245" s="15"/>
      <c r="F245" s="9"/>
      <c r="G245" s="9"/>
      <c r="H245" s="9"/>
      <c r="I245" s="9"/>
      <c r="J245" s="9"/>
      <c r="K245" s="9"/>
      <c r="L245" s="9"/>
      <c r="M245" s="10"/>
      <c r="N245" s="10"/>
    </row>
    <row r="246" spans="1:14" ht="19" x14ac:dyDescent="0.2">
      <c r="A246" s="61"/>
      <c r="B246" s="75"/>
      <c r="C246" s="35"/>
      <c r="D246" s="13"/>
      <c r="E246" s="15"/>
      <c r="F246" s="9"/>
      <c r="G246" s="9"/>
      <c r="H246" s="9"/>
      <c r="I246" s="9"/>
      <c r="J246" s="9"/>
      <c r="K246" s="9"/>
      <c r="L246" s="9"/>
      <c r="M246" s="10"/>
      <c r="N246" s="10"/>
    </row>
    <row r="247" spans="1:14" ht="19" x14ac:dyDescent="0.2">
      <c r="A247" s="61"/>
      <c r="B247" s="75"/>
      <c r="C247" s="35"/>
      <c r="D247" s="13"/>
      <c r="E247" s="15"/>
      <c r="F247" s="9"/>
      <c r="G247" s="9"/>
      <c r="H247" s="9"/>
      <c r="I247" s="9"/>
      <c r="J247" s="9"/>
      <c r="K247" s="9"/>
      <c r="L247" s="9"/>
      <c r="M247" s="10"/>
      <c r="N247" s="10"/>
    </row>
    <row r="248" spans="1:14" ht="19" x14ac:dyDescent="0.2">
      <c r="A248" s="80"/>
      <c r="B248" s="81"/>
      <c r="C248" s="82"/>
      <c r="D248" s="83"/>
      <c r="E248" s="84"/>
      <c r="F248" s="10"/>
      <c r="G248" s="10"/>
      <c r="H248" s="10"/>
      <c r="I248" s="10"/>
      <c r="J248" s="10"/>
      <c r="K248" s="10"/>
      <c r="L248" s="10"/>
      <c r="M248" s="10"/>
      <c r="N248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N263"/>
  <sheetViews>
    <sheetView zoomScale="71" zoomScaleNormal="71" zoomScaleSheetLayoutView="100" workbookViewId="0">
      <selection activeCell="J237" sqref="J237"/>
    </sheetView>
  </sheetViews>
  <sheetFormatPr baseColWidth="10" defaultColWidth="8.83203125" defaultRowHeight="15" x14ac:dyDescent="0.2"/>
  <cols>
    <col min="1" max="1" width="23.33203125" bestFit="1" customWidth="1"/>
    <col min="2" max="2" width="16.6640625" customWidth="1"/>
    <col min="3" max="3" width="14.6640625" bestFit="1" customWidth="1"/>
    <col min="4" max="4" width="10.1640625" bestFit="1" customWidth="1"/>
    <col min="5" max="7" width="23.33203125" bestFit="1" customWidth="1"/>
    <col min="8" max="8" width="31" customWidth="1"/>
    <col min="9" max="9" width="23.6640625" bestFit="1" customWidth="1"/>
    <col min="10" max="10" width="29.1640625" customWidth="1"/>
  </cols>
  <sheetData>
    <row r="3" spans="1:14" ht="21" x14ac:dyDescent="0.2">
      <c r="A3" t="s">
        <v>250</v>
      </c>
      <c r="G3" s="73"/>
      <c r="H3" s="71" t="s">
        <v>174</v>
      </c>
      <c r="I3" s="71">
        <f>L10/A10</f>
        <v>0</v>
      </c>
    </row>
    <row r="4" spans="1:14" ht="21" x14ac:dyDescent="0.2">
      <c r="F4" s="306" t="s">
        <v>1216</v>
      </c>
      <c r="G4" s="307"/>
      <c r="H4" s="71" t="s">
        <v>175</v>
      </c>
      <c r="I4" s="71">
        <v>8687000</v>
      </c>
      <c r="J4" s="72">
        <f>I4/10820</f>
        <v>802.86506469500921</v>
      </c>
    </row>
    <row r="5" spans="1:14" ht="24" x14ac:dyDescent="0.3">
      <c r="B5" s="99" t="s">
        <v>1214</v>
      </c>
      <c r="G5" s="73"/>
      <c r="H5" s="71" t="s">
        <v>176</v>
      </c>
      <c r="I5" s="71">
        <v>3723000</v>
      </c>
      <c r="J5" s="72">
        <f>I5/10820</f>
        <v>344.08502772643254</v>
      </c>
    </row>
    <row r="6" spans="1:14" ht="24" x14ac:dyDescent="0.3">
      <c r="B6" s="99"/>
      <c r="G6" s="73"/>
      <c r="H6" s="71" t="s">
        <v>178</v>
      </c>
      <c r="I6" s="71">
        <v>10175867</v>
      </c>
      <c r="J6" s="72" t="s">
        <v>1215</v>
      </c>
      <c r="L6" s="85"/>
      <c r="M6" s="85"/>
    </row>
    <row r="7" spans="1:14" ht="26" x14ac:dyDescent="0.3">
      <c r="B7" s="100" t="s">
        <v>1219</v>
      </c>
    </row>
    <row r="9" spans="1:14" ht="19" x14ac:dyDescent="0.2">
      <c r="A9" s="5" t="s">
        <v>0</v>
      </c>
      <c r="B9" s="36" t="s">
        <v>6</v>
      </c>
      <c r="C9" s="22" t="s">
        <v>5</v>
      </c>
      <c r="D9" s="23" t="s">
        <v>7</v>
      </c>
      <c r="E9" s="24" t="s">
        <v>4</v>
      </c>
      <c r="F9" s="10" t="s">
        <v>2</v>
      </c>
      <c r="G9" s="10" t="s">
        <v>8</v>
      </c>
      <c r="H9" s="10" t="s">
        <v>11</v>
      </c>
      <c r="I9" s="10" t="s">
        <v>3</v>
      </c>
      <c r="J9" s="10" t="s">
        <v>12</v>
      </c>
      <c r="K9" s="10" t="s">
        <v>1</v>
      </c>
      <c r="L9" s="10" t="s">
        <v>15</v>
      </c>
      <c r="M9" s="55" t="s">
        <v>397</v>
      </c>
      <c r="N9" s="55" t="s">
        <v>398</v>
      </c>
    </row>
    <row r="10" spans="1:14" ht="21" x14ac:dyDescent="0.2">
      <c r="A10" s="64">
        <f>SUM(A11:A262)</f>
        <v>72046000</v>
      </c>
      <c r="B10" s="65"/>
      <c r="C10" s="66" t="s">
        <v>13</v>
      </c>
      <c r="D10" s="67"/>
      <c r="E10" s="68">
        <f>SUM(E11:E262)</f>
        <v>59108000</v>
      </c>
      <c r="F10" s="69">
        <f>SUM(F11:F262)</f>
        <v>12938000</v>
      </c>
      <c r="G10" s="69">
        <f>SUM(G11:G262)</f>
        <v>27299000</v>
      </c>
      <c r="H10" s="69"/>
      <c r="I10" s="69">
        <f>SUM(I11:I262)</f>
        <v>19399000</v>
      </c>
      <c r="J10" s="69"/>
      <c r="K10" s="69"/>
      <c r="L10" s="69"/>
      <c r="M10" s="8"/>
      <c r="N10" s="8"/>
    </row>
    <row r="11" spans="1:14" ht="19" x14ac:dyDescent="0.2">
      <c r="A11" s="61">
        <v>1335000</v>
      </c>
      <c r="B11" s="58">
        <v>44896</v>
      </c>
      <c r="C11" s="3" t="s">
        <v>440</v>
      </c>
      <c r="D11" s="13" t="s">
        <v>405</v>
      </c>
      <c r="E11" s="9">
        <v>1039000</v>
      </c>
      <c r="F11" s="9">
        <v>296000</v>
      </c>
      <c r="G11" s="9"/>
      <c r="H11" s="9"/>
      <c r="I11" s="9">
        <v>104000</v>
      </c>
      <c r="J11" s="9" t="s">
        <v>807</v>
      </c>
      <c r="K11" s="9"/>
      <c r="L11" s="9"/>
      <c r="M11" s="9"/>
      <c r="N11" s="9"/>
    </row>
    <row r="12" spans="1:14" ht="19" x14ac:dyDescent="0.2">
      <c r="A12" s="74"/>
      <c r="B12" s="58"/>
      <c r="C12" s="49"/>
      <c r="D12" s="13"/>
      <c r="E12" s="15"/>
      <c r="F12" s="9"/>
      <c r="G12" s="9">
        <v>410000</v>
      </c>
      <c r="H12" s="9" t="s">
        <v>1123</v>
      </c>
      <c r="I12" s="9">
        <v>620000</v>
      </c>
      <c r="J12" s="47" t="s">
        <v>117</v>
      </c>
      <c r="K12" s="9"/>
      <c r="L12" s="9"/>
      <c r="M12" s="9"/>
      <c r="N12" s="9"/>
    </row>
    <row r="13" spans="1:14" ht="19" x14ac:dyDescent="0.2">
      <c r="A13" s="74"/>
      <c r="B13" s="58"/>
      <c r="C13" s="49"/>
      <c r="D13" s="13"/>
      <c r="E13" s="15"/>
      <c r="F13" s="9"/>
      <c r="G13" s="9"/>
      <c r="H13" s="9"/>
      <c r="I13" s="9">
        <v>60000</v>
      </c>
      <c r="J13" s="9" t="s">
        <v>585</v>
      </c>
      <c r="K13" s="9"/>
      <c r="L13" s="9"/>
      <c r="M13" s="9"/>
      <c r="N13" s="9"/>
    </row>
    <row r="14" spans="1:14" ht="19" x14ac:dyDescent="0.2">
      <c r="A14" s="74"/>
      <c r="B14" s="58"/>
      <c r="C14" s="49"/>
      <c r="D14" s="13"/>
      <c r="E14" s="15"/>
      <c r="F14" s="9"/>
      <c r="G14" s="9"/>
      <c r="H14" s="9"/>
      <c r="I14" s="9"/>
      <c r="J14" s="9"/>
      <c r="K14" s="9"/>
      <c r="L14" s="9"/>
      <c r="M14" s="9"/>
      <c r="N14" s="9"/>
    </row>
    <row r="15" spans="1:14" ht="19" x14ac:dyDescent="0.2">
      <c r="A15" s="74"/>
      <c r="B15" s="58"/>
      <c r="C15" s="49"/>
      <c r="D15" s="13"/>
      <c r="E15" s="15"/>
      <c r="F15" s="9"/>
      <c r="G15" s="9"/>
      <c r="H15" s="9"/>
      <c r="I15" s="9"/>
      <c r="J15" s="9"/>
      <c r="K15" s="9"/>
      <c r="L15" s="9"/>
      <c r="M15" s="9"/>
      <c r="N15" s="9"/>
    </row>
    <row r="16" spans="1:14" ht="19" x14ac:dyDescent="0.2">
      <c r="A16" s="74">
        <v>1220000</v>
      </c>
      <c r="B16" s="58"/>
      <c r="C16" s="49" t="s">
        <v>363</v>
      </c>
      <c r="D16" s="13" t="s">
        <v>565</v>
      </c>
      <c r="E16" s="15">
        <v>1082000</v>
      </c>
      <c r="F16" s="9">
        <v>138000</v>
      </c>
      <c r="G16" s="9"/>
      <c r="H16" s="9"/>
      <c r="I16" s="9"/>
      <c r="J16" s="9"/>
      <c r="K16" s="9"/>
      <c r="L16" s="9"/>
      <c r="M16" s="9"/>
      <c r="N16" s="9"/>
    </row>
    <row r="17" spans="1:14" ht="19" x14ac:dyDescent="0.2">
      <c r="A17" s="74"/>
      <c r="B17" s="58"/>
      <c r="C17" s="49"/>
      <c r="D17" s="13"/>
      <c r="E17" s="15"/>
      <c r="F17" s="9"/>
      <c r="G17" s="9"/>
      <c r="H17" s="9"/>
      <c r="I17" s="9"/>
      <c r="J17" s="9"/>
      <c r="K17" s="9"/>
      <c r="L17" s="9"/>
      <c r="M17" s="9"/>
      <c r="N17" s="9"/>
    </row>
    <row r="18" spans="1:14" ht="19" x14ac:dyDescent="0.2">
      <c r="A18" s="61">
        <v>1313000</v>
      </c>
      <c r="B18" s="58">
        <v>44897</v>
      </c>
      <c r="C18" s="35" t="s">
        <v>9</v>
      </c>
      <c r="D18" s="13" t="s">
        <v>405</v>
      </c>
      <c r="E18" s="15">
        <v>992000</v>
      </c>
      <c r="F18" s="9">
        <v>321000</v>
      </c>
      <c r="G18" s="60">
        <v>559000</v>
      </c>
      <c r="H18" s="60" t="s">
        <v>1129</v>
      </c>
      <c r="I18" s="9">
        <v>29000</v>
      </c>
      <c r="J18" s="9" t="s">
        <v>1126</v>
      </c>
      <c r="K18" s="9"/>
      <c r="L18" s="9"/>
      <c r="M18" s="9"/>
      <c r="N18" s="9"/>
    </row>
    <row r="19" spans="1:14" ht="19" x14ac:dyDescent="0.2">
      <c r="A19" s="74"/>
      <c r="B19" s="58"/>
      <c r="C19" s="35"/>
      <c r="D19" s="13"/>
      <c r="E19" s="15"/>
      <c r="F19" s="9"/>
      <c r="G19" s="9"/>
      <c r="H19" s="9"/>
      <c r="I19" s="9">
        <v>24000</v>
      </c>
      <c r="J19" s="9" t="s">
        <v>1127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175500</v>
      </c>
      <c r="J20" s="9" t="s">
        <v>1128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/>
      <c r="J21" s="9"/>
      <c r="K21" s="9"/>
      <c r="L21" s="9"/>
      <c r="M21" s="9"/>
      <c r="N21" s="9"/>
    </row>
    <row r="22" spans="1:14" ht="19" x14ac:dyDescent="0.2">
      <c r="A22" s="74">
        <v>1515000</v>
      </c>
      <c r="B22" s="58"/>
      <c r="C22" s="35" t="s">
        <v>363</v>
      </c>
      <c r="D22" s="13" t="s">
        <v>565</v>
      </c>
      <c r="E22" s="15">
        <v>1319000</v>
      </c>
      <c r="F22" s="9">
        <v>196000</v>
      </c>
      <c r="G22" s="9"/>
      <c r="H22" s="9"/>
      <c r="I22" s="9">
        <v>78000</v>
      </c>
      <c r="J22" s="9" t="s">
        <v>1016</v>
      </c>
      <c r="K22" s="9"/>
      <c r="L22" s="9"/>
      <c r="M22" s="9"/>
      <c r="N22" s="9"/>
    </row>
    <row r="23" spans="1:14" ht="19" x14ac:dyDescent="0.2">
      <c r="A23" s="74"/>
      <c r="B23" s="58"/>
      <c r="C23" s="35"/>
      <c r="D23" s="13"/>
      <c r="E23" s="15"/>
      <c r="F23" s="9"/>
      <c r="G23" s="9"/>
      <c r="H23" s="9"/>
      <c r="I23" s="9"/>
      <c r="J23" s="9"/>
      <c r="K23" s="9"/>
      <c r="L23" s="9"/>
      <c r="M23" s="9"/>
      <c r="N23" s="9"/>
    </row>
    <row r="24" spans="1:14" ht="19" x14ac:dyDescent="0.2">
      <c r="A24" s="74"/>
      <c r="B24" s="58"/>
      <c r="C24" s="35"/>
      <c r="D24" s="13"/>
      <c r="E24" s="15"/>
      <c r="F24" s="9"/>
      <c r="G24" s="9"/>
      <c r="H24" s="9"/>
      <c r="I24" s="9"/>
      <c r="J24" s="9"/>
      <c r="K24" s="9"/>
      <c r="L24" s="9"/>
      <c r="M24" s="9"/>
      <c r="N24" s="9"/>
    </row>
    <row r="25" spans="1:14" ht="19" x14ac:dyDescent="0.2">
      <c r="A25" s="74"/>
      <c r="B25" s="58"/>
      <c r="C25" s="35"/>
      <c r="D25" s="13"/>
      <c r="E25" s="15"/>
      <c r="F25" s="9"/>
      <c r="G25" s="9"/>
      <c r="H25" s="9"/>
      <c r="I25" s="60"/>
      <c r="J25" s="60"/>
      <c r="K25" s="9"/>
      <c r="L25" s="9"/>
      <c r="M25" s="9"/>
      <c r="N25" s="9"/>
    </row>
    <row r="26" spans="1:14" ht="19" x14ac:dyDescent="0.2">
      <c r="A26" s="74"/>
      <c r="B26" s="58"/>
      <c r="C26" s="35"/>
      <c r="D26" s="13"/>
      <c r="E26" s="15"/>
      <c r="F26" s="9"/>
      <c r="G26" s="9"/>
      <c r="H26" s="9"/>
      <c r="I26" s="60"/>
      <c r="J26" s="60"/>
      <c r="K26" s="9"/>
      <c r="L26" s="9"/>
      <c r="M26" s="9"/>
      <c r="N26" s="9"/>
    </row>
    <row r="27" spans="1:14" ht="19" x14ac:dyDescent="0.2">
      <c r="A27" s="61"/>
      <c r="B27" s="58"/>
      <c r="C27" s="3"/>
      <c r="D27" s="13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9" x14ac:dyDescent="0.2">
      <c r="A28" s="61">
        <v>1364000</v>
      </c>
      <c r="B28" s="58">
        <v>44898</v>
      </c>
      <c r="C28" s="49" t="s">
        <v>440</v>
      </c>
      <c r="D28" s="13" t="s">
        <v>405</v>
      </c>
      <c r="E28" s="15">
        <v>1198000</v>
      </c>
      <c r="F28" s="9">
        <v>166000</v>
      </c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74"/>
      <c r="B29" s="58"/>
      <c r="C29" s="49"/>
      <c r="D29" s="13"/>
      <c r="E29" s="15"/>
      <c r="F29" s="9"/>
      <c r="G29" s="9"/>
      <c r="H29" s="9"/>
      <c r="I29" s="9"/>
      <c r="J29" s="9"/>
      <c r="K29" s="9"/>
      <c r="L29" s="9"/>
      <c r="M29" s="9"/>
      <c r="N29" s="9"/>
    </row>
    <row r="30" spans="1:14" ht="19" x14ac:dyDescent="0.2">
      <c r="A30" s="61"/>
      <c r="B30" s="58"/>
      <c r="C30" s="3"/>
      <c r="D30" s="13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9" x14ac:dyDescent="0.2">
      <c r="A31" s="74">
        <v>1307000</v>
      </c>
      <c r="B31" s="58"/>
      <c r="C31" s="49" t="s">
        <v>363</v>
      </c>
      <c r="D31" s="13" t="s">
        <v>565</v>
      </c>
      <c r="E31" s="15">
        <v>1185000</v>
      </c>
      <c r="F31" s="9">
        <v>122000</v>
      </c>
      <c r="G31" s="9"/>
      <c r="H31" s="9"/>
      <c r="I31" s="9">
        <v>50000</v>
      </c>
      <c r="J31" s="9" t="s">
        <v>59</v>
      </c>
      <c r="K31" s="9"/>
      <c r="L31" s="9"/>
      <c r="M31" s="9"/>
      <c r="N31" s="9"/>
    </row>
    <row r="32" spans="1:14" ht="19" x14ac:dyDescent="0.2">
      <c r="A32" s="61"/>
      <c r="B32" s="58">
        <v>44899</v>
      </c>
      <c r="C32" s="49"/>
      <c r="D32" s="13"/>
      <c r="E32" s="15"/>
      <c r="F32" s="9"/>
      <c r="G32" s="9"/>
      <c r="H32" s="9"/>
      <c r="I32" s="9"/>
      <c r="J32" s="9"/>
      <c r="K32" s="9"/>
      <c r="L32" s="9"/>
      <c r="M32" s="9"/>
      <c r="N32" s="9"/>
    </row>
    <row r="33" spans="1:14" ht="19" x14ac:dyDescent="0.2">
      <c r="A33" s="74"/>
      <c r="B33" s="58"/>
      <c r="C33" s="49"/>
      <c r="D33" s="13"/>
      <c r="E33" s="15"/>
      <c r="F33" s="9"/>
      <c r="G33" s="9"/>
      <c r="H33" s="9"/>
      <c r="I33" s="9"/>
      <c r="J33" s="9"/>
      <c r="K33" s="9"/>
      <c r="L33" s="9"/>
      <c r="M33" s="9"/>
      <c r="N33" s="9"/>
    </row>
    <row r="34" spans="1:14" ht="19" x14ac:dyDescent="0.2">
      <c r="A34" s="74">
        <v>2065000</v>
      </c>
      <c r="B34" s="32">
        <v>44900</v>
      </c>
      <c r="C34" s="49" t="s">
        <v>9</v>
      </c>
      <c r="D34" s="13" t="s">
        <v>405</v>
      </c>
      <c r="E34" s="15">
        <v>1720000</v>
      </c>
      <c r="F34" s="9">
        <v>345000</v>
      </c>
      <c r="G34" s="9">
        <v>824000</v>
      </c>
      <c r="H34" s="9" t="s">
        <v>1132</v>
      </c>
      <c r="I34" s="9">
        <v>9000</v>
      </c>
      <c r="J34" s="9" t="s">
        <v>642</v>
      </c>
      <c r="K34" s="9"/>
      <c r="L34" s="9"/>
      <c r="M34" s="9"/>
      <c r="N34" s="9"/>
    </row>
    <row r="35" spans="1:14" ht="19" x14ac:dyDescent="0.2">
      <c r="A35" s="74"/>
      <c r="B35" s="58"/>
      <c r="C35" s="49"/>
      <c r="D35" s="13"/>
      <c r="E35" s="15"/>
      <c r="F35" s="9"/>
      <c r="G35" s="9">
        <v>2710000</v>
      </c>
      <c r="H35" s="9" t="s">
        <v>812</v>
      </c>
      <c r="I35" s="9">
        <v>10000</v>
      </c>
      <c r="J35" s="9" t="s">
        <v>1133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39000</v>
      </c>
      <c r="J36" s="9" t="s">
        <v>1138</v>
      </c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25000</v>
      </c>
      <c r="J37" s="9" t="s">
        <v>864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>
        <v>48000</v>
      </c>
      <c r="J38" s="9" t="s">
        <v>982</v>
      </c>
      <c r="K38" s="9"/>
      <c r="L38" s="9"/>
      <c r="M38" s="9"/>
      <c r="N38" s="9"/>
    </row>
    <row r="39" spans="1:14" ht="19" x14ac:dyDescent="0.2">
      <c r="A39" s="74"/>
      <c r="B39" s="58"/>
      <c r="C39" s="49"/>
      <c r="D39" s="13"/>
      <c r="E39" s="15"/>
      <c r="F39" s="9"/>
      <c r="G39" s="9"/>
      <c r="H39" s="9"/>
      <c r="I39" s="9">
        <v>90000</v>
      </c>
      <c r="J39" s="9" t="s">
        <v>916</v>
      </c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>
        <v>14000</v>
      </c>
      <c r="J40" s="9" t="s">
        <v>1134</v>
      </c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9"/>
      <c r="I41" s="9">
        <v>12000</v>
      </c>
      <c r="J41" s="9" t="s">
        <v>1135</v>
      </c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9"/>
      <c r="I42" s="9">
        <v>390000</v>
      </c>
      <c r="J42" s="9" t="s">
        <v>1136</v>
      </c>
      <c r="K42" s="9"/>
      <c r="L42" s="9"/>
      <c r="M42" s="9"/>
      <c r="N42" s="9"/>
    </row>
    <row r="43" spans="1:14" ht="19" x14ac:dyDescent="0.2">
      <c r="A43" s="74">
        <v>1525000</v>
      </c>
      <c r="B43" s="58"/>
      <c r="C43" s="49" t="s">
        <v>806</v>
      </c>
      <c r="D43" s="13" t="s">
        <v>565</v>
      </c>
      <c r="E43" s="15">
        <v>1375000</v>
      </c>
      <c r="F43" s="9">
        <v>150000</v>
      </c>
      <c r="G43" s="9"/>
      <c r="H43" s="9"/>
      <c r="I43" s="9">
        <v>200000</v>
      </c>
      <c r="J43" s="9" t="s">
        <v>653</v>
      </c>
      <c r="K43" s="9"/>
      <c r="L43" s="9"/>
      <c r="M43" s="9"/>
      <c r="N43" s="9"/>
    </row>
    <row r="44" spans="1:14" ht="19" x14ac:dyDescent="0.2">
      <c r="A44" s="74"/>
      <c r="B44" s="58"/>
      <c r="C44" s="49"/>
      <c r="D44" s="13"/>
      <c r="E44" s="15"/>
      <c r="F44" s="9"/>
      <c r="G44" s="9"/>
      <c r="H44" s="9"/>
      <c r="I44" s="9">
        <v>35000</v>
      </c>
      <c r="J44" s="9" t="s">
        <v>655</v>
      </c>
      <c r="K44" s="9"/>
      <c r="L44" s="9"/>
      <c r="M44" s="9"/>
      <c r="N44" s="9"/>
    </row>
    <row r="45" spans="1:14" ht="19" x14ac:dyDescent="0.2">
      <c r="A45" s="74"/>
      <c r="B45" s="58"/>
      <c r="C45" s="49"/>
      <c r="D45" s="13"/>
      <c r="E45" s="15"/>
      <c r="F45" s="9"/>
      <c r="G45" s="9"/>
      <c r="H45" s="9"/>
      <c r="I45" s="9">
        <v>100000</v>
      </c>
      <c r="J45" s="9" t="s">
        <v>827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>
        <v>80000</v>
      </c>
      <c r="J46" s="9" t="s">
        <v>651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>
        <v>56000</v>
      </c>
      <c r="J47" s="9" t="s">
        <v>859</v>
      </c>
      <c r="K47" s="9"/>
      <c r="L47" s="9"/>
      <c r="M47" s="9"/>
      <c r="N47" s="9"/>
    </row>
    <row r="48" spans="1:14" ht="19" x14ac:dyDescent="0.2">
      <c r="A48" s="74"/>
      <c r="B48" s="58"/>
      <c r="C48" s="49"/>
      <c r="D48" s="13"/>
      <c r="E48" s="15"/>
      <c r="F48" s="9"/>
      <c r="G48" s="9"/>
      <c r="H48" s="9"/>
      <c r="I48" s="9">
        <v>160000</v>
      </c>
      <c r="J48" s="9" t="s">
        <v>1051</v>
      </c>
      <c r="K48" s="9"/>
      <c r="L48" s="9"/>
      <c r="M48" s="9"/>
      <c r="N48" s="9"/>
    </row>
    <row r="49" spans="1:14" ht="19" x14ac:dyDescent="0.2">
      <c r="A49" s="74"/>
      <c r="B49" s="58"/>
      <c r="C49" s="49"/>
      <c r="D49" s="13"/>
      <c r="E49" s="15"/>
      <c r="F49" s="9"/>
      <c r="G49" s="9"/>
      <c r="H49" s="9"/>
      <c r="I49" s="9"/>
      <c r="J49" s="9"/>
      <c r="K49" s="9"/>
      <c r="L49" s="9"/>
      <c r="M49" s="9"/>
      <c r="N49" s="9"/>
    </row>
    <row r="50" spans="1:14" ht="19" x14ac:dyDescent="0.2">
      <c r="A50" s="61">
        <v>1542000</v>
      </c>
      <c r="B50" s="58">
        <v>44901</v>
      </c>
      <c r="C50" s="2" t="s">
        <v>440</v>
      </c>
      <c r="D50" s="13" t="s">
        <v>405</v>
      </c>
      <c r="E50" s="9">
        <v>1332000</v>
      </c>
      <c r="F50" s="9">
        <v>210000</v>
      </c>
      <c r="G50" s="9"/>
      <c r="H50" s="9"/>
      <c r="I50" s="9">
        <v>75000</v>
      </c>
      <c r="J50" s="9" t="s">
        <v>1139</v>
      </c>
      <c r="K50" s="9"/>
      <c r="L50" s="9"/>
      <c r="M50" s="9"/>
      <c r="N50" s="9"/>
    </row>
    <row r="51" spans="1:14" ht="32" x14ac:dyDescent="0.2">
      <c r="A51" s="74"/>
      <c r="B51" s="58"/>
      <c r="C51" s="35"/>
      <c r="D51" s="13"/>
      <c r="E51" s="15"/>
      <c r="F51" s="9"/>
      <c r="G51" s="9"/>
      <c r="H51" s="9"/>
      <c r="I51" s="9">
        <v>620000</v>
      </c>
      <c r="J51" s="47" t="s">
        <v>750</v>
      </c>
      <c r="K51" s="9"/>
      <c r="L51" s="9"/>
      <c r="M51" s="9"/>
      <c r="N51" s="9"/>
    </row>
    <row r="52" spans="1:14" ht="19" x14ac:dyDescent="0.2">
      <c r="A52" s="74"/>
      <c r="B52" s="58"/>
      <c r="C52" s="35"/>
      <c r="D52" s="13"/>
      <c r="E52" s="15"/>
      <c r="F52" s="9"/>
      <c r="G52" s="9"/>
      <c r="H52" s="9"/>
      <c r="I52" s="9">
        <v>60000</v>
      </c>
      <c r="J52" s="9" t="s">
        <v>585</v>
      </c>
      <c r="K52" s="9"/>
      <c r="L52" s="9"/>
      <c r="M52" s="9"/>
      <c r="N52" s="9"/>
    </row>
    <row r="53" spans="1:14" ht="19" x14ac:dyDescent="0.2">
      <c r="A53" s="74"/>
      <c r="B53" s="58"/>
      <c r="C53" s="35"/>
      <c r="D53" s="13"/>
      <c r="E53" s="15"/>
      <c r="F53" s="9"/>
      <c r="G53" s="9"/>
      <c r="H53" s="9"/>
      <c r="I53" s="9">
        <v>65000</v>
      </c>
      <c r="J53" s="9" t="s">
        <v>908</v>
      </c>
      <c r="K53" s="9"/>
      <c r="L53" s="9"/>
      <c r="M53" s="9"/>
      <c r="N53" s="9"/>
    </row>
    <row r="54" spans="1:14" ht="19" x14ac:dyDescent="0.2">
      <c r="A54" s="74">
        <v>1877000</v>
      </c>
      <c r="B54" s="58"/>
      <c r="C54" s="49" t="s">
        <v>806</v>
      </c>
      <c r="D54" s="13" t="s">
        <v>565</v>
      </c>
      <c r="E54" s="15">
        <v>1659000</v>
      </c>
      <c r="F54" s="9">
        <v>218000</v>
      </c>
      <c r="G54" s="9"/>
      <c r="H54" s="9"/>
      <c r="I54" s="9">
        <v>288000</v>
      </c>
      <c r="J54" s="9" t="s">
        <v>1017</v>
      </c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/>
      <c r="J55" s="9"/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/>
      <c r="J56" s="9"/>
      <c r="K56" s="9"/>
      <c r="L56" s="9"/>
      <c r="M56" s="9"/>
      <c r="N56" s="9"/>
    </row>
    <row r="57" spans="1:14" ht="19" x14ac:dyDescent="0.2">
      <c r="A57" s="74">
        <v>1779000</v>
      </c>
      <c r="B57" s="32">
        <v>44902</v>
      </c>
      <c r="C57" s="49" t="s">
        <v>440</v>
      </c>
      <c r="D57" s="13" t="s">
        <v>405</v>
      </c>
      <c r="E57" s="15">
        <v>1249000</v>
      </c>
      <c r="F57" s="9">
        <v>530000</v>
      </c>
      <c r="G57" s="9">
        <v>780000</v>
      </c>
      <c r="H57" s="9" t="s">
        <v>1089</v>
      </c>
      <c r="I57" s="9">
        <v>117000</v>
      </c>
      <c r="J57" s="9" t="s">
        <v>895</v>
      </c>
      <c r="K57" s="9"/>
      <c r="L57" s="9"/>
      <c r="M57" s="9"/>
      <c r="N57" s="9"/>
    </row>
    <row r="58" spans="1:14" ht="19" x14ac:dyDescent="0.2">
      <c r="A58" s="74"/>
      <c r="B58" s="32"/>
      <c r="C58" s="49"/>
      <c r="D58" s="13"/>
      <c r="E58" s="15"/>
      <c r="F58" s="9"/>
      <c r="G58" s="9"/>
      <c r="H58" s="9"/>
      <c r="I58" s="9">
        <v>27000</v>
      </c>
      <c r="J58" s="9" t="s">
        <v>672</v>
      </c>
      <c r="K58" s="9"/>
      <c r="L58" s="9"/>
      <c r="M58" s="9"/>
      <c r="N58" s="9"/>
    </row>
    <row r="59" spans="1:14" ht="19" x14ac:dyDescent="0.2">
      <c r="A59" s="74"/>
      <c r="B59" s="32"/>
      <c r="C59" s="49"/>
      <c r="D59" s="13"/>
      <c r="E59" s="15"/>
      <c r="F59" s="9"/>
      <c r="G59" s="9"/>
      <c r="H59" s="9"/>
      <c r="I59" s="9">
        <v>30000</v>
      </c>
      <c r="J59" s="9" t="s">
        <v>1140</v>
      </c>
      <c r="K59" s="9"/>
      <c r="L59" s="9"/>
      <c r="M59" s="9"/>
      <c r="N59" s="9"/>
    </row>
    <row r="60" spans="1:14" ht="19" x14ac:dyDescent="0.2">
      <c r="A60" s="74"/>
      <c r="B60" s="32"/>
      <c r="C60" s="49"/>
      <c r="D60" s="13"/>
      <c r="E60" s="15"/>
      <c r="F60" s="9"/>
      <c r="G60" s="9"/>
      <c r="H60" s="9"/>
      <c r="I60" s="9">
        <v>200000</v>
      </c>
      <c r="J60" s="9" t="s">
        <v>1090</v>
      </c>
      <c r="K60" s="9"/>
      <c r="L60" s="9"/>
      <c r="M60" s="9"/>
      <c r="N60" s="9"/>
    </row>
    <row r="61" spans="1:14" ht="19" x14ac:dyDescent="0.2">
      <c r="A61" s="74"/>
      <c r="B61" s="58"/>
      <c r="C61" s="49"/>
      <c r="D61" s="13"/>
      <c r="E61" s="15"/>
      <c r="F61" s="9"/>
      <c r="G61" s="9"/>
      <c r="H61" s="9"/>
      <c r="I61" s="9">
        <v>35000</v>
      </c>
      <c r="J61" s="9" t="s">
        <v>836</v>
      </c>
      <c r="K61" s="9"/>
      <c r="L61" s="9"/>
      <c r="M61" s="9"/>
      <c r="N61" s="9"/>
    </row>
    <row r="62" spans="1:14" ht="19" x14ac:dyDescent="0.2">
      <c r="A62" s="74">
        <v>1039000</v>
      </c>
      <c r="B62" s="58"/>
      <c r="C62" s="49" t="s">
        <v>363</v>
      </c>
      <c r="D62" s="13" t="s">
        <v>565</v>
      </c>
      <c r="E62" s="15">
        <v>782000</v>
      </c>
      <c r="F62" s="9">
        <v>257000</v>
      </c>
      <c r="G62" s="9"/>
      <c r="H62" s="9"/>
      <c r="I62" s="9"/>
      <c r="J62" s="9"/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/>
      <c r="J63" s="9"/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74">
        <v>1539000</v>
      </c>
      <c r="B65" s="32">
        <v>44903</v>
      </c>
      <c r="C65" s="49" t="s">
        <v>9</v>
      </c>
      <c r="D65" s="13" t="s">
        <v>405</v>
      </c>
      <c r="E65" s="15">
        <v>1175000</v>
      </c>
      <c r="F65" s="9">
        <v>364000</v>
      </c>
      <c r="G65" s="9"/>
      <c r="H65" s="9"/>
      <c r="I65" s="9">
        <v>306000</v>
      </c>
      <c r="J65" s="9" t="s">
        <v>1141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>
        <v>44500</v>
      </c>
      <c r="J66" s="9" t="s">
        <v>645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9"/>
      <c r="H67" s="9"/>
      <c r="I67" s="9">
        <v>23000</v>
      </c>
      <c r="J67" s="9" t="s">
        <v>1142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>
        <v>68500</v>
      </c>
      <c r="J68" s="9" t="s">
        <v>1143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9"/>
      <c r="H69" s="9"/>
      <c r="I69" s="9">
        <v>15500</v>
      </c>
      <c r="J69" s="9" t="s">
        <v>1145</v>
      </c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9"/>
      <c r="H70" s="9"/>
      <c r="I70" s="9">
        <v>39000</v>
      </c>
      <c r="J70" s="9" t="s">
        <v>1144</v>
      </c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9"/>
      <c r="H71" s="9"/>
      <c r="I71" s="9">
        <v>620000</v>
      </c>
      <c r="J71" s="47" t="s">
        <v>117</v>
      </c>
      <c r="K71" s="9"/>
      <c r="L71" s="9"/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9"/>
      <c r="H72" s="9"/>
      <c r="I72" s="9">
        <v>60000</v>
      </c>
      <c r="J72" s="9" t="s">
        <v>585</v>
      </c>
      <c r="K72" s="9"/>
      <c r="L72" s="9"/>
      <c r="M72" s="9"/>
      <c r="N72" s="9"/>
    </row>
    <row r="73" spans="1:14" ht="19" x14ac:dyDescent="0.2">
      <c r="A73" s="74">
        <v>1331000</v>
      </c>
      <c r="B73" s="33"/>
      <c r="C73" s="2" t="s">
        <v>10</v>
      </c>
      <c r="D73" s="13" t="s">
        <v>565</v>
      </c>
      <c r="E73" s="9">
        <v>1087000</v>
      </c>
      <c r="F73" s="9">
        <v>244000</v>
      </c>
      <c r="G73" s="9"/>
      <c r="H73" s="9"/>
      <c r="I73" s="9"/>
      <c r="J73" s="9"/>
      <c r="K73" s="9"/>
      <c r="L73" s="9"/>
      <c r="M73" s="9"/>
      <c r="N73" s="9"/>
    </row>
    <row r="74" spans="1:14" ht="19" x14ac:dyDescent="0.2">
      <c r="A74" s="74"/>
      <c r="B74" s="32"/>
      <c r="C74" s="3"/>
      <c r="D74" s="13"/>
      <c r="E74" s="15"/>
      <c r="F74" s="9"/>
      <c r="G74" s="9"/>
      <c r="H74" s="60"/>
      <c r="I74" s="9"/>
      <c r="J74" s="9"/>
      <c r="K74" s="9"/>
      <c r="L74" s="9"/>
      <c r="M74" s="9"/>
      <c r="N74" s="9"/>
    </row>
    <row r="75" spans="1:14" ht="19" x14ac:dyDescent="0.2">
      <c r="A75" s="74"/>
      <c r="B75" s="33"/>
      <c r="C75" s="2"/>
      <c r="D75" s="13"/>
      <c r="E75" s="15"/>
      <c r="F75" s="9"/>
      <c r="G75" s="9"/>
      <c r="H75" s="9"/>
      <c r="I75" s="9">
        <v>136000</v>
      </c>
      <c r="J75" s="9" t="s">
        <v>1146</v>
      </c>
      <c r="K75" s="9"/>
      <c r="L75" s="9"/>
      <c r="M75" s="9"/>
      <c r="N75" s="9"/>
    </row>
    <row r="76" spans="1:14" ht="19" x14ac:dyDescent="0.2">
      <c r="A76" s="74">
        <v>1911000</v>
      </c>
      <c r="B76" s="32">
        <v>44904</v>
      </c>
      <c r="C76" s="35" t="s">
        <v>440</v>
      </c>
      <c r="D76" s="13" t="s">
        <v>405</v>
      </c>
      <c r="E76" s="15">
        <v>1622000</v>
      </c>
      <c r="F76" s="9">
        <v>289000</v>
      </c>
      <c r="G76" s="9">
        <v>2716000</v>
      </c>
      <c r="H76" s="9" t="s">
        <v>812</v>
      </c>
      <c r="I76" s="9">
        <v>136000</v>
      </c>
      <c r="J76" s="9" t="s">
        <v>1147</v>
      </c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60"/>
      <c r="H77" s="60"/>
      <c r="I77" s="9">
        <v>181000</v>
      </c>
      <c r="J77" s="9" t="s">
        <v>1148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60"/>
      <c r="H78" s="60"/>
      <c r="I78" s="9">
        <v>40000</v>
      </c>
      <c r="J78" s="9" t="s">
        <v>1149</v>
      </c>
      <c r="K78" s="9"/>
      <c r="L78" s="9"/>
      <c r="M78" s="9"/>
      <c r="N78" s="9"/>
    </row>
    <row r="79" spans="1:14" ht="19" x14ac:dyDescent="0.2">
      <c r="A79" s="74"/>
      <c r="B79" s="58"/>
      <c r="C79" s="49"/>
      <c r="D79" s="13"/>
      <c r="E79" s="15"/>
      <c r="F79" s="9"/>
      <c r="G79" s="60"/>
      <c r="H79" s="60"/>
      <c r="I79" s="9">
        <v>181000</v>
      </c>
      <c r="J79" s="9" t="s">
        <v>1150</v>
      </c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60"/>
      <c r="H80" s="60"/>
      <c r="I80" s="9">
        <v>181000</v>
      </c>
      <c r="J80" s="9" t="s">
        <v>1151</v>
      </c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60"/>
      <c r="H81" s="60"/>
      <c r="I81" s="9">
        <v>30000</v>
      </c>
      <c r="J81" s="9" t="s">
        <v>835</v>
      </c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60"/>
      <c r="H82" s="60"/>
      <c r="I82" s="9">
        <v>37500</v>
      </c>
      <c r="J82" s="9" t="s">
        <v>1152</v>
      </c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60"/>
      <c r="H83" s="60"/>
      <c r="I83" s="9">
        <v>10500</v>
      </c>
      <c r="J83" s="9" t="s">
        <v>1153</v>
      </c>
      <c r="K83" s="9"/>
      <c r="L83" s="9"/>
      <c r="M83" s="9"/>
      <c r="N83" s="9"/>
    </row>
    <row r="84" spans="1:14" ht="19" x14ac:dyDescent="0.2">
      <c r="A84" s="74"/>
      <c r="B84" s="58"/>
      <c r="C84" s="49"/>
      <c r="D84" s="13"/>
      <c r="E84" s="15"/>
      <c r="F84" s="9"/>
      <c r="G84" s="60"/>
      <c r="H84" s="60"/>
      <c r="I84" s="9">
        <v>200000</v>
      </c>
      <c r="J84" s="9" t="s">
        <v>653</v>
      </c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60"/>
      <c r="H85" s="60"/>
      <c r="I85" s="9">
        <v>35000</v>
      </c>
      <c r="J85" s="9" t="s">
        <v>655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60"/>
      <c r="H86" s="60"/>
      <c r="I86" s="9">
        <v>100000</v>
      </c>
      <c r="J86" s="9" t="s">
        <v>827</v>
      </c>
      <c r="K86" s="9"/>
      <c r="L86" s="9"/>
      <c r="M86" s="9"/>
      <c r="N86" s="9"/>
    </row>
    <row r="87" spans="1:14" ht="19" x14ac:dyDescent="0.2">
      <c r="A87" s="74">
        <v>1020000</v>
      </c>
      <c r="B87" s="58"/>
      <c r="C87" s="49" t="s">
        <v>806</v>
      </c>
      <c r="D87" s="13" t="s">
        <v>565</v>
      </c>
      <c r="E87" s="15">
        <v>779000</v>
      </c>
      <c r="F87" s="9">
        <v>241000</v>
      </c>
      <c r="G87" s="60">
        <v>1120000</v>
      </c>
      <c r="H87" s="60" t="s">
        <v>1154</v>
      </c>
      <c r="I87" s="9">
        <v>100000</v>
      </c>
      <c r="J87" s="9" t="s">
        <v>889</v>
      </c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60"/>
      <c r="H88" s="60"/>
      <c r="I88" s="9">
        <v>56000</v>
      </c>
      <c r="J88" s="9" t="s">
        <v>859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60"/>
      <c r="H89" s="60"/>
      <c r="I89" s="9"/>
      <c r="J89" s="9"/>
      <c r="K89" s="9">
        <f>SUBTOTAL(109,K97:K329)</f>
        <v>0</v>
      </c>
      <c r="L89" s="9">
        <f>Таблица1345678912101113141015[[#This Row],[Нал]]+Таблица1345678912101113141015[[#This Row],[Терминал]]-Таблица1345678912101113141015[[#This Row],[Расход]]-Таблица1345678912101113141015[[#This Row],[Закуп]]-Таблица1345678912101113141015[[#This Row],[Расход со счета]]</f>
        <v>0</v>
      </c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60"/>
      <c r="H90" s="60"/>
      <c r="I90" s="9"/>
      <c r="J90" s="9"/>
      <c r="K90" s="9">
        <f>SUBTOTAL(109,K98:K329)</f>
        <v>0</v>
      </c>
      <c r="L90" s="9">
        <f>Таблица1345678912101113141015[[#This Row],[Нал]]+Таблица1345678912101113141015[[#This Row],[Терминал]]-Таблица1345678912101113141015[[#This Row],[Расход]]-Таблица1345678912101113141015[[#This Row],[Закуп]]-Таблица1345678912101113141015[[#This Row],[Расход со счета]]</f>
        <v>0</v>
      </c>
      <c r="M90" s="9"/>
      <c r="N90" s="9"/>
    </row>
    <row r="91" spans="1:14" ht="19" x14ac:dyDescent="0.2">
      <c r="A91" s="61">
        <v>43000</v>
      </c>
      <c r="B91" s="58">
        <v>44905</v>
      </c>
      <c r="C91" s="2" t="s">
        <v>440</v>
      </c>
      <c r="D91" s="13" t="s">
        <v>405</v>
      </c>
      <c r="E91" s="15">
        <v>10000</v>
      </c>
      <c r="F91" s="9">
        <v>33000</v>
      </c>
      <c r="G91" s="9"/>
      <c r="H91" s="9"/>
      <c r="I91" s="9">
        <v>31000</v>
      </c>
      <c r="J91" s="9" t="s">
        <v>1155</v>
      </c>
      <c r="K91" s="9"/>
      <c r="L91" s="9"/>
      <c r="M91" s="9"/>
      <c r="N91" s="9"/>
    </row>
    <row r="92" spans="1:14" ht="19" x14ac:dyDescent="0.2">
      <c r="A92" s="61"/>
      <c r="B92" s="58"/>
      <c r="C92" s="3"/>
      <c r="D92" s="13"/>
      <c r="E92" s="15"/>
      <c r="F92" s="9"/>
      <c r="G92" s="9"/>
      <c r="H92" s="9"/>
      <c r="I92" s="9">
        <v>29500</v>
      </c>
      <c r="J92" s="9" t="s">
        <v>1156</v>
      </c>
      <c r="K92" s="9"/>
      <c r="L92" s="9"/>
      <c r="M92" s="9"/>
      <c r="N92" s="9"/>
    </row>
    <row r="93" spans="1:14" ht="19" x14ac:dyDescent="0.2">
      <c r="A93" s="61"/>
      <c r="B93" s="58"/>
      <c r="C93" s="49"/>
      <c r="D93" s="13"/>
      <c r="E93" s="15"/>
      <c r="F93" s="9"/>
      <c r="G93" s="9"/>
      <c r="H93" s="9"/>
      <c r="I93" s="9">
        <v>9000</v>
      </c>
      <c r="J93" s="9" t="s">
        <v>1157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/>
      <c r="J94" s="9"/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/>
      <c r="J95" s="9"/>
      <c r="K95" s="9"/>
      <c r="L95" s="9"/>
      <c r="M95" s="9"/>
      <c r="N95" s="9"/>
    </row>
    <row r="96" spans="1:14" ht="19" x14ac:dyDescent="0.2">
      <c r="A96" s="61">
        <v>28000</v>
      </c>
      <c r="B96" s="58"/>
      <c r="C96" s="49" t="s">
        <v>363</v>
      </c>
      <c r="D96" s="13" t="s">
        <v>685</v>
      </c>
      <c r="E96" s="15">
        <v>28000</v>
      </c>
      <c r="F96" s="9"/>
      <c r="G96" s="9"/>
      <c r="H96" s="9"/>
      <c r="I96" s="9"/>
      <c r="J96" s="9"/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/>
      <c r="J97" s="9"/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/>
      <c r="J98" s="9"/>
      <c r="K98" s="9"/>
      <c r="L98" s="9"/>
      <c r="M98" s="9"/>
      <c r="N98" s="9"/>
    </row>
    <row r="99" spans="1:14" ht="19" x14ac:dyDescent="0.2">
      <c r="A99" s="61"/>
      <c r="B99" s="58">
        <v>44906</v>
      </c>
      <c r="C99" s="49"/>
      <c r="D99" s="13"/>
      <c r="E99" s="15"/>
      <c r="F99" s="9"/>
      <c r="G99" s="9"/>
      <c r="H99" s="9" t="s">
        <v>737</v>
      </c>
      <c r="I99" s="9"/>
      <c r="J99" s="9"/>
      <c r="K99" s="9"/>
      <c r="L99" s="9"/>
      <c r="M99" s="9"/>
      <c r="N99" s="9"/>
    </row>
    <row r="100" spans="1:14" ht="19" x14ac:dyDescent="0.2">
      <c r="A100" s="74"/>
      <c r="B100" s="58"/>
      <c r="C100" s="49"/>
      <c r="D100" s="13"/>
      <c r="E100" s="15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19" x14ac:dyDescent="0.2">
      <c r="A101" s="61">
        <v>660000</v>
      </c>
      <c r="B101" s="58">
        <v>44907</v>
      </c>
      <c r="C101" s="49" t="s">
        <v>9</v>
      </c>
      <c r="D101" s="13" t="s">
        <v>405</v>
      </c>
      <c r="E101" s="15">
        <v>414000</v>
      </c>
      <c r="F101" s="9">
        <v>246000</v>
      </c>
      <c r="G101" s="9"/>
      <c r="H101" s="9"/>
      <c r="I101" s="9">
        <v>20000</v>
      </c>
      <c r="J101" s="9" t="s">
        <v>1159</v>
      </c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9">
        <v>200000</v>
      </c>
      <c r="J102" s="9" t="s">
        <v>1090</v>
      </c>
      <c r="K102" s="9"/>
      <c r="L102" s="9"/>
      <c r="M102" s="9"/>
      <c r="N102" s="9"/>
    </row>
    <row r="103" spans="1:14" ht="19" x14ac:dyDescent="0.2">
      <c r="A103" s="74"/>
      <c r="B103" s="58"/>
      <c r="C103" s="49"/>
      <c r="D103" s="13"/>
      <c r="E103" s="15"/>
      <c r="F103" s="9"/>
      <c r="G103" s="9"/>
      <c r="H103" s="9"/>
      <c r="I103" s="9">
        <v>35000</v>
      </c>
      <c r="J103" s="9" t="s">
        <v>652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9">
        <v>40000</v>
      </c>
      <c r="J104" s="9" t="s">
        <v>810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288000</v>
      </c>
      <c r="J105" s="9" t="s">
        <v>1017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19" x14ac:dyDescent="0.2">
      <c r="A107" s="74">
        <v>410000</v>
      </c>
      <c r="B107" s="58"/>
      <c r="C107" s="49" t="s">
        <v>10</v>
      </c>
      <c r="D107" s="13" t="s">
        <v>685</v>
      </c>
      <c r="E107" s="15">
        <v>330000</v>
      </c>
      <c r="F107" s="9">
        <v>80000</v>
      </c>
      <c r="G107" s="9"/>
      <c r="H107" s="9"/>
      <c r="I107" s="9">
        <v>10000</v>
      </c>
      <c r="J107" s="9" t="s">
        <v>1160</v>
      </c>
      <c r="K107" s="9"/>
      <c r="L107" s="9"/>
      <c r="M107" s="9"/>
      <c r="N107" s="9"/>
    </row>
    <row r="108" spans="1:14" ht="19" x14ac:dyDescent="0.2">
      <c r="A108" s="61"/>
      <c r="B108" s="75"/>
      <c r="C108" s="2"/>
      <c r="D108" s="13"/>
      <c r="E108" s="15"/>
      <c r="F108" s="9"/>
      <c r="G108" s="9"/>
      <c r="H108" s="9"/>
      <c r="I108" s="9">
        <v>10000</v>
      </c>
      <c r="J108" s="9" t="s">
        <v>1158</v>
      </c>
      <c r="K108" s="9"/>
      <c r="L108" s="9"/>
      <c r="M108" s="9"/>
      <c r="N108" s="9"/>
    </row>
    <row r="109" spans="1:14" ht="19" x14ac:dyDescent="0.2">
      <c r="A109" s="61"/>
      <c r="B109" s="58"/>
      <c r="C109" s="3"/>
      <c r="D109" s="13"/>
      <c r="E109" s="15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>
        <v>2266000</v>
      </c>
      <c r="H110" s="9" t="s">
        <v>1213</v>
      </c>
      <c r="I110" s="9"/>
      <c r="J110" s="9"/>
      <c r="K110" s="9"/>
      <c r="L110" s="9"/>
      <c r="M110" s="9"/>
      <c r="N110" s="9"/>
    </row>
    <row r="111" spans="1:14" ht="19" x14ac:dyDescent="0.2">
      <c r="A111" s="61">
        <v>1138000</v>
      </c>
      <c r="B111" s="58">
        <v>44908</v>
      </c>
      <c r="C111" s="49" t="s">
        <v>9</v>
      </c>
      <c r="D111" s="13" t="s">
        <v>405</v>
      </c>
      <c r="E111" s="15">
        <v>819000</v>
      </c>
      <c r="F111" s="9">
        <v>319000</v>
      </c>
      <c r="G111" s="9"/>
      <c r="H111" s="9"/>
      <c r="I111" s="9">
        <v>50000</v>
      </c>
      <c r="J111" s="9" t="s">
        <v>59</v>
      </c>
      <c r="K111" s="9"/>
      <c r="L111" s="9"/>
      <c r="M111" s="9"/>
      <c r="N111" s="9"/>
    </row>
    <row r="112" spans="1:14" ht="19" x14ac:dyDescent="0.2">
      <c r="A112" s="74"/>
      <c r="B112" s="75"/>
      <c r="C112" s="35"/>
      <c r="D112" s="13"/>
      <c r="E112" s="15"/>
      <c r="F112" s="9"/>
      <c r="G112" s="9"/>
      <c r="H112" s="9"/>
      <c r="I112" s="60"/>
      <c r="J112" s="60"/>
      <c r="K112" s="9"/>
      <c r="L112" s="9"/>
      <c r="M112" s="9"/>
      <c r="N112" s="9"/>
    </row>
    <row r="113" spans="1:14" ht="19" x14ac:dyDescent="0.2">
      <c r="A113" s="74">
        <v>977000</v>
      </c>
      <c r="B113" s="75"/>
      <c r="C113" s="35" t="s">
        <v>10</v>
      </c>
      <c r="D113" s="13" t="s">
        <v>685</v>
      </c>
      <c r="E113" s="15">
        <v>859000</v>
      </c>
      <c r="F113" s="9">
        <v>118000</v>
      </c>
      <c r="G113" s="9"/>
      <c r="H113" s="9"/>
      <c r="I113" s="60"/>
      <c r="J113" s="60"/>
      <c r="K113" s="9"/>
      <c r="L113" s="9"/>
      <c r="M113" s="9"/>
      <c r="N113" s="9"/>
    </row>
    <row r="114" spans="1:14" ht="19" x14ac:dyDescent="0.2">
      <c r="A114" s="74"/>
      <c r="B114" s="75"/>
      <c r="C114" s="35"/>
      <c r="D114" s="13"/>
      <c r="E114" s="15"/>
      <c r="F114" s="9"/>
      <c r="G114" s="9"/>
      <c r="H114" s="9"/>
      <c r="I114" s="60"/>
      <c r="J114" s="60"/>
      <c r="K114" s="9"/>
      <c r="L114" s="9"/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/>
      <c r="H115" s="9"/>
      <c r="I115" s="60"/>
      <c r="J115" s="60"/>
      <c r="K115" s="9"/>
      <c r="L115" s="9"/>
      <c r="M115" s="9"/>
      <c r="N115" s="9"/>
    </row>
    <row r="116" spans="1:14" ht="19" x14ac:dyDescent="0.2">
      <c r="A116" s="61">
        <v>1242000</v>
      </c>
      <c r="B116" s="58">
        <v>44909</v>
      </c>
      <c r="C116" s="3" t="s">
        <v>9</v>
      </c>
      <c r="D116" s="13" t="s">
        <v>405</v>
      </c>
      <c r="E116" s="15">
        <v>1104000</v>
      </c>
      <c r="F116" s="9">
        <v>138000</v>
      </c>
      <c r="G116" s="60">
        <v>624000</v>
      </c>
      <c r="H116" s="60" t="s">
        <v>1161</v>
      </c>
      <c r="I116" s="60">
        <v>75000</v>
      </c>
      <c r="J116" s="60" t="s">
        <v>1162</v>
      </c>
      <c r="K116" s="9"/>
      <c r="L116" s="9"/>
      <c r="M116" s="9"/>
      <c r="N116" s="9"/>
    </row>
    <row r="117" spans="1:14" ht="19" x14ac:dyDescent="0.2">
      <c r="A117" s="61">
        <v>1342000</v>
      </c>
      <c r="B117" s="58"/>
      <c r="C117" s="2" t="s">
        <v>10</v>
      </c>
      <c r="D117" s="13" t="s">
        <v>685</v>
      </c>
      <c r="E117" s="15">
        <v>998000</v>
      </c>
      <c r="F117" s="9">
        <v>344000</v>
      </c>
      <c r="G117" s="9"/>
      <c r="H117" s="9"/>
      <c r="I117" s="9"/>
      <c r="J117" s="9"/>
      <c r="K117" s="9"/>
      <c r="L117" s="9"/>
      <c r="M117" s="9"/>
      <c r="N117" s="9"/>
    </row>
    <row r="118" spans="1:14" ht="19" x14ac:dyDescent="0.2">
      <c r="A118" s="74"/>
      <c r="B118" s="58"/>
      <c r="C118" s="35"/>
      <c r="D118" s="13"/>
      <c r="E118" s="1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74"/>
      <c r="B119" s="58"/>
      <c r="C119" s="35"/>
      <c r="D119" s="13"/>
      <c r="E119" s="15"/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19" x14ac:dyDescent="0.2">
      <c r="A120" s="74"/>
      <c r="B120" s="58"/>
      <c r="C120" s="35"/>
      <c r="D120" s="13"/>
      <c r="E120" s="15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32" x14ac:dyDescent="0.2">
      <c r="A121" s="61">
        <v>1830000</v>
      </c>
      <c r="B121" s="58">
        <v>44910</v>
      </c>
      <c r="C121" s="3" t="s">
        <v>9</v>
      </c>
      <c r="D121" s="13" t="s">
        <v>405</v>
      </c>
      <c r="E121" s="15">
        <v>1470000</v>
      </c>
      <c r="F121" s="9">
        <v>360000</v>
      </c>
      <c r="G121" s="9">
        <v>1028000</v>
      </c>
      <c r="H121" s="47" t="s">
        <v>1202</v>
      </c>
      <c r="I121" s="9">
        <v>50000</v>
      </c>
      <c r="J121" s="9" t="s">
        <v>1163</v>
      </c>
      <c r="K121" s="9"/>
      <c r="L121" s="9"/>
      <c r="M121" s="9"/>
      <c r="N121" s="9"/>
    </row>
    <row r="122" spans="1:14" ht="19" x14ac:dyDescent="0.2">
      <c r="A122" s="74"/>
      <c r="B122" s="58"/>
      <c r="C122" s="49"/>
      <c r="D122" s="13"/>
      <c r="E122" s="15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9" x14ac:dyDescent="0.2">
      <c r="A123" s="61">
        <v>967000</v>
      </c>
      <c r="B123" s="75"/>
      <c r="C123" s="2" t="s">
        <v>10</v>
      </c>
      <c r="D123" s="13" t="s">
        <v>685</v>
      </c>
      <c r="E123" s="15">
        <v>774000</v>
      </c>
      <c r="F123" s="9">
        <v>193000</v>
      </c>
      <c r="G123" s="9">
        <v>560000</v>
      </c>
      <c r="H123" s="9" t="s">
        <v>1203</v>
      </c>
      <c r="I123" s="9">
        <v>200000</v>
      </c>
      <c r="J123" s="9" t="s">
        <v>1090</v>
      </c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19" x14ac:dyDescent="0.2">
      <c r="A126" s="61">
        <v>1376000</v>
      </c>
      <c r="B126" s="58">
        <v>44911</v>
      </c>
      <c r="C126" s="35" t="s">
        <v>440</v>
      </c>
      <c r="D126" s="13" t="s">
        <v>405</v>
      </c>
      <c r="E126" s="15">
        <v>1268000</v>
      </c>
      <c r="F126" s="9">
        <v>108000</v>
      </c>
      <c r="G126" s="9">
        <v>624000</v>
      </c>
      <c r="H126" s="9" t="s">
        <v>1167</v>
      </c>
      <c r="I126" s="9">
        <v>23500</v>
      </c>
      <c r="J126" s="9" t="s">
        <v>782</v>
      </c>
      <c r="K126" s="9"/>
      <c r="L126" s="9"/>
      <c r="M126" s="9"/>
      <c r="N126" s="9"/>
    </row>
    <row r="127" spans="1:14" ht="19" x14ac:dyDescent="0.2">
      <c r="A127" s="61"/>
      <c r="B127" s="75"/>
      <c r="C127" s="2"/>
      <c r="D127" s="13"/>
      <c r="E127" s="9"/>
      <c r="F127" s="9"/>
      <c r="G127" s="9"/>
      <c r="H127" s="9"/>
      <c r="I127" s="9">
        <v>60000</v>
      </c>
      <c r="J127" s="9" t="s">
        <v>988</v>
      </c>
      <c r="K127" s="9"/>
      <c r="L127" s="9"/>
      <c r="M127" s="9"/>
      <c r="N127" s="9"/>
    </row>
    <row r="128" spans="1:14" ht="19" x14ac:dyDescent="0.2">
      <c r="A128" s="74"/>
      <c r="B128" s="75"/>
      <c r="C128" s="35"/>
      <c r="D128" s="13"/>
      <c r="E128" s="15"/>
      <c r="F128" s="9"/>
      <c r="G128" s="9"/>
      <c r="H128" s="9"/>
      <c r="I128" s="9">
        <v>42000</v>
      </c>
      <c r="J128" s="9" t="s">
        <v>1155</v>
      </c>
      <c r="K128" s="9"/>
      <c r="L128" s="9"/>
      <c r="M128" s="9"/>
      <c r="N128" s="9"/>
    </row>
    <row r="129" spans="1:14" ht="19" x14ac:dyDescent="0.2">
      <c r="A129" s="74"/>
      <c r="B129" s="75"/>
      <c r="C129" s="35"/>
      <c r="D129" s="13"/>
      <c r="E129" s="15"/>
      <c r="F129" s="9"/>
      <c r="G129" s="9"/>
      <c r="H129" s="9"/>
      <c r="I129" s="9">
        <v>60000</v>
      </c>
      <c r="J129" s="9" t="s">
        <v>1164</v>
      </c>
      <c r="K129" s="9"/>
      <c r="L129" s="9"/>
      <c r="M129" s="9"/>
      <c r="N129" s="9"/>
    </row>
    <row r="130" spans="1:14" ht="19" x14ac:dyDescent="0.2">
      <c r="A130" s="74"/>
      <c r="B130" s="75"/>
      <c r="C130" s="35"/>
      <c r="D130" s="13"/>
      <c r="E130" s="15"/>
      <c r="F130" s="9"/>
      <c r="G130" s="9"/>
      <c r="H130" s="9"/>
      <c r="I130" s="9">
        <v>64000</v>
      </c>
      <c r="J130" s="9" t="s">
        <v>1165</v>
      </c>
      <c r="K130" s="9"/>
      <c r="L130" s="9"/>
      <c r="M130" s="9"/>
      <c r="N130" s="9"/>
    </row>
    <row r="131" spans="1:14" ht="19" x14ac:dyDescent="0.2">
      <c r="A131" s="74"/>
      <c r="B131" s="75"/>
      <c r="C131" s="35"/>
      <c r="D131" s="13"/>
      <c r="E131" s="15"/>
      <c r="F131" s="9"/>
      <c r="G131" s="9"/>
      <c r="H131" s="9"/>
      <c r="I131" s="9">
        <v>15500</v>
      </c>
      <c r="J131" s="9" t="s">
        <v>1166</v>
      </c>
      <c r="K131" s="9"/>
      <c r="L131" s="9"/>
      <c r="M131" s="9"/>
      <c r="N131" s="9"/>
    </row>
    <row r="132" spans="1:14" ht="19" x14ac:dyDescent="0.2">
      <c r="A132" s="74">
        <v>1329000</v>
      </c>
      <c r="B132" s="75"/>
      <c r="C132" s="35" t="s">
        <v>363</v>
      </c>
      <c r="D132" s="13" t="s">
        <v>685</v>
      </c>
      <c r="E132" s="15">
        <v>1138000</v>
      </c>
      <c r="F132" s="9">
        <v>191000</v>
      </c>
      <c r="G132" s="9"/>
      <c r="H132" s="9"/>
      <c r="I132" s="9">
        <v>80000</v>
      </c>
      <c r="J132" s="9" t="s">
        <v>651</v>
      </c>
      <c r="K132" s="9"/>
      <c r="L132" s="9"/>
      <c r="M132" s="9"/>
      <c r="N132" s="9"/>
    </row>
    <row r="133" spans="1:14" ht="19" x14ac:dyDescent="0.2">
      <c r="A133" s="74"/>
      <c r="B133" s="75"/>
      <c r="C133" s="35"/>
      <c r="D133" s="13"/>
      <c r="E133" s="15"/>
      <c r="F133" s="9"/>
      <c r="G133" s="9"/>
      <c r="H133" s="9"/>
      <c r="I133" s="9">
        <v>56000</v>
      </c>
      <c r="J133" s="9" t="s">
        <v>859</v>
      </c>
      <c r="K133" s="9"/>
      <c r="L133" s="9"/>
      <c r="M133" s="9"/>
      <c r="N133" s="9"/>
    </row>
    <row r="134" spans="1:14" ht="19" x14ac:dyDescent="0.2">
      <c r="A134" s="74"/>
      <c r="B134" s="75"/>
      <c r="C134" s="35"/>
      <c r="D134" s="13"/>
      <c r="E134" s="15"/>
      <c r="F134" s="9"/>
      <c r="G134" s="9"/>
      <c r="H134" s="9"/>
      <c r="I134" s="9">
        <v>144000</v>
      </c>
      <c r="J134" s="9" t="s">
        <v>615</v>
      </c>
      <c r="K134" s="9"/>
      <c r="L134" s="9"/>
      <c r="M134" s="9"/>
      <c r="N134" s="9"/>
    </row>
    <row r="135" spans="1:14" ht="19" x14ac:dyDescent="0.2">
      <c r="A135" s="74"/>
      <c r="B135" s="75"/>
      <c r="C135" s="35"/>
      <c r="D135" s="13"/>
      <c r="E135" s="15"/>
      <c r="F135" s="9"/>
      <c r="G135" s="9"/>
      <c r="H135" s="9"/>
      <c r="I135" s="9">
        <v>200000</v>
      </c>
      <c r="J135" s="9" t="s">
        <v>653</v>
      </c>
      <c r="K135" s="9"/>
      <c r="L135" s="9"/>
      <c r="M135" s="9"/>
      <c r="N135" s="9"/>
    </row>
    <row r="136" spans="1:14" ht="19" x14ac:dyDescent="0.2">
      <c r="A136" s="74"/>
      <c r="B136" s="75"/>
      <c r="C136" s="35"/>
      <c r="D136" s="13"/>
      <c r="E136" s="15"/>
      <c r="F136" s="9"/>
      <c r="G136" s="9"/>
      <c r="H136" s="9"/>
      <c r="I136" s="9">
        <v>35000</v>
      </c>
      <c r="J136" s="9" t="s">
        <v>655</v>
      </c>
      <c r="K136" s="9"/>
      <c r="L136" s="9"/>
      <c r="M136" s="9"/>
      <c r="N136" s="9"/>
    </row>
    <row r="137" spans="1:14" ht="19" x14ac:dyDescent="0.2">
      <c r="A137" s="74"/>
      <c r="B137" s="75"/>
      <c r="C137" s="35"/>
      <c r="D137" s="13"/>
      <c r="E137" s="15"/>
      <c r="F137" s="9"/>
      <c r="G137" s="9"/>
      <c r="H137" s="9"/>
      <c r="I137" s="9">
        <v>100000</v>
      </c>
      <c r="J137" s="9" t="s">
        <v>827</v>
      </c>
      <c r="K137" s="9"/>
      <c r="L137" s="9"/>
      <c r="M137" s="9"/>
      <c r="N137" s="9"/>
    </row>
    <row r="138" spans="1:14" ht="19" x14ac:dyDescent="0.2">
      <c r="A138" s="74">
        <v>1667000</v>
      </c>
      <c r="B138" s="58">
        <v>44912</v>
      </c>
      <c r="C138" s="35" t="s">
        <v>440</v>
      </c>
      <c r="D138" s="13" t="s">
        <v>405</v>
      </c>
      <c r="E138" s="15">
        <v>1551000</v>
      </c>
      <c r="F138" s="9">
        <v>116000</v>
      </c>
      <c r="G138" s="9"/>
      <c r="H138" s="9"/>
      <c r="I138" s="9"/>
      <c r="J138" s="9"/>
      <c r="K138" s="9"/>
      <c r="L138" s="9"/>
      <c r="M138" s="9"/>
      <c r="N138" s="9"/>
    </row>
    <row r="139" spans="1:14" ht="19" x14ac:dyDescent="0.2">
      <c r="A139" s="74"/>
      <c r="B139" s="58"/>
      <c r="C139" s="35"/>
      <c r="D139" s="13"/>
      <c r="E139" s="15"/>
      <c r="F139" s="9"/>
      <c r="G139" s="9"/>
      <c r="H139" s="9"/>
      <c r="I139" s="9"/>
      <c r="J139" s="9"/>
      <c r="K139" s="9"/>
      <c r="L139" s="9"/>
      <c r="M139" s="9"/>
      <c r="N139" s="9"/>
    </row>
    <row r="140" spans="1:14" ht="19" x14ac:dyDescent="0.2">
      <c r="A140" s="74"/>
      <c r="B140" s="58"/>
      <c r="C140" s="35"/>
      <c r="D140" s="13"/>
      <c r="E140" s="15"/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19" x14ac:dyDescent="0.2">
      <c r="A141" s="74"/>
      <c r="B141" s="75"/>
      <c r="C141" s="35"/>
      <c r="D141" s="13"/>
      <c r="E141" s="15"/>
      <c r="F141" s="9"/>
      <c r="G141" s="9"/>
      <c r="H141" s="9"/>
      <c r="I141" s="60"/>
      <c r="J141" s="60"/>
      <c r="K141" s="9"/>
      <c r="L141" s="9"/>
      <c r="M141" s="9"/>
      <c r="N141" s="9"/>
    </row>
    <row r="142" spans="1:14" ht="19" x14ac:dyDescent="0.2">
      <c r="A142" s="74">
        <v>1909000</v>
      </c>
      <c r="B142" s="75"/>
      <c r="C142" s="35" t="s">
        <v>363</v>
      </c>
      <c r="D142" s="13" t="s">
        <v>685</v>
      </c>
      <c r="E142" s="15">
        <v>1794000</v>
      </c>
      <c r="F142" s="9">
        <v>115000</v>
      </c>
      <c r="G142" s="9"/>
      <c r="H142" s="9"/>
      <c r="I142" s="9">
        <v>50000</v>
      </c>
      <c r="J142" s="9" t="s">
        <v>59</v>
      </c>
      <c r="K142" s="9"/>
      <c r="L142" s="9"/>
      <c r="M142" s="9"/>
      <c r="N142" s="9"/>
    </row>
    <row r="143" spans="1:14" ht="19" x14ac:dyDescent="0.2">
      <c r="A143" s="74"/>
      <c r="B143" s="58"/>
      <c r="C143" s="35"/>
      <c r="D143" s="13"/>
      <c r="E143" s="15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9" x14ac:dyDescent="0.2">
      <c r="A144" s="74">
        <v>745000</v>
      </c>
      <c r="B144" s="58">
        <v>44913</v>
      </c>
      <c r="C144" s="35" t="s">
        <v>806</v>
      </c>
      <c r="D144" s="13" t="s">
        <v>685</v>
      </c>
      <c r="E144" s="15">
        <v>703000</v>
      </c>
      <c r="F144" s="9">
        <v>42000</v>
      </c>
      <c r="G144" s="9"/>
      <c r="H144" s="9"/>
      <c r="I144" s="9"/>
      <c r="J144" s="9"/>
      <c r="K144" s="9"/>
      <c r="L144" s="9"/>
      <c r="M144" s="9"/>
      <c r="N144" s="9"/>
    </row>
    <row r="145" spans="1:14" ht="19" x14ac:dyDescent="0.2">
      <c r="A145" s="74"/>
      <c r="B145" s="58"/>
      <c r="C145" s="35"/>
      <c r="D145" s="13"/>
      <c r="E145" s="15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9" x14ac:dyDescent="0.2">
      <c r="A146" s="74"/>
      <c r="B146" s="58"/>
      <c r="C146" s="35"/>
      <c r="D146" s="13"/>
      <c r="E146" s="15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9" x14ac:dyDescent="0.2">
      <c r="A147" s="61">
        <v>1373000</v>
      </c>
      <c r="B147" s="58">
        <v>44914</v>
      </c>
      <c r="C147" s="3" t="s">
        <v>9</v>
      </c>
      <c r="D147" s="13" t="s">
        <v>405</v>
      </c>
      <c r="E147" s="9">
        <v>1075000</v>
      </c>
      <c r="F147" s="9">
        <v>298000</v>
      </c>
      <c r="G147" s="9">
        <v>468000</v>
      </c>
      <c r="H147" s="9" t="s">
        <v>1172</v>
      </c>
      <c r="I147" s="9">
        <v>10500</v>
      </c>
      <c r="J147" s="9" t="s">
        <v>1168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9">
        <v>10500</v>
      </c>
      <c r="J148" s="9" t="s">
        <v>642</v>
      </c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9">
        <v>520000</v>
      </c>
      <c r="J149" s="9" t="s">
        <v>741</v>
      </c>
      <c r="K149" s="9"/>
      <c r="L149" s="9"/>
      <c r="M149" s="9"/>
      <c r="N149" s="9"/>
    </row>
    <row r="150" spans="1:14" ht="19" x14ac:dyDescent="0.2">
      <c r="A150" s="74"/>
      <c r="B150" s="58"/>
      <c r="C150" s="49"/>
      <c r="D150" s="13"/>
      <c r="E150" s="15"/>
      <c r="F150" s="9"/>
      <c r="G150" s="9"/>
      <c r="H150" s="9"/>
      <c r="I150" s="9">
        <v>50000</v>
      </c>
      <c r="J150" s="47" t="s">
        <v>942</v>
      </c>
      <c r="K150" s="9"/>
      <c r="L150" s="9"/>
      <c r="M150" s="9"/>
      <c r="N150" s="9"/>
    </row>
    <row r="151" spans="1:14" ht="19" x14ac:dyDescent="0.2">
      <c r="A151" s="74"/>
      <c r="B151" s="58"/>
      <c r="C151" s="49"/>
      <c r="D151" s="13"/>
      <c r="E151" s="15"/>
      <c r="F151" s="9"/>
      <c r="G151" s="9"/>
      <c r="H151" s="9"/>
      <c r="I151" s="9">
        <v>124500</v>
      </c>
      <c r="J151" s="9" t="s">
        <v>703</v>
      </c>
      <c r="K151" s="9"/>
      <c r="L151" s="9"/>
      <c r="M151" s="9"/>
      <c r="N151" s="9"/>
    </row>
    <row r="152" spans="1:14" ht="19" x14ac:dyDescent="0.2">
      <c r="A152" s="74"/>
      <c r="B152" s="58"/>
      <c r="C152" s="49"/>
      <c r="D152" s="13"/>
      <c r="E152" s="15"/>
      <c r="F152" s="9"/>
      <c r="G152" s="9"/>
      <c r="H152" s="9"/>
      <c r="I152" s="9">
        <v>21000</v>
      </c>
      <c r="J152" s="9" t="s">
        <v>1169</v>
      </c>
      <c r="K152" s="9"/>
      <c r="L152" s="9"/>
      <c r="M152" s="9"/>
      <c r="N152" s="9"/>
    </row>
    <row r="153" spans="1:14" ht="19" x14ac:dyDescent="0.2">
      <c r="A153" s="74"/>
      <c r="B153" s="58"/>
      <c r="C153" s="49"/>
      <c r="D153" s="13"/>
      <c r="E153" s="15"/>
      <c r="F153" s="9"/>
      <c r="G153" s="9"/>
      <c r="H153" s="9"/>
      <c r="I153" s="9">
        <v>620000</v>
      </c>
      <c r="J153" s="47" t="s">
        <v>1170</v>
      </c>
      <c r="K153" s="9"/>
      <c r="L153" s="9"/>
      <c r="M153" s="9"/>
      <c r="N153" s="9"/>
    </row>
    <row r="154" spans="1:14" ht="32" x14ac:dyDescent="0.2">
      <c r="A154" s="74"/>
      <c r="B154" s="58"/>
      <c r="C154" s="49"/>
      <c r="D154" s="13"/>
      <c r="E154" s="15"/>
      <c r="F154" s="9"/>
      <c r="G154" s="9"/>
      <c r="H154" s="9"/>
      <c r="I154" s="9">
        <v>620000</v>
      </c>
      <c r="J154" s="47" t="s">
        <v>766</v>
      </c>
      <c r="K154" s="9"/>
      <c r="L154" s="9"/>
      <c r="M154" s="9"/>
      <c r="N154" s="9"/>
    </row>
    <row r="155" spans="1:14" ht="19" x14ac:dyDescent="0.2">
      <c r="A155" s="74"/>
      <c r="B155" s="58"/>
      <c r="C155" s="49"/>
      <c r="D155" s="13"/>
      <c r="E155" s="15"/>
      <c r="F155" s="9"/>
      <c r="G155" s="9"/>
      <c r="H155" s="9"/>
      <c r="I155" s="9">
        <v>120000</v>
      </c>
      <c r="J155" s="9" t="s">
        <v>1171</v>
      </c>
      <c r="K155" s="9"/>
      <c r="L155" s="9"/>
      <c r="M155" s="9"/>
      <c r="N155" s="9"/>
    </row>
    <row r="156" spans="1:14" ht="19" x14ac:dyDescent="0.2">
      <c r="A156" s="74"/>
      <c r="B156" s="58"/>
      <c r="C156" s="49"/>
      <c r="D156" s="13"/>
      <c r="E156" s="15"/>
      <c r="F156" s="9"/>
      <c r="G156" s="9"/>
      <c r="H156" s="9"/>
      <c r="I156" s="9">
        <v>56000</v>
      </c>
      <c r="J156" s="9" t="s">
        <v>1173</v>
      </c>
      <c r="K156" s="9"/>
      <c r="L156" s="9"/>
      <c r="M156" s="9"/>
      <c r="N156" s="9"/>
    </row>
    <row r="157" spans="1:14" ht="19" x14ac:dyDescent="0.2">
      <c r="A157" s="74"/>
      <c r="B157" s="58"/>
      <c r="C157" s="49"/>
      <c r="D157" s="13"/>
      <c r="E157" s="15"/>
      <c r="F157" s="9"/>
      <c r="G157" s="9"/>
      <c r="H157" s="9"/>
      <c r="I157" s="9">
        <v>39000</v>
      </c>
      <c r="J157" s="9" t="s">
        <v>973</v>
      </c>
      <c r="K157" s="9"/>
      <c r="L157" s="9"/>
      <c r="M157" s="9"/>
      <c r="N157" s="9"/>
    </row>
    <row r="158" spans="1:14" ht="19" x14ac:dyDescent="0.2">
      <c r="A158" s="74"/>
      <c r="B158" s="58"/>
      <c r="C158" s="49"/>
      <c r="D158" s="13"/>
      <c r="E158" s="15"/>
      <c r="F158" s="9"/>
      <c r="G158" s="9"/>
      <c r="H158" s="9"/>
      <c r="I158" s="9">
        <v>160000</v>
      </c>
      <c r="J158" s="9" t="s">
        <v>1051</v>
      </c>
      <c r="K158" s="9"/>
      <c r="L158" s="9"/>
      <c r="M158" s="9"/>
      <c r="N158" s="9"/>
    </row>
    <row r="159" spans="1:14" ht="19" x14ac:dyDescent="0.2">
      <c r="A159" s="61">
        <v>1434000</v>
      </c>
      <c r="B159" s="75"/>
      <c r="C159" s="2" t="s">
        <v>10</v>
      </c>
      <c r="D159" s="13" t="s">
        <v>685</v>
      </c>
      <c r="E159" s="9">
        <v>1292000</v>
      </c>
      <c r="F159" s="9">
        <v>142000</v>
      </c>
      <c r="G159" s="9"/>
      <c r="H159" s="9"/>
      <c r="I159" s="9"/>
      <c r="J159" s="9"/>
      <c r="K159" s="9"/>
      <c r="L159" s="9"/>
      <c r="M159" s="9"/>
      <c r="N159" s="9"/>
    </row>
    <row r="160" spans="1:14" ht="19" x14ac:dyDescent="0.2">
      <c r="A160" s="74"/>
      <c r="B160" s="75"/>
      <c r="C160" s="35"/>
      <c r="D160" s="13"/>
      <c r="E160" s="15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19" x14ac:dyDescent="0.2">
      <c r="A161" s="74"/>
      <c r="B161" s="75"/>
      <c r="C161" s="35"/>
      <c r="D161" s="13"/>
      <c r="E161" s="15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9" x14ac:dyDescent="0.2">
      <c r="A162" s="74"/>
      <c r="B162" s="75"/>
      <c r="C162" s="35"/>
      <c r="D162" s="13"/>
      <c r="E162" s="15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9" x14ac:dyDescent="0.2">
      <c r="A163" s="74"/>
      <c r="B163" s="75"/>
      <c r="C163" s="35"/>
      <c r="D163" s="13"/>
      <c r="E163" s="15"/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19" x14ac:dyDescent="0.2">
      <c r="A164" s="74">
        <v>1264000</v>
      </c>
      <c r="B164" s="58">
        <v>44915</v>
      </c>
      <c r="C164" s="35" t="s">
        <v>440</v>
      </c>
      <c r="D164" s="13" t="s">
        <v>405</v>
      </c>
      <c r="E164" s="15">
        <v>961000</v>
      </c>
      <c r="F164" s="9">
        <v>303000</v>
      </c>
      <c r="G164" s="9">
        <v>270000</v>
      </c>
      <c r="H164" s="9" t="s">
        <v>1174</v>
      </c>
      <c r="I164" s="9">
        <v>200000</v>
      </c>
      <c r="J164" s="9" t="s">
        <v>653</v>
      </c>
      <c r="K164" s="9"/>
      <c r="L164" s="9"/>
      <c r="M164" s="9"/>
      <c r="N164" s="9"/>
    </row>
    <row r="165" spans="1:14" ht="19" x14ac:dyDescent="0.2">
      <c r="A165" s="74"/>
      <c r="B165" s="58"/>
      <c r="C165" s="49"/>
      <c r="D165" s="13"/>
      <c r="E165" s="15"/>
      <c r="F165" s="9"/>
      <c r="G165" s="9">
        <v>2722000</v>
      </c>
      <c r="H165" s="9" t="s">
        <v>812</v>
      </c>
      <c r="I165" s="76">
        <v>35000</v>
      </c>
      <c r="J165" s="76" t="s">
        <v>655</v>
      </c>
      <c r="K165" s="9"/>
      <c r="L165" s="9"/>
      <c r="M165" s="9"/>
      <c r="N165" s="9"/>
    </row>
    <row r="166" spans="1:14" ht="19" x14ac:dyDescent="0.2">
      <c r="A166" s="74"/>
      <c r="B166" s="58"/>
      <c r="C166" s="49"/>
      <c r="D166" s="13"/>
      <c r="E166" s="15"/>
      <c r="F166" s="9"/>
      <c r="G166" s="9"/>
      <c r="H166" s="9"/>
      <c r="I166" s="76">
        <v>100000</v>
      </c>
      <c r="J166" s="76" t="s">
        <v>827</v>
      </c>
      <c r="K166" s="9"/>
      <c r="L166" s="9"/>
      <c r="M166" s="9"/>
      <c r="N166" s="9"/>
    </row>
    <row r="167" spans="1:14" ht="19" x14ac:dyDescent="0.2">
      <c r="A167" s="61">
        <v>1072000</v>
      </c>
      <c r="B167" s="58"/>
      <c r="C167" s="49" t="s">
        <v>10</v>
      </c>
      <c r="D167" s="13" t="s">
        <v>685</v>
      </c>
      <c r="E167" s="15">
        <v>948000</v>
      </c>
      <c r="F167" s="9">
        <v>124000</v>
      </c>
      <c r="G167" s="9"/>
      <c r="H167" s="9"/>
      <c r="I167" s="9">
        <v>75000</v>
      </c>
      <c r="J167" s="9" t="s">
        <v>1175</v>
      </c>
      <c r="K167" s="9"/>
      <c r="L167" s="9"/>
      <c r="M167" s="9"/>
      <c r="N167" s="9"/>
    </row>
    <row r="168" spans="1:14" ht="19" x14ac:dyDescent="0.2">
      <c r="A168" s="74"/>
      <c r="B168" s="58"/>
      <c r="C168" s="49"/>
      <c r="D168" s="13"/>
      <c r="E168" s="15"/>
      <c r="F168" s="9"/>
      <c r="G168" s="9"/>
      <c r="H168" s="9"/>
      <c r="I168" s="9"/>
      <c r="J168" s="9"/>
      <c r="K168" s="9"/>
      <c r="L168" s="9"/>
      <c r="M168" s="9"/>
      <c r="N168" s="9"/>
    </row>
    <row r="169" spans="1:14" ht="19" x14ac:dyDescent="0.2">
      <c r="A169" s="61">
        <v>1655000</v>
      </c>
      <c r="B169" s="58">
        <v>44916</v>
      </c>
      <c r="C169" s="2" t="s">
        <v>9</v>
      </c>
      <c r="D169" s="13" t="s">
        <v>405</v>
      </c>
      <c r="E169" s="15">
        <v>1187000</v>
      </c>
      <c r="F169" s="9">
        <v>468000</v>
      </c>
      <c r="G169" s="9">
        <v>192000</v>
      </c>
      <c r="H169" s="76" t="s">
        <v>1212</v>
      </c>
      <c r="I169" s="9">
        <v>44500</v>
      </c>
      <c r="J169" s="9" t="s">
        <v>769</v>
      </c>
      <c r="K169" s="9"/>
      <c r="L169" s="9"/>
      <c r="M169" s="9"/>
      <c r="N169" s="9"/>
    </row>
    <row r="170" spans="1:14" ht="19" x14ac:dyDescent="0.2">
      <c r="A170" s="74"/>
      <c r="B170" s="58"/>
      <c r="C170" s="35"/>
      <c r="D170" s="13"/>
      <c r="E170" s="15"/>
      <c r="F170" s="9"/>
      <c r="G170" s="9"/>
      <c r="H170" s="76"/>
      <c r="I170" s="9">
        <v>203500</v>
      </c>
      <c r="J170" s="9" t="s">
        <v>1176</v>
      </c>
      <c r="K170" s="9"/>
      <c r="L170" s="9"/>
      <c r="M170" s="9"/>
      <c r="N170" s="9"/>
    </row>
    <row r="171" spans="1:14" ht="19" x14ac:dyDescent="0.2">
      <c r="A171" s="74"/>
      <c r="B171" s="58"/>
      <c r="C171" s="35"/>
      <c r="D171" s="13"/>
      <c r="E171" s="15"/>
      <c r="F171" s="9"/>
      <c r="G171" s="9"/>
      <c r="H171" s="76"/>
      <c r="I171" s="9">
        <v>18000</v>
      </c>
      <c r="J171" s="9" t="s">
        <v>1177</v>
      </c>
      <c r="K171" s="9"/>
      <c r="L171" s="9"/>
      <c r="M171" s="9"/>
      <c r="N171" s="9"/>
    </row>
    <row r="172" spans="1:14" ht="19" x14ac:dyDescent="0.2">
      <c r="A172" s="74"/>
      <c r="B172" s="58"/>
      <c r="C172" s="35"/>
      <c r="D172" s="13"/>
      <c r="E172" s="15"/>
      <c r="F172" s="9"/>
      <c r="G172" s="9"/>
      <c r="H172" s="76"/>
      <c r="I172" s="9">
        <v>60000</v>
      </c>
      <c r="J172" s="9" t="s">
        <v>988</v>
      </c>
      <c r="K172" s="9"/>
      <c r="L172" s="9"/>
      <c r="M172" s="9"/>
      <c r="N172" s="9"/>
    </row>
    <row r="173" spans="1:14" ht="35.25" customHeight="1" x14ac:dyDescent="0.2">
      <c r="A173" s="74"/>
      <c r="B173" s="58"/>
      <c r="C173" s="35"/>
      <c r="D173" s="13"/>
      <c r="E173" s="15"/>
      <c r="F173" s="9"/>
      <c r="G173" s="9"/>
      <c r="H173" s="76"/>
      <c r="I173" s="9">
        <v>24000</v>
      </c>
      <c r="J173" s="47" t="s">
        <v>1178</v>
      </c>
      <c r="K173" s="9"/>
      <c r="L173" s="9"/>
      <c r="M173" s="9"/>
      <c r="N173" s="9"/>
    </row>
    <row r="174" spans="1:14" ht="19" x14ac:dyDescent="0.2">
      <c r="A174" s="74"/>
      <c r="B174" s="58"/>
      <c r="C174" s="35"/>
      <c r="D174" s="13"/>
      <c r="E174" s="15"/>
      <c r="F174" s="9"/>
      <c r="G174" s="9"/>
      <c r="H174" s="76"/>
      <c r="I174" s="9">
        <v>12000</v>
      </c>
      <c r="J174" s="9" t="s">
        <v>1179</v>
      </c>
      <c r="K174" s="9"/>
      <c r="L174" s="9"/>
      <c r="M174" s="9"/>
      <c r="N174" s="9"/>
    </row>
    <row r="175" spans="1:14" ht="19" x14ac:dyDescent="0.2">
      <c r="A175" s="74"/>
      <c r="B175" s="58"/>
      <c r="C175" s="35"/>
      <c r="D175" s="13"/>
      <c r="E175" s="15"/>
      <c r="F175" s="9"/>
      <c r="G175" s="9"/>
      <c r="H175" s="76"/>
      <c r="I175" s="9">
        <v>48000</v>
      </c>
      <c r="J175" s="9" t="s">
        <v>982</v>
      </c>
      <c r="K175" s="9"/>
      <c r="L175" s="9"/>
      <c r="M175" s="9"/>
      <c r="N175" s="9"/>
    </row>
    <row r="176" spans="1:14" ht="19" x14ac:dyDescent="0.2">
      <c r="A176" s="74"/>
      <c r="B176" s="58"/>
      <c r="C176" s="35"/>
      <c r="D176" s="13"/>
      <c r="E176" s="15"/>
      <c r="F176" s="9"/>
      <c r="G176" s="9"/>
      <c r="H176" s="76"/>
      <c r="I176" s="9">
        <v>2000</v>
      </c>
      <c r="J176" s="9" t="s">
        <v>1018</v>
      </c>
      <c r="K176" s="9"/>
      <c r="L176" s="9"/>
      <c r="M176" s="9"/>
      <c r="N176" s="9"/>
    </row>
    <row r="177" spans="1:14" ht="19" x14ac:dyDescent="0.2">
      <c r="A177" s="74"/>
      <c r="B177" s="58"/>
      <c r="C177" s="35"/>
      <c r="D177" s="13"/>
      <c r="E177" s="15"/>
      <c r="F177" s="9"/>
      <c r="G177" s="9"/>
      <c r="H177" s="76"/>
      <c r="I177" s="9">
        <v>140000</v>
      </c>
      <c r="J177" s="9" t="s">
        <v>1180</v>
      </c>
      <c r="K177" s="9"/>
      <c r="L177" s="9"/>
      <c r="M177" s="9"/>
      <c r="N177" s="9"/>
    </row>
    <row r="178" spans="1:14" ht="19" x14ac:dyDescent="0.2">
      <c r="A178" s="74"/>
      <c r="B178" s="58"/>
      <c r="C178" s="35"/>
      <c r="D178" s="13"/>
      <c r="E178" s="15"/>
      <c r="F178" s="9"/>
      <c r="G178" s="9"/>
      <c r="H178" s="76"/>
      <c r="I178" s="9">
        <v>140000</v>
      </c>
      <c r="J178" s="9" t="s">
        <v>945</v>
      </c>
      <c r="K178" s="9"/>
      <c r="L178" s="9"/>
      <c r="M178" s="9"/>
      <c r="N178" s="9"/>
    </row>
    <row r="179" spans="1:14" ht="19" x14ac:dyDescent="0.2">
      <c r="A179" s="74"/>
      <c r="B179" s="58"/>
      <c r="C179" s="35"/>
      <c r="D179" s="13"/>
      <c r="E179" s="15"/>
      <c r="F179" s="9"/>
      <c r="G179" s="9"/>
      <c r="H179" s="76"/>
      <c r="I179" s="9">
        <v>140000</v>
      </c>
      <c r="J179" s="9" t="s">
        <v>1181</v>
      </c>
      <c r="K179" s="9"/>
      <c r="L179" s="9"/>
      <c r="M179" s="9"/>
      <c r="N179" s="9"/>
    </row>
    <row r="180" spans="1:14" ht="19" x14ac:dyDescent="0.2">
      <c r="A180" s="61">
        <v>1276000</v>
      </c>
      <c r="B180" s="58"/>
      <c r="C180" s="3" t="s">
        <v>10</v>
      </c>
      <c r="D180" s="13" t="s">
        <v>685</v>
      </c>
      <c r="E180" s="15">
        <v>1140000</v>
      </c>
      <c r="F180" s="9">
        <v>136000</v>
      </c>
      <c r="G180" s="9"/>
      <c r="H180" s="9"/>
      <c r="I180" s="9">
        <v>288000</v>
      </c>
      <c r="J180" s="9" t="s">
        <v>1017</v>
      </c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9">
        <v>100000</v>
      </c>
      <c r="J181" s="9" t="s">
        <v>889</v>
      </c>
      <c r="K181" s="9"/>
      <c r="L181" s="9"/>
      <c r="M181" s="9"/>
      <c r="N181" s="9"/>
    </row>
    <row r="182" spans="1:14" ht="19" x14ac:dyDescent="0.2">
      <c r="A182" s="74"/>
      <c r="B182" s="58"/>
      <c r="C182" s="49"/>
      <c r="D182" s="13"/>
      <c r="E182" s="15"/>
      <c r="F182" s="9"/>
      <c r="G182" s="9"/>
      <c r="H182" s="9"/>
      <c r="I182" s="9">
        <v>56000</v>
      </c>
      <c r="J182" s="9" t="s">
        <v>859</v>
      </c>
      <c r="K182" s="9"/>
      <c r="L182" s="9"/>
      <c r="M182" s="9"/>
      <c r="N182" s="9"/>
    </row>
    <row r="183" spans="1:14" ht="19" x14ac:dyDescent="0.2">
      <c r="A183" s="74"/>
      <c r="B183" s="58"/>
      <c r="C183" s="49"/>
      <c r="D183" s="13"/>
      <c r="E183" s="15"/>
      <c r="F183" s="9"/>
      <c r="G183" s="9"/>
      <c r="H183" s="9"/>
      <c r="I183" s="9">
        <v>200000</v>
      </c>
      <c r="J183" s="9" t="s">
        <v>1090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9"/>
      <c r="J184" s="9"/>
      <c r="K184" s="9"/>
      <c r="L184" s="9"/>
      <c r="M184" s="9"/>
      <c r="N184" s="9"/>
    </row>
    <row r="185" spans="1:14" ht="19" x14ac:dyDescent="0.2">
      <c r="A185" s="61">
        <v>1253000</v>
      </c>
      <c r="B185" s="58">
        <v>44917</v>
      </c>
      <c r="C185" s="3" t="s">
        <v>440</v>
      </c>
      <c r="D185" s="13" t="s">
        <v>405</v>
      </c>
      <c r="E185" s="15">
        <v>899000</v>
      </c>
      <c r="F185" s="9">
        <v>354000</v>
      </c>
      <c r="G185" s="9"/>
      <c r="H185" s="9"/>
      <c r="I185" s="9"/>
      <c r="J185" s="9"/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9"/>
      <c r="I186" s="9"/>
      <c r="J186" s="9"/>
      <c r="K186" s="9"/>
      <c r="L186" s="9"/>
      <c r="M186" s="9"/>
      <c r="N186" s="9"/>
    </row>
    <row r="187" spans="1:14" ht="19" x14ac:dyDescent="0.2">
      <c r="A187" s="74"/>
      <c r="B187" s="58"/>
      <c r="C187" s="49"/>
      <c r="D187" s="13"/>
      <c r="E187" s="15"/>
      <c r="F187" s="9"/>
      <c r="G187" s="9"/>
      <c r="H187" s="9"/>
      <c r="I187" s="9"/>
      <c r="J187" s="9"/>
      <c r="K187" s="9"/>
      <c r="L187" s="9"/>
      <c r="M187" s="9"/>
      <c r="N187" s="9"/>
    </row>
    <row r="188" spans="1:14" ht="19" x14ac:dyDescent="0.2">
      <c r="A188" s="74">
        <v>2295000</v>
      </c>
      <c r="B188" s="58"/>
      <c r="C188" s="49" t="s">
        <v>363</v>
      </c>
      <c r="D188" s="13" t="s">
        <v>685</v>
      </c>
      <c r="E188" s="15">
        <v>1978000</v>
      </c>
      <c r="F188" s="9">
        <v>317000</v>
      </c>
      <c r="G188" s="9"/>
      <c r="H188" s="9"/>
      <c r="I188" s="9"/>
      <c r="J188" s="9"/>
      <c r="K188" s="9"/>
      <c r="L188" s="9"/>
      <c r="M188" s="9"/>
      <c r="N188" s="9"/>
    </row>
    <row r="189" spans="1:14" ht="19" x14ac:dyDescent="0.2">
      <c r="A189" s="74"/>
      <c r="B189" s="58"/>
      <c r="C189" s="49"/>
      <c r="D189" s="13"/>
      <c r="E189" s="15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9" x14ac:dyDescent="0.2">
      <c r="A190" s="61">
        <v>1277000</v>
      </c>
      <c r="B190" s="58">
        <v>44918</v>
      </c>
      <c r="C190" s="3" t="s">
        <v>440</v>
      </c>
      <c r="D190" s="13" t="s">
        <v>405</v>
      </c>
      <c r="E190" s="15">
        <v>886000</v>
      </c>
      <c r="F190" s="9">
        <v>391000</v>
      </c>
      <c r="G190" s="9"/>
      <c r="H190" s="9"/>
      <c r="I190" s="9">
        <v>104000</v>
      </c>
      <c r="J190" s="9" t="s">
        <v>807</v>
      </c>
      <c r="K190" s="9"/>
      <c r="L190" s="9"/>
      <c r="M190" s="9"/>
      <c r="N190" s="9"/>
    </row>
    <row r="191" spans="1:14" ht="19" x14ac:dyDescent="0.2">
      <c r="A191" s="74"/>
      <c r="B191" s="75"/>
      <c r="C191" s="35"/>
      <c r="D191" s="13"/>
      <c r="E191" s="15"/>
      <c r="F191" s="9"/>
      <c r="G191" s="9"/>
      <c r="H191" s="77"/>
      <c r="I191" s="9"/>
      <c r="J191" s="9"/>
      <c r="K191" s="9"/>
      <c r="L191" s="9"/>
      <c r="M191" s="9"/>
      <c r="N191" s="9"/>
    </row>
    <row r="192" spans="1:14" ht="19" x14ac:dyDescent="0.2">
      <c r="A192" s="74"/>
      <c r="B192" s="75"/>
      <c r="C192" s="35"/>
      <c r="D192" s="13"/>
      <c r="E192" s="15"/>
      <c r="F192" s="9"/>
      <c r="G192" s="9"/>
      <c r="H192" s="77"/>
      <c r="I192" s="9"/>
      <c r="J192" s="9"/>
      <c r="K192" s="9"/>
      <c r="L192" s="9"/>
      <c r="M192" s="9"/>
      <c r="N192" s="9"/>
    </row>
    <row r="193" spans="1:14" ht="19" x14ac:dyDescent="0.2">
      <c r="A193" s="74">
        <v>838000</v>
      </c>
      <c r="B193" s="75"/>
      <c r="C193" s="35" t="s">
        <v>363</v>
      </c>
      <c r="D193" s="13" t="s">
        <v>565</v>
      </c>
      <c r="E193" s="15">
        <v>725000</v>
      </c>
      <c r="F193" s="9">
        <v>113000</v>
      </c>
      <c r="G193" s="9"/>
      <c r="H193" s="77"/>
      <c r="I193" s="9"/>
      <c r="J193" s="9"/>
      <c r="K193" s="9"/>
      <c r="L193" s="9"/>
      <c r="M193" s="9"/>
      <c r="N193" s="9"/>
    </row>
    <row r="194" spans="1:14" ht="19" x14ac:dyDescent="0.2">
      <c r="A194" s="74"/>
      <c r="B194" s="75"/>
      <c r="C194" s="35"/>
      <c r="D194" s="13"/>
      <c r="E194" s="15"/>
      <c r="F194" s="9"/>
      <c r="G194" s="9"/>
      <c r="H194" s="77"/>
      <c r="I194" s="9"/>
      <c r="J194" s="9"/>
      <c r="K194" s="9"/>
      <c r="L194" s="9"/>
      <c r="M194" s="9"/>
      <c r="N194" s="9"/>
    </row>
    <row r="195" spans="1:14" ht="19" x14ac:dyDescent="0.2">
      <c r="A195" s="61">
        <v>1690000</v>
      </c>
      <c r="B195" s="58">
        <v>44919</v>
      </c>
      <c r="C195" s="3" t="s">
        <v>9</v>
      </c>
      <c r="D195" s="13" t="s">
        <v>405</v>
      </c>
      <c r="E195" s="15">
        <v>1466000</v>
      </c>
      <c r="F195" s="9">
        <v>224000</v>
      </c>
      <c r="G195" s="9">
        <v>624000</v>
      </c>
      <c r="H195" s="9" t="s">
        <v>1182</v>
      </c>
      <c r="I195" s="9"/>
      <c r="J195" s="9"/>
      <c r="K195" s="9"/>
      <c r="L195" s="9"/>
      <c r="M195" s="9"/>
      <c r="N195" s="9"/>
    </row>
    <row r="196" spans="1:14" ht="19" x14ac:dyDescent="0.2">
      <c r="A196" s="74"/>
      <c r="B196" s="58"/>
      <c r="C196" s="49"/>
      <c r="D196" s="13"/>
      <c r="E196" s="15"/>
      <c r="F196" s="9"/>
      <c r="G196" s="9"/>
      <c r="H196" s="9"/>
      <c r="I196" s="76"/>
      <c r="J196" s="76"/>
      <c r="K196" s="9"/>
      <c r="L196" s="9"/>
      <c r="M196" s="9"/>
      <c r="N196" s="9"/>
    </row>
    <row r="197" spans="1:14" ht="19" x14ac:dyDescent="0.2">
      <c r="A197" s="74"/>
      <c r="B197" s="58"/>
      <c r="C197" s="49"/>
      <c r="D197" s="13"/>
      <c r="E197" s="15"/>
      <c r="F197" s="9"/>
      <c r="G197" s="9"/>
      <c r="H197" s="9"/>
      <c r="I197" s="77"/>
      <c r="J197" s="77"/>
      <c r="K197" s="9"/>
      <c r="L197" s="9"/>
      <c r="M197" s="9"/>
      <c r="N197" s="9"/>
    </row>
    <row r="198" spans="1:14" ht="19" x14ac:dyDescent="0.2">
      <c r="A198" s="74">
        <v>1363000</v>
      </c>
      <c r="B198" s="58"/>
      <c r="C198" s="49" t="s">
        <v>363</v>
      </c>
      <c r="D198" s="13" t="s">
        <v>685</v>
      </c>
      <c r="E198" s="15">
        <v>1143000</v>
      </c>
      <c r="F198" s="9">
        <v>220000</v>
      </c>
      <c r="G198" s="9"/>
      <c r="H198" s="9"/>
      <c r="I198" s="76">
        <v>144000</v>
      </c>
      <c r="J198" s="76" t="s">
        <v>615</v>
      </c>
      <c r="K198" s="9"/>
      <c r="L198" s="9"/>
      <c r="M198" s="9"/>
      <c r="N198" s="9"/>
    </row>
    <row r="199" spans="1:14" ht="19" x14ac:dyDescent="0.2">
      <c r="A199" s="74"/>
      <c r="B199" s="58"/>
      <c r="C199" s="49"/>
      <c r="D199" s="13"/>
      <c r="E199" s="15"/>
      <c r="F199" s="9"/>
      <c r="G199" s="9"/>
      <c r="H199" s="9"/>
      <c r="I199" s="76">
        <v>100000</v>
      </c>
      <c r="J199" s="76" t="s">
        <v>889</v>
      </c>
      <c r="K199" s="9"/>
      <c r="L199" s="9"/>
      <c r="M199" s="9"/>
      <c r="N199" s="9"/>
    </row>
    <row r="200" spans="1:14" ht="19" x14ac:dyDescent="0.2">
      <c r="A200" s="74"/>
      <c r="B200" s="58"/>
      <c r="C200" s="49"/>
      <c r="D200" s="13"/>
      <c r="E200" s="15"/>
      <c r="F200" s="9"/>
      <c r="G200" s="9"/>
      <c r="H200" s="9"/>
      <c r="I200" s="76">
        <v>56000</v>
      </c>
      <c r="J200" s="76" t="s">
        <v>1183</v>
      </c>
      <c r="K200" s="9"/>
      <c r="L200" s="9"/>
      <c r="M200" s="9"/>
      <c r="N200" s="9"/>
    </row>
    <row r="201" spans="1:14" ht="19" x14ac:dyDescent="0.2">
      <c r="A201" s="74"/>
      <c r="B201" s="58"/>
      <c r="C201" s="49"/>
      <c r="D201" s="13"/>
      <c r="E201" s="15"/>
      <c r="F201" s="9"/>
      <c r="G201" s="9"/>
      <c r="H201" s="9"/>
      <c r="I201" s="76">
        <v>50000</v>
      </c>
      <c r="J201" s="76" t="s">
        <v>123</v>
      </c>
      <c r="K201" s="9"/>
      <c r="L201" s="9"/>
      <c r="M201" s="9"/>
      <c r="N201" s="9"/>
    </row>
    <row r="202" spans="1:14" ht="19" x14ac:dyDescent="0.2">
      <c r="A202" s="61"/>
      <c r="B202" s="58">
        <v>44920</v>
      </c>
      <c r="C202" s="49"/>
      <c r="D202" s="13"/>
      <c r="E202" s="15"/>
      <c r="F202" s="9"/>
      <c r="G202" s="9"/>
      <c r="H202" s="9" t="s">
        <v>1184</v>
      </c>
      <c r="I202" s="9"/>
      <c r="J202" s="9"/>
      <c r="K202" s="9"/>
      <c r="L202" s="9"/>
      <c r="M202" s="9"/>
      <c r="N202" s="9"/>
    </row>
    <row r="203" spans="1:14" ht="19" x14ac:dyDescent="0.2">
      <c r="A203" s="74"/>
      <c r="B203" s="75"/>
      <c r="C203" s="35"/>
      <c r="D203" s="13"/>
      <c r="E203" s="15"/>
      <c r="F203" s="9"/>
      <c r="G203" s="9"/>
      <c r="H203" s="9"/>
      <c r="I203" s="9"/>
      <c r="J203" s="9"/>
      <c r="K203" s="9"/>
      <c r="L203" s="9"/>
      <c r="M203" s="9"/>
      <c r="N203" s="9"/>
    </row>
    <row r="204" spans="1:14" ht="19" x14ac:dyDescent="0.2">
      <c r="A204" s="61">
        <v>1607000</v>
      </c>
      <c r="B204" s="58">
        <v>44921</v>
      </c>
      <c r="C204" s="49" t="s">
        <v>9</v>
      </c>
      <c r="D204" s="13" t="s">
        <v>405</v>
      </c>
      <c r="E204" s="15">
        <v>1309000</v>
      </c>
      <c r="F204" s="9">
        <v>298000</v>
      </c>
      <c r="G204" s="9">
        <v>2700000</v>
      </c>
      <c r="H204" s="9" t="s">
        <v>812</v>
      </c>
      <c r="I204" s="76">
        <v>180000</v>
      </c>
      <c r="J204" s="76" t="s">
        <v>1185</v>
      </c>
      <c r="K204" s="9"/>
      <c r="L204" s="9"/>
      <c r="M204" s="9"/>
      <c r="N204" s="9"/>
    </row>
    <row r="205" spans="1:14" ht="19" x14ac:dyDescent="0.2">
      <c r="A205" s="74"/>
      <c r="B205" s="58"/>
      <c r="C205" s="49"/>
      <c r="D205" s="13"/>
      <c r="E205" s="15"/>
      <c r="F205" s="9"/>
      <c r="G205" s="9"/>
      <c r="H205" s="9"/>
      <c r="I205" s="9">
        <v>54000</v>
      </c>
      <c r="J205" s="9" t="s">
        <v>1186</v>
      </c>
      <c r="K205" s="9"/>
      <c r="L205" s="9"/>
      <c r="M205" s="9"/>
      <c r="N205" s="9"/>
    </row>
    <row r="206" spans="1:14" ht="19" x14ac:dyDescent="0.2">
      <c r="A206" s="74"/>
      <c r="B206" s="58"/>
      <c r="C206" s="49"/>
      <c r="D206" s="13"/>
      <c r="E206" s="15"/>
      <c r="F206" s="9"/>
      <c r="G206" s="9"/>
      <c r="H206" s="9"/>
      <c r="I206" s="9">
        <v>14000</v>
      </c>
      <c r="J206" s="9" t="s">
        <v>1187</v>
      </c>
      <c r="K206" s="9"/>
      <c r="L206" s="9"/>
      <c r="M206" s="9"/>
      <c r="N206" s="9"/>
    </row>
    <row r="207" spans="1:14" ht="19" x14ac:dyDescent="0.2">
      <c r="A207" s="74"/>
      <c r="B207" s="58"/>
      <c r="C207" s="49"/>
      <c r="D207" s="13"/>
      <c r="E207" s="15"/>
      <c r="F207" s="9"/>
      <c r="G207" s="9"/>
      <c r="H207" s="9"/>
      <c r="I207" s="9">
        <v>23000</v>
      </c>
      <c r="J207" s="9" t="s">
        <v>1189</v>
      </c>
      <c r="K207" s="9"/>
      <c r="L207" s="9"/>
      <c r="M207" s="9"/>
      <c r="N207" s="9"/>
    </row>
    <row r="208" spans="1:14" ht="19" x14ac:dyDescent="0.2">
      <c r="A208" s="74"/>
      <c r="B208" s="58"/>
      <c r="C208" s="49"/>
      <c r="D208" s="13"/>
      <c r="E208" s="15"/>
      <c r="F208" s="9"/>
      <c r="G208" s="9"/>
      <c r="H208" s="9"/>
      <c r="I208" s="9">
        <v>10000</v>
      </c>
      <c r="J208" s="9" t="s">
        <v>1188</v>
      </c>
      <c r="K208" s="9"/>
      <c r="L208" s="9"/>
      <c r="M208" s="9"/>
      <c r="N208" s="9"/>
    </row>
    <row r="209" spans="1:14" ht="19" x14ac:dyDescent="0.2">
      <c r="A209" s="74"/>
      <c r="B209" s="58"/>
      <c r="C209" s="49"/>
      <c r="D209" s="13"/>
      <c r="E209" s="15"/>
      <c r="F209" s="9"/>
      <c r="G209" s="9"/>
      <c r="H209" s="9"/>
      <c r="I209" s="9">
        <v>52000</v>
      </c>
      <c r="J209" s="9" t="s">
        <v>1220</v>
      </c>
      <c r="K209" s="9"/>
      <c r="L209" s="9"/>
      <c r="M209" s="9"/>
      <c r="N209" s="9"/>
    </row>
    <row r="210" spans="1:14" ht="19" x14ac:dyDescent="0.2">
      <c r="A210" s="74"/>
      <c r="B210" s="58"/>
      <c r="C210" s="49"/>
      <c r="D210" s="13"/>
      <c r="E210" s="15"/>
      <c r="F210" s="9"/>
      <c r="G210" s="9"/>
      <c r="H210" s="9"/>
      <c r="I210" s="9"/>
      <c r="J210" s="9"/>
      <c r="K210" s="9"/>
      <c r="L210" s="9"/>
      <c r="M210" s="9"/>
      <c r="N210" s="9"/>
    </row>
    <row r="211" spans="1:14" ht="19" x14ac:dyDescent="0.2">
      <c r="A211" s="61">
        <v>1567000</v>
      </c>
      <c r="B211" s="75"/>
      <c r="C211" s="2" t="s">
        <v>10</v>
      </c>
      <c r="D211" s="13" t="s">
        <v>685</v>
      </c>
      <c r="E211" s="15">
        <v>1341000</v>
      </c>
      <c r="F211" s="9">
        <v>226000</v>
      </c>
      <c r="G211" s="9"/>
      <c r="H211" s="9"/>
      <c r="I211" s="9">
        <v>180000</v>
      </c>
      <c r="J211" s="9" t="s">
        <v>1190</v>
      </c>
      <c r="K211" s="9"/>
      <c r="L211" s="9"/>
      <c r="M211" s="9"/>
      <c r="N211" s="9"/>
    </row>
    <row r="212" spans="1:14" ht="19" x14ac:dyDescent="0.2">
      <c r="A212" s="74"/>
      <c r="B212" s="75"/>
      <c r="C212" s="35"/>
      <c r="D212" s="13"/>
      <c r="E212" s="15"/>
      <c r="F212" s="9"/>
      <c r="G212" s="9"/>
      <c r="H212" s="9"/>
      <c r="I212" s="9">
        <v>200000</v>
      </c>
      <c r="J212" s="9" t="s">
        <v>653</v>
      </c>
      <c r="K212" s="9"/>
      <c r="L212" s="9"/>
      <c r="M212" s="9"/>
      <c r="N212" s="9"/>
    </row>
    <row r="213" spans="1:14" ht="19" x14ac:dyDescent="0.2">
      <c r="A213" s="74"/>
      <c r="B213" s="75"/>
      <c r="C213" s="35"/>
      <c r="D213" s="13"/>
      <c r="E213" s="15"/>
      <c r="F213" s="9"/>
      <c r="G213" s="9"/>
      <c r="H213" s="9"/>
      <c r="I213" s="9">
        <v>35000</v>
      </c>
      <c r="J213" s="9" t="s">
        <v>655</v>
      </c>
      <c r="K213" s="9"/>
      <c r="L213" s="9"/>
      <c r="M213" s="9"/>
      <c r="N213" s="9"/>
    </row>
    <row r="214" spans="1:14" ht="19" x14ac:dyDescent="0.2">
      <c r="A214" s="74"/>
      <c r="B214" s="75"/>
      <c r="C214" s="35"/>
      <c r="D214" s="13"/>
      <c r="E214" s="15"/>
      <c r="F214" s="9"/>
      <c r="G214" s="9"/>
      <c r="H214" s="9"/>
      <c r="I214" s="9">
        <v>100000</v>
      </c>
      <c r="J214" s="9" t="s">
        <v>827</v>
      </c>
      <c r="K214" s="9"/>
      <c r="L214" s="9"/>
      <c r="M214" s="9"/>
      <c r="N214" s="9"/>
    </row>
    <row r="215" spans="1:14" ht="19" x14ac:dyDescent="0.2">
      <c r="A215" s="74"/>
      <c r="B215" s="75"/>
      <c r="C215" s="35"/>
      <c r="D215" s="13"/>
      <c r="E215" s="15"/>
      <c r="F215" s="9"/>
      <c r="G215" s="9"/>
      <c r="H215" s="9"/>
      <c r="I215" s="9"/>
      <c r="J215" s="9"/>
      <c r="K215" s="9"/>
      <c r="L215" s="9"/>
      <c r="M215" s="9"/>
      <c r="N215" s="9"/>
    </row>
    <row r="216" spans="1:14" ht="19" x14ac:dyDescent="0.2">
      <c r="A216" s="74"/>
      <c r="B216" s="75"/>
      <c r="C216" s="35"/>
      <c r="D216" s="13"/>
      <c r="E216" s="15"/>
      <c r="F216" s="9"/>
      <c r="G216" s="9"/>
      <c r="H216" s="9"/>
      <c r="I216" s="9"/>
      <c r="J216" s="9"/>
      <c r="K216" s="9"/>
      <c r="L216" s="9"/>
      <c r="M216" s="9"/>
      <c r="N216" s="9"/>
    </row>
    <row r="217" spans="1:14" ht="19" x14ac:dyDescent="0.2">
      <c r="A217" s="61">
        <v>1619000</v>
      </c>
      <c r="B217" s="58">
        <v>44922</v>
      </c>
      <c r="C217" s="3" t="s">
        <v>9</v>
      </c>
      <c r="D217" s="13" t="s">
        <v>565</v>
      </c>
      <c r="E217" s="9">
        <v>1399000</v>
      </c>
      <c r="F217" s="9">
        <v>220000</v>
      </c>
      <c r="G217" s="9">
        <v>624000</v>
      </c>
      <c r="H217" s="9" t="s">
        <v>1193</v>
      </c>
      <c r="I217" s="60">
        <v>150000</v>
      </c>
      <c r="J217" s="60" t="s">
        <v>1191</v>
      </c>
      <c r="K217" s="9"/>
      <c r="L217" s="9"/>
      <c r="M217" s="9"/>
      <c r="N217" s="9"/>
    </row>
    <row r="218" spans="1:14" ht="19" x14ac:dyDescent="0.2">
      <c r="A218" s="61"/>
      <c r="B218" s="58"/>
      <c r="C218" s="2"/>
      <c r="D218" s="13"/>
      <c r="E218" s="15"/>
      <c r="F218" s="9"/>
      <c r="G218" s="9"/>
      <c r="H218" s="9"/>
      <c r="I218" s="9">
        <v>23000</v>
      </c>
      <c r="J218" s="9" t="s">
        <v>1192</v>
      </c>
      <c r="K218" s="9"/>
      <c r="L218" s="9"/>
      <c r="M218" s="9"/>
      <c r="N218" s="9"/>
    </row>
    <row r="219" spans="1:14" ht="19" x14ac:dyDescent="0.2">
      <c r="A219" s="74"/>
      <c r="B219" s="58"/>
      <c r="C219" s="35"/>
      <c r="D219" s="13"/>
      <c r="E219" s="15"/>
      <c r="F219" s="9"/>
      <c r="G219" s="9"/>
      <c r="H219" s="9"/>
      <c r="I219" s="9">
        <v>144000</v>
      </c>
      <c r="J219" s="9" t="s">
        <v>615</v>
      </c>
      <c r="K219" s="9"/>
      <c r="L219" s="9"/>
      <c r="M219" s="9"/>
      <c r="N219" s="9"/>
    </row>
    <row r="220" spans="1:14" ht="19" x14ac:dyDescent="0.2">
      <c r="A220" s="74"/>
      <c r="B220" s="58"/>
      <c r="C220" s="35"/>
      <c r="D220" s="13"/>
      <c r="E220" s="15"/>
      <c r="F220" s="9"/>
      <c r="G220" s="9"/>
      <c r="H220" s="9"/>
      <c r="I220" s="9">
        <v>56000</v>
      </c>
      <c r="J220" s="9" t="s">
        <v>859</v>
      </c>
      <c r="K220" s="9"/>
      <c r="L220" s="9"/>
      <c r="M220" s="9"/>
      <c r="N220" s="9"/>
    </row>
    <row r="221" spans="1:14" ht="19" x14ac:dyDescent="0.2">
      <c r="A221" s="74"/>
      <c r="B221" s="58"/>
      <c r="C221" s="35"/>
      <c r="D221" s="13"/>
      <c r="E221" s="15"/>
      <c r="F221" s="9"/>
      <c r="G221" s="9"/>
      <c r="H221" s="9"/>
      <c r="I221" s="9">
        <v>80000</v>
      </c>
      <c r="J221" s="9" t="s">
        <v>651</v>
      </c>
      <c r="K221" s="9"/>
      <c r="L221" s="9"/>
      <c r="M221" s="9"/>
      <c r="N221" s="9"/>
    </row>
    <row r="222" spans="1:14" ht="19" x14ac:dyDescent="0.2">
      <c r="A222" s="74"/>
      <c r="B222" s="58"/>
      <c r="C222" s="35"/>
      <c r="D222" s="13"/>
      <c r="E222" s="15"/>
      <c r="F222" s="9"/>
      <c r="G222" s="9"/>
      <c r="H222" s="9"/>
      <c r="I222" s="60"/>
      <c r="J222" s="60"/>
      <c r="K222" s="9"/>
      <c r="L222" s="9"/>
      <c r="M222" s="9"/>
      <c r="N222" s="9"/>
    </row>
    <row r="223" spans="1:14" ht="19" x14ac:dyDescent="0.2">
      <c r="A223" s="74">
        <v>1316000</v>
      </c>
      <c r="B223" s="58"/>
      <c r="C223" s="35" t="s">
        <v>10</v>
      </c>
      <c r="D223" s="13" t="s">
        <v>685</v>
      </c>
      <c r="E223" s="15">
        <v>1161000</v>
      </c>
      <c r="F223" s="9">
        <v>155000</v>
      </c>
      <c r="G223" s="9"/>
      <c r="H223" s="9"/>
      <c r="I223" s="9"/>
      <c r="J223" s="9"/>
      <c r="K223" s="9"/>
      <c r="L223" s="9"/>
      <c r="M223" s="9"/>
      <c r="N223" s="9"/>
    </row>
    <row r="224" spans="1:14" ht="19" x14ac:dyDescent="0.2">
      <c r="A224" s="74"/>
      <c r="B224" s="58"/>
      <c r="C224" s="35"/>
      <c r="D224" s="13"/>
      <c r="E224" s="15"/>
      <c r="F224" s="9"/>
      <c r="G224" s="9"/>
      <c r="H224" s="9"/>
      <c r="I224" s="9"/>
      <c r="J224" s="9"/>
      <c r="K224" s="9"/>
      <c r="L224" s="9"/>
      <c r="M224" s="9"/>
      <c r="N224" s="9"/>
    </row>
    <row r="225" spans="1:14" ht="19" x14ac:dyDescent="0.2">
      <c r="A225" s="74">
        <v>2067000</v>
      </c>
      <c r="B225" s="58">
        <v>44923</v>
      </c>
      <c r="C225" s="35" t="s">
        <v>9</v>
      </c>
      <c r="D225" s="13" t="s">
        <v>405</v>
      </c>
      <c r="E225" s="15">
        <v>1646000</v>
      </c>
      <c r="F225" s="9">
        <v>421000</v>
      </c>
      <c r="G225" s="9"/>
      <c r="H225" s="9"/>
      <c r="I225" s="9">
        <v>21000</v>
      </c>
      <c r="J225" s="9" t="s">
        <v>1194</v>
      </c>
      <c r="K225" s="9"/>
      <c r="L225" s="9"/>
      <c r="M225" s="9"/>
      <c r="N225" s="9"/>
    </row>
    <row r="226" spans="1:14" ht="19" x14ac:dyDescent="0.2">
      <c r="A226" s="74"/>
      <c r="B226" s="58"/>
      <c r="C226" s="35"/>
      <c r="D226" s="13"/>
      <c r="E226" s="15"/>
      <c r="F226" s="9"/>
      <c r="G226" s="9"/>
      <c r="H226" s="9"/>
      <c r="I226" s="9">
        <v>15000</v>
      </c>
      <c r="J226" s="9" t="s">
        <v>1195</v>
      </c>
      <c r="K226" s="9"/>
      <c r="L226" s="9"/>
      <c r="M226" s="9"/>
      <c r="N226" s="9"/>
    </row>
    <row r="227" spans="1:14" ht="19" x14ac:dyDescent="0.2">
      <c r="A227" s="74"/>
      <c r="B227" s="58"/>
      <c r="C227" s="35"/>
      <c r="D227" s="13"/>
      <c r="E227" s="15"/>
      <c r="F227" s="9"/>
      <c r="G227" s="9"/>
      <c r="H227" s="9"/>
      <c r="I227" s="9">
        <v>17000</v>
      </c>
      <c r="J227" s="9" t="s">
        <v>1196</v>
      </c>
      <c r="K227" s="9"/>
      <c r="L227" s="9"/>
      <c r="M227" s="9"/>
      <c r="N227" s="9"/>
    </row>
    <row r="228" spans="1:14" ht="19" x14ac:dyDescent="0.2">
      <c r="A228" s="74"/>
      <c r="B228" s="58"/>
      <c r="C228" s="35"/>
      <c r="D228" s="13"/>
      <c r="E228" s="15"/>
      <c r="F228" s="9"/>
      <c r="G228" s="9"/>
      <c r="H228" s="9"/>
      <c r="I228" s="9">
        <v>26000</v>
      </c>
      <c r="J228" s="9" t="s">
        <v>1197</v>
      </c>
      <c r="K228" s="9"/>
      <c r="L228" s="9"/>
      <c r="M228" s="9"/>
      <c r="N228" s="9"/>
    </row>
    <row r="229" spans="1:14" ht="19" x14ac:dyDescent="0.2">
      <c r="A229" s="74"/>
      <c r="B229" s="58"/>
      <c r="C229" s="35"/>
      <c r="D229" s="13"/>
      <c r="E229" s="15"/>
      <c r="F229" s="9"/>
      <c r="G229" s="9"/>
      <c r="H229" s="9"/>
      <c r="I229" s="9">
        <v>400000</v>
      </c>
      <c r="J229" s="9" t="s">
        <v>1198</v>
      </c>
      <c r="K229" s="9"/>
      <c r="L229" s="9"/>
      <c r="M229" s="9"/>
      <c r="N229" s="9"/>
    </row>
    <row r="230" spans="1:14" ht="19" x14ac:dyDescent="0.2">
      <c r="A230" s="101"/>
      <c r="B230" s="58"/>
      <c r="C230" s="35"/>
      <c r="D230" s="102"/>
      <c r="E230" s="15"/>
      <c r="F230" s="9"/>
      <c r="G230" s="9"/>
      <c r="H230" s="9"/>
      <c r="I230" s="9">
        <v>310000</v>
      </c>
      <c r="J230" s="47" t="s">
        <v>1030</v>
      </c>
      <c r="K230" s="9"/>
      <c r="L230" s="9"/>
      <c r="M230" s="9"/>
      <c r="N230" s="9"/>
    </row>
    <row r="231" spans="1:14" ht="32" x14ac:dyDescent="0.2">
      <c r="A231" s="101"/>
      <c r="B231" s="58"/>
      <c r="C231" s="35"/>
      <c r="D231" s="102"/>
      <c r="E231" s="15"/>
      <c r="F231" s="9"/>
      <c r="G231" s="9"/>
      <c r="H231" s="9"/>
      <c r="I231" s="9">
        <v>310000</v>
      </c>
      <c r="J231" s="47" t="s">
        <v>828</v>
      </c>
      <c r="K231" s="9"/>
      <c r="L231" s="9"/>
      <c r="M231" s="9"/>
      <c r="N231" s="9"/>
    </row>
    <row r="232" spans="1:14" ht="19" x14ac:dyDescent="0.2">
      <c r="A232" s="101"/>
      <c r="B232" s="58"/>
      <c r="C232" s="35"/>
      <c r="D232" s="102"/>
      <c r="E232" s="15"/>
      <c r="F232" s="9"/>
      <c r="G232" s="9"/>
      <c r="H232" s="9"/>
      <c r="I232" s="9">
        <v>60000</v>
      </c>
      <c r="J232" s="9" t="s">
        <v>585</v>
      </c>
      <c r="K232" s="9"/>
      <c r="L232" s="9"/>
      <c r="M232" s="9"/>
      <c r="N232" s="9"/>
    </row>
    <row r="233" spans="1:14" ht="19" x14ac:dyDescent="0.2">
      <c r="A233" s="101"/>
      <c r="B233" s="58"/>
      <c r="C233" s="35"/>
      <c r="D233" s="102"/>
      <c r="E233" s="15"/>
      <c r="F233" s="9"/>
      <c r="G233" s="9"/>
      <c r="H233" s="9"/>
      <c r="I233" s="9">
        <v>104000</v>
      </c>
      <c r="J233" s="9" t="s">
        <v>807</v>
      </c>
      <c r="K233" s="9"/>
      <c r="L233" s="9"/>
      <c r="M233" s="9"/>
      <c r="N233" s="9"/>
    </row>
    <row r="234" spans="1:14" ht="19" x14ac:dyDescent="0.2">
      <c r="A234" s="61">
        <v>855000</v>
      </c>
      <c r="B234" s="58"/>
      <c r="C234" s="49" t="s">
        <v>10</v>
      </c>
      <c r="D234" s="13" t="s">
        <v>685</v>
      </c>
      <c r="E234" s="15">
        <v>691000</v>
      </c>
      <c r="F234" s="9">
        <v>164000</v>
      </c>
      <c r="G234" s="9"/>
      <c r="H234" s="9"/>
      <c r="I234" s="60"/>
      <c r="J234" s="60"/>
      <c r="K234" s="9"/>
      <c r="L234" s="9"/>
      <c r="M234" s="9"/>
      <c r="N234" s="9"/>
    </row>
    <row r="235" spans="1:14" ht="19" x14ac:dyDescent="0.2">
      <c r="A235" s="74"/>
      <c r="B235" s="58"/>
      <c r="C235" s="49"/>
      <c r="D235" s="13"/>
      <c r="E235" s="15"/>
      <c r="F235" s="9"/>
      <c r="G235" s="9"/>
      <c r="H235" s="9"/>
      <c r="I235" s="9"/>
      <c r="J235" s="9"/>
      <c r="K235" s="9"/>
      <c r="L235" s="9"/>
      <c r="M235" s="9"/>
      <c r="N235" s="9"/>
    </row>
    <row r="236" spans="1:14" ht="19" x14ac:dyDescent="0.2">
      <c r="A236" s="61">
        <v>1425000</v>
      </c>
      <c r="B236" s="58">
        <v>44924</v>
      </c>
      <c r="C236" s="49" t="s">
        <v>9</v>
      </c>
      <c r="D236" s="13" t="s">
        <v>405</v>
      </c>
      <c r="E236" s="15">
        <v>939000</v>
      </c>
      <c r="F236" s="9">
        <v>486000</v>
      </c>
      <c r="G236" s="9"/>
      <c r="H236" s="9"/>
      <c r="I236" s="9">
        <v>520000</v>
      </c>
      <c r="J236" s="9" t="s">
        <v>741</v>
      </c>
      <c r="K236" s="9"/>
      <c r="L236" s="9"/>
      <c r="M236" s="9"/>
      <c r="N236" s="9"/>
    </row>
    <row r="237" spans="1:14" ht="19" x14ac:dyDescent="0.2">
      <c r="A237" s="61"/>
      <c r="B237" s="58"/>
      <c r="C237" s="49"/>
      <c r="D237" s="13"/>
      <c r="E237" s="15"/>
      <c r="F237" s="9"/>
      <c r="G237" s="9"/>
      <c r="H237" s="9"/>
      <c r="I237" s="9">
        <v>355000</v>
      </c>
      <c r="J237" s="47" t="s">
        <v>1206</v>
      </c>
      <c r="K237" s="9"/>
      <c r="L237" s="9"/>
      <c r="M237" s="9"/>
      <c r="N237" s="9"/>
    </row>
    <row r="238" spans="1:14" ht="19" x14ac:dyDescent="0.2">
      <c r="A238" s="61"/>
      <c r="B238" s="58"/>
      <c r="C238" s="49"/>
      <c r="D238" s="13"/>
      <c r="E238" s="15"/>
      <c r="F238" s="9"/>
      <c r="G238" s="9"/>
      <c r="H238" s="9"/>
      <c r="I238" s="9">
        <v>75000</v>
      </c>
      <c r="J238" s="9" t="s">
        <v>1207</v>
      </c>
      <c r="K238" s="9"/>
      <c r="L238" s="9"/>
      <c r="M238" s="9"/>
      <c r="N238" s="9"/>
    </row>
    <row r="239" spans="1:14" ht="19" x14ac:dyDescent="0.2">
      <c r="A239" s="61"/>
      <c r="B239" s="58"/>
      <c r="C239" s="49"/>
      <c r="D239" s="13"/>
      <c r="E239" s="15"/>
      <c r="F239" s="9"/>
      <c r="G239" s="9"/>
      <c r="H239" s="9"/>
      <c r="I239" s="9"/>
      <c r="J239" s="9"/>
      <c r="K239" s="9"/>
      <c r="L239" s="9"/>
      <c r="M239" s="9"/>
      <c r="N239" s="9"/>
    </row>
    <row r="240" spans="1:14" ht="19" x14ac:dyDescent="0.2">
      <c r="A240" s="61"/>
      <c r="B240" s="58"/>
      <c r="C240" s="49"/>
      <c r="D240" s="13"/>
      <c r="E240" s="15"/>
      <c r="F240" s="9"/>
      <c r="G240" s="9"/>
      <c r="H240" s="9"/>
      <c r="I240" s="9"/>
      <c r="J240" s="9"/>
      <c r="K240" s="9"/>
      <c r="L240" s="9"/>
      <c r="M240" s="9"/>
      <c r="N240" s="9"/>
    </row>
    <row r="241" spans="1:14" ht="19" x14ac:dyDescent="0.2">
      <c r="A241" s="74">
        <v>1209000</v>
      </c>
      <c r="B241" s="58"/>
      <c r="C241" s="49" t="s">
        <v>10</v>
      </c>
      <c r="D241" s="13" t="s">
        <v>685</v>
      </c>
      <c r="E241" s="15">
        <v>829000</v>
      </c>
      <c r="F241" s="9">
        <v>380000</v>
      </c>
      <c r="G241" s="9"/>
      <c r="H241" s="9"/>
      <c r="I241" s="9">
        <v>144000</v>
      </c>
      <c r="J241" s="9" t="s">
        <v>1199</v>
      </c>
      <c r="K241" s="9"/>
      <c r="L241" s="9"/>
      <c r="M241" s="9"/>
      <c r="N241" s="9"/>
    </row>
    <row r="242" spans="1:14" ht="19" x14ac:dyDescent="0.2">
      <c r="A242" s="74"/>
      <c r="B242" s="58"/>
      <c r="C242" s="49"/>
      <c r="D242" s="13"/>
      <c r="E242" s="15"/>
      <c r="F242" s="9"/>
      <c r="G242" s="9"/>
      <c r="H242" s="9"/>
      <c r="I242" s="9"/>
      <c r="J242" s="9"/>
      <c r="K242" s="9"/>
      <c r="L242" s="9"/>
      <c r="M242" s="9"/>
      <c r="N242" s="9"/>
    </row>
    <row r="243" spans="1:14" ht="19" x14ac:dyDescent="0.2">
      <c r="A243" s="74"/>
      <c r="B243" s="58"/>
      <c r="C243" s="49"/>
      <c r="D243" s="13"/>
      <c r="E243" s="15"/>
      <c r="F243" s="9"/>
      <c r="G243" s="9"/>
      <c r="H243" s="9"/>
      <c r="I243" s="9"/>
      <c r="J243" s="9"/>
      <c r="K243" s="9"/>
      <c r="L243" s="9"/>
      <c r="M243" s="9"/>
      <c r="N243" s="9"/>
    </row>
    <row r="244" spans="1:14" ht="19" x14ac:dyDescent="0.2">
      <c r="A244" s="74"/>
      <c r="B244" s="58"/>
      <c r="C244" s="49"/>
      <c r="D244" s="13"/>
      <c r="E244" s="15"/>
      <c r="F244" s="9"/>
      <c r="G244" s="9"/>
      <c r="H244" s="9"/>
      <c r="I244" s="9"/>
      <c r="J244" s="9"/>
      <c r="K244" s="9"/>
      <c r="L244" s="9"/>
      <c r="M244" s="9"/>
      <c r="N244" s="9"/>
    </row>
    <row r="245" spans="1:14" ht="19" x14ac:dyDescent="0.2">
      <c r="A245" s="61">
        <v>1325000</v>
      </c>
      <c r="B245" s="58">
        <v>44925</v>
      </c>
      <c r="C245" s="49" t="s">
        <v>9</v>
      </c>
      <c r="D245" s="13" t="s">
        <v>405</v>
      </c>
      <c r="E245" s="15">
        <v>1006000</v>
      </c>
      <c r="F245" s="9">
        <v>319000</v>
      </c>
      <c r="G245" s="9">
        <v>1680000</v>
      </c>
      <c r="H245" s="9" t="s">
        <v>1204</v>
      </c>
      <c r="I245" s="9">
        <v>15000</v>
      </c>
      <c r="J245" s="9" t="s">
        <v>1200</v>
      </c>
      <c r="K245" s="9"/>
      <c r="L245" s="9"/>
      <c r="M245" s="9"/>
      <c r="N245" s="9"/>
    </row>
    <row r="246" spans="1:14" ht="19" x14ac:dyDescent="0.2">
      <c r="A246" s="74"/>
      <c r="B246" s="58"/>
      <c r="C246" s="49"/>
      <c r="D246" s="13"/>
      <c r="E246" s="15"/>
      <c r="F246" s="9"/>
      <c r="G246" s="9"/>
      <c r="H246" s="9"/>
      <c r="I246" s="9">
        <v>25000</v>
      </c>
      <c r="J246" s="9" t="s">
        <v>1201</v>
      </c>
      <c r="K246" s="9"/>
      <c r="L246" s="9"/>
      <c r="M246" s="9"/>
      <c r="N246" s="9"/>
    </row>
    <row r="247" spans="1:14" ht="19" x14ac:dyDescent="0.2">
      <c r="A247" s="74"/>
      <c r="B247" s="58"/>
      <c r="C247" s="49"/>
      <c r="D247" s="13"/>
      <c r="E247" s="15"/>
      <c r="F247" s="9"/>
      <c r="G247" s="9"/>
      <c r="H247" s="9"/>
      <c r="I247" s="9">
        <v>127000</v>
      </c>
      <c r="J247" s="9" t="s">
        <v>1211</v>
      </c>
      <c r="K247" s="9"/>
      <c r="L247" s="9"/>
      <c r="M247" s="9"/>
      <c r="N247" s="9"/>
    </row>
    <row r="248" spans="1:14" ht="19" x14ac:dyDescent="0.2">
      <c r="A248" s="74"/>
      <c r="B248" s="58"/>
      <c r="C248" s="49"/>
      <c r="D248" s="13"/>
      <c r="E248" s="15"/>
      <c r="F248" s="9"/>
      <c r="G248" s="9"/>
      <c r="H248" s="9"/>
      <c r="I248" s="9">
        <v>68000</v>
      </c>
      <c r="J248" s="9" t="s">
        <v>1210</v>
      </c>
      <c r="K248" s="9"/>
      <c r="L248" s="9"/>
      <c r="M248" s="9"/>
      <c r="N248" s="9"/>
    </row>
    <row r="249" spans="1:14" ht="19" x14ac:dyDescent="0.2">
      <c r="A249" s="74"/>
      <c r="B249" s="58"/>
      <c r="C249" s="49"/>
      <c r="D249" s="13"/>
      <c r="E249" s="15"/>
      <c r="F249" s="9"/>
      <c r="G249" s="9"/>
      <c r="H249" s="9"/>
      <c r="I249" s="9"/>
      <c r="J249" s="9"/>
      <c r="K249" s="9"/>
      <c r="L249" s="9"/>
      <c r="M249" s="9"/>
      <c r="N249" s="9"/>
    </row>
    <row r="250" spans="1:14" ht="19" x14ac:dyDescent="0.2">
      <c r="A250" s="61"/>
      <c r="B250" s="58"/>
      <c r="C250" s="2"/>
      <c r="D250" s="13"/>
      <c r="E250" s="15"/>
      <c r="F250" s="9"/>
      <c r="G250" s="9"/>
      <c r="H250" s="9"/>
      <c r="I250" s="9"/>
      <c r="J250" s="9"/>
      <c r="K250" s="9"/>
      <c r="L250" s="9"/>
      <c r="M250" s="9"/>
      <c r="N250" s="9"/>
    </row>
    <row r="251" spans="1:14" ht="19" x14ac:dyDescent="0.2">
      <c r="A251" s="61">
        <v>2921000</v>
      </c>
      <c r="B251" s="58" t="s">
        <v>1208</v>
      </c>
      <c r="C251" s="35" t="s">
        <v>1209</v>
      </c>
      <c r="D251" s="13" t="s">
        <v>685</v>
      </c>
      <c r="E251" s="15">
        <v>2232000</v>
      </c>
      <c r="F251" s="9">
        <v>689000</v>
      </c>
      <c r="G251" s="9">
        <v>1960000</v>
      </c>
      <c r="H251" s="9" t="s">
        <v>1205</v>
      </c>
      <c r="I251" s="9">
        <v>2311000</v>
      </c>
      <c r="J251" s="9" t="s">
        <v>1218</v>
      </c>
      <c r="K251" s="9"/>
      <c r="L251" s="9"/>
      <c r="M251" s="9"/>
      <c r="N251" s="9"/>
    </row>
    <row r="252" spans="1:14" ht="19" x14ac:dyDescent="0.2">
      <c r="A252" s="74"/>
      <c r="B252" s="58"/>
      <c r="C252" s="35"/>
      <c r="D252" s="13"/>
      <c r="E252" s="15"/>
      <c r="F252" s="9"/>
      <c r="G252" s="9"/>
      <c r="H252" s="9"/>
      <c r="I252" s="9"/>
      <c r="J252" s="9"/>
      <c r="K252" s="9"/>
      <c r="L252" s="9"/>
      <c r="M252" s="9"/>
      <c r="N252" s="9"/>
    </row>
    <row r="253" spans="1:14" ht="19" x14ac:dyDescent="0.2">
      <c r="A253" s="61"/>
      <c r="B253" s="58"/>
      <c r="C253" s="35"/>
      <c r="D253" s="13"/>
      <c r="E253" s="15"/>
      <c r="F253" s="9"/>
      <c r="G253" s="9">
        <v>1130000</v>
      </c>
      <c r="H253" s="9" t="s">
        <v>717</v>
      </c>
      <c r="I253" s="9"/>
      <c r="J253" s="9"/>
      <c r="K253" s="9"/>
      <c r="L253" s="9"/>
      <c r="M253" s="9"/>
      <c r="N253" s="9"/>
    </row>
    <row r="254" spans="1:14" ht="19" x14ac:dyDescent="0.2">
      <c r="A254" s="61"/>
      <c r="B254" s="58"/>
      <c r="C254" s="35"/>
      <c r="D254" s="13"/>
      <c r="E254" s="15"/>
      <c r="F254" s="9"/>
      <c r="G254" s="9">
        <v>708000</v>
      </c>
      <c r="H254" s="9" t="s">
        <v>1217</v>
      </c>
      <c r="I254" s="9"/>
      <c r="J254" s="9"/>
      <c r="K254" s="9"/>
      <c r="L254" s="9"/>
      <c r="M254" s="9"/>
      <c r="N254" s="9"/>
    </row>
    <row r="255" spans="1:14" ht="19" x14ac:dyDescent="0.2">
      <c r="A255" s="61"/>
      <c r="B255" s="58"/>
      <c r="C255" s="35"/>
      <c r="D255" s="13"/>
      <c r="E255" s="15"/>
      <c r="F255" s="9"/>
      <c r="G255" s="9"/>
      <c r="H255" s="9"/>
      <c r="I255" s="9"/>
      <c r="J255" s="9"/>
      <c r="K255" s="9"/>
      <c r="L255" s="9"/>
      <c r="M255" s="9"/>
      <c r="N255" s="9"/>
    </row>
    <row r="256" spans="1:14" ht="19" x14ac:dyDescent="0.2">
      <c r="A256" s="61"/>
      <c r="B256" s="58"/>
      <c r="C256" s="35"/>
      <c r="D256" s="13"/>
      <c r="E256" s="15"/>
      <c r="F256" s="9"/>
      <c r="G256" s="9"/>
      <c r="H256" s="9"/>
      <c r="I256" s="9"/>
      <c r="J256" s="9"/>
      <c r="K256" s="9"/>
      <c r="L256" s="9"/>
      <c r="M256" s="10"/>
      <c r="N256" s="10"/>
    </row>
    <row r="257" spans="1:14" ht="19" x14ac:dyDescent="0.2">
      <c r="A257" s="61"/>
      <c r="B257" s="75"/>
      <c r="C257" s="35"/>
      <c r="D257" s="13"/>
      <c r="E257" s="15"/>
      <c r="F257" s="9"/>
      <c r="G257" s="9"/>
      <c r="H257" s="9"/>
      <c r="I257" s="9"/>
      <c r="J257" s="9"/>
      <c r="K257" s="9"/>
      <c r="L257" s="9"/>
      <c r="M257" s="10"/>
      <c r="N257" s="10"/>
    </row>
    <row r="258" spans="1:14" ht="19" x14ac:dyDescent="0.2">
      <c r="A258" s="61"/>
      <c r="B258" s="75"/>
      <c r="C258" s="35"/>
      <c r="D258" s="13"/>
      <c r="E258" s="15"/>
      <c r="F258" s="9"/>
      <c r="G258" s="9"/>
      <c r="H258" s="9"/>
      <c r="I258" s="9"/>
      <c r="J258" s="9"/>
      <c r="K258" s="9"/>
      <c r="L258" s="9"/>
      <c r="M258" s="10"/>
      <c r="N258" s="10"/>
    </row>
    <row r="259" spans="1:14" ht="19" x14ac:dyDescent="0.2">
      <c r="A259" s="61"/>
      <c r="B259" s="75"/>
      <c r="C259" s="35"/>
      <c r="D259" s="13"/>
      <c r="E259" s="15"/>
      <c r="F259" s="9"/>
      <c r="G259" s="9"/>
      <c r="H259" s="60"/>
      <c r="I259" s="9"/>
      <c r="J259" s="9"/>
      <c r="K259" s="9"/>
      <c r="L259" s="9"/>
      <c r="M259" s="10"/>
      <c r="N259" s="10"/>
    </row>
    <row r="260" spans="1:14" ht="19" x14ac:dyDescent="0.2">
      <c r="A260" s="61"/>
      <c r="B260" s="75"/>
      <c r="C260" s="35"/>
      <c r="D260" s="13"/>
      <c r="E260" s="15"/>
      <c r="F260" s="9"/>
      <c r="G260" s="9"/>
      <c r="H260" s="9"/>
      <c r="I260" s="9"/>
      <c r="J260" s="9"/>
      <c r="K260" s="9"/>
      <c r="L260" s="9"/>
      <c r="M260" s="10"/>
      <c r="N260" s="10"/>
    </row>
    <row r="261" spans="1:14" ht="19" x14ac:dyDescent="0.2">
      <c r="A261" s="61"/>
      <c r="B261" s="75"/>
      <c r="C261" s="35"/>
      <c r="D261" s="13"/>
      <c r="E261" s="15"/>
      <c r="F261" s="9"/>
      <c r="G261" s="9"/>
      <c r="H261" s="9"/>
      <c r="I261" s="9"/>
      <c r="J261" s="9"/>
      <c r="K261" s="9"/>
      <c r="L261" s="9"/>
      <c r="M261" s="10"/>
      <c r="N261" s="10"/>
    </row>
    <row r="262" spans="1:14" ht="19" x14ac:dyDescent="0.2">
      <c r="A262" s="61"/>
      <c r="B262" s="75"/>
      <c r="C262" s="35"/>
      <c r="D262" s="13"/>
      <c r="E262" s="15"/>
      <c r="F262" s="9"/>
      <c r="G262" s="9"/>
      <c r="H262" s="9"/>
      <c r="I262" s="9"/>
      <c r="J262" s="9"/>
      <c r="K262" s="9"/>
      <c r="L262" s="9"/>
      <c r="M262" s="10"/>
      <c r="N262" s="10"/>
    </row>
    <row r="263" spans="1:14" ht="19" x14ac:dyDescent="0.2">
      <c r="A263" s="80"/>
      <c r="B263" s="81"/>
      <c r="C263" s="82"/>
      <c r="D263" s="83"/>
      <c r="E263" s="84"/>
      <c r="F263" s="10"/>
      <c r="G263" s="10"/>
      <c r="H263" s="10"/>
      <c r="I263" s="10"/>
      <c r="J263" s="10"/>
      <c r="K263" s="10"/>
      <c r="L263" s="10"/>
      <c r="M263" s="10"/>
      <c r="N263" s="10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N256"/>
  <sheetViews>
    <sheetView zoomScale="60" zoomScaleNormal="60" workbookViewId="0">
      <selection activeCell="G183" sqref="G183"/>
    </sheetView>
  </sheetViews>
  <sheetFormatPr baseColWidth="10" defaultColWidth="8.83203125" defaultRowHeight="15" x14ac:dyDescent="0.2"/>
  <cols>
    <col min="1" max="1" width="25.1640625" bestFit="1" customWidth="1"/>
    <col min="2" max="2" width="19.1640625" customWidth="1"/>
    <col min="3" max="3" width="20.5" bestFit="1" customWidth="1"/>
    <col min="4" max="4" width="14.33203125" customWidth="1"/>
    <col min="5" max="5" width="27.1640625" customWidth="1"/>
    <col min="6" max="6" width="27" customWidth="1"/>
    <col min="7" max="7" width="25.1640625" bestFit="1" customWidth="1"/>
    <col min="8" max="8" width="31.83203125" bestFit="1" customWidth="1"/>
    <col min="9" max="9" width="25.1640625" bestFit="1" customWidth="1"/>
    <col min="10" max="10" width="40.6640625" bestFit="1" customWidth="1"/>
  </cols>
  <sheetData>
    <row r="2" spans="1:14" x14ac:dyDescent="0.2">
      <c r="A2" t="s">
        <v>1221</v>
      </c>
    </row>
    <row r="4" spans="1:14" ht="21" x14ac:dyDescent="0.2">
      <c r="A4" t="s">
        <v>250</v>
      </c>
      <c r="G4" s="73"/>
      <c r="H4" s="71" t="s">
        <v>174</v>
      </c>
      <c r="I4" s="71">
        <f>L11/A11</f>
        <v>0</v>
      </c>
    </row>
    <row r="5" spans="1:14" ht="21" x14ac:dyDescent="0.2">
      <c r="F5" s="306" t="s">
        <v>1393</v>
      </c>
      <c r="G5" s="307"/>
      <c r="H5" s="71" t="s">
        <v>175</v>
      </c>
      <c r="I5" s="71">
        <v>13120800</v>
      </c>
      <c r="J5" s="72">
        <f>I5/10820</f>
        <v>1212.6432532347505</v>
      </c>
    </row>
    <row r="6" spans="1:14" ht="24" x14ac:dyDescent="0.3">
      <c r="B6" s="99" t="s">
        <v>1222</v>
      </c>
      <c r="G6" s="73"/>
      <c r="H6" s="71" t="s">
        <v>176</v>
      </c>
      <c r="I6" s="71">
        <v>5623200</v>
      </c>
      <c r="J6" s="72">
        <f>I6/10820</f>
        <v>519.70425138632163</v>
      </c>
    </row>
    <row r="7" spans="1:14" ht="24" x14ac:dyDescent="0.3">
      <c r="B7" s="99"/>
      <c r="G7" s="73"/>
      <c r="H7" s="71" t="s">
        <v>178</v>
      </c>
      <c r="I7" s="71" t="s">
        <v>1404</v>
      </c>
      <c r="J7" s="72">
        <v>10703948</v>
      </c>
      <c r="L7" s="85"/>
      <c r="M7" s="85"/>
    </row>
    <row r="8" spans="1:14" ht="26" x14ac:dyDescent="0.3">
      <c r="B8" s="100" t="s">
        <v>1415</v>
      </c>
    </row>
    <row r="10" spans="1:14" ht="27.75" customHeight="1" x14ac:dyDescent="0.2">
      <c r="A10" s="109" t="s">
        <v>0</v>
      </c>
      <c r="B10" s="110" t="s">
        <v>6</v>
      </c>
      <c r="C10" s="111" t="s">
        <v>5</v>
      </c>
      <c r="D10" s="112" t="s">
        <v>7</v>
      </c>
      <c r="E10" s="113" t="s">
        <v>4</v>
      </c>
      <c r="F10" s="114" t="s">
        <v>2</v>
      </c>
      <c r="G10" s="114" t="s">
        <v>8</v>
      </c>
      <c r="H10" s="114" t="s">
        <v>11</v>
      </c>
      <c r="I10" s="114" t="s">
        <v>3</v>
      </c>
      <c r="J10" s="114" t="s">
        <v>12</v>
      </c>
      <c r="K10" s="114" t="s">
        <v>1</v>
      </c>
      <c r="L10" s="114" t="s">
        <v>15</v>
      </c>
      <c r="M10" s="115" t="s">
        <v>397</v>
      </c>
      <c r="N10" s="115" t="s">
        <v>398</v>
      </c>
    </row>
    <row r="11" spans="1:14" ht="21" x14ac:dyDescent="0.2">
      <c r="A11" s="64">
        <f>SUM(A12:A255)</f>
        <v>75376000</v>
      </c>
      <c r="B11" s="65"/>
      <c r="C11" s="66" t="s">
        <v>13</v>
      </c>
      <c r="D11" s="67"/>
      <c r="E11" s="68">
        <f>SUM(E12:E255)</f>
        <v>61608000</v>
      </c>
      <c r="F11" s="69">
        <f>SUM(F12:F255)</f>
        <v>13768000</v>
      </c>
      <c r="G11" s="69">
        <f>SUM(G12:G255)</f>
        <v>26870000</v>
      </c>
      <c r="H11" s="69"/>
      <c r="I11" s="69">
        <f>SUM(I12:I255)</f>
        <v>15994000</v>
      </c>
      <c r="J11" s="69"/>
      <c r="K11" s="69"/>
      <c r="L11" s="69"/>
      <c r="M11" s="8"/>
      <c r="N11" s="8"/>
    </row>
    <row r="12" spans="1:14" ht="19" x14ac:dyDescent="0.2">
      <c r="A12" s="61"/>
      <c r="B12" s="58">
        <v>44927</v>
      </c>
      <c r="C12" s="3"/>
      <c r="D12" s="13"/>
      <c r="E12" s="9"/>
      <c r="F12" s="9"/>
      <c r="G12" s="9"/>
      <c r="H12" s="9" t="s">
        <v>737</v>
      </c>
      <c r="I12" s="9"/>
      <c r="J12" s="9"/>
      <c r="K12" s="9"/>
      <c r="L12" s="9"/>
      <c r="M12" s="9"/>
      <c r="N12" s="9"/>
    </row>
    <row r="13" spans="1:14" ht="19" x14ac:dyDescent="0.2">
      <c r="A13" s="61">
        <v>1134000</v>
      </c>
      <c r="B13" s="58">
        <v>44928</v>
      </c>
      <c r="C13" s="35" t="s">
        <v>9</v>
      </c>
      <c r="D13" s="13" t="s">
        <v>405</v>
      </c>
      <c r="E13" s="15">
        <v>1116000</v>
      </c>
      <c r="F13" s="9">
        <v>18000</v>
      </c>
      <c r="G13" s="60">
        <v>408000</v>
      </c>
      <c r="H13" s="60" t="s">
        <v>1406</v>
      </c>
      <c r="I13" s="9">
        <v>14000</v>
      </c>
      <c r="J13" s="9" t="s">
        <v>1223</v>
      </c>
      <c r="K13" s="9"/>
      <c r="L13" s="9"/>
      <c r="M13" s="9"/>
      <c r="N13" s="9"/>
    </row>
    <row r="14" spans="1:14" ht="19" x14ac:dyDescent="0.2">
      <c r="A14" s="74"/>
      <c r="B14" s="58"/>
      <c r="C14" s="35"/>
      <c r="D14" s="13"/>
      <c r="E14" s="15"/>
      <c r="F14" s="9"/>
      <c r="G14" s="9"/>
      <c r="H14" s="9"/>
      <c r="I14" s="9">
        <v>620000</v>
      </c>
      <c r="J14" s="47" t="s">
        <v>117</v>
      </c>
      <c r="K14" s="9"/>
      <c r="L14" s="9"/>
      <c r="M14" s="9"/>
      <c r="N14" s="9"/>
    </row>
    <row r="15" spans="1:14" ht="19" x14ac:dyDescent="0.2">
      <c r="A15" s="74"/>
      <c r="B15" s="58"/>
      <c r="C15" s="35"/>
      <c r="D15" s="13"/>
      <c r="E15" s="15"/>
      <c r="F15" s="9"/>
      <c r="G15" s="9"/>
      <c r="H15" s="9"/>
      <c r="I15" s="9">
        <v>60000</v>
      </c>
      <c r="J15" s="9" t="s">
        <v>585</v>
      </c>
      <c r="K15" s="9"/>
      <c r="L15" s="9"/>
      <c r="M15" s="9"/>
      <c r="N15" s="9"/>
    </row>
    <row r="16" spans="1:14" ht="19" x14ac:dyDescent="0.2">
      <c r="A16" s="74"/>
      <c r="B16" s="58"/>
      <c r="C16" s="35"/>
      <c r="D16" s="13"/>
      <c r="E16" s="15"/>
      <c r="F16" s="9"/>
      <c r="G16" s="9"/>
      <c r="H16" s="9"/>
      <c r="I16" s="9">
        <v>39000</v>
      </c>
      <c r="J16" s="9" t="s">
        <v>1224</v>
      </c>
      <c r="K16" s="9"/>
      <c r="L16" s="9"/>
      <c r="M16" s="9"/>
      <c r="N16" s="9"/>
    </row>
    <row r="17" spans="1:14" ht="19" x14ac:dyDescent="0.2">
      <c r="A17" s="101"/>
      <c r="B17" s="58"/>
      <c r="C17" s="35"/>
      <c r="D17" s="102"/>
      <c r="E17" s="15"/>
      <c r="F17" s="9"/>
      <c r="G17" s="9"/>
      <c r="H17" s="9"/>
      <c r="I17" s="9">
        <v>12000</v>
      </c>
      <c r="J17" s="9" t="s">
        <v>948</v>
      </c>
      <c r="K17" s="9"/>
      <c r="L17" s="9"/>
      <c r="M17" s="9"/>
      <c r="N17" s="9"/>
    </row>
    <row r="18" spans="1:14" ht="19" x14ac:dyDescent="0.2">
      <c r="A18" s="101"/>
      <c r="B18" s="58"/>
      <c r="C18" s="35"/>
      <c r="D18" s="102"/>
      <c r="E18" s="15"/>
      <c r="F18" s="9"/>
      <c r="G18" s="9"/>
      <c r="H18" s="9"/>
      <c r="I18" s="9">
        <v>288000</v>
      </c>
      <c r="J18" s="9" t="s">
        <v>1017</v>
      </c>
      <c r="K18" s="9"/>
      <c r="L18" s="9"/>
      <c r="M18" s="9"/>
      <c r="N18" s="9"/>
    </row>
    <row r="19" spans="1:14" ht="19" x14ac:dyDescent="0.2">
      <c r="A19" s="74">
        <v>1163000</v>
      </c>
      <c r="B19" s="58"/>
      <c r="C19" s="35" t="s">
        <v>363</v>
      </c>
      <c r="D19" s="13" t="s">
        <v>685</v>
      </c>
      <c r="E19" s="15">
        <v>894000</v>
      </c>
      <c r="F19" s="9">
        <v>269000</v>
      </c>
      <c r="G19" s="9"/>
      <c r="H19" s="9"/>
      <c r="I19" s="9">
        <v>51000</v>
      </c>
      <c r="J19" s="9" t="s">
        <v>617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100000</v>
      </c>
      <c r="J20" s="9" t="s">
        <v>889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>
        <v>50000</v>
      </c>
      <c r="J21" s="9" t="s">
        <v>206</v>
      </c>
      <c r="K21" s="9"/>
      <c r="L21" s="9"/>
      <c r="M21" s="9"/>
      <c r="N21" s="9"/>
    </row>
    <row r="22" spans="1:14" ht="19" x14ac:dyDescent="0.2">
      <c r="A22" s="61"/>
      <c r="B22" s="58"/>
      <c r="C22" s="3"/>
      <c r="D22" s="13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ht="19" x14ac:dyDescent="0.2">
      <c r="A23" s="61">
        <v>1306000</v>
      </c>
      <c r="B23" s="58">
        <v>44929</v>
      </c>
      <c r="C23" s="49" t="s">
        <v>440</v>
      </c>
      <c r="D23" s="13" t="s">
        <v>405</v>
      </c>
      <c r="E23" s="15">
        <v>1060000</v>
      </c>
      <c r="F23" s="9">
        <v>246000</v>
      </c>
      <c r="G23" s="9"/>
      <c r="H23" s="9"/>
      <c r="I23" s="9">
        <v>180000</v>
      </c>
      <c r="J23" s="9" t="s">
        <v>1225</v>
      </c>
      <c r="K23" s="9"/>
      <c r="L23" s="9"/>
      <c r="M23" s="9"/>
      <c r="N23" s="9"/>
    </row>
    <row r="24" spans="1:14" ht="19" x14ac:dyDescent="0.2">
      <c r="A24" s="74"/>
      <c r="B24" s="58"/>
      <c r="C24" s="49"/>
      <c r="D24" s="13"/>
      <c r="E24" s="15"/>
      <c r="F24" s="9"/>
      <c r="G24" s="9"/>
      <c r="H24" s="9"/>
      <c r="I24" s="9"/>
      <c r="J24" s="9"/>
      <c r="K24" s="9"/>
      <c r="L24" s="9"/>
      <c r="M24" s="9"/>
      <c r="N24" s="9"/>
    </row>
    <row r="25" spans="1:14" ht="19" x14ac:dyDescent="0.2">
      <c r="A25" s="61"/>
      <c r="B25" s="58"/>
      <c r="C25" s="3"/>
      <c r="D25" s="13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9" x14ac:dyDescent="0.2">
      <c r="A26" s="74">
        <v>1074000</v>
      </c>
      <c r="B26" s="58"/>
      <c r="C26" s="49" t="s">
        <v>363</v>
      </c>
      <c r="D26" s="13" t="s">
        <v>685</v>
      </c>
      <c r="E26" s="15">
        <v>894000</v>
      </c>
      <c r="F26" s="9">
        <v>180000</v>
      </c>
      <c r="G26" s="9"/>
      <c r="H26" s="9"/>
      <c r="I26" s="9">
        <v>200000</v>
      </c>
      <c r="J26" s="9" t="s">
        <v>1090</v>
      </c>
      <c r="K26" s="9"/>
      <c r="L26" s="9"/>
      <c r="M26" s="9"/>
      <c r="N26" s="9"/>
    </row>
    <row r="27" spans="1:14" ht="19" x14ac:dyDescent="0.2">
      <c r="A27" s="61"/>
      <c r="B27" s="58"/>
      <c r="C27" s="49"/>
      <c r="D27" s="13"/>
      <c r="E27" s="15"/>
      <c r="F27" s="9"/>
      <c r="G27" s="9"/>
      <c r="H27" s="9"/>
      <c r="I27" s="9">
        <v>200000</v>
      </c>
      <c r="J27" s="47" t="s">
        <v>653</v>
      </c>
      <c r="K27" s="9"/>
      <c r="L27" s="9"/>
      <c r="M27" s="9"/>
      <c r="N27" s="9"/>
    </row>
    <row r="28" spans="1:14" ht="19" x14ac:dyDescent="0.2">
      <c r="A28" s="101"/>
      <c r="B28" s="58"/>
      <c r="C28" s="49"/>
      <c r="D28" s="102"/>
      <c r="E28" s="15"/>
      <c r="F28" s="9"/>
      <c r="G28" s="9"/>
      <c r="H28" s="9"/>
      <c r="I28" s="9">
        <v>35000</v>
      </c>
      <c r="J28" s="9" t="s">
        <v>536</v>
      </c>
      <c r="K28" s="9"/>
      <c r="L28" s="9"/>
      <c r="M28" s="9"/>
      <c r="N28" s="9"/>
    </row>
    <row r="29" spans="1:14" ht="19" x14ac:dyDescent="0.2">
      <c r="A29" s="101"/>
      <c r="B29" s="58"/>
      <c r="C29" s="49"/>
      <c r="D29" s="102"/>
      <c r="E29" s="15"/>
      <c r="F29" s="9"/>
      <c r="G29" s="9"/>
      <c r="H29" s="9"/>
      <c r="I29" s="9"/>
      <c r="J29" s="9"/>
      <c r="K29" s="9"/>
      <c r="L29" s="9"/>
      <c r="M29" s="9"/>
      <c r="N29" s="9"/>
    </row>
    <row r="30" spans="1:14" ht="19" x14ac:dyDescent="0.2">
      <c r="A30" s="101">
        <v>1301000</v>
      </c>
      <c r="B30" s="58">
        <v>44930</v>
      </c>
      <c r="C30" s="49" t="s">
        <v>440</v>
      </c>
      <c r="D30" s="102" t="s">
        <v>405</v>
      </c>
      <c r="E30" s="15">
        <v>1279000</v>
      </c>
      <c r="F30" s="9">
        <v>22000</v>
      </c>
      <c r="G30" s="9"/>
      <c r="H30" s="9"/>
      <c r="I30" s="9">
        <v>63000</v>
      </c>
      <c r="J30" s="9" t="s">
        <v>1226</v>
      </c>
      <c r="K30" s="9"/>
      <c r="L30" s="9"/>
      <c r="M30" s="9"/>
      <c r="N30" s="9"/>
    </row>
    <row r="31" spans="1:14" ht="19" x14ac:dyDescent="0.2">
      <c r="A31" s="101"/>
      <c r="B31" s="58"/>
      <c r="C31" s="49"/>
      <c r="D31" s="102"/>
      <c r="E31" s="15"/>
      <c r="F31" s="9"/>
      <c r="G31" s="9"/>
      <c r="H31" s="9"/>
      <c r="I31" s="9"/>
      <c r="J31" s="9"/>
      <c r="K31" s="9"/>
      <c r="L31" s="9"/>
      <c r="M31" s="9"/>
      <c r="N31" s="9"/>
    </row>
    <row r="32" spans="1:14" ht="19" x14ac:dyDescent="0.2">
      <c r="A32" s="101"/>
      <c r="B32" s="58"/>
      <c r="C32" s="49"/>
      <c r="D32" s="102"/>
      <c r="E32" s="15"/>
      <c r="F32" s="9"/>
      <c r="G32" s="9"/>
      <c r="H32" s="9"/>
      <c r="I32" s="9"/>
      <c r="J32" s="9"/>
      <c r="K32" s="9"/>
      <c r="L32" s="9"/>
      <c r="M32" s="9"/>
      <c r="N32" s="9"/>
    </row>
    <row r="33" spans="1:14" ht="19" x14ac:dyDescent="0.2">
      <c r="A33" s="101">
        <v>1323000</v>
      </c>
      <c r="B33" s="58"/>
      <c r="C33" s="49" t="s">
        <v>363</v>
      </c>
      <c r="D33" s="102" t="s">
        <v>685</v>
      </c>
      <c r="E33" s="15">
        <v>1127000</v>
      </c>
      <c r="F33" s="9">
        <v>196000</v>
      </c>
      <c r="G33" s="9"/>
      <c r="H33" s="9"/>
      <c r="I33" s="9"/>
      <c r="J33" s="9"/>
      <c r="K33" s="9"/>
      <c r="L33" s="9"/>
      <c r="M33" s="9"/>
      <c r="N33" s="9"/>
    </row>
    <row r="34" spans="1:14" ht="19" x14ac:dyDescent="0.2">
      <c r="A34" s="74"/>
      <c r="B34" s="58"/>
      <c r="C34" s="49"/>
      <c r="D34" s="13"/>
      <c r="E34" s="15"/>
      <c r="F34" s="9"/>
      <c r="G34" s="9"/>
      <c r="H34" s="9"/>
      <c r="I34" s="9"/>
      <c r="J34" s="9"/>
      <c r="K34" s="9"/>
      <c r="L34" s="9"/>
      <c r="M34" s="9"/>
      <c r="N34" s="9"/>
    </row>
    <row r="35" spans="1:14" ht="19" x14ac:dyDescent="0.2">
      <c r="A35" s="74">
        <v>1614000</v>
      </c>
      <c r="B35" s="32">
        <v>44931</v>
      </c>
      <c r="C35" s="49" t="s">
        <v>9</v>
      </c>
      <c r="D35" s="13" t="s">
        <v>565</v>
      </c>
      <c r="E35" s="15">
        <v>1267000</v>
      </c>
      <c r="F35" s="9">
        <v>347000</v>
      </c>
      <c r="G35" s="9">
        <v>2716000</v>
      </c>
      <c r="H35" s="9" t="s">
        <v>812</v>
      </c>
      <c r="I35" s="9">
        <v>54000</v>
      </c>
      <c r="J35" s="9" t="s">
        <v>1186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>
        <v>10500</v>
      </c>
      <c r="J36" s="9" t="s">
        <v>1227</v>
      </c>
      <c r="K36" s="9"/>
      <c r="L36" s="9"/>
      <c r="M36" s="9"/>
      <c r="N36" s="9"/>
    </row>
    <row r="37" spans="1:14" ht="19" x14ac:dyDescent="0.2">
      <c r="A37" s="74"/>
      <c r="B37" s="58"/>
      <c r="C37" s="49"/>
      <c r="D37" s="13"/>
      <c r="E37" s="15"/>
      <c r="F37" s="9"/>
      <c r="G37" s="9"/>
      <c r="H37" s="9"/>
      <c r="I37" s="9">
        <v>34000</v>
      </c>
      <c r="J37" s="9" t="s">
        <v>496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/>
      <c r="J38" s="9"/>
      <c r="K38" s="9"/>
      <c r="L38" s="9"/>
      <c r="M38" s="9"/>
      <c r="N38" s="9"/>
    </row>
    <row r="39" spans="1:14" ht="19" x14ac:dyDescent="0.2">
      <c r="A39" s="74">
        <v>838000</v>
      </c>
      <c r="B39" s="58"/>
      <c r="C39" s="49" t="s">
        <v>806</v>
      </c>
      <c r="D39" s="13" t="s">
        <v>685</v>
      </c>
      <c r="E39" s="15">
        <v>587000</v>
      </c>
      <c r="F39" s="9">
        <v>251000</v>
      </c>
      <c r="G39" s="9"/>
      <c r="H39" s="9"/>
      <c r="I39" s="9"/>
      <c r="J39" s="9"/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/>
      <c r="J40" s="9"/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9"/>
      <c r="I41" s="9"/>
      <c r="J41" s="9"/>
      <c r="K41" s="9"/>
      <c r="L41" s="9"/>
      <c r="M41" s="9"/>
      <c r="N41" s="9"/>
    </row>
    <row r="42" spans="1:14" ht="19" x14ac:dyDescent="0.2">
      <c r="A42" s="74">
        <v>1741000</v>
      </c>
      <c r="B42" s="58">
        <v>44932</v>
      </c>
      <c r="C42" s="49" t="s">
        <v>1228</v>
      </c>
      <c r="D42" s="13" t="s">
        <v>405</v>
      </c>
      <c r="E42" s="15">
        <v>1332000</v>
      </c>
      <c r="F42" s="9">
        <v>409000</v>
      </c>
      <c r="G42" s="9">
        <v>1046000</v>
      </c>
      <c r="H42" s="9" t="s">
        <v>1229</v>
      </c>
      <c r="I42" s="9">
        <v>44500</v>
      </c>
      <c r="J42" s="9" t="s">
        <v>1230</v>
      </c>
      <c r="K42" s="9"/>
      <c r="L42" s="9"/>
      <c r="M42" s="9"/>
      <c r="N42" s="9"/>
    </row>
    <row r="43" spans="1:14" ht="19" x14ac:dyDescent="0.2">
      <c r="A43" s="74"/>
      <c r="B43" s="58"/>
      <c r="C43" s="49"/>
      <c r="D43" s="13"/>
      <c r="E43" s="15"/>
      <c r="F43" s="9"/>
      <c r="G43" s="9"/>
      <c r="H43" s="9"/>
      <c r="I43" s="9">
        <v>21500</v>
      </c>
      <c r="J43" s="9" t="s">
        <v>1231</v>
      </c>
      <c r="K43" s="9"/>
      <c r="L43" s="9"/>
      <c r="M43" s="9"/>
      <c r="N43" s="9"/>
    </row>
    <row r="44" spans="1:14" ht="19" x14ac:dyDescent="0.2">
      <c r="A44" s="74"/>
      <c r="B44" s="58"/>
      <c r="C44" s="49"/>
      <c r="D44" s="13"/>
      <c r="E44" s="15"/>
      <c r="F44" s="9"/>
      <c r="G44" s="9"/>
      <c r="H44" s="9"/>
      <c r="I44" s="9">
        <v>23500</v>
      </c>
      <c r="J44" s="9" t="s">
        <v>1232</v>
      </c>
      <c r="K44" s="9"/>
      <c r="L44" s="9"/>
      <c r="M44" s="9"/>
      <c r="N44" s="9"/>
    </row>
    <row r="45" spans="1:14" ht="19" x14ac:dyDescent="0.2">
      <c r="A45" s="74"/>
      <c r="B45" s="58"/>
      <c r="C45" s="49"/>
      <c r="D45" s="13"/>
      <c r="E45" s="15"/>
      <c r="F45" s="9"/>
      <c r="G45" s="9"/>
      <c r="H45" s="9"/>
      <c r="I45" s="9">
        <v>15000</v>
      </c>
      <c r="J45" s="9" t="s">
        <v>1233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>
        <v>104000</v>
      </c>
      <c r="J46" s="9" t="s">
        <v>1234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/>
      <c r="J47" s="9"/>
      <c r="K47" s="9"/>
      <c r="L47" s="9"/>
      <c r="M47" s="9"/>
      <c r="N47" s="9"/>
    </row>
    <row r="48" spans="1:14" ht="19" x14ac:dyDescent="0.2">
      <c r="A48" s="74"/>
      <c r="B48" s="58"/>
      <c r="C48" s="49"/>
      <c r="D48" s="13"/>
      <c r="E48" s="15"/>
      <c r="F48" s="9"/>
      <c r="G48" s="9"/>
      <c r="H48" s="9"/>
      <c r="I48" s="9"/>
      <c r="J48" s="9"/>
      <c r="K48" s="9"/>
      <c r="L48" s="9"/>
      <c r="M48" s="9"/>
      <c r="N48" s="9"/>
    </row>
    <row r="49" spans="1:14" ht="19" x14ac:dyDescent="0.2">
      <c r="A49" s="61">
        <v>1225000</v>
      </c>
      <c r="B49" s="58"/>
      <c r="C49" s="2" t="s">
        <v>10</v>
      </c>
      <c r="D49" s="13" t="s">
        <v>685</v>
      </c>
      <c r="E49" s="9">
        <v>1082000</v>
      </c>
      <c r="F49" s="9">
        <v>143000</v>
      </c>
      <c r="G49" s="9"/>
      <c r="H49" s="9"/>
      <c r="I49" s="9">
        <v>200000</v>
      </c>
      <c r="J49" s="9" t="s">
        <v>1090</v>
      </c>
      <c r="K49" s="9"/>
      <c r="L49" s="9"/>
      <c r="M49" s="9"/>
      <c r="N49" s="9"/>
    </row>
    <row r="50" spans="1:14" ht="19" x14ac:dyDescent="0.2">
      <c r="A50" s="74"/>
      <c r="B50" s="58"/>
      <c r="C50" s="35"/>
      <c r="D50" s="13"/>
      <c r="E50" s="15"/>
      <c r="F50" s="9"/>
      <c r="G50" s="9"/>
      <c r="H50" s="9"/>
      <c r="I50" s="9">
        <v>288000</v>
      </c>
      <c r="J50" s="9" t="s">
        <v>1017</v>
      </c>
      <c r="K50" s="9"/>
      <c r="L50" s="9"/>
      <c r="M50" s="9"/>
      <c r="N50" s="9"/>
    </row>
    <row r="51" spans="1:14" ht="19" x14ac:dyDescent="0.2">
      <c r="A51" s="74"/>
      <c r="B51" s="58"/>
      <c r="C51" s="35"/>
      <c r="D51" s="13"/>
      <c r="E51" s="15"/>
      <c r="F51" s="9"/>
      <c r="G51" s="9"/>
      <c r="H51" s="9"/>
      <c r="I51" s="9">
        <v>35000</v>
      </c>
      <c r="J51" s="9" t="s">
        <v>652</v>
      </c>
      <c r="K51" s="9"/>
      <c r="L51" s="9"/>
      <c r="M51" s="9"/>
      <c r="N51" s="9"/>
    </row>
    <row r="52" spans="1:14" ht="19" x14ac:dyDescent="0.2">
      <c r="A52" s="74"/>
      <c r="B52" s="58"/>
      <c r="C52" s="35"/>
      <c r="D52" s="13"/>
      <c r="E52" s="15"/>
      <c r="F52" s="9"/>
      <c r="G52" s="9"/>
      <c r="H52" s="9"/>
      <c r="I52" s="9">
        <v>60000</v>
      </c>
      <c r="J52" s="9" t="s">
        <v>850</v>
      </c>
      <c r="K52" s="9"/>
      <c r="L52" s="9"/>
      <c r="M52" s="9"/>
      <c r="N52" s="9"/>
    </row>
    <row r="53" spans="1:14" ht="19" x14ac:dyDescent="0.2">
      <c r="A53" s="74"/>
      <c r="B53" s="58"/>
      <c r="C53" s="49"/>
      <c r="D53" s="13"/>
      <c r="E53" s="15"/>
      <c r="F53" s="9"/>
      <c r="G53" s="9"/>
      <c r="H53" s="9"/>
      <c r="I53" s="9"/>
      <c r="J53" s="9"/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/>
      <c r="J54" s="9"/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/>
      <c r="J55" s="9"/>
      <c r="K55" s="9"/>
      <c r="L55" s="9"/>
      <c r="M55" s="9"/>
      <c r="N55" s="9"/>
    </row>
    <row r="56" spans="1:14" ht="19" x14ac:dyDescent="0.2">
      <c r="A56" s="74">
        <v>1050000</v>
      </c>
      <c r="B56" s="32">
        <v>44933</v>
      </c>
      <c r="C56" s="49" t="s">
        <v>440</v>
      </c>
      <c r="D56" s="13" t="s">
        <v>405</v>
      </c>
      <c r="E56" s="15">
        <v>896000</v>
      </c>
      <c r="F56" s="9">
        <v>154000</v>
      </c>
      <c r="G56" s="9">
        <v>880000</v>
      </c>
      <c r="H56" s="9" t="s">
        <v>1235</v>
      </c>
      <c r="I56" s="9">
        <v>680000</v>
      </c>
      <c r="J56" s="9" t="s">
        <v>1236</v>
      </c>
      <c r="K56" s="9"/>
      <c r="L56" s="9"/>
      <c r="M56" s="9"/>
      <c r="N56" s="9"/>
    </row>
    <row r="57" spans="1:14" ht="19" x14ac:dyDescent="0.2">
      <c r="A57" s="74"/>
      <c r="B57" s="32"/>
      <c r="C57" s="49"/>
      <c r="D57" s="13"/>
      <c r="E57" s="15"/>
      <c r="F57" s="9"/>
      <c r="G57" s="9"/>
      <c r="H57" s="9"/>
      <c r="I57" s="9">
        <v>28000</v>
      </c>
      <c r="J57" s="9" t="s">
        <v>1237</v>
      </c>
      <c r="K57" s="9"/>
      <c r="L57" s="9"/>
      <c r="M57" s="9"/>
      <c r="N57" s="9"/>
    </row>
    <row r="58" spans="1:14" ht="19" x14ac:dyDescent="0.2">
      <c r="A58" s="74"/>
      <c r="B58" s="32"/>
      <c r="C58" s="49"/>
      <c r="D58" s="13"/>
      <c r="E58" s="15"/>
      <c r="F58" s="9"/>
      <c r="G58" s="9"/>
      <c r="H58" s="9"/>
      <c r="I58" s="9">
        <v>15000</v>
      </c>
      <c r="J58" s="9" t="s">
        <v>1238</v>
      </c>
      <c r="K58" s="9"/>
      <c r="L58" s="9"/>
      <c r="M58" s="9"/>
      <c r="N58" s="9"/>
    </row>
    <row r="59" spans="1:14" ht="19" x14ac:dyDescent="0.2">
      <c r="A59" s="74"/>
      <c r="B59" s="32"/>
      <c r="C59" s="49"/>
      <c r="D59" s="13"/>
      <c r="E59" s="15"/>
      <c r="F59" s="9"/>
      <c r="G59" s="9"/>
      <c r="H59" s="9"/>
      <c r="I59" s="9">
        <v>39000</v>
      </c>
      <c r="J59" s="9" t="s">
        <v>1239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>
        <v>29000</v>
      </c>
      <c r="J60" s="9" t="s">
        <v>1240</v>
      </c>
      <c r="K60" s="9"/>
      <c r="L60" s="9"/>
      <c r="M60" s="9"/>
      <c r="N60" s="9"/>
    </row>
    <row r="61" spans="1:14" ht="19" x14ac:dyDescent="0.2">
      <c r="A61" s="74">
        <v>1457000</v>
      </c>
      <c r="B61" s="58"/>
      <c r="C61" s="49" t="s">
        <v>363</v>
      </c>
      <c r="D61" s="13" t="s">
        <v>685</v>
      </c>
      <c r="E61" s="15">
        <v>1165000</v>
      </c>
      <c r="F61" s="9">
        <v>292000</v>
      </c>
      <c r="G61" s="9"/>
      <c r="H61" s="9"/>
      <c r="I61" s="9">
        <v>50000</v>
      </c>
      <c r="J61" s="9" t="s">
        <v>123</v>
      </c>
      <c r="K61" s="9"/>
      <c r="L61" s="9"/>
      <c r="M61" s="9"/>
      <c r="N61" s="9"/>
    </row>
    <row r="62" spans="1:14" ht="19" x14ac:dyDescent="0.2">
      <c r="A62" s="74"/>
      <c r="B62" s="58"/>
      <c r="C62" s="49"/>
      <c r="D62" s="13"/>
      <c r="E62" s="15"/>
      <c r="F62" s="9"/>
      <c r="G62" s="9"/>
      <c r="H62" s="9"/>
      <c r="I62" s="9"/>
      <c r="J62" s="9"/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/>
      <c r="J63" s="9"/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74"/>
      <c r="B65" s="32">
        <v>44934</v>
      </c>
      <c r="C65" s="49"/>
      <c r="D65" s="13"/>
      <c r="E65" s="15"/>
      <c r="F65" s="9"/>
      <c r="G65" s="9"/>
      <c r="H65" s="9" t="s">
        <v>737</v>
      </c>
      <c r="I65" s="9"/>
      <c r="J65" s="9"/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/>
      <c r="J66" s="9"/>
      <c r="K66" s="9"/>
      <c r="L66" s="9"/>
      <c r="M66" s="9"/>
      <c r="N66" s="9"/>
    </row>
    <row r="67" spans="1:14" ht="19" x14ac:dyDescent="0.2">
      <c r="A67" s="74"/>
      <c r="B67" s="33"/>
      <c r="C67" s="2"/>
      <c r="D67" s="13"/>
      <c r="E67" s="15"/>
      <c r="F67" s="9"/>
      <c r="G67" s="9"/>
      <c r="H67" s="9"/>
      <c r="I67" s="9"/>
      <c r="J67" s="9"/>
      <c r="K67" s="9"/>
      <c r="L67" s="9"/>
      <c r="M67" s="9"/>
      <c r="N67" s="9"/>
    </row>
    <row r="68" spans="1:14" ht="19" x14ac:dyDescent="0.2">
      <c r="A68" s="74">
        <v>1138000</v>
      </c>
      <c r="B68" s="32">
        <v>44935</v>
      </c>
      <c r="C68" s="35" t="s">
        <v>440</v>
      </c>
      <c r="D68" s="13" t="s">
        <v>405</v>
      </c>
      <c r="E68" s="15">
        <v>878000</v>
      </c>
      <c r="F68" s="9">
        <v>260000</v>
      </c>
      <c r="G68" s="9"/>
      <c r="H68" s="9"/>
      <c r="I68" s="9">
        <v>60000</v>
      </c>
      <c r="J68" s="9" t="s">
        <v>1241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60"/>
      <c r="H69" s="60"/>
      <c r="I69" s="9">
        <v>29000</v>
      </c>
      <c r="J69" s="9" t="s">
        <v>1242</v>
      </c>
      <c r="K69" s="9"/>
      <c r="L69" s="9"/>
      <c r="M69" s="9"/>
      <c r="N69" s="9"/>
    </row>
    <row r="70" spans="1:14" ht="19" x14ac:dyDescent="0.2">
      <c r="A70" s="74"/>
      <c r="B70" s="58"/>
      <c r="C70" s="49"/>
      <c r="D70" s="13"/>
      <c r="E70" s="15"/>
      <c r="F70" s="9"/>
      <c r="G70" s="60"/>
      <c r="H70" s="60"/>
      <c r="I70" s="9">
        <v>124500</v>
      </c>
      <c r="J70" s="9" t="s">
        <v>703</v>
      </c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60"/>
      <c r="H71" s="60"/>
      <c r="I71" s="9"/>
      <c r="J71" s="9"/>
      <c r="K71" s="9"/>
      <c r="L71" s="9"/>
      <c r="M71" s="9"/>
      <c r="N71" s="9"/>
    </row>
    <row r="72" spans="1:14" ht="19" x14ac:dyDescent="0.2">
      <c r="A72" s="74"/>
      <c r="B72" s="58"/>
      <c r="C72" s="49"/>
      <c r="D72" s="13"/>
      <c r="E72" s="15"/>
      <c r="F72" s="9"/>
      <c r="G72" s="60"/>
      <c r="H72" s="60"/>
      <c r="I72" s="9"/>
      <c r="J72" s="9"/>
      <c r="K72" s="9"/>
      <c r="L72" s="9"/>
      <c r="M72" s="9"/>
      <c r="N72" s="9"/>
    </row>
    <row r="73" spans="1:14" ht="19" x14ac:dyDescent="0.2">
      <c r="A73" s="74">
        <v>1405000</v>
      </c>
      <c r="B73" s="58"/>
      <c r="C73" s="49" t="s">
        <v>806</v>
      </c>
      <c r="D73" s="13" t="s">
        <v>565</v>
      </c>
      <c r="E73" s="15">
        <v>1299000</v>
      </c>
      <c r="F73" s="9">
        <v>106000</v>
      </c>
      <c r="G73" s="60"/>
      <c r="H73" s="60"/>
      <c r="I73" s="9">
        <v>60000</v>
      </c>
      <c r="J73" s="9" t="s">
        <v>1243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60"/>
      <c r="H74" s="60"/>
      <c r="I74" s="9">
        <v>35000</v>
      </c>
      <c r="J74" s="9" t="s">
        <v>1244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60"/>
      <c r="H75" s="60"/>
      <c r="I75" s="9">
        <v>144000</v>
      </c>
      <c r="J75" s="9" t="s">
        <v>1245</v>
      </c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60"/>
      <c r="H76" s="60"/>
      <c r="I76" s="9">
        <v>200000</v>
      </c>
      <c r="J76" s="9" t="s">
        <v>653</v>
      </c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60"/>
      <c r="H77" s="60"/>
      <c r="I77" s="9">
        <v>35000</v>
      </c>
      <c r="J77" s="9" t="s">
        <v>536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60"/>
      <c r="H78" s="60"/>
      <c r="I78" s="9">
        <v>100000</v>
      </c>
      <c r="J78" s="9" t="s">
        <v>1246</v>
      </c>
      <c r="K78" s="9"/>
      <c r="L78" s="9"/>
      <c r="M78" s="9"/>
      <c r="N78" s="9"/>
    </row>
    <row r="79" spans="1:14" ht="19" x14ac:dyDescent="0.2">
      <c r="A79" s="74"/>
      <c r="B79" s="58"/>
      <c r="C79" s="49"/>
      <c r="D79" s="13"/>
      <c r="E79" s="15"/>
      <c r="F79" s="9"/>
      <c r="G79" s="60"/>
      <c r="H79" s="60"/>
      <c r="I79" s="9"/>
      <c r="J79" s="9"/>
      <c r="K79" s="9"/>
      <c r="L79" s="9"/>
      <c r="M79" s="9"/>
      <c r="N79" s="9"/>
    </row>
    <row r="80" spans="1:14" ht="19" x14ac:dyDescent="0.2">
      <c r="A80" s="61">
        <v>1258000</v>
      </c>
      <c r="B80" s="58">
        <v>44936</v>
      </c>
      <c r="C80" s="2" t="s">
        <v>440</v>
      </c>
      <c r="D80" s="13" t="s">
        <v>405</v>
      </c>
      <c r="E80" s="15">
        <v>1131000</v>
      </c>
      <c r="F80" s="9">
        <v>127000</v>
      </c>
      <c r="G80" s="9"/>
      <c r="H80" s="9"/>
      <c r="I80" s="9"/>
      <c r="J80" s="9"/>
      <c r="K80" s="9"/>
      <c r="L80" s="9"/>
      <c r="M80" s="9"/>
      <c r="N80" s="9"/>
    </row>
    <row r="81" spans="1:14" ht="19" x14ac:dyDescent="0.2">
      <c r="A81" s="61"/>
      <c r="B81" s="58"/>
      <c r="C81" s="3"/>
      <c r="D81" s="13"/>
      <c r="E81" s="15"/>
      <c r="F81" s="9"/>
      <c r="G81" s="9"/>
      <c r="H81" s="9"/>
      <c r="I81" s="9"/>
      <c r="J81" s="9"/>
      <c r="K81" s="9"/>
      <c r="L81" s="9"/>
      <c r="M81" s="9"/>
      <c r="N81" s="9"/>
    </row>
    <row r="82" spans="1:14" ht="19" x14ac:dyDescent="0.2">
      <c r="A82" s="61"/>
      <c r="B82" s="58"/>
      <c r="C82" s="49"/>
      <c r="D82" s="13"/>
      <c r="E82" s="15"/>
      <c r="F82" s="9"/>
      <c r="G82" s="9"/>
      <c r="H82" s="9"/>
      <c r="I82" s="9"/>
      <c r="J82" s="9"/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9"/>
      <c r="H83" s="9"/>
      <c r="I83" s="9"/>
      <c r="J83" s="9"/>
      <c r="K83" s="9"/>
      <c r="L83" s="9"/>
      <c r="M83" s="9"/>
      <c r="N83" s="9"/>
    </row>
    <row r="84" spans="1:14" ht="19" x14ac:dyDescent="0.2">
      <c r="A84" s="74"/>
      <c r="B84" s="58"/>
      <c r="C84" s="49"/>
      <c r="D84" s="13"/>
      <c r="E84" s="15"/>
      <c r="F84" s="9"/>
      <c r="G84" s="9"/>
      <c r="H84" s="9"/>
      <c r="I84" s="9"/>
      <c r="J84" s="9"/>
      <c r="K84" s="9"/>
      <c r="L84" s="9"/>
      <c r="M84" s="9"/>
      <c r="N84" s="9"/>
    </row>
    <row r="85" spans="1:14" ht="19" x14ac:dyDescent="0.2">
      <c r="A85" s="61">
        <v>1147000</v>
      </c>
      <c r="B85" s="58"/>
      <c r="C85" s="49" t="s">
        <v>363</v>
      </c>
      <c r="D85" s="13" t="s">
        <v>685</v>
      </c>
      <c r="E85" s="15">
        <v>979000</v>
      </c>
      <c r="F85" s="9">
        <v>168000</v>
      </c>
      <c r="G85" s="9"/>
      <c r="H85" s="9"/>
      <c r="I85" s="9">
        <v>100000</v>
      </c>
      <c r="J85" s="9" t="s">
        <v>1247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9"/>
      <c r="H86" s="9"/>
      <c r="I86" s="9">
        <v>288000</v>
      </c>
      <c r="J86" s="9" t="s">
        <v>1248</v>
      </c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9"/>
      <c r="H87" s="9"/>
      <c r="I87" s="9"/>
      <c r="J87" s="9"/>
      <c r="K87" s="9"/>
      <c r="L87" s="9"/>
      <c r="M87" s="9"/>
      <c r="N87" s="9"/>
    </row>
    <row r="88" spans="1:14" ht="19" x14ac:dyDescent="0.2">
      <c r="A88" s="61">
        <v>1620000</v>
      </c>
      <c r="B88" s="58">
        <v>44937</v>
      </c>
      <c r="C88" s="49" t="s">
        <v>9</v>
      </c>
      <c r="D88" s="13" t="s">
        <v>405</v>
      </c>
      <c r="E88" s="15">
        <v>1287000</v>
      </c>
      <c r="F88" s="9">
        <v>333000</v>
      </c>
      <c r="G88" s="9">
        <v>3399000</v>
      </c>
      <c r="H88" s="9" t="s">
        <v>1405</v>
      </c>
      <c r="I88" s="9">
        <v>75000</v>
      </c>
      <c r="J88" s="9" t="s">
        <v>1249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9"/>
      <c r="H89" s="9"/>
      <c r="I89" s="9">
        <v>75000</v>
      </c>
      <c r="J89" s="9" t="s">
        <v>1250</v>
      </c>
      <c r="K89" s="9"/>
      <c r="L89" s="9"/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9"/>
      <c r="H90" s="9"/>
      <c r="I90" s="9">
        <v>12000</v>
      </c>
      <c r="J90" s="9" t="s">
        <v>1251</v>
      </c>
      <c r="K90" s="9"/>
      <c r="L90" s="9"/>
      <c r="M90" s="9"/>
      <c r="N90" s="9"/>
    </row>
    <row r="91" spans="1:14" ht="19" x14ac:dyDescent="0.2">
      <c r="A91" s="74"/>
      <c r="B91" s="58"/>
      <c r="C91" s="49"/>
      <c r="D91" s="13"/>
      <c r="E91" s="15"/>
      <c r="F91" s="9"/>
      <c r="G91" s="9"/>
      <c r="H91" s="9"/>
      <c r="I91" s="9">
        <v>54000</v>
      </c>
      <c r="J91" s="9" t="s">
        <v>1186</v>
      </c>
      <c r="K91" s="9"/>
      <c r="L91" s="9"/>
      <c r="M91" s="9"/>
      <c r="N91" s="9"/>
    </row>
    <row r="92" spans="1:14" ht="19" x14ac:dyDescent="0.2">
      <c r="A92" s="74"/>
      <c r="B92" s="58"/>
      <c r="C92" s="49"/>
      <c r="D92" s="13"/>
      <c r="E92" s="15"/>
      <c r="F92" s="9"/>
      <c r="G92" s="9"/>
      <c r="H92" s="9"/>
      <c r="I92" s="9">
        <v>18000</v>
      </c>
      <c r="J92" s="9" t="s">
        <v>456</v>
      </c>
      <c r="K92" s="9"/>
      <c r="L92" s="9"/>
      <c r="M92" s="9"/>
      <c r="N92" s="9"/>
    </row>
    <row r="93" spans="1:14" ht="19" x14ac:dyDescent="0.2">
      <c r="A93" s="74"/>
      <c r="B93" s="58"/>
      <c r="C93" s="49"/>
      <c r="D93" s="13"/>
      <c r="E93" s="15"/>
      <c r="F93" s="9"/>
      <c r="G93" s="9"/>
      <c r="H93" s="9"/>
      <c r="I93" s="9">
        <v>12000</v>
      </c>
      <c r="J93" s="9" t="s">
        <v>1252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48000</v>
      </c>
      <c r="J94" s="9" t="s">
        <v>1253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90000</v>
      </c>
      <c r="J95" s="9" t="s">
        <v>1254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9"/>
      <c r="H96" s="9"/>
      <c r="I96" s="9">
        <v>182000</v>
      </c>
      <c r="J96" s="9" t="s">
        <v>1255</v>
      </c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>
        <v>182000</v>
      </c>
      <c r="J97" s="9" t="s">
        <v>1256</v>
      </c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>
        <v>182000</v>
      </c>
      <c r="J98" s="9" t="s">
        <v>1257</v>
      </c>
      <c r="K98" s="9"/>
      <c r="L98" s="9"/>
      <c r="M98" s="9"/>
      <c r="N98" s="9"/>
    </row>
    <row r="99" spans="1:14" ht="19" x14ac:dyDescent="0.2">
      <c r="A99" s="74"/>
      <c r="B99" s="58"/>
      <c r="C99" s="49"/>
      <c r="D99" s="13"/>
      <c r="E99" s="15"/>
      <c r="F99" s="9"/>
      <c r="G99" s="9"/>
      <c r="H99" s="9"/>
      <c r="I99" s="9">
        <v>100000</v>
      </c>
      <c r="J99" s="9" t="s">
        <v>1258</v>
      </c>
      <c r="K99" s="9"/>
      <c r="L99" s="9"/>
      <c r="M99" s="9"/>
      <c r="N99" s="9"/>
    </row>
    <row r="100" spans="1:14" ht="19" x14ac:dyDescent="0.2">
      <c r="A100" s="74"/>
      <c r="B100" s="58"/>
      <c r="C100" s="49"/>
      <c r="D100" s="13"/>
      <c r="E100" s="15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19" x14ac:dyDescent="0.2">
      <c r="A101" s="74">
        <v>1112000</v>
      </c>
      <c r="B101" s="58"/>
      <c r="C101" s="49" t="s">
        <v>10</v>
      </c>
      <c r="D101" s="13" t="s">
        <v>685</v>
      </c>
      <c r="E101" s="15">
        <v>948000</v>
      </c>
      <c r="F101" s="9">
        <v>164000</v>
      </c>
      <c r="G101" s="9"/>
      <c r="H101" s="9"/>
      <c r="I101" s="9"/>
      <c r="J101" s="9"/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9"/>
      <c r="J102" s="9"/>
      <c r="K102" s="9"/>
      <c r="L102" s="9"/>
      <c r="M102" s="9"/>
      <c r="N102" s="9"/>
    </row>
    <row r="103" spans="1:14" ht="19" x14ac:dyDescent="0.2">
      <c r="A103" s="74"/>
      <c r="B103" s="58"/>
      <c r="C103" s="49"/>
      <c r="D103" s="13"/>
      <c r="E103" s="15"/>
      <c r="F103" s="9"/>
      <c r="G103" s="9"/>
      <c r="H103" s="9"/>
      <c r="I103" s="9"/>
      <c r="J103" s="9"/>
      <c r="K103" s="9"/>
      <c r="L103" s="9"/>
      <c r="M103" s="9"/>
      <c r="N103" s="9"/>
    </row>
    <row r="104" spans="1:14" ht="19" x14ac:dyDescent="0.2">
      <c r="A104" s="61">
        <v>2057000</v>
      </c>
      <c r="B104" s="58">
        <v>44938</v>
      </c>
      <c r="C104" s="49" t="s">
        <v>9</v>
      </c>
      <c r="D104" s="13" t="s">
        <v>565</v>
      </c>
      <c r="E104" s="15">
        <v>1762000</v>
      </c>
      <c r="F104" s="9">
        <v>295000</v>
      </c>
      <c r="G104" s="9"/>
      <c r="H104" s="9"/>
      <c r="I104" s="9">
        <v>620000</v>
      </c>
      <c r="J104" s="9" t="s">
        <v>117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60000</v>
      </c>
      <c r="J105" s="9" t="s">
        <v>1259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19" x14ac:dyDescent="0.2">
      <c r="A107" s="74">
        <v>808000</v>
      </c>
      <c r="B107" s="58"/>
      <c r="C107" s="49" t="s">
        <v>10</v>
      </c>
      <c r="D107" s="13" t="s">
        <v>685</v>
      </c>
      <c r="E107" s="15">
        <v>772000</v>
      </c>
      <c r="F107" s="9">
        <v>36000</v>
      </c>
      <c r="G107" s="9"/>
      <c r="H107" s="9"/>
      <c r="I107" s="9"/>
      <c r="J107" s="9"/>
      <c r="K107" s="9"/>
      <c r="L107" s="9"/>
      <c r="M107" s="9"/>
      <c r="N107" s="9"/>
    </row>
    <row r="108" spans="1:14" ht="19" x14ac:dyDescent="0.2">
      <c r="A108" s="61"/>
      <c r="B108" s="75"/>
      <c r="C108" s="2"/>
      <c r="D108" s="13"/>
      <c r="E108" s="15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9" x14ac:dyDescent="0.2">
      <c r="A109" s="61"/>
      <c r="B109" s="58"/>
      <c r="C109" s="3"/>
      <c r="D109" s="13"/>
      <c r="E109" s="15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9" x14ac:dyDescent="0.2">
      <c r="A111" s="61">
        <v>2000000</v>
      </c>
      <c r="B111" s="58">
        <v>44939</v>
      </c>
      <c r="C111" s="49" t="s">
        <v>9</v>
      </c>
      <c r="D111" s="13" t="s">
        <v>565</v>
      </c>
      <c r="E111" s="15">
        <v>1779000</v>
      </c>
      <c r="F111" s="9">
        <v>221000</v>
      </c>
      <c r="G111" s="9">
        <v>2731000</v>
      </c>
      <c r="H111" s="9" t="s">
        <v>1260</v>
      </c>
      <c r="I111" s="9">
        <v>75000</v>
      </c>
      <c r="J111" s="9" t="s">
        <v>1261</v>
      </c>
      <c r="K111" s="9"/>
      <c r="L111" s="9"/>
      <c r="M111" s="9"/>
      <c r="N111" s="9"/>
    </row>
    <row r="112" spans="1:14" ht="19" x14ac:dyDescent="0.2">
      <c r="A112" s="74"/>
      <c r="B112" s="75"/>
      <c r="C112" s="35"/>
      <c r="D112" s="13"/>
      <c r="E112" s="15"/>
      <c r="F112" s="9"/>
      <c r="G112" s="9"/>
      <c r="H112" s="9"/>
      <c r="I112" s="60"/>
      <c r="J112" s="60"/>
      <c r="K112" s="9"/>
      <c r="L112" s="9"/>
      <c r="M112" s="9"/>
      <c r="N112" s="9"/>
    </row>
    <row r="113" spans="1:14" ht="19" x14ac:dyDescent="0.2">
      <c r="A113" s="74">
        <v>599000</v>
      </c>
      <c r="B113" s="75"/>
      <c r="C113" s="35" t="s">
        <v>10</v>
      </c>
      <c r="D113" s="13" t="s">
        <v>685</v>
      </c>
      <c r="E113" s="15">
        <v>318000</v>
      </c>
      <c r="F113" s="9">
        <v>281000</v>
      </c>
      <c r="G113" s="9"/>
      <c r="H113" s="9"/>
      <c r="I113" s="60"/>
      <c r="J113" s="60"/>
      <c r="K113" s="9"/>
      <c r="L113" s="9"/>
      <c r="M113" s="9"/>
      <c r="N113" s="9"/>
    </row>
    <row r="114" spans="1:14" ht="19" x14ac:dyDescent="0.2">
      <c r="A114" s="74"/>
      <c r="B114" s="75"/>
      <c r="C114" s="35"/>
      <c r="D114" s="13"/>
      <c r="E114" s="15"/>
      <c r="F114" s="9"/>
      <c r="G114" s="9"/>
      <c r="H114" s="9"/>
      <c r="I114" s="60"/>
      <c r="J114" s="60"/>
      <c r="K114" s="9"/>
      <c r="L114" s="9"/>
      <c r="M114" s="9"/>
      <c r="N114" s="9"/>
    </row>
    <row r="115" spans="1:14" ht="19" x14ac:dyDescent="0.2">
      <c r="A115" s="74"/>
      <c r="B115" s="75"/>
      <c r="C115" s="35"/>
      <c r="D115" s="13"/>
      <c r="E115" s="15"/>
      <c r="F115" s="9"/>
      <c r="G115" s="9">
        <v>560000</v>
      </c>
      <c r="H115" s="9" t="s">
        <v>1262</v>
      </c>
      <c r="I115" s="60"/>
      <c r="J115" s="60"/>
      <c r="K115" s="9"/>
      <c r="L115" s="9"/>
      <c r="M115" s="9"/>
      <c r="N115" s="9"/>
    </row>
    <row r="116" spans="1:14" ht="32" x14ac:dyDescent="0.2">
      <c r="A116" s="61">
        <v>1868000</v>
      </c>
      <c r="B116" s="58">
        <v>44940</v>
      </c>
      <c r="C116" s="3" t="s">
        <v>9</v>
      </c>
      <c r="D116" s="13" t="s">
        <v>405</v>
      </c>
      <c r="E116" s="15">
        <v>1366000</v>
      </c>
      <c r="F116" s="9">
        <v>502000</v>
      </c>
      <c r="G116" s="9">
        <v>468000</v>
      </c>
      <c r="H116" s="47" t="s">
        <v>1391</v>
      </c>
      <c r="I116" s="60"/>
      <c r="J116" s="60"/>
      <c r="K116" s="9"/>
      <c r="L116" s="9"/>
      <c r="M116" s="9"/>
      <c r="N116" s="9"/>
    </row>
    <row r="117" spans="1:14" ht="19" x14ac:dyDescent="0.2">
      <c r="A117" s="61">
        <v>861000</v>
      </c>
      <c r="B117" s="58"/>
      <c r="C117" s="2" t="s">
        <v>10</v>
      </c>
      <c r="D117" s="13" t="s">
        <v>685</v>
      </c>
      <c r="E117" s="15">
        <v>713000</v>
      </c>
      <c r="F117" s="9">
        <v>148000</v>
      </c>
      <c r="G117" s="9"/>
      <c r="H117" s="9"/>
      <c r="I117" s="9">
        <v>50000</v>
      </c>
      <c r="J117" s="9" t="s">
        <v>59</v>
      </c>
      <c r="K117" s="9"/>
      <c r="L117" s="9"/>
      <c r="M117" s="9"/>
      <c r="N117" s="9"/>
    </row>
    <row r="118" spans="1:14" ht="19" x14ac:dyDescent="0.2">
      <c r="A118" s="74"/>
      <c r="B118" s="58"/>
      <c r="C118" s="35"/>
      <c r="D118" s="13"/>
      <c r="E118" s="1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9" x14ac:dyDescent="0.2">
      <c r="A119" s="74"/>
      <c r="B119" s="58"/>
      <c r="C119" s="35"/>
      <c r="D119" s="13"/>
      <c r="E119" s="15"/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19" x14ac:dyDescent="0.2">
      <c r="A120" s="74"/>
      <c r="B120" s="58"/>
      <c r="C120" s="35"/>
      <c r="D120" s="13"/>
      <c r="E120" s="15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9" x14ac:dyDescent="0.2">
      <c r="A121" s="61"/>
      <c r="B121" s="58">
        <v>44941</v>
      </c>
      <c r="C121" s="3"/>
      <c r="D121" s="13"/>
      <c r="E121" s="15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19" x14ac:dyDescent="0.2">
      <c r="A122" s="74"/>
      <c r="B122" s="58"/>
      <c r="C122" s="49"/>
      <c r="D122" s="13"/>
      <c r="E122" s="15"/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9" x14ac:dyDescent="0.2">
      <c r="A123" s="61">
        <v>796000</v>
      </c>
      <c r="B123" s="75"/>
      <c r="C123" s="2" t="s">
        <v>10</v>
      </c>
      <c r="D123" s="13" t="s">
        <v>685</v>
      </c>
      <c r="E123" s="15">
        <v>638000</v>
      </c>
      <c r="F123" s="9">
        <v>158000</v>
      </c>
      <c r="G123" s="9">
        <v>1660000</v>
      </c>
      <c r="H123" s="9" t="s">
        <v>1263</v>
      </c>
      <c r="I123" s="9"/>
      <c r="J123" s="9"/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19" x14ac:dyDescent="0.2">
      <c r="A126" s="61">
        <v>1935000</v>
      </c>
      <c r="B126" s="58">
        <v>44942</v>
      </c>
      <c r="C126" s="35" t="s">
        <v>440</v>
      </c>
      <c r="D126" s="13" t="s">
        <v>405</v>
      </c>
      <c r="E126" s="15">
        <v>1635000</v>
      </c>
      <c r="F126" s="9">
        <v>300000</v>
      </c>
      <c r="G126" s="9"/>
      <c r="H126" s="9"/>
      <c r="I126" s="9">
        <v>130000</v>
      </c>
      <c r="J126" s="9" t="s">
        <v>881</v>
      </c>
      <c r="K126" s="9"/>
      <c r="L126" s="9"/>
      <c r="M126" s="9"/>
      <c r="N126" s="9"/>
    </row>
    <row r="127" spans="1:14" ht="19" x14ac:dyDescent="0.2">
      <c r="A127" s="61"/>
      <c r="B127" s="75"/>
      <c r="C127" s="2"/>
      <c r="D127" s="13"/>
      <c r="E127" s="9"/>
      <c r="F127" s="9"/>
      <c r="G127" s="9"/>
      <c r="H127" s="9"/>
      <c r="I127" s="9">
        <v>28000</v>
      </c>
      <c r="J127" s="9" t="s">
        <v>672</v>
      </c>
      <c r="K127" s="9"/>
      <c r="L127" s="9"/>
      <c r="M127" s="9"/>
      <c r="N127" s="9"/>
    </row>
    <row r="128" spans="1:14" ht="19" x14ac:dyDescent="0.2">
      <c r="A128" s="74"/>
      <c r="B128" s="75"/>
      <c r="C128" s="35"/>
      <c r="D128" s="13"/>
      <c r="E128" s="15"/>
      <c r="F128" s="9"/>
      <c r="G128" s="9"/>
      <c r="H128" s="9"/>
      <c r="I128" s="9">
        <v>43000</v>
      </c>
      <c r="J128" s="9" t="s">
        <v>1264</v>
      </c>
      <c r="K128" s="9"/>
      <c r="L128" s="9"/>
      <c r="M128" s="9"/>
      <c r="N128" s="9"/>
    </row>
    <row r="129" spans="1:14" ht="19" x14ac:dyDescent="0.2">
      <c r="A129" s="74"/>
      <c r="B129" s="75"/>
      <c r="C129" s="35"/>
      <c r="D129" s="13"/>
      <c r="E129" s="15"/>
      <c r="F129" s="9"/>
      <c r="G129" s="9"/>
      <c r="H129" s="9"/>
      <c r="I129" s="9">
        <v>10000</v>
      </c>
      <c r="J129" s="9" t="s">
        <v>1265</v>
      </c>
      <c r="K129" s="9"/>
      <c r="L129" s="9"/>
      <c r="M129" s="9"/>
      <c r="N129" s="9"/>
    </row>
    <row r="130" spans="1:14" ht="19" x14ac:dyDescent="0.2">
      <c r="A130" s="74"/>
      <c r="B130" s="75"/>
      <c r="C130" s="35"/>
      <c r="D130" s="13"/>
      <c r="E130" s="15"/>
      <c r="F130" s="9"/>
      <c r="G130" s="9"/>
      <c r="H130" s="9"/>
      <c r="I130" s="9">
        <v>7000</v>
      </c>
      <c r="J130" s="9" t="s">
        <v>1266</v>
      </c>
      <c r="K130" s="9"/>
      <c r="L130" s="9"/>
      <c r="M130" s="9"/>
      <c r="N130" s="9"/>
    </row>
    <row r="131" spans="1:14" ht="19" x14ac:dyDescent="0.2">
      <c r="A131" s="74"/>
      <c r="B131" s="75"/>
      <c r="C131" s="35"/>
      <c r="D131" s="13"/>
      <c r="E131" s="15"/>
      <c r="F131" s="9"/>
      <c r="G131" s="9"/>
      <c r="H131" s="9"/>
      <c r="I131" s="9"/>
      <c r="J131" s="9"/>
      <c r="K131" s="9"/>
      <c r="L131" s="9"/>
      <c r="M131" s="9"/>
      <c r="N131" s="9"/>
    </row>
    <row r="132" spans="1:14" ht="19" x14ac:dyDescent="0.2">
      <c r="A132" s="74">
        <v>1098000</v>
      </c>
      <c r="B132" s="75"/>
      <c r="C132" s="35" t="s">
        <v>363</v>
      </c>
      <c r="D132" s="13" t="s">
        <v>685</v>
      </c>
      <c r="E132" s="15">
        <v>855000</v>
      </c>
      <c r="F132" s="9">
        <v>243000</v>
      </c>
      <c r="G132" s="9"/>
      <c r="H132" s="9"/>
      <c r="I132" s="9"/>
      <c r="J132" s="9"/>
      <c r="K132" s="9"/>
      <c r="L132" s="9"/>
      <c r="M132" s="9"/>
      <c r="N132" s="9"/>
    </row>
    <row r="133" spans="1:14" ht="19" x14ac:dyDescent="0.2">
      <c r="A133" s="74"/>
      <c r="B133" s="75"/>
      <c r="C133" s="35"/>
      <c r="D133" s="13"/>
      <c r="E133" s="15"/>
      <c r="F133" s="9"/>
      <c r="G133" s="9"/>
      <c r="H133" s="9"/>
      <c r="I133" s="9"/>
      <c r="J133" s="9"/>
      <c r="K133" s="9"/>
      <c r="L133" s="9"/>
      <c r="M133" s="9"/>
      <c r="N133" s="9"/>
    </row>
    <row r="134" spans="1:14" ht="19" x14ac:dyDescent="0.2">
      <c r="A134" s="74">
        <v>1859000</v>
      </c>
      <c r="B134" s="58">
        <v>44943</v>
      </c>
      <c r="C134" s="35" t="s">
        <v>440</v>
      </c>
      <c r="D134" s="13" t="s">
        <v>405</v>
      </c>
      <c r="E134" s="15">
        <v>1430000</v>
      </c>
      <c r="F134" s="9">
        <v>429000</v>
      </c>
      <c r="G134" s="9"/>
      <c r="H134" s="9"/>
      <c r="I134" s="9">
        <v>44500</v>
      </c>
      <c r="J134" s="9" t="s">
        <v>645</v>
      </c>
      <c r="K134" s="9"/>
      <c r="L134" s="9"/>
      <c r="M134" s="9"/>
      <c r="N134" s="9"/>
    </row>
    <row r="135" spans="1:14" ht="19" x14ac:dyDescent="0.2">
      <c r="A135" s="74"/>
      <c r="B135" s="58"/>
      <c r="C135" s="35"/>
      <c r="D135" s="13"/>
      <c r="E135" s="15"/>
      <c r="F135" s="9"/>
      <c r="G135" s="9"/>
      <c r="H135" s="9"/>
      <c r="I135" s="9">
        <v>56500</v>
      </c>
      <c r="J135" s="9" t="s">
        <v>988</v>
      </c>
      <c r="K135" s="9"/>
      <c r="L135" s="9"/>
      <c r="M135" s="9"/>
      <c r="N135" s="9"/>
    </row>
    <row r="136" spans="1:14" ht="19" x14ac:dyDescent="0.2">
      <c r="A136" s="74"/>
      <c r="B136" s="58"/>
      <c r="C136" s="35"/>
      <c r="D136" s="13"/>
      <c r="E136" s="15"/>
      <c r="F136" s="9"/>
      <c r="G136" s="9"/>
      <c r="H136" s="9"/>
      <c r="I136" s="9">
        <v>39000</v>
      </c>
      <c r="J136" s="9" t="s">
        <v>975</v>
      </c>
      <c r="K136" s="9"/>
      <c r="L136" s="9"/>
      <c r="M136" s="9"/>
      <c r="N136" s="9"/>
    </row>
    <row r="137" spans="1:14" ht="19" x14ac:dyDescent="0.2">
      <c r="A137" s="74"/>
      <c r="B137" s="75"/>
      <c r="C137" s="35"/>
      <c r="D137" s="13"/>
      <c r="E137" s="15"/>
      <c r="F137" s="9"/>
      <c r="G137" s="9"/>
      <c r="H137" s="9"/>
      <c r="I137" s="9">
        <v>11500</v>
      </c>
      <c r="J137" s="9" t="s">
        <v>944</v>
      </c>
      <c r="K137" s="9"/>
      <c r="L137" s="9"/>
      <c r="M137" s="9"/>
      <c r="N137" s="9"/>
    </row>
    <row r="138" spans="1:14" ht="19" x14ac:dyDescent="0.2">
      <c r="A138" s="101"/>
      <c r="B138" s="75"/>
      <c r="C138" s="35"/>
      <c r="D138" s="102"/>
      <c r="E138" s="15"/>
      <c r="F138" s="9"/>
      <c r="G138" s="9"/>
      <c r="H138" s="9"/>
      <c r="I138" s="9">
        <v>13500</v>
      </c>
      <c r="J138" s="9" t="s">
        <v>1267</v>
      </c>
      <c r="K138" s="9"/>
      <c r="L138" s="9"/>
      <c r="M138" s="9"/>
      <c r="N138" s="9"/>
    </row>
    <row r="139" spans="1:14" ht="19" x14ac:dyDescent="0.2">
      <c r="A139" s="101"/>
      <c r="B139" s="75"/>
      <c r="C139" s="35"/>
      <c r="D139" s="102"/>
      <c r="E139" s="15"/>
      <c r="F139" s="9"/>
      <c r="G139" s="9"/>
      <c r="H139" s="9"/>
      <c r="I139" s="9">
        <v>127500</v>
      </c>
      <c r="J139" s="9" t="s">
        <v>1268</v>
      </c>
      <c r="K139" s="9"/>
      <c r="L139" s="9"/>
      <c r="M139" s="9"/>
      <c r="N139" s="9"/>
    </row>
    <row r="140" spans="1:14" ht="19" x14ac:dyDescent="0.2">
      <c r="A140" s="101"/>
      <c r="B140" s="75"/>
      <c r="C140" s="35"/>
      <c r="D140" s="102"/>
      <c r="E140" s="15"/>
      <c r="F140" s="9"/>
      <c r="G140" s="9"/>
      <c r="H140" s="9"/>
      <c r="I140" s="9">
        <v>33000</v>
      </c>
      <c r="J140" s="9" t="s">
        <v>1269</v>
      </c>
      <c r="K140" s="9"/>
      <c r="L140" s="9"/>
      <c r="M140" s="9"/>
      <c r="N140" s="9"/>
    </row>
    <row r="141" spans="1:14" ht="19" x14ac:dyDescent="0.2">
      <c r="A141" s="101"/>
      <c r="B141" s="75"/>
      <c r="C141" s="35"/>
      <c r="D141" s="102"/>
      <c r="E141" s="15"/>
      <c r="F141" s="9"/>
      <c r="G141" s="9"/>
      <c r="H141" s="9"/>
      <c r="I141" s="9">
        <v>10500</v>
      </c>
      <c r="J141" s="9" t="s">
        <v>642</v>
      </c>
      <c r="K141" s="9"/>
      <c r="L141" s="9"/>
      <c r="M141" s="9"/>
      <c r="N141" s="9"/>
    </row>
    <row r="142" spans="1:14" ht="19" x14ac:dyDescent="0.2">
      <c r="A142" s="101"/>
      <c r="B142" s="75"/>
      <c r="C142" s="35"/>
      <c r="D142" s="102"/>
      <c r="E142" s="15"/>
      <c r="F142" s="9"/>
      <c r="G142" s="9"/>
      <c r="H142" s="9"/>
      <c r="I142" s="9">
        <v>18500</v>
      </c>
      <c r="J142" s="9" t="s">
        <v>1270</v>
      </c>
      <c r="K142" s="9"/>
      <c r="L142" s="9"/>
      <c r="M142" s="9"/>
      <c r="N142" s="9"/>
    </row>
    <row r="143" spans="1:14" ht="19" x14ac:dyDescent="0.2">
      <c r="A143" s="74">
        <v>1715000</v>
      </c>
      <c r="B143" s="75"/>
      <c r="C143" s="35" t="s">
        <v>363</v>
      </c>
      <c r="D143" s="13" t="s">
        <v>685</v>
      </c>
      <c r="E143" s="15">
        <v>1186000</v>
      </c>
      <c r="F143" s="9">
        <v>529000</v>
      </c>
      <c r="G143" s="9"/>
      <c r="H143" s="9"/>
      <c r="I143" s="9">
        <v>200000</v>
      </c>
      <c r="J143" s="9" t="s">
        <v>1271</v>
      </c>
      <c r="K143" s="9"/>
      <c r="L143" s="9"/>
      <c r="M143" s="9"/>
      <c r="N143" s="9"/>
    </row>
    <row r="144" spans="1:14" ht="19" x14ac:dyDescent="0.2">
      <c r="A144" s="74"/>
      <c r="B144" s="75"/>
      <c r="C144" s="35"/>
      <c r="D144" s="13"/>
      <c r="E144" s="15"/>
      <c r="F144" s="9"/>
      <c r="G144" s="9"/>
      <c r="H144" s="9"/>
      <c r="I144" s="9">
        <v>288000</v>
      </c>
      <c r="J144" s="9" t="s">
        <v>1248</v>
      </c>
      <c r="K144" s="9"/>
      <c r="L144" s="9"/>
      <c r="M144" s="9"/>
      <c r="N144" s="9"/>
    </row>
    <row r="145" spans="1:14" ht="19" x14ac:dyDescent="0.2">
      <c r="A145" s="74"/>
      <c r="B145" s="75"/>
      <c r="C145" s="35"/>
      <c r="D145" s="13"/>
      <c r="E145" s="15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9" x14ac:dyDescent="0.2">
      <c r="A146" s="74">
        <v>1669000</v>
      </c>
      <c r="B146" s="58">
        <v>44944</v>
      </c>
      <c r="C146" s="3" t="s">
        <v>9</v>
      </c>
      <c r="D146" s="13" t="s">
        <v>405</v>
      </c>
      <c r="E146" s="15">
        <v>1322000</v>
      </c>
      <c r="F146" s="9">
        <v>347000</v>
      </c>
      <c r="G146" s="9"/>
      <c r="H146" s="9"/>
      <c r="I146" s="9">
        <v>390000</v>
      </c>
      <c r="J146" s="9" t="s">
        <v>1272</v>
      </c>
      <c r="K146" s="9"/>
      <c r="L146" s="9"/>
      <c r="M146" s="9"/>
      <c r="N146" s="9"/>
    </row>
    <row r="147" spans="1:14" ht="19" x14ac:dyDescent="0.2">
      <c r="A147" s="74"/>
      <c r="B147" s="58"/>
      <c r="C147" s="49"/>
      <c r="D147" s="13"/>
      <c r="E147" s="15"/>
      <c r="F147" s="9"/>
      <c r="G147" s="9"/>
      <c r="H147" s="9"/>
      <c r="I147" s="9">
        <v>310000</v>
      </c>
      <c r="J147" s="9" t="s">
        <v>1030</v>
      </c>
      <c r="K147" s="9"/>
      <c r="L147" s="9"/>
      <c r="M147" s="9"/>
      <c r="N147" s="9"/>
    </row>
    <row r="148" spans="1:14" ht="19" x14ac:dyDescent="0.2">
      <c r="A148" s="74"/>
      <c r="B148" s="58"/>
      <c r="C148" s="49"/>
      <c r="D148" s="13"/>
      <c r="E148" s="15"/>
      <c r="F148" s="9"/>
      <c r="G148" s="9"/>
      <c r="H148" s="9"/>
      <c r="I148" s="9">
        <v>310000</v>
      </c>
      <c r="J148" s="9" t="s">
        <v>1273</v>
      </c>
      <c r="K148" s="9"/>
      <c r="L148" s="9"/>
      <c r="M148" s="9"/>
      <c r="N148" s="9"/>
    </row>
    <row r="149" spans="1:14" ht="19" x14ac:dyDescent="0.2">
      <c r="A149" s="74"/>
      <c r="B149" s="58"/>
      <c r="C149" s="49"/>
      <c r="D149" s="13"/>
      <c r="E149" s="15"/>
      <c r="F149" s="9"/>
      <c r="G149" s="9"/>
      <c r="H149" s="9"/>
      <c r="I149" s="9">
        <v>45000</v>
      </c>
      <c r="J149" s="9" t="s">
        <v>1274</v>
      </c>
      <c r="K149" s="9"/>
      <c r="L149" s="9"/>
      <c r="M149" s="9"/>
      <c r="N149" s="9"/>
    </row>
    <row r="150" spans="1:14" ht="19" x14ac:dyDescent="0.2">
      <c r="A150" s="74"/>
      <c r="B150" s="58"/>
      <c r="C150" s="49"/>
      <c r="D150" s="13"/>
      <c r="E150" s="15"/>
      <c r="F150" s="9"/>
      <c r="G150" s="9"/>
      <c r="H150" s="9"/>
      <c r="I150" s="9">
        <v>75000</v>
      </c>
      <c r="J150" s="9" t="s">
        <v>1275</v>
      </c>
      <c r="K150" s="9"/>
      <c r="L150" s="9"/>
      <c r="M150" s="9"/>
      <c r="N150" s="9"/>
    </row>
    <row r="151" spans="1:14" ht="19" x14ac:dyDescent="0.2">
      <c r="A151" s="74"/>
      <c r="B151" s="58"/>
      <c r="C151" s="49"/>
      <c r="D151" s="13"/>
      <c r="E151" s="15"/>
      <c r="F151" s="9"/>
      <c r="G151" s="9"/>
      <c r="H151" s="9"/>
      <c r="I151" s="9">
        <v>75000</v>
      </c>
      <c r="J151" s="9" t="s">
        <v>1276</v>
      </c>
      <c r="K151" s="9"/>
      <c r="L151" s="9"/>
      <c r="M151" s="9"/>
      <c r="N151" s="9"/>
    </row>
    <row r="152" spans="1:14" ht="19" x14ac:dyDescent="0.2">
      <c r="A152" s="74"/>
      <c r="B152" s="58"/>
      <c r="C152" s="35"/>
      <c r="D152" s="13"/>
      <c r="E152" s="15"/>
      <c r="F152" s="9"/>
      <c r="G152" s="9"/>
      <c r="H152" s="9"/>
      <c r="I152" s="9">
        <v>104000</v>
      </c>
      <c r="J152" s="9" t="s">
        <v>807</v>
      </c>
      <c r="K152" s="9"/>
      <c r="L152" s="9"/>
      <c r="M152" s="9"/>
      <c r="N152" s="9"/>
    </row>
    <row r="153" spans="1:14" ht="19" x14ac:dyDescent="0.2">
      <c r="A153" s="74">
        <v>1228000</v>
      </c>
      <c r="B153" s="58">
        <v>44944</v>
      </c>
      <c r="C153" s="35" t="s">
        <v>806</v>
      </c>
      <c r="D153" s="13" t="s">
        <v>685</v>
      </c>
      <c r="E153" s="15">
        <v>690000</v>
      </c>
      <c r="F153" s="9">
        <v>538000</v>
      </c>
      <c r="G153" s="9"/>
      <c r="H153" s="9"/>
      <c r="I153" s="9">
        <v>42000</v>
      </c>
      <c r="J153" s="9" t="s">
        <v>1277</v>
      </c>
      <c r="K153" s="9"/>
      <c r="L153" s="9"/>
      <c r="M153" s="9"/>
      <c r="N153" s="9"/>
    </row>
    <row r="154" spans="1:14" ht="19" x14ac:dyDescent="0.2">
      <c r="A154" s="74"/>
      <c r="B154" s="58"/>
      <c r="C154" s="35"/>
      <c r="D154" s="13"/>
      <c r="E154" s="15"/>
      <c r="F154" s="9"/>
      <c r="G154" s="9"/>
      <c r="H154" s="9"/>
      <c r="I154" s="9">
        <v>12000</v>
      </c>
      <c r="J154" s="9" t="s">
        <v>1278</v>
      </c>
      <c r="K154" s="9"/>
      <c r="L154" s="9"/>
      <c r="M154" s="9"/>
      <c r="N154" s="9"/>
    </row>
    <row r="155" spans="1:14" ht="19" x14ac:dyDescent="0.2">
      <c r="A155" s="74"/>
      <c r="B155" s="58"/>
      <c r="C155" s="35"/>
      <c r="D155" s="13"/>
      <c r="E155" s="15"/>
      <c r="F155" s="9"/>
      <c r="G155" s="9"/>
      <c r="H155" s="9"/>
      <c r="I155" s="9">
        <v>21000</v>
      </c>
      <c r="J155" s="9" t="s">
        <v>1279</v>
      </c>
      <c r="K155" s="9"/>
      <c r="L155" s="9"/>
      <c r="M155" s="9"/>
      <c r="N155" s="9"/>
    </row>
    <row r="156" spans="1:14" ht="19" x14ac:dyDescent="0.2">
      <c r="A156" s="61"/>
      <c r="B156" s="58"/>
      <c r="C156" s="3"/>
      <c r="D156" s="13"/>
      <c r="E156" s="9"/>
      <c r="F156" s="9"/>
      <c r="G156" s="9"/>
      <c r="H156" s="9"/>
      <c r="I156" s="9">
        <v>100000</v>
      </c>
      <c r="J156" s="9" t="s">
        <v>1246</v>
      </c>
      <c r="K156" s="9"/>
      <c r="L156" s="9"/>
      <c r="M156" s="9"/>
      <c r="N156" s="9"/>
    </row>
    <row r="157" spans="1:14" ht="19" x14ac:dyDescent="0.2">
      <c r="A157" s="74"/>
      <c r="B157" s="58"/>
      <c r="C157" s="49"/>
      <c r="D157" s="13"/>
      <c r="E157" s="15"/>
      <c r="F157" s="9"/>
      <c r="G157" s="9"/>
      <c r="H157" s="9"/>
      <c r="I157" s="9">
        <v>200000</v>
      </c>
      <c r="J157" s="9" t="s">
        <v>653</v>
      </c>
      <c r="K157" s="9"/>
      <c r="L157" s="9"/>
      <c r="M157" s="9"/>
      <c r="N157" s="9"/>
    </row>
    <row r="158" spans="1:14" ht="19" x14ac:dyDescent="0.2">
      <c r="A158" s="74"/>
      <c r="B158" s="58"/>
      <c r="C158" s="49"/>
      <c r="D158" s="13"/>
      <c r="E158" s="15"/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9" x14ac:dyDescent="0.2">
      <c r="A159" s="74"/>
      <c r="B159" s="58"/>
      <c r="C159" s="49"/>
      <c r="D159" s="13"/>
      <c r="E159" s="15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9" x14ac:dyDescent="0.2">
      <c r="A160" s="74">
        <v>1486000</v>
      </c>
      <c r="B160" s="58">
        <v>44945</v>
      </c>
      <c r="C160" s="3" t="s">
        <v>9</v>
      </c>
      <c r="D160" s="13" t="s">
        <v>405</v>
      </c>
      <c r="E160" s="15">
        <v>1140000</v>
      </c>
      <c r="F160" s="9">
        <v>346000</v>
      </c>
      <c r="G160" s="9">
        <v>408000</v>
      </c>
      <c r="H160" s="9" t="s">
        <v>1280</v>
      </c>
      <c r="I160" s="9">
        <v>180000</v>
      </c>
      <c r="J160" s="9" t="s">
        <v>1281</v>
      </c>
      <c r="K160" s="9"/>
      <c r="L160" s="9"/>
      <c r="M160" s="9"/>
      <c r="N160" s="9"/>
    </row>
    <row r="161" spans="1:14" ht="19" x14ac:dyDescent="0.2">
      <c r="A161" s="74"/>
      <c r="B161" s="58"/>
      <c r="C161" s="49"/>
      <c r="D161" s="13"/>
      <c r="E161" s="15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9" x14ac:dyDescent="0.2">
      <c r="A162" s="74"/>
      <c r="B162" s="58"/>
      <c r="C162" s="49"/>
      <c r="D162" s="13"/>
      <c r="E162" s="15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9" x14ac:dyDescent="0.2">
      <c r="A163" s="61">
        <v>1523000</v>
      </c>
      <c r="B163" s="75"/>
      <c r="C163" s="2" t="s">
        <v>10</v>
      </c>
      <c r="D163" s="13" t="s">
        <v>685</v>
      </c>
      <c r="E163" s="9">
        <v>1224000</v>
      </c>
      <c r="F163" s="9">
        <v>299000</v>
      </c>
      <c r="G163" s="9"/>
      <c r="H163" s="9"/>
      <c r="I163" s="9"/>
      <c r="J163" s="9"/>
      <c r="K163" s="9"/>
      <c r="L163" s="9"/>
      <c r="M163" s="9"/>
      <c r="N163" s="9"/>
    </row>
    <row r="164" spans="1:14" ht="19" x14ac:dyDescent="0.2">
      <c r="A164" s="74"/>
      <c r="B164" s="75"/>
      <c r="C164" s="35"/>
      <c r="D164" s="13"/>
      <c r="E164" s="15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9" x14ac:dyDescent="0.2">
      <c r="A165" s="74"/>
      <c r="B165" s="75"/>
      <c r="C165" s="35"/>
      <c r="D165" s="13"/>
      <c r="E165" s="15"/>
      <c r="F165" s="9"/>
      <c r="G165" s="9"/>
      <c r="H165" s="9"/>
      <c r="I165" s="9"/>
      <c r="J165" s="9"/>
      <c r="K165" s="9"/>
      <c r="L165" s="9"/>
      <c r="M165" s="9"/>
      <c r="N165" s="9"/>
    </row>
    <row r="166" spans="1:14" ht="19" x14ac:dyDescent="0.2">
      <c r="A166" s="74"/>
      <c r="B166" s="75"/>
      <c r="C166" s="35"/>
      <c r="D166" s="13"/>
      <c r="E166" s="15"/>
      <c r="F166" s="9"/>
      <c r="G166" s="9"/>
      <c r="H166" s="9"/>
      <c r="I166" s="9"/>
      <c r="J166" s="9"/>
      <c r="K166" s="9"/>
      <c r="L166" s="9"/>
      <c r="M166" s="9"/>
      <c r="N166" s="9"/>
    </row>
    <row r="167" spans="1:14" ht="19" x14ac:dyDescent="0.2">
      <c r="A167" s="74"/>
      <c r="B167" s="75"/>
      <c r="C167" s="35"/>
      <c r="D167" s="13"/>
      <c r="E167" s="15"/>
      <c r="F167" s="9"/>
      <c r="G167" s="9"/>
      <c r="H167" s="9"/>
      <c r="I167" s="9"/>
      <c r="J167" s="9"/>
      <c r="K167" s="9"/>
      <c r="L167" s="9"/>
      <c r="M167" s="9"/>
      <c r="N167" s="9"/>
    </row>
    <row r="168" spans="1:14" ht="19" x14ac:dyDescent="0.2">
      <c r="A168" s="74">
        <v>1194000</v>
      </c>
      <c r="B168" s="58">
        <v>44946</v>
      </c>
      <c r="C168" s="35" t="s">
        <v>440</v>
      </c>
      <c r="D168" s="13" t="s">
        <v>405</v>
      </c>
      <c r="E168" s="15">
        <v>938000</v>
      </c>
      <c r="F168" s="9">
        <v>256000</v>
      </c>
      <c r="G168" s="9"/>
      <c r="H168" s="9"/>
      <c r="I168" s="9">
        <v>17000</v>
      </c>
      <c r="J168" s="9" t="s">
        <v>642</v>
      </c>
      <c r="K168" s="9"/>
      <c r="L168" s="9"/>
      <c r="M168" s="9"/>
      <c r="N168" s="9"/>
    </row>
    <row r="169" spans="1:14" ht="19" x14ac:dyDescent="0.2">
      <c r="A169" s="74"/>
      <c r="B169" s="58"/>
      <c r="C169" s="49"/>
      <c r="D169" s="13"/>
      <c r="E169" s="15"/>
      <c r="F169" s="9"/>
      <c r="G169" s="9"/>
      <c r="H169" s="9"/>
      <c r="I169" s="76">
        <v>108000</v>
      </c>
      <c r="J169" s="76" t="s">
        <v>1282</v>
      </c>
      <c r="K169" s="9"/>
      <c r="L169" s="9"/>
      <c r="M169" s="9"/>
      <c r="N169" s="9"/>
    </row>
    <row r="170" spans="1:14" ht="19" x14ac:dyDescent="0.2">
      <c r="A170" s="74"/>
      <c r="B170" s="58"/>
      <c r="C170" s="49"/>
      <c r="D170" s="13"/>
      <c r="E170" s="15"/>
      <c r="F170" s="9"/>
      <c r="G170" s="9"/>
      <c r="H170" s="9"/>
      <c r="I170" s="76">
        <v>75000</v>
      </c>
      <c r="J170" s="76" t="s">
        <v>1283</v>
      </c>
      <c r="K170" s="9"/>
      <c r="L170" s="9"/>
      <c r="M170" s="9"/>
      <c r="N170" s="9"/>
    </row>
    <row r="171" spans="1:14" ht="19" x14ac:dyDescent="0.2">
      <c r="A171" s="74"/>
      <c r="B171" s="58"/>
      <c r="C171" s="49"/>
      <c r="D171" s="13"/>
      <c r="E171" s="15"/>
      <c r="F171" s="9"/>
      <c r="G171" s="9"/>
      <c r="H171" s="103"/>
      <c r="I171" s="76">
        <v>200000</v>
      </c>
      <c r="J171" s="76" t="s">
        <v>1284</v>
      </c>
      <c r="K171" s="9"/>
      <c r="L171" s="9"/>
      <c r="M171" s="9"/>
      <c r="N171" s="9"/>
    </row>
    <row r="172" spans="1:14" ht="19" x14ac:dyDescent="0.2">
      <c r="A172" s="61">
        <v>1230000</v>
      </c>
      <c r="B172" s="58"/>
      <c r="C172" s="49" t="s">
        <v>10</v>
      </c>
      <c r="D172" s="13" t="s">
        <v>685</v>
      </c>
      <c r="E172" s="15">
        <v>853000</v>
      </c>
      <c r="F172" s="9">
        <v>377000</v>
      </c>
      <c r="G172" s="9"/>
      <c r="H172" s="9"/>
      <c r="I172" s="9"/>
      <c r="J172" s="9"/>
      <c r="K172" s="9"/>
      <c r="L172" s="9"/>
      <c r="M172" s="9"/>
      <c r="N172" s="9"/>
    </row>
    <row r="173" spans="1:14" ht="19" x14ac:dyDescent="0.2">
      <c r="A173" s="74"/>
      <c r="B173" s="58"/>
      <c r="C173" s="49"/>
      <c r="D173" s="13"/>
      <c r="E173" s="15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9" x14ac:dyDescent="0.2">
      <c r="A174" s="61">
        <v>1095000</v>
      </c>
      <c r="B174" s="58">
        <v>44947</v>
      </c>
      <c r="C174" s="2" t="s">
        <v>9</v>
      </c>
      <c r="D174" s="13" t="s">
        <v>405</v>
      </c>
      <c r="E174" s="15">
        <v>841000</v>
      </c>
      <c r="F174" s="9">
        <v>254000</v>
      </c>
      <c r="G174" s="9">
        <v>2721000</v>
      </c>
      <c r="H174" s="76" t="s">
        <v>812</v>
      </c>
      <c r="I174" s="9"/>
      <c r="J174" s="9"/>
      <c r="K174" s="9"/>
      <c r="L174" s="9"/>
      <c r="M174" s="9"/>
      <c r="N174" s="9"/>
    </row>
    <row r="175" spans="1:14" ht="19" x14ac:dyDescent="0.2">
      <c r="A175" s="74"/>
      <c r="B175" s="58"/>
      <c r="C175" s="35"/>
      <c r="D175" s="13"/>
      <c r="E175" s="15"/>
      <c r="F175" s="9"/>
      <c r="G175" s="9"/>
      <c r="H175" s="76"/>
      <c r="I175" s="9"/>
      <c r="J175" s="9"/>
      <c r="K175" s="9"/>
      <c r="L175" s="9"/>
      <c r="M175" s="9"/>
      <c r="N175" s="9"/>
    </row>
    <row r="176" spans="1:14" ht="19" x14ac:dyDescent="0.2">
      <c r="A176" s="74">
        <v>1013000</v>
      </c>
      <c r="B176" s="58"/>
      <c r="C176" s="3" t="s">
        <v>10</v>
      </c>
      <c r="D176" s="13" t="s">
        <v>685</v>
      </c>
      <c r="E176" s="15">
        <v>805000</v>
      </c>
      <c r="F176" s="9">
        <v>208000</v>
      </c>
      <c r="G176" s="9"/>
      <c r="H176" s="76"/>
      <c r="I176" s="9">
        <v>50000</v>
      </c>
      <c r="J176" s="9" t="s">
        <v>123</v>
      </c>
      <c r="K176" s="9"/>
      <c r="L176" s="9"/>
      <c r="M176" s="9"/>
      <c r="N176" s="9"/>
    </row>
    <row r="177" spans="1:14" ht="19" x14ac:dyDescent="0.2">
      <c r="A177" s="74"/>
      <c r="B177" s="58"/>
      <c r="C177" s="35"/>
      <c r="D177" s="13"/>
      <c r="E177" s="15"/>
      <c r="F177" s="9"/>
      <c r="G177" s="9"/>
      <c r="H177" s="76"/>
      <c r="I177" s="9">
        <v>288000</v>
      </c>
      <c r="J177" s="9" t="s">
        <v>1248</v>
      </c>
      <c r="K177" s="9"/>
      <c r="L177" s="9"/>
      <c r="M177" s="9"/>
      <c r="N177" s="9"/>
    </row>
    <row r="178" spans="1:14" ht="19" x14ac:dyDescent="0.2">
      <c r="A178" s="74"/>
      <c r="B178" s="58"/>
      <c r="C178" s="35"/>
      <c r="D178" s="13"/>
      <c r="E178" s="15"/>
      <c r="F178" s="9"/>
      <c r="G178" s="9"/>
      <c r="H178" s="76"/>
      <c r="I178" s="9">
        <v>70000</v>
      </c>
      <c r="J178" s="9" t="s">
        <v>1285</v>
      </c>
      <c r="K178" s="9"/>
      <c r="L178" s="9"/>
      <c r="M178" s="9"/>
      <c r="N178" s="9"/>
    </row>
    <row r="179" spans="1:14" ht="19" x14ac:dyDescent="0.2">
      <c r="A179" s="74"/>
      <c r="B179" s="58">
        <v>44948</v>
      </c>
      <c r="C179" s="2" t="s">
        <v>9</v>
      </c>
      <c r="D179" s="104" t="s">
        <v>405</v>
      </c>
      <c r="E179" s="15"/>
      <c r="F179" s="9"/>
      <c r="G179" s="9"/>
      <c r="H179" s="105" t="s">
        <v>1286</v>
      </c>
      <c r="I179" s="9"/>
      <c r="J179" s="9"/>
      <c r="K179" s="9"/>
      <c r="L179" s="9"/>
      <c r="M179" s="9"/>
      <c r="N179" s="9"/>
    </row>
    <row r="180" spans="1:14" ht="19" x14ac:dyDescent="0.2">
      <c r="A180" s="74"/>
      <c r="B180" s="58"/>
      <c r="C180" s="35"/>
      <c r="D180" s="13"/>
      <c r="E180" s="15"/>
      <c r="F180" s="9"/>
      <c r="G180" s="9"/>
      <c r="H180" s="76"/>
      <c r="I180" s="9"/>
      <c r="J180" s="9"/>
      <c r="K180" s="9"/>
      <c r="L180" s="9"/>
      <c r="M180" s="9"/>
      <c r="N180" s="9"/>
    </row>
    <row r="181" spans="1:14" ht="19" x14ac:dyDescent="0.2">
      <c r="A181" s="74">
        <v>765000</v>
      </c>
      <c r="B181" s="58">
        <v>44948</v>
      </c>
      <c r="C181" s="3" t="s">
        <v>10</v>
      </c>
      <c r="D181" s="13" t="s">
        <v>685</v>
      </c>
      <c r="E181" s="15">
        <v>637000</v>
      </c>
      <c r="F181" s="9">
        <v>128000</v>
      </c>
      <c r="G181" s="9"/>
      <c r="H181" s="76"/>
      <c r="I181" s="9">
        <v>100000</v>
      </c>
      <c r="J181" s="9" t="s">
        <v>1287</v>
      </c>
      <c r="K181" s="9"/>
      <c r="L181" s="9"/>
      <c r="M181" s="9"/>
      <c r="N181" s="9"/>
    </row>
    <row r="182" spans="1:14" ht="19" x14ac:dyDescent="0.2">
      <c r="A182" s="74"/>
      <c r="B182" s="58"/>
      <c r="C182" s="35"/>
      <c r="D182" s="13"/>
      <c r="E182" s="15"/>
      <c r="F182" s="9"/>
      <c r="G182" s="9"/>
      <c r="H182" s="76"/>
      <c r="I182" s="9"/>
      <c r="J182" s="9"/>
      <c r="K182" s="9"/>
      <c r="L182" s="9"/>
      <c r="M182" s="9"/>
      <c r="N182" s="9"/>
    </row>
    <row r="183" spans="1:14" ht="19" x14ac:dyDescent="0.2">
      <c r="A183" s="74">
        <v>1222000</v>
      </c>
      <c r="B183" s="58">
        <v>44949</v>
      </c>
      <c r="C183" s="2" t="s">
        <v>9</v>
      </c>
      <c r="D183" s="13" t="s">
        <v>405</v>
      </c>
      <c r="E183" s="15">
        <v>1022000</v>
      </c>
      <c r="F183" s="9">
        <v>200000</v>
      </c>
      <c r="G183" s="9">
        <v>292000</v>
      </c>
      <c r="H183" s="132" t="s">
        <v>1388</v>
      </c>
      <c r="I183" s="9">
        <v>37000</v>
      </c>
      <c r="J183" s="9" t="s">
        <v>1288</v>
      </c>
      <c r="K183" s="9"/>
      <c r="L183" s="9"/>
      <c r="M183" s="9"/>
      <c r="N183" s="9"/>
    </row>
    <row r="184" spans="1:14" ht="19" x14ac:dyDescent="0.2">
      <c r="A184" s="74"/>
      <c r="B184" s="58"/>
      <c r="C184" s="35"/>
      <c r="D184" s="13"/>
      <c r="E184" s="15"/>
      <c r="F184" s="9"/>
      <c r="G184" s="9"/>
      <c r="H184" s="76"/>
      <c r="I184" s="9">
        <v>23000</v>
      </c>
      <c r="J184" s="9" t="s">
        <v>1289</v>
      </c>
      <c r="K184" s="9"/>
      <c r="L184" s="9"/>
      <c r="M184" s="9"/>
      <c r="N184" s="9"/>
    </row>
    <row r="185" spans="1:14" ht="19" x14ac:dyDescent="0.2">
      <c r="A185" s="61"/>
      <c r="B185" s="58"/>
      <c r="C185" s="3"/>
      <c r="D185" s="13"/>
      <c r="E185" s="15"/>
      <c r="F185" s="9"/>
      <c r="G185" s="9"/>
      <c r="H185" s="9"/>
      <c r="I185" s="9">
        <v>78000</v>
      </c>
      <c r="J185" s="9" t="s">
        <v>1290</v>
      </c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9"/>
      <c r="I186" s="9">
        <v>240000</v>
      </c>
      <c r="J186" s="9" t="s">
        <v>1291</v>
      </c>
      <c r="K186" s="9"/>
      <c r="L186" s="9"/>
      <c r="M186" s="9"/>
      <c r="N186" s="9"/>
    </row>
    <row r="187" spans="1:14" ht="19" x14ac:dyDescent="0.2">
      <c r="A187" s="74"/>
      <c r="B187" s="58"/>
      <c r="C187" s="49"/>
      <c r="D187" s="13"/>
      <c r="E187" s="15"/>
      <c r="F187" s="9"/>
      <c r="G187" s="9"/>
      <c r="H187" s="9"/>
      <c r="I187" s="9"/>
      <c r="J187" s="9"/>
      <c r="K187" s="9"/>
      <c r="L187" s="9"/>
      <c r="M187" s="9"/>
      <c r="N187" s="9"/>
    </row>
    <row r="188" spans="1:14" ht="19" x14ac:dyDescent="0.2">
      <c r="A188" s="74">
        <v>1757000</v>
      </c>
      <c r="B188" s="58"/>
      <c r="C188" s="3" t="s">
        <v>10</v>
      </c>
      <c r="D188" s="13" t="s">
        <v>685</v>
      </c>
      <c r="E188" s="15">
        <v>1553000</v>
      </c>
      <c r="F188" s="9">
        <v>204000</v>
      </c>
      <c r="G188" s="9"/>
      <c r="H188" s="9"/>
      <c r="I188" s="9">
        <v>200000</v>
      </c>
      <c r="J188" s="9" t="s">
        <v>653</v>
      </c>
      <c r="K188" s="9"/>
      <c r="L188" s="9"/>
      <c r="M188" s="9"/>
      <c r="N188" s="9"/>
    </row>
    <row r="189" spans="1:14" ht="19" x14ac:dyDescent="0.2">
      <c r="A189" s="74"/>
      <c r="B189" s="58"/>
      <c r="C189" s="49"/>
      <c r="D189" s="13"/>
      <c r="E189" s="15"/>
      <c r="F189" s="9"/>
      <c r="G189" s="9"/>
      <c r="H189" s="9"/>
      <c r="I189" s="9">
        <v>100000</v>
      </c>
      <c r="J189" s="9" t="s">
        <v>1246</v>
      </c>
      <c r="K189" s="9"/>
      <c r="L189" s="9"/>
      <c r="M189" s="9"/>
      <c r="N189" s="9"/>
    </row>
    <row r="190" spans="1:14" ht="19" x14ac:dyDescent="0.2">
      <c r="A190" s="74"/>
      <c r="B190" s="75"/>
      <c r="C190" s="35"/>
      <c r="D190" s="13"/>
      <c r="E190" s="15"/>
      <c r="F190" s="9"/>
      <c r="G190" s="9"/>
      <c r="H190" s="77"/>
      <c r="I190" s="9">
        <v>75000</v>
      </c>
      <c r="J190" s="9" t="s">
        <v>1292</v>
      </c>
      <c r="K190" s="9"/>
      <c r="L190" s="9"/>
      <c r="M190" s="9"/>
      <c r="N190" s="9"/>
    </row>
    <row r="191" spans="1:14" ht="19" x14ac:dyDescent="0.2">
      <c r="A191" s="74"/>
      <c r="B191" s="75"/>
      <c r="C191" s="35"/>
      <c r="D191" s="13"/>
      <c r="E191" s="15"/>
      <c r="F191" s="9"/>
      <c r="G191" s="9"/>
      <c r="H191" s="77"/>
      <c r="I191" s="9">
        <v>75000</v>
      </c>
      <c r="J191" s="9" t="s">
        <v>1293</v>
      </c>
      <c r="K191" s="9"/>
      <c r="L191" s="9"/>
      <c r="M191" s="9"/>
      <c r="N191" s="9"/>
    </row>
    <row r="192" spans="1:14" ht="19" x14ac:dyDescent="0.2">
      <c r="A192" s="61">
        <v>1454000</v>
      </c>
      <c r="B192" s="58">
        <v>44950</v>
      </c>
      <c r="C192" s="3" t="s">
        <v>9</v>
      </c>
      <c r="D192" s="13" t="s">
        <v>405</v>
      </c>
      <c r="E192" s="15">
        <v>1081000</v>
      </c>
      <c r="F192" s="9">
        <v>373000</v>
      </c>
      <c r="G192" s="9"/>
      <c r="H192" s="9"/>
      <c r="I192" s="9">
        <v>310000</v>
      </c>
      <c r="J192" s="9" t="s">
        <v>1294</v>
      </c>
      <c r="K192" s="9"/>
      <c r="L192" s="9"/>
      <c r="M192" s="9"/>
      <c r="N192" s="9"/>
    </row>
    <row r="193" spans="1:14" ht="19" x14ac:dyDescent="0.2">
      <c r="A193" s="74"/>
      <c r="B193" s="58"/>
      <c r="C193" s="49"/>
      <c r="D193" s="13"/>
      <c r="E193" s="15"/>
      <c r="F193" s="9"/>
      <c r="G193" s="9"/>
      <c r="H193" s="9"/>
      <c r="I193" s="76">
        <v>310000</v>
      </c>
      <c r="J193" s="76" t="s">
        <v>1273</v>
      </c>
      <c r="K193" s="9"/>
      <c r="L193" s="9"/>
      <c r="M193" s="9"/>
      <c r="N193" s="9"/>
    </row>
    <row r="194" spans="1:14" ht="19" x14ac:dyDescent="0.2">
      <c r="A194" s="74"/>
      <c r="B194" s="58"/>
      <c r="C194" s="49"/>
      <c r="D194" s="13"/>
      <c r="E194" s="15"/>
      <c r="F194" s="9"/>
      <c r="G194" s="9"/>
      <c r="H194" s="9"/>
      <c r="I194" s="76">
        <v>75000</v>
      </c>
      <c r="J194" s="76" t="s">
        <v>1295</v>
      </c>
      <c r="K194" s="9"/>
      <c r="L194" s="9"/>
      <c r="M194" s="9"/>
      <c r="N194" s="9"/>
    </row>
    <row r="195" spans="1:14" ht="19" x14ac:dyDescent="0.2">
      <c r="A195" s="74"/>
      <c r="B195" s="58"/>
      <c r="C195" s="49"/>
      <c r="D195" s="13"/>
      <c r="E195" s="15"/>
      <c r="F195" s="9"/>
      <c r="G195" s="9"/>
      <c r="H195" s="9"/>
      <c r="I195" s="76"/>
      <c r="J195" s="76"/>
      <c r="K195" s="9"/>
      <c r="L195" s="9"/>
      <c r="M195" s="9"/>
      <c r="N195" s="9"/>
    </row>
    <row r="196" spans="1:14" ht="19" x14ac:dyDescent="0.2">
      <c r="A196" s="74">
        <v>1633000</v>
      </c>
      <c r="B196" s="58"/>
      <c r="C196" s="49" t="s">
        <v>363</v>
      </c>
      <c r="D196" s="13" t="s">
        <v>685</v>
      </c>
      <c r="E196" s="15">
        <v>1443000</v>
      </c>
      <c r="F196" s="9">
        <v>190000</v>
      </c>
      <c r="G196" s="9"/>
      <c r="H196" s="9"/>
      <c r="I196" s="76">
        <v>288000</v>
      </c>
      <c r="J196" s="76" t="s">
        <v>1248</v>
      </c>
      <c r="K196" s="9"/>
      <c r="L196" s="9"/>
      <c r="M196" s="9"/>
      <c r="N196" s="9"/>
    </row>
    <row r="197" spans="1:14" ht="19" x14ac:dyDescent="0.2">
      <c r="A197" s="74"/>
      <c r="B197" s="58"/>
      <c r="C197" s="49"/>
      <c r="D197" s="13"/>
      <c r="E197" s="15"/>
      <c r="F197" s="9"/>
      <c r="G197" s="9"/>
      <c r="H197" s="9"/>
      <c r="I197" s="76">
        <v>100000</v>
      </c>
      <c r="J197" s="76" t="s">
        <v>1296</v>
      </c>
      <c r="K197" s="9"/>
      <c r="L197" s="9"/>
      <c r="M197" s="9"/>
      <c r="N197" s="9"/>
    </row>
    <row r="198" spans="1:14" ht="19" x14ac:dyDescent="0.2">
      <c r="A198" s="74"/>
      <c r="B198" s="58"/>
      <c r="C198" s="49"/>
      <c r="D198" s="13"/>
      <c r="E198" s="15"/>
      <c r="F198" s="9"/>
      <c r="G198" s="9"/>
      <c r="H198" s="9"/>
      <c r="I198" s="76">
        <v>70000</v>
      </c>
      <c r="J198" s="76" t="s">
        <v>1285</v>
      </c>
      <c r="K198" s="9"/>
      <c r="L198" s="9"/>
      <c r="M198" s="9"/>
      <c r="N198" s="9"/>
    </row>
    <row r="199" spans="1:14" ht="19" x14ac:dyDescent="0.2">
      <c r="A199" s="74"/>
      <c r="B199" s="58"/>
      <c r="C199" s="49"/>
      <c r="D199" s="13"/>
      <c r="E199" s="15"/>
      <c r="F199" s="9"/>
      <c r="G199" s="9"/>
      <c r="H199" s="9"/>
      <c r="I199" s="76"/>
      <c r="J199" s="76"/>
      <c r="K199" s="9"/>
      <c r="L199" s="9"/>
      <c r="M199" s="9"/>
      <c r="N199" s="9"/>
    </row>
    <row r="200" spans="1:14" ht="19" x14ac:dyDescent="0.2">
      <c r="A200" s="74">
        <v>1100000</v>
      </c>
      <c r="B200" s="58">
        <v>44951</v>
      </c>
      <c r="C200" s="49" t="s">
        <v>9</v>
      </c>
      <c r="D200" s="13" t="s">
        <v>405</v>
      </c>
      <c r="E200" s="15">
        <v>872000</v>
      </c>
      <c r="F200" s="9">
        <v>228000</v>
      </c>
      <c r="G200" s="9"/>
      <c r="H200" s="9"/>
      <c r="I200" s="76">
        <v>26000</v>
      </c>
      <c r="J200" s="76" t="s">
        <v>1297</v>
      </c>
      <c r="K200" s="9"/>
      <c r="L200" s="9"/>
      <c r="M200" s="9"/>
      <c r="N200" s="9"/>
    </row>
    <row r="201" spans="1:14" ht="19" x14ac:dyDescent="0.2">
      <c r="A201" s="74"/>
      <c r="B201" s="58"/>
      <c r="C201" s="49"/>
      <c r="D201" s="13"/>
      <c r="E201" s="15"/>
      <c r="F201" s="9"/>
      <c r="G201" s="9"/>
      <c r="H201" s="9"/>
      <c r="I201" s="76">
        <v>17000</v>
      </c>
      <c r="J201" s="76" t="s">
        <v>1298</v>
      </c>
      <c r="K201" s="9"/>
      <c r="L201" s="9"/>
      <c r="M201" s="9"/>
      <c r="N201" s="9"/>
    </row>
    <row r="202" spans="1:14" ht="19" x14ac:dyDescent="0.2">
      <c r="A202" s="74"/>
      <c r="B202" s="58"/>
      <c r="C202" s="49"/>
      <c r="D202" s="13"/>
      <c r="E202" s="15"/>
      <c r="F202" s="9"/>
      <c r="G202" s="9"/>
      <c r="H202" s="9"/>
      <c r="I202" s="76">
        <v>26000</v>
      </c>
      <c r="J202" s="76" t="s">
        <v>1299</v>
      </c>
      <c r="K202" s="9"/>
      <c r="L202" s="9"/>
      <c r="M202" s="9"/>
      <c r="N202" s="9"/>
    </row>
    <row r="203" spans="1:14" ht="19" x14ac:dyDescent="0.2">
      <c r="A203" s="74"/>
      <c r="B203" s="58"/>
      <c r="C203" s="49"/>
      <c r="D203" s="13"/>
      <c r="E203" s="15"/>
      <c r="F203" s="9"/>
      <c r="G203" s="9"/>
      <c r="H203" s="9"/>
      <c r="I203" s="76">
        <v>29000</v>
      </c>
      <c r="J203" s="76" t="s">
        <v>1279</v>
      </c>
      <c r="K203" s="9"/>
      <c r="L203" s="9"/>
      <c r="M203" s="9"/>
      <c r="N203" s="9"/>
    </row>
    <row r="204" spans="1:14" ht="19" x14ac:dyDescent="0.2">
      <c r="A204" s="74"/>
      <c r="B204" s="58"/>
      <c r="C204" s="49"/>
      <c r="D204" s="13"/>
      <c r="E204" s="15"/>
      <c r="F204" s="9"/>
      <c r="G204" s="9"/>
      <c r="H204" s="9"/>
      <c r="I204" s="76">
        <v>44500</v>
      </c>
      <c r="J204" s="76" t="s">
        <v>1230</v>
      </c>
      <c r="K204" s="9"/>
      <c r="L204" s="9"/>
      <c r="M204" s="9"/>
      <c r="N204" s="9"/>
    </row>
    <row r="205" spans="1:14" ht="19" x14ac:dyDescent="0.2">
      <c r="A205" s="74"/>
      <c r="B205" s="58"/>
      <c r="C205" s="49"/>
      <c r="D205" s="13"/>
      <c r="E205" s="15"/>
      <c r="F205" s="9"/>
      <c r="G205" s="9"/>
      <c r="H205" s="9"/>
      <c r="I205" s="76">
        <v>54500</v>
      </c>
      <c r="J205" s="76" t="s">
        <v>1300</v>
      </c>
      <c r="K205" s="9"/>
      <c r="L205" s="9"/>
      <c r="M205" s="9"/>
      <c r="N205" s="9"/>
    </row>
    <row r="206" spans="1:14" ht="19" x14ac:dyDescent="0.2">
      <c r="A206" s="74"/>
      <c r="B206" s="58"/>
      <c r="C206" s="49"/>
      <c r="D206" s="13"/>
      <c r="E206" s="15"/>
      <c r="F206" s="9"/>
      <c r="G206" s="9"/>
      <c r="H206" s="9"/>
      <c r="I206" s="76">
        <v>249000</v>
      </c>
      <c r="J206" s="76" t="s">
        <v>1301</v>
      </c>
      <c r="K206" s="9"/>
      <c r="L206" s="9"/>
      <c r="M206" s="9"/>
      <c r="N206" s="9"/>
    </row>
    <row r="207" spans="1:14" ht="19" x14ac:dyDescent="0.2">
      <c r="A207" s="74">
        <v>958000</v>
      </c>
      <c r="B207" s="58"/>
      <c r="C207" s="49" t="s">
        <v>363</v>
      </c>
      <c r="D207" s="13" t="s">
        <v>685</v>
      </c>
      <c r="E207" s="15">
        <v>738000</v>
      </c>
      <c r="F207" s="9">
        <v>220000</v>
      </c>
      <c r="G207" s="9"/>
      <c r="H207" s="9"/>
      <c r="I207" s="76"/>
      <c r="J207" s="76"/>
      <c r="K207" s="9"/>
      <c r="L207" s="9"/>
      <c r="M207" s="9"/>
      <c r="N207" s="9"/>
    </row>
    <row r="208" spans="1:14" ht="19" x14ac:dyDescent="0.2">
      <c r="A208" s="61"/>
      <c r="B208" s="58"/>
      <c r="C208" s="49"/>
      <c r="D208" s="13"/>
      <c r="E208" s="15"/>
      <c r="F208" s="9"/>
      <c r="G208" s="9"/>
      <c r="H208" s="9"/>
      <c r="I208" s="9"/>
      <c r="J208" s="9"/>
      <c r="K208" s="9"/>
      <c r="L208" s="9"/>
      <c r="M208" s="9"/>
      <c r="N208" s="9"/>
    </row>
    <row r="209" spans="1:14" ht="19" x14ac:dyDescent="0.2">
      <c r="A209" s="74"/>
      <c r="B209" s="75"/>
      <c r="C209" s="35"/>
      <c r="D209" s="13"/>
      <c r="E209" s="15"/>
      <c r="F209" s="9"/>
      <c r="G209" s="9"/>
      <c r="H209" s="9"/>
      <c r="I209" s="9"/>
      <c r="J209" s="9"/>
      <c r="K209" s="9"/>
      <c r="L209" s="9"/>
      <c r="M209" s="9"/>
      <c r="N209" s="9"/>
    </row>
    <row r="210" spans="1:14" ht="19" x14ac:dyDescent="0.2">
      <c r="A210" s="61">
        <v>1666000</v>
      </c>
      <c r="B210" s="58">
        <v>44952</v>
      </c>
      <c r="C210" s="49" t="s">
        <v>9</v>
      </c>
      <c r="D210" s="13" t="s">
        <v>405</v>
      </c>
      <c r="E210" s="15">
        <v>1357000</v>
      </c>
      <c r="F210" s="9">
        <v>309000</v>
      </c>
      <c r="G210" s="9"/>
      <c r="H210" s="9"/>
      <c r="I210" s="76"/>
      <c r="J210" s="76"/>
      <c r="K210" s="9"/>
      <c r="L210" s="9"/>
      <c r="M210" s="9"/>
      <c r="N210" s="9"/>
    </row>
    <row r="211" spans="1:14" ht="19" x14ac:dyDescent="0.2">
      <c r="A211" s="74"/>
      <c r="B211" s="58"/>
      <c r="C211" s="49"/>
      <c r="D211" s="13"/>
      <c r="E211" s="15"/>
      <c r="F211" s="9"/>
      <c r="G211" s="9"/>
      <c r="H211" s="9"/>
      <c r="I211" s="9"/>
      <c r="J211" s="9"/>
      <c r="K211" s="9"/>
      <c r="L211" s="9"/>
      <c r="M211" s="9"/>
      <c r="N211" s="9"/>
    </row>
    <row r="212" spans="1:14" ht="19" x14ac:dyDescent="0.2">
      <c r="A212" s="61">
        <v>1477000</v>
      </c>
      <c r="B212" s="75"/>
      <c r="C212" s="2" t="s">
        <v>10</v>
      </c>
      <c r="D212" s="13" t="s">
        <v>685</v>
      </c>
      <c r="E212" s="15">
        <v>1161000</v>
      </c>
      <c r="F212" s="9">
        <v>316000</v>
      </c>
      <c r="G212" s="9"/>
      <c r="H212" s="9"/>
      <c r="I212" s="9"/>
      <c r="J212" s="9"/>
      <c r="K212" s="9"/>
      <c r="L212" s="9"/>
      <c r="M212" s="9"/>
      <c r="N212" s="9"/>
    </row>
    <row r="213" spans="1:14" ht="19" x14ac:dyDescent="0.2">
      <c r="A213" s="74"/>
      <c r="B213" s="75"/>
      <c r="C213" s="35"/>
      <c r="D213" s="13"/>
      <c r="E213" s="15"/>
      <c r="F213" s="9"/>
      <c r="G213" s="9"/>
      <c r="H213" s="9"/>
      <c r="I213" s="9"/>
      <c r="J213" s="9"/>
      <c r="K213" s="9"/>
      <c r="L213" s="9"/>
      <c r="M213" s="9"/>
      <c r="N213" s="9"/>
    </row>
    <row r="214" spans="1:14" ht="19" x14ac:dyDescent="0.2">
      <c r="A214" s="61">
        <v>2163000</v>
      </c>
      <c r="B214" s="58">
        <v>44953</v>
      </c>
      <c r="C214" s="3" t="s">
        <v>9</v>
      </c>
      <c r="D214" s="13" t="s">
        <v>405</v>
      </c>
      <c r="E214" s="9">
        <v>1952000</v>
      </c>
      <c r="F214" s="9">
        <v>211000</v>
      </c>
      <c r="G214" s="9"/>
      <c r="H214" s="9"/>
      <c r="I214" s="106">
        <v>50000</v>
      </c>
      <c r="J214" s="107" t="s">
        <v>1302</v>
      </c>
      <c r="K214" s="9"/>
      <c r="L214" s="9"/>
      <c r="M214" s="9"/>
      <c r="N214" s="9"/>
    </row>
    <row r="215" spans="1:14" ht="19" x14ac:dyDescent="0.2">
      <c r="A215" s="61"/>
      <c r="B215" s="58"/>
      <c r="C215" s="2"/>
      <c r="D215" s="13"/>
      <c r="E215" s="15"/>
      <c r="F215" s="9"/>
      <c r="G215" s="9"/>
      <c r="H215" s="9"/>
      <c r="I215" s="9">
        <v>100000</v>
      </c>
      <c r="J215" s="9" t="s">
        <v>1303</v>
      </c>
      <c r="K215" s="9"/>
      <c r="L215" s="9"/>
      <c r="M215" s="9"/>
      <c r="N215" s="9"/>
    </row>
    <row r="216" spans="1:14" ht="19" x14ac:dyDescent="0.2">
      <c r="A216" s="74"/>
      <c r="B216" s="58"/>
      <c r="C216" s="35"/>
      <c r="D216" s="13"/>
      <c r="E216" s="15"/>
      <c r="F216" s="9"/>
      <c r="G216" s="9"/>
      <c r="H216" s="9"/>
      <c r="I216" s="9">
        <v>88000</v>
      </c>
      <c r="J216" s="9" t="s">
        <v>1304</v>
      </c>
      <c r="K216" s="9"/>
      <c r="L216" s="9"/>
      <c r="M216" s="9"/>
      <c r="N216" s="9"/>
    </row>
    <row r="217" spans="1:14" ht="19" x14ac:dyDescent="0.2">
      <c r="A217" s="74"/>
      <c r="B217" s="58"/>
      <c r="C217" s="35"/>
      <c r="D217" s="13"/>
      <c r="E217" s="15"/>
      <c r="F217" s="9"/>
      <c r="G217" s="9"/>
      <c r="H217" s="9"/>
      <c r="I217" s="9">
        <v>10000</v>
      </c>
      <c r="J217" s="9" t="s">
        <v>1305</v>
      </c>
      <c r="K217" s="9"/>
      <c r="L217" s="9"/>
      <c r="M217" s="9"/>
      <c r="N217" s="9"/>
    </row>
    <row r="218" spans="1:14" ht="19" x14ac:dyDescent="0.2">
      <c r="A218" s="74"/>
      <c r="B218" s="58"/>
      <c r="C218" s="35"/>
      <c r="D218" s="13"/>
      <c r="E218" s="15"/>
      <c r="F218" s="9"/>
      <c r="G218" s="9"/>
      <c r="H218" s="9"/>
      <c r="I218" s="9">
        <v>60000</v>
      </c>
      <c r="J218" s="9" t="s">
        <v>1306</v>
      </c>
      <c r="K218" s="9"/>
      <c r="L218" s="9"/>
      <c r="M218" s="9"/>
      <c r="N218" s="9"/>
    </row>
    <row r="219" spans="1:14" ht="19" x14ac:dyDescent="0.2">
      <c r="A219" s="74"/>
      <c r="B219" s="58"/>
      <c r="C219" s="35"/>
      <c r="D219" s="13"/>
      <c r="E219" s="15"/>
      <c r="F219" s="9"/>
      <c r="G219" s="9"/>
      <c r="H219" s="9"/>
      <c r="I219" s="106">
        <v>65000</v>
      </c>
      <c r="J219" s="107" t="s">
        <v>1307</v>
      </c>
      <c r="K219" s="9"/>
      <c r="L219" s="9"/>
      <c r="M219" s="9"/>
      <c r="N219" s="9"/>
    </row>
    <row r="220" spans="1:14" ht="19" x14ac:dyDescent="0.2">
      <c r="A220" s="74">
        <v>1437000</v>
      </c>
      <c r="B220" s="58"/>
      <c r="C220" s="35" t="s">
        <v>10</v>
      </c>
      <c r="D220" s="13" t="s">
        <v>685</v>
      </c>
      <c r="E220" s="15">
        <v>1119000</v>
      </c>
      <c r="F220" s="9">
        <v>318000</v>
      </c>
      <c r="G220" s="9"/>
      <c r="H220" s="9"/>
      <c r="I220" s="9"/>
      <c r="J220" s="9"/>
      <c r="K220" s="9"/>
      <c r="L220" s="9"/>
      <c r="M220" s="9"/>
      <c r="N220" s="9"/>
    </row>
    <row r="221" spans="1:14" ht="19" x14ac:dyDescent="0.2">
      <c r="A221" s="74"/>
      <c r="B221" s="58"/>
      <c r="C221" s="35"/>
      <c r="D221" s="13"/>
      <c r="E221" s="15"/>
      <c r="F221" s="9"/>
      <c r="G221" s="9"/>
      <c r="H221" s="9"/>
      <c r="I221" s="9"/>
      <c r="J221" s="9"/>
      <c r="K221" s="9"/>
      <c r="L221" s="9"/>
      <c r="M221" s="9"/>
      <c r="N221" s="9"/>
    </row>
    <row r="222" spans="1:14" ht="19" x14ac:dyDescent="0.2">
      <c r="A222" s="74">
        <v>1213000</v>
      </c>
      <c r="B222" s="58">
        <v>44954</v>
      </c>
      <c r="C222" s="35" t="s">
        <v>9</v>
      </c>
      <c r="D222" s="13" t="s">
        <v>405</v>
      </c>
      <c r="E222" s="15">
        <v>1041000</v>
      </c>
      <c r="F222" s="9">
        <v>172000</v>
      </c>
      <c r="G222" s="9"/>
      <c r="H222" s="9"/>
      <c r="I222" s="9">
        <v>310000</v>
      </c>
      <c r="J222" s="9" t="s">
        <v>1308</v>
      </c>
      <c r="K222" s="9"/>
      <c r="L222" s="9"/>
      <c r="M222" s="9"/>
      <c r="N222" s="9"/>
    </row>
    <row r="223" spans="1:14" ht="19" x14ac:dyDescent="0.2">
      <c r="A223" s="74"/>
      <c r="B223" s="58"/>
      <c r="C223" s="35"/>
      <c r="D223" s="13"/>
      <c r="E223" s="15"/>
      <c r="F223" s="9"/>
      <c r="G223" s="9"/>
      <c r="H223" s="9"/>
      <c r="I223" s="9">
        <v>310000</v>
      </c>
      <c r="J223" s="9" t="s">
        <v>1309</v>
      </c>
      <c r="K223" s="9"/>
      <c r="L223" s="9"/>
      <c r="M223" s="9"/>
      <c r="N223" s="9"/>
    </row>
    <row r="224" spans="1:14" ht="19" x14ac:dyDescent="0.2">
      <c r="A224" s="74"/>
      <c r="B224" s="58"/>
      <c r="C224" s="35"/>
      <c r="D224" s="13"/>
      <c r="E224" s="15"/>
      <c r="F224" s="9"/>
      <c r="G224" s="9"/>
      <c r="H224" s="9"/>
      <c r="I224" s="9">
        <v>60000</v>
      </c>
      <c r="J224" s="9" t="s">
        <v>1259</v>
      </c>
      <c r="K224" s="9"/>
      <c r="L224" s="9"/>
      <c r="M224" s="9"/>
      <c r="N224" s="9"/>
    </row>
    <row r="225" spans="1:14" ht="19" x14ac:dyDescent="0.2">
      <c r="A225" s="74"/>
      <c r="B225" s="58"/>
      <c r="C225" s="35"/>
      <c r="D225" s="13"/>
      <c r="E225" s="15"/>
      <c r="F225" s="9"/>
      <c r="G225" s="9"/>
      <c r="H225" s="9"/>
      <c r="I225" s="9">
        <v>78000</v>
      </c>
      <c r="J225" s="9" t="s">
        <v>1310</v>
      </c>
      <c r="K225" s="9"/>
      <c r="L225" s="9"/>
      <c r="M225" s="9"/>
      <c r="N225" s="9"/>
    </row>
    <row r="226" spans="1:14" ht="19" x14ac:dyDescent="0.2">
      <c r="A226" s="74"/>
      <c r="B226" s="58"/>
      <c r="C226" s="35"/>
      <c r="D226" s="13"/>
      <c r="E226" s="15"/>
      <c r="F226" s="9"/>
      <c r="G226" s="9"/>
      <c r="H226" s="9"/>
      <c r="I226" s="9">
        <v>220000</v>
      </c>
      <c r="J226" s="9" t="s">
        <v>1311</v>
      </c>
      <c r="K226" s="9"/>
      <c r="L226" s="9"/>
      <c r="M226" s="9"/>
      <c r="N226" s="9"/>
    </row>
    <row r="227" spans="1:14" ht="19" x14ac:dyDescent="0.2">
      <c r="A227" s="101"/>
      <c r="B227" s="58"/>
      <c r="C227" s="35"/>
      <c r="D227" s="102"/>
      <c r="E227" s="15"/>
      <c r="F227" s="9"/>
      <c r="G227" s="9"/>
      <c r="H227" s="9"/>
      <c r="I227" s="9"/>
      <c r="J227" s="9"/>
      <c r="K227" s="9"/>
      <c r="L227" s="9"/>
      <c r="M227" s="9"/>
      <c r="N227" s="9"/>
    </row>
    <row r="228" spans="1:14" ht="19" x14ac:dyDescent="0.2">
      <c r="A228" s="61">
        <v>1199000</v>
      </c>
      <c r="B228" s="58"/>
      <c r="C228" s="49" t="s">
        <v>10</v>
      </c>
      <c r="D228" s="13" t="s">
        <v>685</v>
      </c>
      <c r="E228" s="15">
        <v>1139000</v>
      </c>
      <c r="F228" s="9">
        <v>60000</v>
      </c>
      <c r="G228" s="9"/>
      <c r="H228" s="9"/>
      <c r="I228" s="106">
        <v>50000</v>
      </c>
      <c r="J228" s="106" t="s">
        <v>123</v>
      </c>
      <c r="K228" s="9"/>
      <c r="L228" s="9"/>
      <c r="M228" s="9"/>
      <c r="N228" s="9"/>
    </row>
    <row r="229" spans="1:14" ht="19" x14ac:dyDescent="0.2">
      <c r="A229" s="101"/>
      <c r="B229" s="58"/>
      <c r="C229" s="35"/>
      <c r="D229" s="102"/>
      <c r="E229" s="15"/>
      <c r="F229" s="9"/>
      <c r="G229" s="9"/>
      <c r="H229" s="9"/>
      <c r="I229" s="9">
        <v>200000</v>
      </c>
      <c r="J229" s="9" t="s">
        <v>653</v>
      </c>
      <c r="K229" s="9"/>
      <c r="L229" s="9"/>
      <c r="M229" s="9"/>
      <c r="N229" s="9"/>
    </row>
    <row r="230" spans="1:14" ht="19" x14ac:dyDescent="0.2">
      <c r="A230" s="101"/>
      <c r="B230" s="58"/>
      <c r="C230" s="35"/>
      <c r="D230" s="102"/>
      <c r="E230" s="15"/>
      <c r="F230" s="9"/>
      <c r="G230" s="9"/>
      <c r="H230" s="9"/>
      <c r="I230" s="9">
        <v>35000</v>
      </c>
      <c r="J230" s="9" t="s">
        <v>1312</v>
      </c>
      <c r="K230" s="9"/>
      <c r="L230" s="9"/>
      <c r="M230" s="9"/>
      <c r="N230" s="9"/>
    </row>
    <row r="231" spans="1:14" ht="19" x14ac:dyDescent="0.2">
      <c r="A231" s="61"/>
      <c r="B231" s="58"/>
      <c r="C231" s="49"/>
      <c r="D231" s="13"/>
      <c r="E231" s="15"/>
      <c r="F231" s="9"/>
      <c r="G231" s="9"/>
      <c r="H231" s="9"/>
      <c r="I231" s="9">
        <v>100000</v>
      </c>
      <c r="J231" s="9" t="s">
        <v>1246</v>
      </c>
      <c r="K231" s="9"/>
      <c r="L231" s="9"/>
      <c r="M231" s="9"/>
      <c r="N231" s="9"/>
    </row>
    <row r="232" spans="1:14" ht="19" x14ac:dyDescent="0.2">
      <c r="A232" s="74"/>
      <c r="B232" s="58"/>
      <c r="C232" s="49"/>
      <c r="D232" s="13"/>
      <c r="E232" s="15"/>
      <c r="F232" s="9"/>
      <c r="G232" s="9"/>
      <c r="H232" s="9"/>
      <c r="I232" s="9">
        <v>200000</v>
      </c>
      <c r="J232" s="9" t="s">
        <v>1313</v>
      </c>
      <c r="K232" s="9"/>
      <c r="L232" s="9"/>
      <c r="M232" s="9"/>
      <c r="N232" s="9"/>
    </row>
    <row r="233" spans="1:14" ht="19" x14ac:dyDescent="0.2">
      <c r="A233" s="61">
        <v>1420000</v>
      </c>
      <c r="B233" s="58">
        <v>44955</v>
      </c>
      <c r="C233" s="49" t="s">
        <v>9</v>
      </c>
      <c r="D233" s="13" t="s">
        <v>405</v>
      </c>
      <c r="E233" s="15">
        <v>1214000</v>
      </c>
      <c r="F233" s="9">
        <v>206000</v>
      </c>
      <c r="G233" s="9"/>
      <c r="H233" s="9"/>
      <c r="I233" s="9"/>
      <c r="J233" s="9"/>
      <c r="K233" s="9"/>
      <c r="L233" s="9"/>
      <c r="M233" s="9"/>
      <c r="N233" s="9"/>
    </row>
    <row r="234" spans="1:14" ht="19" x14ac:dyDescent="0.2">
      <c r="A234" s="61"/>
      <c r="B234" s="58"/>
      <c r="C234" s="49"/>
      <c r="D234" s="13"/>
      <c r="E234" s="15"/>
      <c r="F234" s="9"/>
      <c r="G234" s="9"/>
      <c r="H234" s="9"/>
      <c r="I234" s="9"/>
      <c r="J234" s="9"/>
      <c r="K234" s="9"/>
      <c r="L234" s="9"/>
      <c r="M234" s="9"/>
      <c r="N234" s="9"/>
    </row>
    <row r="235" spans="1:14" ht="19" x14ac:dyDescent="0.2">
      <c r="A235" s="61">
        <v>1089000</v>
      </c>
      <c r="B235" s="58"/>
      <c r="C235" s="49" t="s">
        <v>10</v>
      </c>
      <c r="D235" s="13" t="s">
        <v>685</v>
      </c>
      <c r="E235" s="15">
        <v>889000</v>
      </c>
      <c r="F235" s="9">
        <v>200000</v>
      </c>
      <c r="G235" s="9"/>
      <c r="H235" s="9"/>
      <c r="I235" s="9"/>
      <c r="J235" s="9"/>
      <c r="K235" s="9"/>
      <c r="L235" s="9"/>
      <c r="M235" s="9"/>
      <c r="N235" s="9"/>
    </row>
    <row r="236" spans="1:14" ht="19" x14ac:dyDescent="0.2">
      <c r="A236" s="61"/>
      <c r="B236" s="58"/>
      <c r="C236" s="49"/>
      <c r="D236" s="13"/>
      <c r="E236" s="15"/>
      <c r="F236" s="9"/>
      <c r="G236" s="9"/>
      <c r="H236" s="9"/>
      <c r="I236" s="9"/>
      <c r="J236" s="9"/>
      <c r="K236" s="9"/>
      <c r="L236" s="9"/>
      <c r="M236" s="9"/>
      <c r="N236" s="9"/>
    </row>
    <row r="237" spans="1:14" ht="19" x14ac:dyDescent="0.2">
      <c r="A237" s="74"/>
      <c r="B237" s="58"/>
      <c r="C237" s="49"/>
      <c r="D237" s="13"/>
      <c r="E237" s="15"/>
      <c r="F237" s="9"/>
      <c r="G237" s="9"/>
      <c r="H237" s="9"/>
      <c r="I237" s="9"/>
      <c r="J237" s="9"/>
      <c r="K237" s="9"/>
      <c r="L237" s="9"/>
      <c r="M237" s="9"/>
      <c r="N237" s="9"/>
    </row>
    <row r="238" spans="1:14" ht="19" x14ac:dyDescent="0.2">
      <c r="A238" s="61">
        <v>1568000</v>
      </c>
      <c r="B238" s="58">
        <v>44956</v>
      </c>
      <c r="C238" s="49" t="s">
        <v>9</v>
      </c>
      <c r="D238" s="13" t="s">
        <v>405</v>
      </c>
      <c r="E238" s="15">
        <v>1281000</v>
      </c>
      <c r="F238" s="9">
        <v>287000</v>
      </c>
      <c r="G238" s="9">
        <v>2733000</v>
      </c>
      <c r="H238" s="9" t="s">
        <v>1389</v>
      </c>
      <c r="I238" s="9">
        <v>480000</v>
      </c>
      <c r="J238" s="133" t="s">
        <v>1390</v>
      </c>
      <c r="K238" s="9"/>
      <c r="L238" s="9"/>
      <c r="M238" s="9"/>
      <c r="N238" s="9"/>
    </row>
    <row r="239" spans="1:14" ht="19" x14ac:dyDescent="0.2">
      <c r="A239" s="74"/>
      <c r="B239" s="58"/>
      <c r="C239" s="49"/>
      <c r="D239" s="13"/>
      <c r="E239" s="15"/>
      <c r="F239" s="9"/>
      <c r="G239" s="9"/>
      <c r="H239" s="9"/>
      <c r="I239" s="9">
        <v>10500</v>
      </c>
      <c r="J239" s="9" t="s">
        <v>1314</v>
      </c>
      <c r="K239" s="9"/>
      <c r="L239" s="9"/>
      <c r="M239" s="9"/>
      <c r="N239" s="9"/>
    </row>
    <row r="240" spans="1:14" ht="19" x14ac:dyDescent="0.2">
      <c r="A240" s="74"/>
      <c r="B240" s="58"/>
      <c r="C240" s="49"/>
      <c r="D240" s="13"/>
      <c r="E240" s="15"/>
      <c r="F240" s="9"/>
      <c r="G240" s="9"/>
      <c r="H240" s="9"/>
      <c r="I240" s="9">
        <v>28500</v>
      </c>
      <c r="J240" s="9" t="s">
        <v>1315</v>
      </c>
      <c r="K240" s="9"/>
      <c r="L240" s="9"/>
      <c r="M240" s="9"/>
      <c r="N240" s="9"/>
    </row>
    <row r="241" spans="1:14" ht="19" x14ac:dyDescent="0.2">
      <c r="A241" s="74"/>
      <c r="B241" s="58"/>
      <c r="C241" s="49"/>
      <c r="D241" s="13"/>
      <c r="E241" s="15"/>
      <c r="F241" s="9"/>
      <c r="G241" s="9"/>
      <c r="H241" s="9"/>
      <c r="I241" s="9">
        <v>34000</v>
      </c>
      <c r="J241" s="9" t="s">
        <v>1316</v>
      </c>
      <c r="K241" s="9"/>
      <c r="L241" s="9"/>
      <c r="M241" s="9"/>
      <c r="N241" s="9"/>
    </row>
    <row r="242" spans="1:14" ht="19" x14ac:dyDescent="0.2">
      <c r="A242" s="74"/>
      <c r="B242" s="58"/>
      <c r="C242" s="49"/>
      <c r="D242" s="13"/>
      <c r="E242" s="15"/>
      <c r="F242" s="9"/>
      <c r="G242" s="9"/>
      <c r="H242" s="9"/>
      <c r="I242" s="9">
        <v>75000</v>
      </c>
      <c r="J242" s="9" t="s">
        <v>1317</v>
      </c>
      <c r="K242" s="9"/>
      <c r="L242" s="9"/>
      <c r="M242" s="9"/>
      <c r="N242" s="9"/>
    </row>
    <row r="243" spans="1:14" ht="19" x14ac:dyDescent="0.2">
      <c r="A243" s="61"/>
      <c r="B243" s="58"/>
      <c r="C243" s="2"/>
      <c r="D243" s="13"/>
      <c r="E243" s="15"/>
      <c r="F243" s="9"/>
      <c r="G243" s="9"/>
      <c r="H243" s="9"/>
      <c r="I243" s="9"/>
      <c r="J243" s="9"/>
      <c r="K243" s="9"/>
      <c r="L243" s="9"/>
      <c r="M243" s="9"/>
      <c r="N243" s="9"/>
    </row>
    <row r="244" spans="1:14" ht="19" x14ac:dyDescent="0.2">
      <c r="A244" s="61">
        <v>1556000</v>
      </c>
      <c r="B244" s="75"/>
      <c r="C244" s="35" t="s">
        <v>10</v>
      </c>
      <c r="D244" s="13" t="s">
        <v>685</v>
      </c>
      <c r="E244" s="15">
        <v>1364000</v>
      </c>
      <c r="F244" s="9">
        <v>192000</v>
      </c>
      <c r="G244" s="9"/>
      <c r="H244" s="9"/>
      <c r="I244" s="9">
        <v>144000</v>
      </c>
      <c r="J244" s="9" t="s">
        <v>1245</v>
      </c>
      <c r="K244" s="9"/>
      <c r="L244" s="9"/>
      <c r="M244" s="9"/>
      <c r="N244" s="9"/>
    </row>
    <row r="245" spans="1:14" ht="19" x14ac:dyDescent="0.2">
      <c r="A245" s="74"/>
      <c r="B245" s="75"/>
      <c r="C245" s="35"/>
      <c r="D245" s="13"/>
      <c r="E245" s="15"/>
      <c r="F245" s="9"/>
      <c r="G245" s="9"/>
      <c r="H245" s="9"/>
      <c r="I245" s="9">
        <v>56000</v>
      </c>
      <c r="J245" s="9" t="s">
        <v>1318</v>
      </c>
      <c r="K245" s="9"/>
      <c r="L245" s="9"/>
      <c r="M245" s="9"/>
      <c r="N245" s="9"/>
    </row>
    <row r="246" spans="1:14" ht="19" x14ac:dyDescent="0.2">
      <c r="A246" s="74"/>
      <c r="B246" s="75"/>
      <c r="C246" s="35"/>
      <c r="D246" s="13"/>
      <c r="E246" s="15"/>
      <c r="F246" s="9"/>
      <c r="G246" s="9"/>
      <c r="H246" s="9"/>
      <c r="I246" s="9">
        <v>100000</v>
      </c>
      <c r="J246" s="9" t="s">
        <v>1319</v>
      </c>
      <c r="K246" s="9"/>
      <c r="L246" s="9"/>
      <c r="M246" s="9"/>
      <c r="N246" s="9"/>
    </row>
    <row r="247" spans="1:14" ht="19" x14ac:dyDescent="0.2">
      <c r="A247" s="74"/>
      <c r="B247" s="75"/>
      <c r="C247" s="35"/>
      <c r="D247" s="13"/>
      <c r="E247" s="15"/>
      <c r="F247" s="9"/>
      <c r="G247" s="9"/>
      <c r="H247" s="9"/>
      <c r="I247" s="9">
        <v>200000</v>
      </c>
      <c r="J247" s="9" t="s">
        <v>1320</v>
      </c>
      <c r="K247" s="9"/>
      <c r="L247" s="9"/>
      <c r="M247" s="9"/>
      <c r="N247" s="9"/>
    </row>
    <row r="248" spans="1:14" ht="19" x14ac:dyDescent="0.2">
      <c r="A248" s="74"/>
      <c r="B248" s="58"/>
      <c r="C248" s="35"/>
      <c r="D248" s="13"/>
      <c r="E248" s="15"/>
      <c r="F248" s="9"/>
      <c r="G248" s="9"/>
      <c r="H248" s="9"/>
      <c r="I248" s="9"/>
      <c r="J248" s="9"/>
      <c r="K248" s="9"/>
      <c r="L248" s="9"/>
      <c r="M248" s="9"/>
      <c r="N248" s="9"/>
    </row>
    <row r="249" spans="1:14" ht="19" x14ac:dyDescent="0.2">
      <c r="A249" s="61">
        <v>1416000</v>
      </c>
      <c r="B249" s="58">
        <v>44957</v>
      </c>
      <c r="C249" s="35" t="s">
        <v>440</v>
      </c>
      <c r="D249" s="13" t="s">
        <v>405</v>
      </c>
      <c r="E249" s="15">
        <v>1087000</v>
      </c>
      <c r="F249" s="9">
        <v>329000</v>
      </c>
      <c r="G249" s="9">
        <v>2100000</v>
      </c>
      <c r="H249" s="9" t="s">
        <v>1321</v>
      </c>
      <c r="I249" s="9"/>
      <c r="J249" s="9"/>
      <c r="K249" s="9"/>
      <c r="L249" s="9"/>
      <c r="M249" s="9"/>
      <c r="N249" s="9"/>
    </row>
    <row r="250" spans="1:14" ht="19" x14ac:dyDescent="0.2">
      <c r="A250" s="61"/>
      <c r="B250" s="75"/>
      <c r="C250" s="35"/>
      <c r="D250" s="13"/>
      <c r="E250" s="15"/>
      <c r="F250" s="9"/>
      <c r="G250" s="9"/>
      <c r="H250" s="9"/>
      <c r="I250" s="9"/>
      <c r="J250" s="9"/>
      <c r="K250" s="9"/>
      <c r="L250" s="9"/>
      <c r="M250" s="10"/>
      <c r="N250" s="10"/>
    </row>
    <row r="251" spans="1:14" ht="19" x14ac:dyDescent="0.2">
      <c r="A251" s="61">
        <v>1343000</v>
      </c>
      <c r="B251" s="58"/>
      <c r="C251" s="35" t="s">
        <v>10</v>
      </c>
      <c r="D251" s="13" t="s">
        <v>685</v>
      </c>
      <c r="E251" s="15">
        <v>1170000</v>
      </c>
      <c r="F251" s="9">
        <v>173000</v>
      </c>
      <c r="G251" s="9">
        <v>2240000</v>
      </c>
      <c r="H251" s="9" t="s">
        <v>1322</v>
      </c>
      <c r="I251" s="9">
        <v>17000</v>
      </c>
      <c r="J251" s="9" t="s">
        <v>1323</v>
      </c>
      <c r="K251" s="9"/>
      <c r="L251" s="9"/>
      <c r="M251" s="10"/>
      <c r="N251" s="10"/>
    </row>
    <row r="252" spans="1:14" ht="32" x14ac:dyDescent="0.2">
      <c r="A252" s="61"/>
      <c r="B252" s="75"/>
      <c r="C252" s="35"/>
      <c r="D252" s="13"/>
      <c r="E252" s="15"/>
      <c r="F252" s="9"/>
      <c r="G252" s="9">
        <v>1508000</v>
      </c>
      <c r="H252" s="47" t="s">
        <v>1392</v>
      </c>
      <c r="I252" s="9"/>
      <c r="J252" s="9"/>
      <c r="K252" s="9"/>
      <c r="L252" s="9"/>
      <c r="M252" s="10"/>
      <c r="N252" s="10"/>
    </row>
    <row r="253" spans="1:14" ht="19" x14ac:dyDescent="0.2">
      <c r="A253" s="61"/>
      <c r="B253" s="75"/>
      <c r="C253" s="35"/>
      <c r="D253" s="13"/>
      <c r="E253" s="15"/>
      <c r="F253" s="9"/>
      <c r="G253" s="9">
        <v>1000000</v>
      </c>
      <c r="H253" s="9" t="s">
        <v>717</v>
      </c>
      <c r="I253" s="9"/>
      <c r="J253" s="9"/>
      <c r="K253" s="9"/>
      <c r="L253" s="9"/>
      <c r="M253" s="10"/>
      <c r="N253" s="10"/>
    </row>
    <row r="254" spans="1:14" ht="19" x14ac:dyDescent="0.2">
      <c r="A254" s="61"/>
      <c r="B254" s="75"/>
      <c r="C254" s="35"/>
      <c r="D254" s="13"/>
      <c r="E254" s="15"/>
      <c r="F254" s="9"/>
      <c r="G254" s="9"/>
      <c r="H254" s="9"/>
      <c r="I254" s="9"/>
      <c r="J254" s="9"/>
      <c r="K254" s="9"/>
      <c r="L254" s="9"/>
      <c r="M254" s="10"/>
      <c r="N254" s="10"/>
    </row>
    <row r="255" spans="1:14" ht="19" x14ac:dyDescent="0.2">
      <c r="A255" s="61"/>
      <c r="B255" s="75"/>
      <c r="C255" s="35"/>
      <c r="D255" s="13"/>
      <c r="E255" s="15"/>
      <c r="F255" s="9"/>
      <c r="G255" s="9"/>
      <c r="H255" s="9"/>
      <c r="I255" s="9"/>
      <c r="J255" s="9"/>
      <c r="K255" s="9"/>
      <c r="L255" s="9"/>
      <c r="M255" s="10"/>
      <c r="N255" s="10"/>
    </row>
    <row r="256" spans="1:14" ht="19" x14ac:dyDescent="0.2">
      <c r="A256" s="80"/>
      <c r="B256" s="81"/>
      <c r="C256" s="82"/>
      <c r="D256" s="83"/>
      <c r="E256" s="84"/>
      <c r="F256" s="10"/>
      <c r="G256" s="10"/>
      <c r="H256" s="10"/>
      <c r="I256" s="10"/>
      <c r="J256" s="10"/>
      <c r="K256" s="10"/>
      <c r="L256" s="10"/>
      <c r="M256" s="10"/>
      <c r="N256" s="10"/>
    </row>
  </sheetData>
  <mergeCells count="1">
    <mergeCell ref="F5:G5"/>
  </mergeCells>
  <phoneticPr fontId="31" alignment="center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N254"/>
  <sheetViews>
    <sheetView zoomScale="60" zoomScaleNormal="60" zoomScaleSheetLayoutView="100" workbookViewId="0">
      <selection activeCell="I59" sqref="I59"/>
    </sheetView>
  </sheetViews>
  <sheetFormatPr baseColWidth="10" defaultColWidth="8.83203125" defaultRowHeight="15" x14ac:dyDescent="0.2"/>
  <cols>
    <col min="1" max="1" width="26.6640625" customWidth="1"/>
    <col min="2" max="2" width="11.6640625" customWidth="1"/>
    <col min="3" max="3" width="18.5" customWidth="1"/>
    <col min="4" max="4" width="13.6640625" customWidth="1"/>
    <col min="5" max="5" width="23.83203125" customWidth="1"/>
    <col min="6" max="7" width="23.5" bestFit="1" customWidth="1"/>
    <col min="8" max="8" width="29.6640625" customWidth="1"/>
    <col min="9" max="9" width="24.6640625" customWidth="1"/>
    <col min="10" max="10" width="32.5" customWidth="1"/>
  </cols>
  <sheetData>
    <row r="3" spans="1:14" ht="21" x14ac:dyDescent="0.2">
      <c r="G3" s="73"/>
      <c r="H3" s="71" t="s">
        <v>174</v>
      </c>
      <c r="I3" s="71">
        <f>L10/A10</f>
        <v>0</v>
      </c>
    </row>
    <row r="4" spans="1:14" ht="21" x14ac:dyDescent="0.2">
      <c r="F4" s="306" t="s">
        <v>1488</v>
      </c>
      <c r="G4" s="307"/>
      <c r="H4" s="71" t="s">
        <v>175</v>
      </c>
      <c r="I4" s="71">
        <v>14325500</v>
      </c>
      <c r="J4" s="72">
        <f>I4/10820</f>
        <v>1323.9833641404805</v>
      </c>
    </row>
    <row r="5" spans="1:14" ht="24" x14ac:dyDescent="0.3">
      <c r="B5" s="99" t="s">
        <v>1485</v>
      </c>
      <c r="G5" s="73"/>
      <c r="H5" s="71" t="s">
        <v>176</v>
      </c>
      <c r="I5" s="71">
        <v>6139500</v>
      </c>
      <c r="J5" s="72">
        <f>I5/10820</f>
        <v>567.42144177449165</v>
      </c>
    </row>
    <row r="6" spans="1:14" ht="24" x14ac:dyDescent="0.3">
      <c r="B6" s="99"/>
      <c r="G6" s="73"/>
      <c r="H6" s="71" t="s">
        <v>178</v>
      </c>
      <c r="I6" s="71" t="s">
        <v>1486</v>
      </c>
      <c r="J6" s="72">
        <v>3861339</v>
      </c>
      <c r="L6" s="85"/>
      <c r="M6" s="85"/>
    </row>
    <row r="7" spans="1:14" ht="26" x14ac:dyDescent="0.3">
      <c r="B7" s="100" t="s">
        <v>1538</v>
      </c>
    </row>
    <row r="9" spans="1:14" ht="19" x14ac:dyDescent="0.2">
      <c r="A9" s="109" t="s">
        <v>0</v>
      </c>
      <c r="B9" s="110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 t="s">
        <v>1</v>
      </c>
      <c r="L9" s="114" t="s">
        <v>15</v>
      </c>
      <c r="M9" s="115" t="s">
        <v>397</v>
      </c>
      <c r="N9" s="115" t="s">
        <v>398</v>
      </c>
    </row>
    <row r="10" spans="1:14" ht="21" x14ac:dyDescent="0.2">
      <c r="A10" s="64">
        <f>SUM(A11:A254)</f>
        <v>76112000</v>
      </c>
      <c r="B10" s="65"/>
      <c r="C10" s="66" t="s">
        <v>13</v>
      </c>
      <c r="D10" s="67"/>
      <c r="E10" s="68">
        <f>SUM(E11:E254)</f>
        <v>60810000</v>
      </c>
      <c r="F10" s="69">
        <f>SUM(F11:F254)</f>
        <v>15302000</v>
      </c>
      <c r="G10" s="69">
        <f>SUM(G11:G254)</f>
        <v>24337000</v>
      </c>
      <c r="H10" s="69"/>
      <c r="I10" s="69">
        <f>SUM(I11:I254)</f>
        <v>16008000</v>
      </c>
      <c r="J10" s="69"/>
      <c r="K10" s="69"/>
      <c r="L10" s="69"/>
      <c r="M10" s="8"/>
      <c r="N10" s="8"/>
    </row>
    <row r="11" spans="1:14" ht="19" x14ac:dyDescent="0.2">
      <c r="A11" s="61">
        <v>1707000</v>
      </c>
      <c r="B11" s="58">
        <v>44958</v>
      </c>
      <c r="C11" s="3" t="s">
        <v>440</v>
      </c>
      <c r="D11" s="13" t="s">
        <v>565</v>
      </c>
      <c r="E11" s="9">
        <v>1248000</v>
      </c>
      <c r="F11" s="9">
        <v>459000</v>
      </c>
      <c r="G11" s="9">
        <v>409000</v>
      </c>
      <c r="H11" s="9" t="s">
        <v>1399</v>
      </c>
      <c r="I11" s="9">
        <v>35000</v>
      </c>
      <c r="J11" s="9" t="s">
        <v>645</v>
      </c>
      <c r="K11" s="9"/>
      <c r="L11" s="9"/>
      <c r="M11" s="9"/>
      <c r="N11" s="9"/>
    </row>
    <row r="12" spans="1:14" ht="19" x14ac:dyDescent="0.2">
      <c r="A12" s="101"/>
      <c r="B12" s="58"/>
      <c r="C12" s="49"/>
      <c r="D12" s="102"/>
      <c r="E12" s="15"/>
      <c r="F12" s="9"/>
      <c r="G12" s="9"/>
      <c r="H12" s="9"/>
      <c r="I12" s="9">
        <v>25000</v>
      </c>
      <c r="J12" s="9" t="s">
        <v>672</v>
      </c>
      <c r="K12" s="9"/>
      <c r="L12" s="9"/>
      <c r="M12" s="9"/>
      <c r="N12" s="9"/>
    </row>
    <row r="13" spans="1:14" ht="19" x14ac:dyDescent="0.2">
      <c r="A13" s="101"/>
      <c r="B13" s="58"/>
      <c r="C13" s="49"/>
      <c r="D13" s="102"/>
      <c r="E13" s="15"/>
      <c r="F13" s="9"/>
      <c r="G13" s="9"/>
      <c r="H13" s="9"/>
      <c r="I13" s="9">
        <v>13500</v>
      </c>
      <c r="J13" s="9" t="s">
        <v>1394</v>
      </c>
      <c r="K13" s="9"/>
      <c r="L13" s="9"/>
      <c r="M13" s="9"/>
      <c r="N13" s="9"/>
    </row>
    <row r="14" spans="1:14" ht="19" x14ac:dyDescent="0.2">
      <c r="A14" s="101"/>
      <c r="B14" s="58"/>
      <c r="C14" s="49"/>
      <c r="D14" s="102"/>
      <c r="E14" s="15"/>
      <c r="F14" s="9"/>
      <c r="G14" s="9"/>
      <c r="H14" s="9"/>
      <c r="I14" s="9">
        <v>76500</v>
      </c>
      <c r="J14" s="9" t="s">
        <v>1395</v>
      </c>
      <c r="K14" s="9"/>
      <c r="L14" s="9"/>
      <c r="M14" s="9"/>
      <c r="N14" s="9"/>
    </row>
    <row r="15" spans="1:14" ht="19" x14ac:dyDescent="0.2">
      <c r="A15" s="101"/>
      <c r="B15" s="58"/>
      <c r="C15" s="49"/>
      <c r="D15" s="102"/>
      <c r="E15" s="15"/>
      <c r="F15" s="9"/>
      <c r="G15" s="9"/>
      <c r="H15" s="9"/>
      <c r="I15" s="9">
        <v>105000</v>
      </c>
      <c r="J15" s="9" t="s">
        <v>1396</v>
      </c>
      <c r="K15" s="9"/>
      <c r="L15" s="9"/>
      <c r="M15" s="9"/>
      <c r="N15" s="9"/>
    </row>
    <row r="16" spans="1:14" ht="19" x14ac:dyDescent="0.2">
      <c r="A16" s="101">
        <v>824000</v>
      </c>
      <c r="B16" s="58"/>
      <c r="C16" s="49" t="s">
        <v>363</v>
      </c>
      <c r="D16" s="102" t="s">
        <v>685</v>
      </c>
      <c r="E16" s="15">
        <v>726000</v>
      </c>
      <c r="F16" s="9">
        <v>98000</v>
      </c>
      <c r="G16" s="9"/>
      <c r="H16" s="9"/>
      <c r="I16" s="9">
        <v>104000</v>
      </c>
      <c r="J16" s="9" t="s">
        <v>807</v>
      </c>
      <c r="K16" s="9"/>
      <c r="L16" s="9"/>
      <c r="M16" s="9"/>
      <c r="N16" s="9"/>
    </row>
    <row r="17" spans="1:14" ht="19" x14ac:dyDescent="0.2">
      <c r="A17" s="101"/>
      <c r="B17" s="58"/>
      <c r="C17" s="49"/>
      <c r="D17" s="102"/>
      <c r="E17" s="15"/>
      <c r="F17" s="9"/>
      <c r="G17" s="9"/>
      <c r="H17" s="9"/>
      <c r="I17" s="9">
        <v>240000</v>
      </c>
      <c r="J17" s="9" t="s">
        <v>1397</v>
      </c>
      <c r="K17" s="9"/>
      <c r="L17" s="9"/>
      <c r="M17" s="9"/>
      <c r="N17" s="9"/>
    </row>
    <row r="18" spans="1:14" ht="19" x14ac:dyDescent="0.2">
      <c r="A18" s="61">
        <v>2083000</v>
      </c>
      <c r="B18" s="58">
        <v>44959</v>
      </c>
      <c r="C18" s="35" t="s">
        <v>9</v>
      </c>
      <c r="D18" s="13" t="s">
        <v>565</v>
      </c>
      <c r="E18" s="15">
        <v>1637000</v>
      </c>
      <c r="F18" s="9">
        <v>446000</v>
      </c>
      <c r="G18" s="60"/>
      <c r="H18" s="60"/>
      <c r="I18" s="9">
        <v>31000</v>
      </c>
      <c r="J18" s="9" t="s">
        <v>714</v>
      </c>
      <c r="K18" s="9"/>
      <c r="L18" s="9"/>
      <c r="M18" s="9"/>
      <c r="N18" s="9"/>
    </row>
    <row r="19" spans="1:14" ht="19" x14ac:dyDescent="0.2">
      <c r="A19" s="74"/>
      <c r="B19" s="58"/>
      <c r="C19" s="35"/>
      <c r="D19" s="13"/>
      <c r="E19" s="15"/>
      <c r="F19" s="9"/>
      <c r="G19" s="9"/>
      <c r="H19" s="9"/>
      <c r="I19" s="9">
        <v>21500</v>
      </c>
      <c r="J19" s="9" t="s">
        <v>1398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14000</v>
      </c>
      <c r="J20" s="9" t="s">
        <v>825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9">
        <v>750000</v>
      </c>
      <c r="J21" s="9" t="s">
        <v>1400</v>
      </c>
      <c r="K21" s="9"/>
      <c r="L21" s="9"/>
      <c r="M21" s="9"/>
      <c r="N21" s="9"/>
    </row>
    <row r="22" spans="1:14" ht="19" x14ac:dyDescent="0.2">
      <c r="A22" s="101"/>
      <c r="B22" s="58"/>
      <c r="C22" s="35"/>
      <c r="D22" s="102"/>
      <c r="E22" s="15"/>
      <c r="F22" s="9"/>
      <c r="G22" s="9"/>
      <c r="H22" s="9"/>
      <c r="I22" s="9">
        <v>310000</v>
      </c>
      <c r="J22" s="47" t="s">
        <v>1030</v>
      </c>
      <c r="K22" s="9"/>
      <c r="L22" s="9"/>
      <c r="M22" s="9"/>
      <c r="N22" s="9"/>
    </row>
    <row r="23" spans="1:14" ht="32" customHeight="1" x14ac:dyDescent="0.2">
      <c r="A23" s="101"/>
      <c r="B23" s="58"/>
      <c r="C23" s="35"/>
      <c r="D23" s="102"/>
      <c r="E23" s="15"/>
      <c r="F23" s="9"/>
      <c r="G23" s="9"/>
      <c r="H23" s="9"/>
      <c r="I23" s="9">
        <v>310000</v>
      </c>
      <c r="J23" s="47" t="s">
        <v>828</v>
      </c>
      <c r="K23" s="9"/>
      <c r="L23" s="9"/>
      <c r="M23" s="9"/>
      <c r="N23" s="9"/>
    </row>
    <row r="24" spans="1:14" ht="19" x14ac:dyDescent="0.2">
      <c r="A24" s="101"/>
      <c r="B24" s="58"/>
      <c r="C24" s="35"/>
      <c r="D24" s="102"/>
      <c r="E24" s="15"/>
      <c r="F24" s="9"/>
      <c r="G24" s="9"/>
      <c r="H24" s="9"/>
      <c r="I24" s="9">
        <v>60000</v>
      </c>
      <c r="J24" s="9" t="s">
        <v>585</v>
      </c>
      <c r="K24" s="9"/>
      <c r="L24" s="9"/>
      <c r="M24" s="9"/>
      <c r="N24" s="9"/>
    </row>
    <row r="25" spans="1:14" ht="19" x14ac:dyDescent="0.2">
      <c r="A25" s="101"/>
      <c r="B25" s="58"/>
      <c r="C25" s="35"/>
      <c r="D25" s="102"/>
      <c r="E25" s="15"/>
      <c r="F25" s="9"/>
      <c r="G25" s="9"/>
      <c r="H25" s="9"/>
      <c r="I25" s="9">
        <v>75000</v>
      </c>
      <c r="J25" s="9" t="s">
        <v>1402</v>
      </c>
      <c r="K25" s="9"/>
      <c r="L25" s="9"/>
      <c r="M25" s="9"/>
      <c r="N25" s="9"/>
    </row>
    <row r="26" spans="1:14" ht="19" x14ac:dyDescent="0.2">
      <c r="A26" s="101"/>
      <c r="B26" s="58"/>
      <c r="C26" s="35"/>
      <c r="D26" s="102"/>
      <c r="E26" s="15"/>
      <c r="F26" s="9"/>
      <c r="G26" s="9"/>
      <c r="H26" s="9"/>
      <c r="I26" s="9">
        <v>400000</v>
      </c>
      <c r="J26" s="9" t="s">
        <v>1403</v>
      </c>
      <c r="K26" s="9"/>
      <c r="L26" s="9"/>
      <c r="M26" s="9"/>
      <c r="N26" s="9"/>
    </row>
    <row r="27" spans="1:14" ht="19" x14ac:dyDescent="0.2">
      <c r="A27" s="101"/>
      <c r="B27" s="58"/>
      <c r="C27" s="35"/>
      <c r="D27" s="102"/>
      <c r="E27" s="15"/>
      <c r="F27" s="9"/>
      <c r="G27" s="9"/>
      <c r="H27" s="9"/>
      <c r="I27" s="9">
        <v>200000</v>
      </c>
      <c r="J27" s="9" t="s">
        <v>653</v>
      </c>
      <c r="K27" s="9"/>
      <c r="L27" s="9"/>
      <c r="M27" s="9"/>
      <c r="N27" s="9"/>
    </row>
    <row r="28" spans="1:14" ht="19" x14ac:dyDescent="0.2">
      <c r="A28" s="101"/>
      <c r="B28" s="58"/>
      <c r="C28" s="35"/>
      <c r="D28" s="102"/>
      <c r="E28" s="15"/>
      <c r="F28" s="9"/>
      <c r="G28" s="9"/>
      <c r="H28" s="9"/>
      <c r="I28" s="9">
        <v>35000</v>
      </c>
      <c r="J28" s="9" t="s">
        <v>655</v>
      </c>
      <c r="K28" s="9"/>
      <c r="L28" s="9"/>
      <c r="M28" s="9"/>
      <c r="N28" s="9"/>
    </row>
    <row r="29" spans="1:14" ht="19" x14ac:dyDescent="0.2">
      <c r="A29" s="101"/>
      <c r="B29" s="58"/>
      <c r="C29" s="35"/>
      <c r="D29" s="102"/>
      <c r="E29" s="15"/>
      <c r="F29" s="9"/>
      <c r="G29" s="9"/>
      <c r="H29" s="9"/>
      <c r="I29" s="9">
        <v>100000</v>
      </c>
      <c r="J29" s="9" t="s">
        <v>827</v>
      </c>
      <c r="K29" s="9"/>
      <c r="L29" s="9"/>
      <c r="M29" s="9"/>
      <c r="N29" s="9"/>
    </row>
    <row r="30" spans="1:14" ht="19" x14ac:dyDescent="0.2">
      <c r="A30" s="101"/>
      <c r="B30" s="58"/>
      <c r="C30" s="35"/>
      <c r="D30" s="102"/>
      <c r="E30" s="15"/>
      <c r="F30" s="9"/>
      <c r="G30" s="9"/>
      <c r="H30" s="9"/>
      <c r="I30" s="9"/>
      <c r="J30" s="9"/>
      <c r="K30" s="9"/>
      <c r="L30" s="9"/>
      <c r="M30" s="9"/>
      <c r="N30" s="9"/>
    </row>
    <row r="31" spans="1:14" ht="19" x14ac:dyDescent="0.2">
      <c r="A31" s="74">
        <v>1548000</v>
      </c>
      <c r="B31" s="58"/>
      <c r="C31" s="35" t="s">
        <v>363</v>
      </c>
      <c r="D31" s="13" t="s">
        <v>685</v>
      </c>
      <c r="E31" s="15">
        <v>1076000</v>
      </c>
      <c r="F31" s="9">
        <v>472000</v>
      </c>
      <c r="G31" s="9">
        <v>3405000</v>
      </c>
      <c r="H31" s="9" t="s">
        <v>1401</v>
      </c>
      <c r="I31" s="9"/>
      <c r="J31" s="9"/>
      <c r="K31" s="9"/>
      <c r="L31" s="9"/>
      <c r="M31" s="9"/>
      <c r="N31" s="9"/>
    </row>
    <row r="32" spans="1:14" ht="19" x14ac:dyDescent="0.2">
      <c r="A32" s="74"/>
      <c r="B32" s="58"/>
      <c r="C32" s="35"/>
      <c r="D32" s="13"/>
      <c r="E32" s="15"/>
      <c r="F32" s="9"/>
      <c r="G32" s="9"/>
      <c r="H32" s="9"/>
      <c r="I32" s="9"/>
      <c r="J32" s="9"/>
      <c r="K32" s="9"/>
      <c r="L32" s="9"/>
      <c r="M32" s="9"/>
      <c r="N32" s="9"/>
    </row>
    <row r="33" spans="1:14" ht="19" x14ac:dyDescent="0.2">
      <c r="A33" s="74"/>
      <c r="B33" s="58"/>
      <c r="C33" s="35"/>
      <c r="D33" s="13"/>
      <c r="E33" s="15"/>
      <c r="F33" s="9"/>
      <c r="G33" s="9"/>
      <c r="H33" s="9"/>
      <c r="I33" s="9"/>
      <c r="J33" s="9"/>
      <c r="K33" s="9"/>
      <c r="L33" s="9"/>
      <c r="M33" s="9"/>
      <c r="N33" s="9"/>
    </row>
    <row r="34" spans="1:14" ht="19" x14ac:dyDescent="0.2">
      <c r="A34" s="61"/>
      <c r="B34" s="58"/>
      <c r="C34" s="3"/>
      <c r="D34" s="13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9" x14ac:dyDescent="0.2">
      <c r="A35" s="61">
        <v>1320000</v>
      </c>
      <c r="B35" s="58">
        <v>44960</v>
      </c>
      <c r="C35" s="49" t="s">
        <v>440</v>
      </c>
      <c r="D35" s="13" t="s">
        <v>565</v>
      </c>
      <c r="E35" s="15">
        <v>836000</v>
      </c>
      <c r="F35" s="9">
        <v>484000</v>
      </c>
      <c r="G35" s="9"/>
      <c r="H35" s="9"/>
      <c r="I35" s="9">
        <v>104000</v>
      </c>
      <c r="J35" s="9" t="s">
        <v>807</v>
      </c>
      <c r="K35" s="9"/>
      <c r="L35" s="9"/>
      <c r="M35" s="9"/>
      <c r="N35" s="9"/>
    </row>
    <row r="36" spans="1:14" ht="19" x14ac:dyDescent="0.2">
      <c r="A36" s="74"/>
      <c r="B36" s="58"/>
      <c r="C36" s="49"/>
      <c r="D36" s="13"/>
      <c r="E36" s="15"/>
      <c r="F36" s="9"/>
      <c r="G36" s="9"/>
      <c r="H36" s="9"/>
      <c r="I36" s="9"/>
      <c r="J36" s="9"/>
      <c r="K36" s="9"/>
      <c r="L36" s="9"/>
      <c r="M36" s="9"/>
      <c r="N36" s="9"/>
    </row>
    <row r="37" spans="1:14" ht="19" x14ac:dyDescent="0.2">
      <c r="A37" s="61"/>
      <c r="B37" s="58"/>
      <c r="C37" s="3"/>
      <c r="D37" s="13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ht="19" x14ac:dyDescent="0.2">
      <c r="A38" s="74">
        <v>976000</v>
      </c>
      <c r="B38" s="58"/>
      <c r="C38" s="49" t="s">
        <v>363</v>
      </c>
      <c r="D38" s="13" t="s">
        <v>685</v>
      </c>
      <c r="E38" s="15">
        <v>836000</v>
      </c>
      <c r="F38" s="9">
        <v>140000</v>
      </c>
      <c r="G38" s="9"/>
      <c r="H38" s="9"/>
      <c r="I38" s="9"/>
      <c r="J38" s="9"/>
      <c r="K38" s="9"/>
      <c r="L38" s="9"/>
      <c r="M38" s="9"/>
      <c r="N38" s="9"/>
    </row>
    <row r="39" spans="1:14" ht="19" x14ac:dyDescent="0.2">
      <c r="A39" s="61"/>
      <c r="B39" s="58"/>
      <c r="C39" s="49"/>
      <c r="D39" s="13"/>
      <c r="E39" s="15"/>
      <c r="F39" s="9"/>
      <c r="G39" s="9"/>
      <c r="H39" s="9"/>
      <c r="I39" s="9"/>
      <c r="J39" s="9"/>
      <c r="K39" s="9"/>
      <c r="L39" s="9"/>
      <c r="M39" s="9"/>
      <c r="N39" s="9"/>
    </row>
    <row r="40" spans="1:14" ht="19" x14ac:dyDescent="0.2">
      <c r="A40" s="101"/>
      <c r="B40" s="58"/>
      <c r="C40" s="49"/>
      <c r="D40" s="102"/>
      <c r="E40" s="15"/>
      <c r="F40" s="9"/>
      <c r="G40" s="9"/>
      <c r="H40" s="9"/>
      <c r="I40" s="9"/>
      <c r="J40" s="9"/>
      <c r="K40" s="9"/>
      <c r="L40" s="9"/>
      <c r="M40" s="9"/>
      <c r="N40" s="9"/>
    </row>
    <row r="41" spans="1:14" ht="19" x14ac:dyDescent="0.2">
      <c r="A41" s="101"/>
      <c r="B41" s="58"/>
      <c r="C41" s="49"/>
      <c r="D41" s="102"/>
      <c r="E41" s="15"/>
      <c r="F41" s="9"/>
      <c r="G41" s="9"/>
      <c r="H41" s="9"/>
      <c r="I41" s="9"/>
      <c r="J41" s="9"/>
      <c r="K41" s="9"/>
      <c r="L41" s="9"/>
      <c r="M41" s="9"/>
      <c r="N41" s="9"/>
    </row>
    <row r="42" spans="1:14" ht="19" x14ac:dyDescent="0.2">
      <c r="A42" s="101">
        <v>1579000</v>
      </c>
      <c r="B42" s="58">
        <v>44961</v>
      </c>
      <c r="C42" s="49" t="s">
        <v>440</v>
      </c>
      <c r="D42" s="102" t="s">
        <v>565</v>
      </c>
      <c r="E42" s="15">
        <v>1229000</v>
      </c>
      <c r="F42" s="9">
        <v>350000</v>
      </c>
      <c r="G42" s="9"/>
      <c r="H42" s="9"/>
      <c r="I42" s="9">
        <v>100000</v>
      </c>
      <c r="J42" s="9" t="s">
        <v>889</v>
      </c>
      <c r="K42" s="9"/>
      <c r="L42" s="9"/>
      <c r="M42" s="9"/>
      <c r="N42" s="9"/>
    </row>
    <row r="43" spans="1:14" ht="19" x14ac:dyDescent="0.2">
      <c r="A43" s="101"/>
      <c r="B43" s="58"/>
      <c r="C43" s="49"/>
      <c r="D43" s="102"/>
      <c r="E43" s="15"/>
      <c r="F43" s="9"/>
      <c r="G43" s="9"/>
      <c r="H43" s="9"/>
      <c r="I43" s="9">
        <v>144000</v>
      </c>
      <c r="J43" s="9" t="s">
        <v>615</v>
      </c>
      <c r="K43" s="9"/>
      <c r="L43" s="9"/>
      <c r="M43" s="9"/>
      <c r="N43" s="9"/>
    </row>
    <row r="44" spans="1:14" ht="19" x14ac:dyDescent="0.2">
      <c r="A44" s="101"/>
      <c r="B44" s="58"/>
      <c r="C44" s="49"/>
      <c r="D44" s="102"/>
      <c r="E44" s="15"/>
      <c r="F44" s="9"/>
      <c r="G44" s="9"/>
      <c r="H44" s="9"/>
      <c r="I44" s="9">
        <v>35000</v>
      </c>
      <c r="J44" s="9" t="s">
        <v>652</v>
      </c>
      <c r="K44" s="9"/>
      <c r="L44" s="9"/>
      <c r="M44" s="9"/>
      <c r="N44" s="9"/>
    </row>
    <row r="45" spans="1:14" ht="19" x14ac:dyDescent="0.2">
      <c r="A45" s="101">
        <v>988000</v>
      </c>
      <c r="B45" s="58"/>
      <c r="C45" s="49" t="s">
        <v>363</v>
      </c>
      <c r="D45" s="102" t="s">
        <v>685</v>
      </c>
      <c r="E45" s="15">
        <v>874000</v>
      </c>
      <c r="F45" s="9">
        <v>114000</v>
      </c>
      <c r="G45" s="9"/>
      <c r="H45" s="9"/>
      <c r="I45" s="9">
        <v>50000</v>
      </c>
      <c r="J45" s="9" t="s">
        <v>206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/>
      <c r="J46" s="9"/>
      <c r="K46" s="9"/>
      <c r="L46" s="9"/>
      <c r="M46" s="9"/>
      <c r="N46" s="9"/>
    </row>
    <row r="47" spans="1:14" ht="19" x14ac:dyDescent="0.2">
      <c r="A47" s="74"/>
      <c r="B47" s="32">
        <v>44962</v>
      </c>
      <c r="C47" s="49"/>
      <c r="D47" s="13"/>
      <c r="E47" s="15"/>
      <c r="F47" s="9"/>
      <c r="G47" s="9"/>
      <c r="H47" s="9" t="s">
        <v>737</v>
      </c>
      <c r="I47" s="9"/>
      <c r="J47" s="9"/>
      <c r="K47" s="9"/>
      <c r="L47" s="9"/>
      <c r="M47" s="9"/>
      <c r="N47" s="9"/>
    </row>
    <row r="48" spans="1:14" ht="19" x14ac:dyDescent="0.2">
      <c r="A48" s="74"/>
      <c r="B48" s="58"/>
      <c r="C48" s="49"/>
      <c r="D48" s="13"/>
      <c r="E48" s="15"/>
      <c r="F48" s="9"/>
      <c r="G48" s="9"/>
      <c r="H48" s="9"/>
      <c r="I48" s="9"/>
      <c r="J48" s="9"/>
      <c r="K48" s="9"/>
      <c r="L48" s="9"/>
      <c r="M48" s="9"/>
      <c r="N48" s="9"/>
    </row>
    <row r="49" spans="1:14" ht="19" x14ac:dyDescent="0.2">
      <c r="A49" s="74"/>
      <c r="B49" s="58"/>
      <c r="C49" s="49"/>
      <c r="D49" s="13"/>
      <c r="E49" s="15"/>
      <c r="F49" s="9"/>
      <c r="G49" s="9"/>
      <c r="H49" s="9"/>
      <c r="I49" s="9"/>
      <c r="J49" s="9"/>
      <c r="K49" s="9"/>
      <c r="L49" s="9"/>
      <c r="M49" s="9"/>
      <c r="N49" s="9"/>
    </row>
    <row r="50" spans="1:14" ht="19" x14ac:dyDescent="0.2">
      <c r="A50" s="74">
        <v>1891000</v>
      </c>
      <c r="B50" s="58">
        <v>44963</v>
      </c>
      <c r="C50" s="49" t="s">
        <v>1228</v>
      </c>
      <c r="D50" s="13" t="s">
        <v>565</v>
      </c>
      <c r="E50" s="15">
        <v>1540000</v>
      </c>
      <c r="F50" s="9">
        <v>351000</v>
      </c>
      <c r="G50" s="9">
        <v>1321000</v>
      </c>
      <c r="H50" s="9" t="s">
        <v>1412</v>
      </c>
      <c r="I50" s="9">
        <v>22500</v>
      </c>
      <c r="J50" s="9" t="s">
        <v>782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>
        <v>29000</v>
      </c>
      <c r="J51" s="9" t="s">
        <v>1407</v>
      </c>
      <c r="K51" s="9"/>
      <c r="L51" s="9"/>
      <c r="M51" s="9"/>
      <c r="N51" s="9"/>
    </row>
    <row r="52" spans="1:14" ht="19" x14ac:dyDescent="0.2">
      <c r="A52" s="74"/>
      <c r="B52" s="58"/>
      <c r="C52" s="49"/>
      <c r="D52" s="13"/>
      <c r="E52" s="15"/>
      <c r="F52" s="9"/>
      <c r="G52" s="9"/>
      <c r="H52" s="9"/>
      <c r="I52" s="9">
        <v>18000</v>
      </c>
      <c r="J52" s="9" t="s">
        <v>1408</v>
      </c>
      <c r="K52" s="9"/>
      <c r="L52" s="9"/>
      <c r="M52" s="9"/>
      <c r="N52" s="9"/>
    </row>
    <row r="53" spans="1:14" ht="19" x14ac:dyDescent="0.2">
      <c r="A53" s="74"/>
      <c r="B53" s="58"/>
      <c r="C53" s="49"/>
      <c r="D53" s="13"/>
      <c r="E53" s="15"/>
      <c r="F53" s="9"/>
      <c r="G53" s="9">
        <v>2730000</v>
      </c>
      <c r="H53" s="9" t="s">
        <v>812</v>
      </c>
      <c r="I53" s="9">
        <v>53000</v>
      </c>
      <c r="J53" s="9" t="s">
        <v>1409</v>
      </c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>
        <v>102000</v>
      </c>
      <c r="J54" s="9" t="s">
        <v>1410</v>
      </c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>
        <v>87500</v>
      </c>
      <c r="J55" s="9" t="s">
        <v>1411</v>
      </c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/>
      <c r="J56" s="9"/>
      <c r="K56" s="9"/>
      <c r="L56" s="9"/>
      <c r="M56" s="9"/>
      <c r="N56" s="9"/>
    </row>
    <row r="57" spans="1:14" ht="19" x14ac:dyDescent="0.2">
      <c r="A57" s="61">
        <v>1614000</v>
      </c>
      <c r="B57" s="58"/>
      <c r="C57" s="2" t="s">
        <v>10</v>
      </c>
      <c r="D57" s="13" t="s">
        <v>685</v>
      </c>
      <c r="E57" s="9">
        <v>1257000</v>
      </c>
      <c r="F57" s="9">
        <v>357000</v>
      </c>
      <c r="G57" s="9"/>
      <c r="H57" s="9"/>
      <c r="I57" s="9">
        <v>240000</v>
      </c>
      <c r="J57" s="9" t="s">
        <v>1397</v>
      </c>
      <c r="K57" s="9"/>
      <c r="L57" s="9"/>
      <c r="M57" s="9"/>
      <c r="N57" s="9"/>
    </row>
    <row r="58" spans="1:14" ht="19" x14ac:dyDescent="0.2">
      <c r="A58" s="74"/>
      <c r="B58" s="58"/>
      <c r="C58" s="35"/>
      <c r="D58" s="13"/>
      <c r="E58" s="15"/>
      <c r="F58" s="9"/>
      <c r="G58" s="9"/>
      <c r="H58" s="9"/>
      <c r="I58" s="9">
        <v>200000</v>
      </c>
      <c r="J58" s="9" t="s">
        <v>653</v>
      </c>
      <c r="K58" s="9"/>
      <c r="L58" s="9"/>
      <c r="M58" s="9"/>
      <c r="N58" s="9"/>
    </row>
    <row r="59" spans="1:14" ht="19" x14ac:dyDescent="0.2">
      <c r="A59" s="74"/>
      <c r="B59" s="58"/>
      <c r="C59" s="35"/>
      <c r="D59" s="13"/>
      <c r="E59" s="15"/>
      <c r="F59" s="9"/>
      <c r="G59" s="9"/>
      <c r="H59" s="9"/>
      <c r="I59" s="9">
        <v>100000</v>
      </c>
      <c r="J59" s="9" t="s">
        <v>827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9"/>
      <c r="J60" s="9"/>
      <c r="K60" s="9"/>
      <c r="L60" s="9"/>
      <c r="M60" s="9"/>
      <c r="N60" s="9"/>
    </row>
    <row r="61" spans="1:14" ht="19" x14ac:dyDescent="0.2">
      <c r="A61" s="74">
        <v>1793000</v>
      </c>
      <c r="B61" s="32">
        <v>44964</v>
      </c>
      <c r="C61" s="49" t="s">
        <v>440</v>
      </c>
      <c r="D61" s="13" t="s">
        <v>565</v>
      </c>
      <c r="E61" s="15">
        <v>1627000</v>
      </c>
      <c r="F61" s="9">
        <v>166000</v>
      </c>
      <c r="G61" s="9"/>
      <c r="H61" s="9"/>
      <c r="I61" s="9">
        <v>24500</v>
      </c>
      <c r="J61" s="9" t="s">
        <v>1414</v>
      </c>
      <c r="K61" s="9"/>
      <c r="L61" s="9"/>
      <c r="M61" s="9"/>
      <c r="N61" s="9"/>
    </row>
    <row r="62" spans="1:14" ht="19" x14ac:dyDescent="0.2">
      <c r="A62" s="74"/>
      <c r="B62" s="32"/>
      <c r="C62" s="49"/>
      <c r="D62" s="13"/>
      <c r="E62" s="15"/>
      <c r="F62" s="9"/>
      <c r="G62" s="9"/>
      <c r="H62" s="9"/>
      <c r="I62" s="9">
        <v>34000</v>
      </c>
      <c r="J62" s="9" t="s">
        <v>640</v>
      </c>
      <c r="K62" s="9"/>
      <c r="L62" s="9"/>
      <c r="M62" s="9"/>
      <c r="N62" s="9"/>
    </row>
    <row r="63" spans="1:14" ht="19" x14ac:dyDescent="0.2">
      <c r="A63" s="74"/>
      <c r="B63" s="32"/>
      <c r="C63" s="49"/>
      <c r="D63" s="13"/>
      <c r="E63" s="15"/>
      <c r="F63" s="9"/>
      <c r="G63" s="9"/>
      <c r="H63" s="9"/>
      <c r="I63" s="9">
        <v>130000</v>
      </c>
      <c r="J63" s="9" t="s">
        <v>881</v>
      </c>
      <c r="K63" s="9"/>
      <c r="L63" s="9"/>
      <c r="M63" s="9"/>
      <c r="N63" s="9"/>
    </row>
    <row r="64" spans="1:14" ht="19" x14ac:dyDescent="0.2">
      <c r="A64" s="74"/>
      <c r="B64" s="32"/>
      <c r="C64" s="49"/>
      <c r="D64" s="13"/>
      <c r="E64" s="15"/>
      <c r="F64" s="9"/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9"/>
      <c r="H65" s="9"/>
      <c r="I65" s="9"/>
      <c r="J65" s="9"/>
      <c r="K65" s="9"/>
      <c r="L65" s="9"/>
      <c r="M65" s="9"/>
      <c r="N65" s="9"/>
    </row>
    <row r="66" spans="1:14" ht="19" x14ac:dyDescent="0.2">
      <c r="A66" s="74">
        <v>1252000</v>
      </c>
      <c r="B66" s="58"/>
      <c r="C66" s="49" t="s">
        <v>363</v>
      </c>
      <c r="D66" s="13" t="s">
        <v>685</v>
      </c>
      <c r="E66" s="15">
        <v>764000</v>
      </c>
      <c r="F66" s="9">
        <v>488000</v>
      </c>
      <c r="G66" s="9"/>
      <c r="H66" s="9"/>
      <c r="I66" s="9">
        <v>100000</v>
      </c>
      <c r="J66" s="9" t="s">
        <v>889</v>
      </c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9"/>
      <c r="H67" s="9"/>
      <c r="I67" s="9">
        <v>56000</v>
      </c>
      <c r="J67" s="9" t="s">
        <v>859</v>
      </c>
      <c r="K67" s="9"/>
      <c r="L67" s="9"/>
      <c r="M67" s="9"/>
      <c r="N67" s="9"/>
    </row>
    <row r="68" spans="1:14" ht="19" x14ac:dyDescent="0.2">
      <c r="A68" s="74"/>
      <c r="B68" s="58"/>
      <c r="C68" s="49"/>
      <c r="D68" s="13"/>
      <c r="E68" s="15"/>
      <c r="F68" s="9"/>
      <c r="G68" s="9"/>
      <c r="H68" s="9"/>
      <c r="I68" s="9">
        <v>144000</v>
      </c>
      <c r="J68" s="9" t="s">
        <v>615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9"/>
      <c r="H69" s="9"/>
      <c r="I69" s="9"/>
      <c r="J69" s="9"/>
      <c r="K69" s="9"/>
      <c r="L69" s="9"/>
      <c r="M69" s="9"/>
      <c r="N69" s="9"/>
    </row>
    <row r="70" spans="1:14" ht="19" x14ac:dyDescent="0.2">
      <c r="A70" s="74">
        <v>2154000</v>
      </c>
      <c r="B70" s="32">
        <v>44965</v>
      </c>
      <c r="C70" s="49" t="s">
        <v>440</v>
      </c>
      <c r="D70" s="13" t="s">
        <v>565</v>
      </c>
      <c r="E70" s="15">
        <v>1634000</v>
      </c>
      <c r="F70" s="9">
        <v>520000</v>
      </c>
      <c r="G70" s="9"/>
      <c r="H70" s="9"/>
      <c r="I70" s="9"/>
      <c r="J70" s="9"/>
      <c r="K70" s="9"/>
      <c r="L70" s="9"/>
      <c r="M70" s="9"/>
      <c r="N70" s="9"/>
    </row>
    <row r="71" spans="1:14" ht="19" x14ac:dyDescent="0.2">
      <c r="A71" s="74"/>
      <c r="B71" s="58"/>
      <c r="C71" s="49"/>
      <c r="D71" s="13"/>
      <c r="E71" s="15"/>
      <c r="F71" s="9"/>
      <c r="G71" s="9"/>
      <c r="H71" s="9"/>
      <c r="I71" s="9">
        <v>55000</v>
      </c>
      <c r="J71" s="9" t="s">
        <v>1093</v>
      </c>
      <c r="K71" s="9"/>
      <c r="L71" s="9"/>
      <c r="M71" s="9"/>
      <c r="N71" s="9"/>
    </row>
    <row r="72" spans="1:14" ht="19" x14ac:dyDescent="0.2">
      <c r="A72" s="74"/>
      <c r="B72" s="33"/>
      <c r="C72" s="2"/>
      <c r="D72" s="13"/>
      <c r="E72" s="15"/>
      <c r="F72" s="9"/>
      <c r="G72" s="9"/>
      <c r="H72" s="9"/>
      <c r="I72" s="9">
        <v>10000</v>
      </c>
      <c r="J72" s="9" t="s">
        <v>1416</v>
      </c>
      <c r="K72" s="9"/>
      <c r="L72" s="9"/>
      <c r="M72" s="9"/>
      <c r="N72" s="9"/>
    </row>
    <row r="73" spans="1:14" ht="19" x14ac:dyDescent="0.2">
      <c r="A73" s="101"/>
      <c r="B73" s="75"/>
      <c r="C73" s="35"/>
      <c r="D73" s="102"/>
      <c r="E73" s="15"/>
      <c r="F73" s="9"/>
      <c r="G73" s="9"/>
      <c r="H73" s="9"/>
      <c r="I73" s="9">
        <v>20000</v>
      </c>
      <c r="J73" s="9" t="s">
        <v>1417</v>
      </c>
      <c r="K73" s="9"/>
      <c r="L73" s="9"/>
      <c r="M73" s="9"/>
      <c r="N73" s="9"/>
    </row>
    <row r="74" spans="1:14" ht="19" x14ac:dyDescent="0.2">
      <c r="A74" s="101"/>
      <c r="B74" s="75"/>
      <c r="C74" s="35"/>
      <c r="D74" s="102"/>
      <c r="E74" s="15"/>
      <c r="F74" s="9"/>
      <c r="G74" s="9"/>
      <c r="H74" s="9"/>
      <c r="I74" s="9">
        <v>39000</v>
      </c>
      <c r="J74" s="9" t="s">
        <v>1418</v>
      </c>
      <c r="K74" s="9"/>
      <c r="L74" s="9"/>
      <c r="M74" s="9"/>
      <c r="N74" s="9"/>
    </row>
    <row r="75" spans="1:14" ht="19" x14ac:dyDescent="0.2">
      <c r="A75" s="101"/>
      <c r="B75" s="75"/>
      <c r="C75" s="35"/>
      <c r="D75" s="102"/>
      <c r="E75" s="15"/>
      <c r="F75" s="9"/>
      <c r="G75" s="9"/>
      <c r="H75" s="9"/>
      <c r="I75" s="9">
        <v>75000</v>
      </c>
      <c r="J75" s="9" t="s">
        <v>1419</v>
      </c>
      <c r="K75" s="9"/>
      <c r="L75" s="9"/>
      <c r="M75" s="9"/>
      <c r="N75" s="9"/>
    </row>
    <row r="76" spans="1:14" ht="19" x14ac:dyDescent="0.2">
      <c r="A76" s="101"/>
      <c r="B76" s="75"/>
      <c r="C76" s="35"/>
      <c r="D76" s="102"/>
      <c r="E76" s="15"/>
      <c r="F76" s="9"/>
      <c r="G76" s="9"/>
      <c r="H76" s="9"/>
      <c r="I76" s="9">
        <v>45000</v>
      </c>
      <c r="J76" s="9" t="s">
        <v>714</v>
      </c>
      <c r="K76" s="9"/>
      <c r="L76" s="9"/>
      <c r="M76" s="9"/>
      <c r="N76" s="9"/>
    </row>
    <row r="77" spans="1:14" ht="19" x14ac:dyDescent="0.2">
      <c r="A77" s="101"/>
      <c r="B77" s="75"/>
      <c r="C77" s="35"/>
      <c r="D77" s="102"/>
      <c r="E77" s="15"/>
      <c r="F77" s="9"/>
      <c r="G77" s="9"/>
      <c r="H77" s="9"/>
      <c r="I77" s="9">
        <v>104000</v>
      </c>
      <c r="J77" s="9" t="s">
        <v>807</v>
      </c>
      <c r="K77" s="9"/>
      <c r="L77" s="9"/>
      <c r="M77" s="9"/>
      <c r="N77" s="9"/>
    </row>
    <row r="78" spans="1:14" ht="19" x14ac:dyDescent="0.2">
      <c r="A78" s="101">
        <v>1143000</v>
      </c>
      <c r="B78" s="75"/>
      <c r="C78" s="35" t="s">
        <v>806</v>
      </c>
      <c r="D78" s="102" t="s">
        <v>685</v>
      </c>
      <c r="E78" s="15">
        <v>766000</v>
      </c>
      <c r="F78" s="9">
        <v>377000</v>
      </c>
      <c r="G78" s="9"/>
      <c r="H78" s="9"/>
      <c r="I78" s="9"/>
      <c r="J78" s="9"/>
      <c r="K78" s="9"/>
      <c r="L78" s="9"/>
      <c r="M78" s="9"/>
      <c r="N78" s="9"/>
    </row>
    <row r="79" spans="1:14" ht="19" x14ac:dyDescent="0.2">
      <c r="A79" s="74">
        <v>1975000</v>
      </c>
      <c r="B79" s="32">
        <v>44966</v>
      </c>
      <c r="C79" s="35" t="s">
        <v>440</v>
      </c>
      <c r="D79" s="13" t="s">
        <v>565</v>
      </c>
      <c r="E79" s="15">
        <v>1554000</v>
      </c>
      <c r="F79" s="9">
        <v>421000</v>
      </c>
      <c r="G79" s="9"/>
      <c r="H79" s="9"/>
      <c r="I79" s="9"/>
      <c r="J79" s="9"/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60"/>
      <c r="H80" s="60"/>
      <c r="I80" s="9"/>
      <c r="J80" s="9"/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60"/>
      <c r="H81" s="60"/>
      <c r="I81" s="9"/>
      <c r="J81" s="9"/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60"/>
      <c r="H82" s="60"/>
      <c r="I82" s="9"/>
      <c r="J82" s="9"/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60"/>
      <c r="H83" s="60"/>
      <c r="I83" s="9"/>
      <c r="J83" s="9"/>
      <c r="K83" s="9"/>
      <c r="L83" s="9"/>
      <c r="M83" s="9"/>
      <c r="N83" s="9"/>
    </row>
    <row r="84" spans="1:14" ht="19" x14ac:dyDescent="0.2">
      <c r="A84" s="74">
        <v>1182000</v>
      </c>
      <c r="B84" s="58"/>
      <c r="C84" s="49" t="s">
        <v>806</v>
      </c>
      <c r="D84" s="13" t="s">
        <v>685</v>
      </c>
      <c r="E84" s="15">
        <v>914000</v>
      </c>
      <c r="F84" s="9">
        <v>268000</v>
      </c>
      <c r="G84" s="60"/>
      <c r="H84" s="60"/>
      <c r="I84" s="9"/>
      <c r="J84" s="9"/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60"/>
      <c r="H85" s="60"/>
      <c r="I85" s="9"/>
      <c r="J85" s="9"/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60"/>
      <c r="H86" s="60"/>
      <c r="I86" s="9"/>
      <c r="J86" s="9"/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60"/>
      <c r="H87" s="60"/>
      <c r="I87" s="9"/>
      <c r="J87" s="9"/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60"/>
      <c r="H88" s="60"/>
      <c r="I88" s="9"/>
      <c r="J88" s="9"/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60"/>
      <c r="H89" s="60"/>
      <c r="I89" s="9"/>
      <c r="J89" s="9"/>
      <c r="K89" s="9"/>
      <c r="L89" s="9"/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60"/>
      <c r="H90" s="60"/>
      <c r="I90" s="9"/>
      <c r="J90" s="9"/>
      <c r="K90" s="9"/>
      <c r="L90" s="9"/>
      <c r="M90" s="9"/>
      <c r="N90" s="9"/>
    </row>
    <row r="91" spans="1:14" ht="19" x14ac:dyDescent="0.2">
      <c r="A91" s="61">
        <v>2104000</v>
      </c>
      <c r="B91" s="58">
        <v>44967</v>
      </c>
      <c r="C91" s="2" t="s">
        <v>440</v>
      </c>
      <c r="D91" s="13" t="s">
        <v>565</v>
      </c>
      <c r="E91" s="15">
        <v>1719000</v>
      </c>
      <c r="F91" s="9">
        <v>385000</v>
      </c>
      <c r="G91" s="9"/>
      <c r="H91" s="9"/>
      <c r="I91" s="9">
        <v>23000</v>
      </c>
      <c r="J91" s="9" t="s">
        <v>1420</v>
      </c>
      <c r="K91" s="9"/>
      <c r="L91" s="9"/>
      <c r="M91" s="9"/>
      <c r="N91" s="9"/>
    </row>
    <row r="92" spans="1:14" ht="19" x14ac:dyDescent="0.2">
      <c r="A92" s="61"/>
      <c r="B92" s="58"/>
      <c r="C92" s="3"/>
      <c r="D92" s="13"/>
      <c r="E92" s="15"/>
      <c r="F92" s="9"/>
      <c r="G92" s="9"/>
      <c r="H92" s="9"/>
      <c r="I92" s="9">
        <v>67000</v>
      </c>
      <c r="J92" s="9" t="s">
        <v>1421</v>
      </c>
      <c r="K92" s="9"/>
      <c r="L92" s="9"/>
      <c r="M92" s="9"/>
      <c r="N92" s="9"/>
    </row>
    <row r="93" spans="1:14" ht="19" x14ac:dyDescent="0.2">
      <c r="A93" s="61"/>
      <c r="B93" s="58"/>
      <c r="C93" s="49"/>
      <c r="D93" s="13"/>
      <c r="E93" s="15"/>
      <c r="F93" s="9"/>
      <c r="G93" s="9"/>
      <c r="H93" s="9"/>
      <c r="I93" s="9">
        <v>48000</v>
      </c>
      <c r="J93" s="9" t="s">
        <v>716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/>
      <c r="J94" s="9"/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/>
      <c r="J95" s="9"/>
      <c r="K95" s="9"/>
      <c r="L95" s="9"/>
      <c r="M95" s="9"/>
      <c r="N95" s="9"/>
    </row>
    <row r="96" spans="1:14" ht="19" x14ac:dyDescent="0.2">
      <c r="A96" s="61">
        <v>1147000</v>
      </c>
      <c r="B96" s="58"/>
      <c r="C96" s="49" t="s">
        <v>363</v>
      </c>
      <c r="D96" s="13" t="s">
        <v>685</v>
      </c>
      <c r="E96" s="15">
        <v>854000</v>
      </c>
      <c r="F96" s="9">
        <v>293000</v>
      </c>
      <c r="G96" s="9"/>
      <c r="H96" s="9"/>
      <c r="I96" s="9">
        <v>200000</v>
      </c>
      <c r="J96" s="9" t="s">
        <v>653</v>
      </c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>
        <v>70000</v>
      </c>
      <c r="J97" s="9" t="s">
        <v>1422</v>
      </c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>
        <v>100000</v>
      </c>
      <c r="J98" s="9" t="s">
        <v>827</v>
      </c>
      <c r="K98" s="9"/>
      <c r="L98" s="9"/>
      <c r="M98" s="9"/>
      <c r="N98" s="9"/>
    </row>
    <row r="99" spans="1:14" ht="19" x14ac:dyDescent="0.2">
      <c r="A99" s="101"/>
      <c r="B99" s="58"/>
      <c r="C99" s="49"/>
      <c r="D99" s="102"/>
      <c r="E99" s="15"/>
      <c r="F99" s="9"/>
      <c r="G99" s="9"/>
      <c r="H99" s="9"/>
      <c r="I99" s="9">
        <v>144000</v>
      </c>
      <c r="J99" s="9" t="s">
        <v>615</v>
      </c>
      <c r="K99" s="9"/>
      <c r="L99" s="9"/>
      <c r="M99" s="9"/>
      <c r="N99" s="9"/>
    </row>
    <row r="100" spans="1:14" ht="19" x14ac:dyDescent="0.2">
      <c r="A100" s="101"/>
      <c r="B100" s="58"/>
      <c r="C100" s="49"/>
      <c r="D100" s="102"/>
      <c r="E100" s="15"/>
      <c r="F100" s="9"/>
      <c r="G100" s="9"/>
      <c r="H100" s="9"/>
      <c r="I100" s="9">
        <v>280000</v>
      </c>
      <c r="J100" s="9" t="s">
        <v>1413</v>
      </c>
      <c r="K100" s="9"/>
      <c r="L100" s="9"/>
      <c r="M100" s="9"/>
      <c r="N100" s="9"/>
    </row>
    <row r="101" spans="1:14" ht="19" x14ac:dyDescent="0.2">
      <c r="A101" s="101"/>
      <c r="B101" s="58"/>
      <c r="C101" s="49"/>
      <c r="D101" s="102"/>
      <c r="E101" s="15"/>
      <c r="F101" s="9"/>
      <c r="G101" s="9"/>
      <c r="H101" s="9"/>
      <c r="I101" s="9"/>
      <c r="J101" s="9"/>
      <c r="K101" s="9"/>
      <c r="L101" s="9"/>
      <c r="M101" s="9"/>
      <c r="N101" s="9"/>
    </row>
    <row r="102" spans="1:14" ht="19" x14ac:dyDescent="0.2">
      <c r="A102" s="101"/>
      <c r="B102" s="58"/>
      <c r="C102" s="49"/>
      <c r="D102" s="102"/>
      <c r="E102" s="15"/>
      <c r="F102" s="9"/>
      <c r="G102" s="9"/>
      <c r="H102" s="9"/>
      <c r="I102" s="9"/>
      <c r="J102" s="9"/>
      <c r="K102" s="9"/>
      <c r="L102" s="9"/>
      <c r="M102" s="9"/>
      <c r="N102" s="9"/>
    </row>
    <row r="103" spans="1:14" ht="19" x14ac:dyDescent="0.2">
      <c r="A103" s="61">
        <v>2073000</v>
      </c>
      <c r="B103" s="58">
        <v>44968</v>
      </c>
      <c r="C103" s="49" t="s">
        <v>9</v>
      </c>
      <c r="D103" s="13" t="s">
        <v>565</v>
      </c>
      <c r="E103" s="15">
        <v>1463000</v>
      </c>
      <c r="F103" s="9">
        <v>610000</v>
      </c>
      <c r="G103" s="9"/>
      <c r="H103" s="9"/>
      <c r="I103" s="9">
        <v>75000</v>
      </c>
      <c r="J103" s="9" t="s">
        <v>1423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9">
        <v>75000</v>
      </c>
      <c r="J104" s="9" t="s">
        <v>1424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50000</v>
      </c>
      <c r="J105" s="9" t="s">
        <v>1425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19" x14ac:dyDescent="0.2">
      <c r="A107" s="74">
        <v>795000</v>
      </c>
      <c r="B107" s="58"/>
      <c r="C107" s="49" t="s">
        <v>10</v>
      </c>
      <c r="D107" s="13" t="s">
        <v>685</v>
      </c>
      <c r="E107" s="15">
        <v>472000</v>
      </c>
      <c r="F107" s="9">
        <v>323000</v>
      </c>
      <c r="G107" s="9"/>
      <c r="H107" s="9"/>
      <c r="I107" s="9">
        <v>50000</v>
      </c>
      <c r="J107" s="9" t="s">
        <v>59</v>
      </c>
      <c r="K107" s="9"/>
      <c r="L107" s="9"/>
      <c r="M107" s="9"/>
      <c r="N107" s="9"/>
    </row>
    <row r="108" spans="1:14" ht="19" x14ac:dyDescent="0.2">
      <c r="A108" s="74"/>
      <c r="B108" s="58"/>
      <c r="C108" s="49"/>
      <c r="D108" s="13"/>
      <c r="E108" s="15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9" x14ac:dyDescent="0.2">
      <c r="A109" s="74"/>
      <c r="B109" s="58"/>
      <c r="C109" s="49"/>
      <c r="D109" s="13"/>
      <c r="E109" s="15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9" x14ac:dyDescent="0.2">
      <c r="A110" s="61"/>
      <c r="B110" s="58">
        <v>44969</v>
      </c>
      <c r="C110" s="49"/>
      <c r="D110" s="13"/>
      <c r="E110" s="15"/>
      <c r="F110" s="9"/>
      <c r="G110" s="9"/>
      <c r="H110" s="9" t="s">
        <v>737</v>
      </c>
      <c r="I110" s="9"/>
      <c r="J110" s="9"/>
      <c r="K110" s="9"/>
      <c r="L110" s="9"/>
      <c r="M110" s="9"/>
      <c r="N110" s="9"/>
    </row>
    <row r="111" spans="1:14" ht="19" x14ac:dyDescent="0.2">
      <c r="A111" s="74"/>
      <c r="B111" s="58"/>
      <c r="C111" s="49"/>
      <c r="D111" s="13"/>
      <c r="E111" s="15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61">
        <v>2228000</v>
      </c>
      <c r="B112" s="58">
        <v>44970</v>
      </c>
      <c r="C112" s="49" t="s">
        <v>9</v>
      </c>
      <c r="D112" s="13" t="s">
        <v>565</v>
      </c>
      <c r="E112" s="15">
        <v>1673000</v>
      </c>
      <c r="F112" s="9">
        <v>555000</v>
      </c>
      <c r="G112" s="9">
        <v>2735000</v>
      </c>
      <c r="H112" s="9" t="s">
        <v>812</v>
      </c>
      <c r="I112" s="9">
        <v>104000</v>
      </c>
      <c r="J112" s="9" t="s">
        <v>807</v>
      </c>
      <c r="K112" s="9"/>
      <c r="L112" s="9"/>
      <c r="M112" s="9"/>
      <c r="N112" s="9"/>
    </row>
    <row r="113" spans="1:14" ht="19" x14ac:dyDescent="0.2">
      <c r="A113" s="74"/>
      <c r="B113" s="75"/>
      <c r="C113" s="35"/>
      <c r="D113" s="13"/>
      <c r="E113" s="15"/>
      <c r="F113" s="9"/>
      <c r="G113" s="9"/>
      <c r="H113" s="9"/>
      <c r="I113" s="9">
        <v>520000</v>
      </c>
      <c r="J113" s="9" t="s">
        <v>741</v>
      </c>
      <c r="K113" s="9"/>
      <c r="L113" s="9"/>
      <c r="M113" s="9"/>
      <c r="N113" s="9"/>
    </row>
    <row r="114" spans="1:14" ht="19" x14ac:dyDescent="0.2">
      <c r="A114" s="101"/>
      <c r="B114" s="75"/>
      <c r="C114" s="35"/>
      <c r="D114" s="102"/>
      <c r="E114" s="15"/>
      <c r="F114" s="9"/>
      <c r="G114" s="9"/>
      <c r="H114" s="9"/>
      <c r="I114" s="9">
        <v>120000</v>
      </c>
      <c r="J114" s="9" t="s">
        <v>703</v>
      </c>
      <c r="K114" s="9"/>
      <c r="L114" s="9"/>
      <c r="M114" s="9"/>
      <c r="N114" s="9"/>
    </row>
    <row r="115" spans="1:14" ht="32" x14ac:dyDescent="0.2">
      <c r="A115" s="101"/>
      <c r="B115" s="75"/>
      <c r="C115" s="35"/>
      <c r="D115" s="102"/>
      <c r="E115" s="15"/>
      <c r="F115" s="9"/>
      <c r="G115" s="9"/>
      <c r="H115" s="9"/>
      <c r="I115" s="9">
        <v>26000</v>
      </c>
      <c r="J115" s="47" t="s">
        <v>1426</v>
      </c>
      <c r="K115" s="9"/>
      <c r="L115" s="9"/>
      <c r="M115" s="9"/>
      <c r="N115" s="9"/>
    </row>
    <row r="116" spans="1:14" ht="32" x14ac:dyDescent="0.2">
      <c r="A116" s="101"/>
      <c r="B116" s="75"/>
      <c r="C116" s="35"/>
      <c r="D116" s="102"/>
      <c r="E116" s="15"/>
      <c r="F116" s="9"/>
      <c r="G116" s="9"/>
      <c r="H116" s="9"/>
      <c r="I116" s="9">
        <v>29000</v>
      </c>
      <c r="J116" s="47" t="s">
        <v>943</v>
      </c>
      <c r="K116" s="9"/>
      <c r="L116" s="9"/>
      <c r="M116" s="9"/>
      <c r="N116" s="9"/>
    </row>
    <row r="117" spans="1:14" ht="19" x14ac:dyDescent="0.2">
      <c r="A117" s="101"/>
      <c r="B117" s="75"/>
      <c r="C117" s="35"/>
      <c r="D117" s="102"/>
      <c r="E117" s="15"/>
      <c r="F117" s="9"/>
      <c r="G117" s="9"/>
      <c r="H117" s="9"/>
      <c r="I117" s="9">
        <v>50000</v>
      </c>
      <c r="J117" s="9" t="s">
        <v>1427</v>
      </c>
      <c r="K117" s="9"/>
      <c r="L117" s="9"/>
      <c r="M117" s="9"/>
      <c r="N117" s="9"/>
    </row>
    <row r="118" spans="1:14" ht="19" x14ac:dyDescent="0.2">
      <c r="A118" s="101"/>
      <c r="B118" s="75"/>
      <c r="C118" s="35"/>
      <c r="D118" s="102"/>
      <c r="E118" s="15"/>
      <c r="F118" s="9"/>
      <c r="G118" s="9"/>
      <c r="H118" s="9"/>
      <c r="I118" s="9">
        <v>30500</v>
      </c>
      <c r="J118" s="9" t="s">
        <v>1428</v>
      </c>
      <c r="K118" s="9"/>
      <c r="L118" s="9"/>
      <c r="M118" s="9"/>
      <c r="N118" s="9"/>
    </row>
    <row r="119" spans="1:14" ht="19" x14ac:dyDescent="0.2">
      <c r="A119" s="101"/>
      <c r="B119" s="75"/>
      <c r="C119" s="35"/>
      <c r="D119" s="102"/>
      <c r="E119" s="15"/>
      <c r="F119" s="9"/>
      <c r="G119" s="9"/>
      <c r="H119" s="9"/>
      <c r="I119" s="9">
        <v>48000</v>
      </c>
      <c r="J119" s="9" t="s">
        <v>716</v>
      </c>
      <c r="K119" s="9"/>
      <c r="L119" s="9"/>
      <c r="M119" s="9"/>
      <c r="N119" s="9"/>
    </row>
    <row r="120" spans="1:14" ht="19" x14ac:dyDescent="0.2">
      <c r="A120" s="101"/>
      <c r="B120" s="75"/>
      <c r="C120" s="35"/>
      <c r="D120" s="102"/>
      <c r="E120" s="15"/>
      <c r="F120" s="9"/>
      <c r="G120" s="9"/>
      <c r="H120" s="9"/>
      <c r="I120" s="9">
        <v>355000</v>
      </c>
      <c r="J120" s="9" t="s">
        <v>1429</v>
      </c>
      <c r="K120" s="9"/>
      <c r="L120" s="9"/>
      <c r="M120" s="9"/>
      <c r="N120" s="9"/>
    </row>
    <row r="121" spans="1:14" ht="19" x14ac:dyDescent="0.2">
      <c r="A121" s="74">
        <v>1085000</v>
      </c>
      <c r="B121" s="75"/>
      <c r="C121" s="35" t="s">
        <v>10</v>
      </c>
      <c r="D121" s="13" t="s">
        <v>685</v>
      </c>
      <c r="E121" s="15">
        <v>852000</v>
      </c>
      <c r="F121" s="9">
        <v>233000</v>
      </c>
      <c r="G121" s="9"/>
      <c r="H121" s="9"/>
      <c r="I121" s="60">
        <v>100000</v>
      </c>
      <c r="J121" s="60" t="s">
        <v>889</v>
      </c>
      <c r="K121" s="9"/>
      <c r="L121" s="9"/>
      <c r="M121" s="9"/>
      <c r="N121" s="9"/>
    </row>
    <row r="122" spans="1:14" ht="19" x14ac:dyDescent="0.2">
      <c r="A122" s="74"/>
      <c r="B122" s="75"/>
      <c r="C122" s="35"/>
      <c r="D122" s="13"/>
      <c r="E122" s="15"/>
      <c r="F122" s="9"/>
      <c r="G122" s="9"/>
      <c r="H122" s="9"/>
      <c r="I122" s="60">
        <v>56000</v>
      </c>
      <c r="J122" s="60" t="s">
        <v>859</v>
      </c>
      <c r="K122" s="9"/>
      <c r="L122" s="9"/>
      <c r="M122" s="9"/>
      <c r="N122" s="9"/>
    </row>
    <row r="123" spans="1:14" ht="19" x14ac:dyDescent="0.2">
      <c r="A123" s="74"/>
      <c r="B123" s="75"/>
      <c r="C123" s="35"/>
      <c r="D123" s="13"/>
      <c r="E123" s="15"/>
      <c r="F123" s="9"/>
      <c r="G123" s="9"/>
      <c r="H123" s="9"/>
      <c r="I123" s="60">
        <v>135000</v>
      </c>
      <c r="J123" s="60" t="s">
        <v>1088</v>
      </c>
      <c r="K123" s="9"/>
      <c r="L123" s="9"/>
      <c r="M123" s="9"/>
      <c r="N123" s="9"/>
    </row>
    <row r="124" spans="1:14" ht="19" x14ac:dyDescent="0.2">
      <c r="A124" s="61">
        <v>1495000</v>
      </c>
      <c r="B124" s="58">
        <v>44971</v>
      </c>
      <c r="C124" s="3" t="s">
        <v>9</v>
      </c>
      <c r="D124" s="13" t="s">
        <v>565</v>
      </c>
      <c r="E124" s="15">
        <v>1328000</v>
      </c>
      <c r="F124" s="9">
        <v>167000</v>
      </c>
      <c r="G124" s="9"/>
      <c r="H124" s="9"/>
      <c r="I124" s="60"/>
      <c r="J124" s="60"/>
      <c r="K124" s="9"/>
      <c r="L124" s="9"/>
      <c r="M124" s="9"/>
      <c r="N124" s="9"/>
    </row>
    <row r="125" spans="1:14" ht="19" x14ac:dyDescent="0.2">
      <c r="A125" s="61">
        <v>1402000</v>
      </c>
      <c r="B125" s="58"/>
      <c r="C125" s="2" t="s">
        <v>10</v>
      </c>
      <c r="D125" s="13" t="s">
        <v>685</v>
      </c>
      <c r="E125" s="15">
        <v>1281000</v>
      </c>
      <c r="F125" s="9">
        <v>121000</v>
      </c>
      <c r="G125" s="9"/>
      <c r="H125" s="9"/>
      <c r="I125" s="9"/>
      <c r="J125" s="9"/>
      <c r="K125" s="9"/>
      <c r="L125" s="9"/>
      <c r="M125" s="9"/>
      <c r="N125" s="9"/>
    </row>
    <row r="126" spans="1:14" ht="19" x14ac:dyDescent="0.2">
      <c r="A126" s="74"/>
      <c r="B126" s="58"/>
      <c r="C126" s="35"/>
      <c r="D126" s="13"/>
      <c r="E126" s="15"/>
      <c r="F126" s="9"/>
      <c r="G126" s="9"/>
      <c r="H126" s="9"/>
      <c r="I126" s="9"/>
      <c r="J126" s="9"/>
      <c r="K126" s="9"/>
      <c r="L126" s="9"/>
      <c r="M126" s="9"/>
      <c r="N126" s="9"/>
    </row>
    <row r="127" spans="1:14" ht="19" x14ac:dyDescent="0.2">
      <c r="A127" s="74"/>
      <c r="B127" s="58"/>
      <c r="C127" s="35"/>
      <c r="D127" s="13"/>
      <c r="E127" s="15"/>
      <c r="F127" s="9"/>
      <c r="G127" s="9"/>
      <c r="H127" s="9"/>
      <c r="I127" s="9"/>
      <c r="J127" s="9"/>
      <c r="K127" s="9"/>
      <c r="L127" s="9"/>
      <c r="M127" s="9"/>
      <c r="N127" s="9"/>
    </row>
    <row r="128" spans="1:14" ht="19" x14ac:dyDescent="0.2">
      <c r="A128" s="74"/>
      <c r="B128" s="58"/>
      <c r="C128" s="35"/>
      <c r="D128" s="13"/>
      <c r="E128" s="15"/>
      <c r="F128" s="9"/>
      <c r="G128" s="9"/>
      <c r="H128" s="9"/>
      <c r="I128" s="9"/>
      <c r="J128" s="9"/>
      <c r="K128" s="9"/>
      <c r="L128" s="9"/>
      <c r="M128" s="9"/>
      <c r="N128" s="9"/>
    </row>
    <row r="129" spans="1:14" ht="32" x14ac:dyDescent="0.2">
      <c r="A129" s="61">
        <v>1659000</v>
      </c>
      <c r="B129" s="58">
        <v>44972</v>
      </c>
      <c r="C129" s="3" t="s">
        <v>440</v>
      </c>
      <c r="D129" s="13" t="s">
        <v>565</v>
      </c>
      <c r="E129" s="15">
        <v>1292000</v>
      </c>
      <c r="F129" s="9">
        <v>367000</v>
      </c>
      <c r="G129" s="9">
        <v>1028000</v>
      </c>
      <c r="H129" s="47" t="s">
        <v>1430</v>
      </c>
      <c r="I129" s="9">
        <v>100000</v>
      </c>
      <c r="J129" s="9" t="s">
        <v>889</v>
      </c>
      <c r="K129" s="9"/>
      <c r="L129" s="9"/>
      <c r="M129" s="9"/>
      <c r="N129" s="9"/>
    </row>
    <row r="130" spans="1:14" ht="19" x14ac:dyDescent="0.2">
      <c r="A130" s="74"/>
      <c r="B130" s="58"/>
      <c r="C130" s="49"/>
      <c r="D130" s="13"/>
      <c r="E130" s="15"/>
      <c r="F130" s="9"/>
      <c r="G130" s="9"/>
      <c r="H130" s="9"/>
      <c r="I130" s="9">
        <v>144000</v>
      </c>
      <c r="J130" s="9" t="s">
        <v>615</v>
      </c>
      <c r="K130" s="9"/>
      <c r="L130" s="9"/>
      <c r="M130" s="9"/>
      <c r="N130" s="9"/>
    </row>
    <row r="131" spans="1:14" ht="19" x14ac:dyDescent="0.2">
      <c r="A131" s="61">
        <v>1447000</v>
      </c>
      <c r="B131" s="75"/>
      <c r="C131" s="2" t="s">
        <v>10</v>
      </c>
      <c r="D131" s="13" t="s">
        <v>685</v>
      </c>
      <c r="E131" s="15">
        <v>1143000</v>
      </c>
      <c r="F131" s="9">
        <v>304000</v>
      </c>
      <c r="G131" s="9">
        <v>1820000</v>
      </c>
      <c r="H131" s="9" t="s">
        <v>1431</v>
      </c>
      <c r="I131" s="9">
        <v>56000</v>
      </c>
      <c r="J131" s="9" t="s">
        <v>859</v>
      </c>
      <c r="K131" s="9"/>
      <c r="L131" s="9"/>
      <c r="M131" s="9"/>
      <c r="N131" s="9"/>
    </row>
    <row r="132" spans="1:14" ht="19" x14ac:dyDescent="0.2">
      <c r="A132" s="74"/>
      <c r="B132" s="75"/>
      <c r="C132" s="35"/>
      <c r="D132" s="13"/>
      <c r="E132" s="15"/>
      <c r="F132" s="9"/>
      <c r="G132" s="9"/>
      <c r="H132" s="9"/>
      <c r="I132" s="9">
        <v>200000</v>
      </c>
      <c r="J132" s="9" t="s">
        <v>653</v>
      </c>
      <c r="K132" s="9"/>
      <c r="L132" s="9"/>
      <c r="M132" s="9"/>
      <c r="N132" s="9"/>
    </row>
    <row r="133" spans="1:14" ht="19" x14ac:dyDescent="0.2">
      <c r="A133" s="74"/>
      <c r="B133" s="75"/>
      <c r="C133" s="35"/>
      <c r="D133" s="13"/>
      <c r="E133" s="15"/>
      <c r="F133" s="9"/>
      <c r="G133" s="9"/>
      <c r="H133" s="9"/>
      <c r="I133" s="9">
        <v>70000</v>
      </c>
      <c r="J133" s="9" t="s">
        <v>1422</v>
      </c>
      <c r="K133" s="9"/>
      <c r="L133" s="9"/>
      <c r="M133" s="9"/>
      <c r="N133" s="9"/>
    </row>
    <row r="134" spans="1:14" ht="19" x14ac:dyDescent="0.2">
      <c r="A134" s="101"/>
      <c r="B134" s="75"/>
      <c r="C134" s="35"/>
      <c r="D134" s="102"/>
      <c r="E134" s="15"/>
      <c r="F134" s="9"/>
      <c r="G134" s="9"/>
      <c r="H134" s="9"/>
      <c r="I134" s="9">
        <v>100000</v>
      </c>
      <c r="J134" s="9" t="s">
        <v>827</v>
      </c>
      <c r="K134" s="9"/>
      <c r="L134" s="9"/>
      <c r="M134" s="9"/>
      <c r="N134" s="9"/>
    </row>
    <row r="135" spans="1:14" ht="19" x14ac:dyDescent="0.2">
      <c r="A135" s="101"/>
      <c r="B135" s="75"/>
      <c r="C135" s="35"/>
      <c r="D135" s="102"/>
      <c r="E135" s="15"/>
      <c r="F135" s="9"/>
      <c r="G135" s="9"/>
      <c r="H135" s="9"/>
      <c r="I135" s="9">
        <v>220000</v>
      </c>
      <c r="J135" s="9" t="s">
        <v>1090</v>
      </c>
      <c r="K135" s="9"/>
      <c r="L135" s="9"/>
      <c r="M135" s="9"/>
      <c r="N135" s="9"/>
    </row>
    <row r="136" spans="1:14" ht="19" x14ac:dyDescent="0.2">
      <c r="A136" s="101"/>
      <c r="B136" s="75"/>
      <c r="C136" s="35"/>
      <c r="D136" s="102"/>
      <c r="E136" s="15"/>
      <c r="F136" s="9"/>
      <c r="G136" s="9"/>
      <c r="H136" s="9"/>
      <c r="I136" s="9">
        <v>78000</v>
      </c>
      <c r="J136" s="9" t="s">
        <v>1016</v>
      </c>
      <c r="K136" s="9"/>
      <c r="L136" s="9"/>
      <c r="M136" s="9"/>
      <c r="N136" s="9"/>
    </row>
    <row r="137" spans="1:14" ht="19" x14ac:dyDescent="0.2">
      <c r="A137" s="101"/>
      <c r="B137" s="75"/>
      <c r="C137" s="35"/>
      <c r="D137" s="102"/>
      <c r="E137" s="15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9" x14ac:dyDescent="0.2">
      <c r="A138" s="61">
        <v>3004000</v>
      </c>
      <c r="B138" s="58">
        <v>44973</v>
      </c>
      <c r="C138" s="35" t="s">
        <v>440</v>
      </c>
      <c r="D138" s="13" t="s">
        <v>565</v>
      </c>
      <c r="E138" s="15">
        <v>2623000</v>
      </c>
      <c r="F138" s="9">
        <v>381000</v>
      </c>
      <c r="G138" s="9"/>
      <c r="H138" s="9"/>
      <c r="I138" s="9">
        <v>150000</v>
      </c>
      <c r="J138" s="9" t="s">
        <v>1432</v>
      </c>
      <c r="K138" s="9"/>
      <c r="L138" s="9"/>
      <c r="M138" s="9"/>
      <c r="N138" s="9"/>
    </row>
    <row r="139" spans="1:14" ht="19" x14ac:dyDescent="0.2">
      <c r="A139" s="61"/>
      <c r="B139" s="75"/>
      <c r="C139" s="2"/>
      <c r="D139" s="13"/>
      <c r="E139" s="9"/>
      <c r="F139" s="9"/>
      <c r="G139" s="9"/>
      <c r="H139" s="9"/>
      <c r="I139" s="9">
        <v>140000</v>
      </c>
      <c r="J139" s="9" t="s">
        <v>1433</v>
      </c>
      <c r="K139" s="9"/>
      <c r="L139" s="9"/>
      <c r="M139" s="9"/>
      <c r="N139" s="9"/>
    </row>
    <row r="140" spans="1:14" ht="19" x14ac:dyDescent="0.2">
      <c r="A140" s="74"/>
      <c r="B140" s="75"/>
      <c r="C140" s="35"/>
      <c r="D140" s="13"/>
      <c r="E140" s="15"/>
      <c r="F140" s="9"/>
      <c r="G140" s="9"/>
      <c r="H140" s="9"/>
      <c r="I140" s="9">
        <v>140000</v>
      </c>
      <c r="J140" s="9" t="s">
        <v>1434</v>
      </c>
      <c r="K140" s="9"/>
      <c r="L140" s="9"/>
      <c r="M140" s="9"/>
      <c r="N140" s="9"/>
    </row>
    <row r="141" spans="1:14" ht="19" x14ac:dyDescent="0.2">
      <c r="A141" s="74"/>
      <c r="B141" s="75"/>
      <c r="C141" s="35"/>
      <c r="D141" s="13"/>
      <c r="E141" s="15"/>
      <c r="F141" s="9"/>
      <c r="G141" s="9"/>
      <c r="H141" s="9"/>
      <c r="I141" s="9">
        <v>140000</v>
      </c>
      <c r="J141" s="9" t="s">
        <v>1435</v>
      </c>
      <c r="K141" s="9"/>
      <c r="L141" s="9"/>
      <c r="M141" s="9"/>
      <c r="N141" s="9"/>
    </row>
    <row r="142" spans="1:14" ht="19" x14ac:dyDescent="0.2">
      <c r="A142" s="74"/>
      <c r="B142" s="75"/>
      <c r="C142" s="35"/>
      <c r="D142" s="13"/>
      <c r="E142" s="15"/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19" x14ac:dyDescent="0.2">
      <c r="A143" s="74"/>
      <c r="B143" s="75"/>
      <c r="C143" s="35"/>
      <c r="D143" s="13"/>
      <c r="E143" s="15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9" x14ac:dyDescent="0.2">
      <c r="A144" s="74">
        <v>1140000</v>
      </c>
      <c r="B144" s="75"/>
      <c r="C144" s="35" t="s">
        <v>363</v>
      </c>
      <c r="D144" s="13" t="s">
        <v>685</v>
      </c>
      <c r="E144" s="15">
        <v>799000</v>
      </c>
      <c r="F144" s="9">
        <v>341000</v>
      </c>
      <c r="G144" s="9"/>
      <c r="H144" s="9"/>
      <c r="I144" s="9">
        <v>150000</v>
      </c>
      <c r="J144" s="9" t="s">
        <v>1483</v>
      </c>
      <c r="K144" s="9"/>
      <c r="L144" s="9"/>
      <c r="M144" s="9"/>
      <c r="N144" s="9"/>
    </row>
    <row r="145" spans="1:14" ht="19" x14ac:dyDescent="0.2">
      <c r="A145" s="74"/>
      <c r="B145" s="75"/>
      <c r="C145" s="35"/>
      <c r="D145" s="13"/>
      <c r="E145" s="15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9" x14ac:dyDescent="0.2">
      <c r="A146" s="74">
        <v>1729000</v>
      </c>
      <c r="B146" s="58">
        <v>44974</v>
      </c>
      <c r="C146" s="35" t="s">
        <v>440</v>
      </c>
      <c r="D146" s="13" t="s">
        <v>565</v>
      </c>
      <c r="E146" s="15">
        <v>1317000</v>
      </c>
      <c r="F146" s="9">
        <v>412000</v>
      </c>
      <c r="G146" s="9"/>
      <c r="H146" s="9"/>
      <c r="I146" s="9"/>
      <c r="J146" s="9"/>
      <c r="K146" s="9"/>
      <c r="L146" s="9"/>
      <c r="M146" s="9"/>
      <c r="N146" s="9"/>
    </row>
    <row r="147" spans="1:14" ht="19" x14ac:dyDescent="0.2">
      <c r="A147" s="74"/>
      <c r="B147" s="58"/>
      <c r="C147" s="35"/>
      <c r="D147" s="13"/>
      <c r="E147" s="15"/>
      <c r="F147" s="9"/>
      <c r="G147" s="9"/>
      <c r="H147" s="9"/>
      <c r="I147" s="9">
        <v>44500</v>
      </c>
      <c r="J147" s="9" t="s">
        <v>645</v>
      </c>
      <c r="K147" s="9"/>
      <c r="L147" s="9"/>
      <c r="M147" s="9"/>
      <c r="N147" s="9"/>
    </row>
    <row r="148" spans="1:14" ht="19" x14ac:dyDescent="0.2">
      <c r="A148" s="74"/>
      <c r="B148" s="58"/>
      <c r="C148" s="35"/>
      <c r="D148" s="13"/>
      <c r="E148" s="15"/>
      <c r="F148" s="9"/>
      <c r="G148" s="9"/>
      <c r="H148" s="9"/>
      <c r="I148" s="9">
        <v>12000</v>
      </c>
      <c r="J148" s="9" t="s">
        <v>944</v>
      </c>
      <c r="K148" s="9"/>
      <c r="L148" s="9"/>
      <c r="M148" s="9"/>
      <c r="N148" s="9"/>
    </row>
    <row r="149" spans="1:14" ht="19" x14ac:dyDescent="0.2">
      <c r="A149" s="74"/>
      <c r="B149" s="75"/>
      <c r="C149" s="35"/>
      <c r="D149" s="13"/>
      <c r="E149" s="15"/>
      <c r="F149" s="9"/>
      <c r="G149" s="9"/>
      <c r="H149" s="9"/>
      <c r="I149" s="9">
        <v>76500</v>
      </c>
      <c r="J149" s="9" t="s">
        <v>1436</v>
      </c>
      <c r="K149" s="9"/>
      <c r="L149" s="9"/>
      <c r="M149" s="9"/>
      <c r="N149" s="9"/>
    </row>
    <row r="150" spans="1:14" ht="19" x14ac:dyDescent="0.2">
      <c r="A150" s="101"/>
      <c r="B150" s="75"/>
      <c r="C150" s="35"/>
      <c r="D150" s="102"/>
      <c r="E150" s="15"/>
      <c r="F150" s="9"/>
      <c r="G150" s="9"/>
      <c r="H150" s="9"/>
      <c r="I150" s="9">
        <v>62500</v>
      </c>
      <c r="J150" s="9" t="s">
        <v>988</v>
      </c>
      <c r="K150" s="9"/>
      <c r="L150" s="9"/>
      <c r="M150" s="9"/>
      <c r="N150" s="9"/>
    </row>
    <row r="151" spans="1:14" ht="19" x14ac:dyDescent="0.2">
      <c r="A151" s="101"/>
      <c r="B151" s="75"/>
      <c r="C151" s="35"/>
      <c r="D151" s="102"/>
      <c r="E151" s="15"/>
      <c r="F151" s="9"/>
      <c r="G151" s="9"/>
      <c r="H151" s="9"/>
      <c r="I151" s="9">
        <v>27000</v>
      </c>
      <c r="J151" s="9" t="s">
        <v>1437</v>
      </c>
      <c r="K151" s="9"/>
      <c r="L151" s="9"/>
      <c r="M151" s="9"/>
      <c r="N151" s="9"/>
    </row>
    <row r="152" spans="1:14" ht="19" x14ac:dyDescent="0.2">
      <c r="A152" s="101"/>
      <c r="B152" s="75"/>
      <c r="C152" s="35"/>
      <c r="D152" s="102"/>
      <c r="E152" s="15"/>
      <c r="F152" s="9"/>
      <c r="G152" s="9"/>
      <c r="H152" s="9"/>
      <c r="I152" s="9">
        <v>17000</v>
      </c>
      <c r="J152" s="9" t="s">
        <v>1438</v>
      </c>
      <c r="K152" s="9"/>
      <c r="L152" s="9"/>
      <c r="M152" s="9"/>
      <c r="N152" s="9"/>
    </row>
    <row r="153" spans="1:14" ht="19" x14ac:dyDescent="0.2">
      <c r="A153" s="101"/>
      <c r="B153" s="75"/>
      <c r="C153" s="35"/>
      <c r="D153" s="102"/>
      <c r="E153" s="15"/>
      <c r="F153" s="9"/>
      <c r="G153" s="9"/>
      <c r="H153" s="9"/>
      <c r="I153" s="9">
        <v>28000</v>
      </c>
      <c r="J153" s="9" t="s">
        <v>1439</v>
      </c>
      <c r="K153" s="9"/>
      <c r="L153" s="9"/>
      <c r="M153" s="9"/>
      <c r="N153" s="9"/>
    </row>
    <row r="154" spans="1:14" ht="19" x14ac:dyDescent="0.2">
      <c r="A154" s="101"/>
      <c r="B154" s="75"/>
      <c r="C154" s="35"/>
      <c r="D154" s="102"/>
      <c r="E154" s="15"/>
      <c r="F154" s="9"/>
      <c r="G154" s="9"/>
      <c r="H154" s="9"/>
      <c r="I154" s="9">
        <v>35500</v>
      </c>
      <c r="J154" s="9" t="s">
        <v>1440</v>
      </c>
      <c r="K154" s="9"/>
      <c r="L154" s="9"/>
      <c r="M154" s="9"/>
      <c r="N154" s="9"/>
    </row>
    <row r="155" spans="1:14" ht="19" x14ac:dyDescent="0.2">
      <c r="A155" s="101"/>
      <c r="B155" s="75"/>
      <c r="C155" s="35"/>
      <c r="D155" s="102"/>
      <c r="E155" s="15"/>
      <c r="F155" s="9"/>
      <c r="G155" s="9"/>
      <c r="H155" s="9"/>
      <c r="I155" s="9">
        <v>47500</v>
      </c>
      <c r="J155" s="9" t="s">
        <v>1441</v>
      </c>
      <c r="K155" s="9"/>
      <c r="L155" s="9"/>
      <c r="M155" s="9"/>
      <c r="N155" s="9"/>
    </row>
    <row r="156" spans="1:14" ht="19" x14ac:dyDescent="0.2">
      <c r="A156" s="101"/>
      <c r="B156" s="75"/>
      <c r="C156" s="35"/>
      <c r="D156" s="102"/>
      <c r="E156" s="15"/>
      <c r="F156" s="9"/>
      <c r="G156" s="9"/>
      <c r="H156" s="9"/>
      <c r="I156" s="9">
        <v>45500</v>
      </c>
      <c r="J156" s="9" t="s">
        <v>1442</v>
      </c>
      <c r="K156" s="9"/>
      <c r="L156" s="9"/>
      <c r="M156" s="9"/>
      <c r="N156" s="9"/>
    </row>
    <row r="157" spans="1:14" ht="19" x14ac:dyDescent="0.2">
      <c r="A157" s="101"/>
      <c r="B157" s="75"/>
      <c r="C157" s="35"/>
      <c r="D157" s="102"/>
      <c r="E157" s="15"/>
      <c r="F157" s="9"/>
      <c r="G157" s="9"/>
      <c r="H157" s="9"/>
      <c r="I157" s="9">
        <v>83500</v>
      </c>
      <c r="J157" s="9" t="s">
        <v>1443</v>
      </c>
      <c r="K157" s="9"/>
      <c r="L157" s="9"/>
      <c r="M157" s="9"/>
      <c r="N157" s="9"/>
    </row>
    <row r="158" spans="1:14" ht="19" x14ac:dyDescent="0.2">
      <c r="A158" s="101"/>
      <c r="B158" s="75"/>
      <c r="C158" s="35"/>
      <c r="D158" s="102"/>
      <c r="E158" s="15"/>
      <c r="F158" s="9"/>
      <c r="G158" s="9"/>
      <c r="H158" s="9"/>
      <c r="I158" s="9">
        <v>9000</v>
      </c>
      <c r="J158" s="9" t="s">
        <v>1444</v>
      </c>
      <c r="K158" s="9"/>
      <c r="L158" s="9"/>
      <c r="M158" s="9"/>
      <c r="N158" s="9"/>
    </row>
    <row r="159" spans="1:14" ht="19" x14ac:dyDescent="0.2">
      <c r="A159" s="101"/>
      <c r="B159" s="75"/>
      <c r="C159" s="35"/>
      <c r="D159" s="102"/>
      <c r="E159" s="15"/>
      <c r="F159" s="9"/>
      <c r="G159" s="9"/>
      <c r="H159" s="9"/>
      <c r="I159" s="9">
        <v>47000</v>
      </c>
      <c r="J159" s="9" t="s">
        <v>1445</v>
      </c>
      <c r="K159" s="9"/>
      <c r="L159" s="9"/>
      <c r="M159" s="9"/>
      <c r="N159" s="9"/>
    </row>
    <row r="160" spans="1:14" ht="19" x14ac:dyDescent="0.2">
      <c r="A160" s="101"/>
      <c r="B160" s="75"/>
      <c r="C160" s="35"/>
      <c r="D160" s="102"/>
      <c r="E160" s="15"/>
      <c r="F160" s="9"/>
      <c r="G160" s="9"/>
      <c r="H160" s="9"/>
      <c r="I160" s="9">
        <v>117000</v>
      </c>
      <c r="J160" s="9" t="s">
        <v>895</v>
      </c>
      <c r="K160" s="9"/>
      <c r="L160" s="9"/>
      <c r="M160" s="9"/>
      <c r="N160" s="9"/>
    </row>
    <row r="161" spans="1:14" ht="19" x14ac:dyDescent="0.2">
      <c r="A161" s="101"/>
      <c r="B161" s="75"/>
      <c r="C161" s="35"/>
      <c r="D161" s="102"/>
      <c r="E161" s="15"/>
      <c r="F161" s="9"/>
      <c r="G161" s="9"/>
      <c r="H161" s="9"/>
      <c r="I161" s="9">
        <v>200000</v>
      </c>
      <c r="J161" s="9" t="s">
        <v>1090</v>
      </c>
      <c r="K161" s="9"/>
      <c r="L161" s="9"/>
      <c r="M161" s="9"/>
      <c r="N161" s="9"/>
    </row>
    <row r="162" spans="1:14" ht="19" x14ac:dyDescent="0.2">
      <c r="A162" s="74">
        <v>1196000</v>
      </c>
      <c r="B162" s="75"/>
      <c r="C162" s="35" t="s">
        <v>363</v>
      </c>
      <c r="D162" s="13" t="s">
        <v>685</v>
      </c>
      <c r="E162" s="15">
        <v>909000</v>
      </c>
      <c r="F162" s="9">
        <v>287000</v>
      </c>
      <c r="G162" s="9"/>
      <c r="H162" s="9"/>
      <c r="I162" s="9">
        <v>144000</v>
      </c>
      <c r="J162" s="9" t="s">
        <v>615</v>
      </c>
      <c r="K162" s="9"/>
      <c r="L162" s="9"/>
      <c r="M162" s="9"/>
      <c r="N162" s="9"/>
    </row>
    <row r="163" spans="1:14" ht="19" x14ac:dyDescent="0.2">
      <c r="A163" s="74"/>
      <c r="B163" s="75"/>
      <c r="C163" s="35"/>
      <c r="D163" s="13"/>
      <c r="E163" s="15"/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19" x14ac:dyDescent="0.2">
      <c r="A164" s="74"/>
      <c r="B164" s="75"/>
      <c r="C164" s="35"/>
      <c r="D164" s="13"/>
      <c r="E164" s="15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9" x14ac:dyDescent="0.2">
      <c r="A165" s="74">
        <v>1830000</v>
      </c>
      <c r="B165" s="58">
        <v>44975</v>
      </c>
      <c r="C165" s="3" t="s">
        <v>9</v>
      </c>
      <c r="D165" s="13" t="s">
        <v>565</v>
      </c>
      <c r="E165" s="15">
        <v>1507000</v>
      </c>
      <c r="F165" s="9">
        <v>323000</v>
      </c>
      <c r="G165" s="9"/>
      <c r="H165" s="9"/>
      <c r="I165" s="9">
        <v>31000</v>
      </c>
      <c r="J165" s="9" t="s">
        <v>640</v>
      </c>
      <c r="K165" s="9"/>
      <c r="L165" s="9"/>
      <c r="M165" s="9"/>
      <c r="N165" s="9"/>
    </row>
    <row r="166" spans="1:14" ht="19" x14ac:dyDescent="0.2">
      <c r="A166" s="74"/>
      <c r="B166" s="58"/>
      <c r="C166" s="35"/>
      <c r="D166" s="13"/>
      <c r="E166" s="15"/>
      <c r="F166" s="9"/>
      <c r="G166" s="9"/>
      <c r="H166" s="9"/>
      <c r="I166" s="9">
        <v>31000</v>
      </c>
      <c r="J166" s="9" t="s">
        <v>714</v>
      </c>
      <c r="K166" s="9"/>
      <c r="L166" s="9"/>
      <c r="M166" s="9"/>
      <c r="N166" s="9"/>
    </row>
    <row r="167" spans="1:14" ht="19" x14ac:dyDescent="0.2">
      <c r="A167" s="74">
        <v>809000</v>
      </c>
      <c r="B167" s="58">
        <v>44975</v>
      </c>
      <c r="C167" s="35" t="s">
        <v>806</v>
      </c>
      <c r="D167" s="13" t="s">
        <v>685</v>
      </c>
      <c r="E167" s="15">
        <v>582000</v>
      </c>
      <c r="F167" s="9">
        <v>227000</v>
      </c>
      <c r="G167" s="9"/>
      <c r="H167" s="9"/>
      <c r="I167" s="9">
        <v>50000</v>
      </c>
      <c r="J167" s="9" t="s">
        <v>59</v>
      </c>
      <c r="K167" s="9"/>
      <c r="L167" s="9"/>
      <c r="M167" s="9"/>
      <c r="N167" s="9"/>
    </row>
    <row r="168" spans="1:14" ht="19" x14ac:dyDescent="0.2">
      <c r="A168" s="74"/>
      <c r="B168" s="58"/>
      <c r="C168" s="35"/>
      <c r="D168" s="13"/>
      <c r="E168" s="15"/>
      <c r="F168" s="9"/>
      <c r="G168" s="9"/>
      <c r="H168" s="9"/>
      <c r="I168" s="9"/>
      <c r="J168" s="9"/>
      <c r="K168" s="9"/>
      <c r="L168" s="9"/>
      <c r="M168" s="9"/>
      <c r="N168" s="9"/>
    </row>
    <row r="169" spans="1:14" ht="19" x14ac:dyDescent="0.2">
      <c r="A169" s="74"/>
      <c r="B169" s="58"/>
      <c r="C169" s="35"/>
      <c r="D169" s="13"/>
      <c r="E169" s="15"/>
      <c r="F169" s="9"/>
      <c r="G169" s="9"/>
      <c r="H169" s="9"/>
      <c r="I169" s="9"/>
      <c r="J169" s="9"/>
      <c r="K169" s="9"/>
      <c r="L169" s="9"/>
      <c r="M169" s="9"/>
      <c r="N169" s="9"/>
    </row>
    <row r="170" spans="1:14" ht="19" x14ac:dyDescent="0.2">
      <c r="A170" s="61"/>
      <c r="B170" s="58"/>
      <c r="C170" s="3"/>
      <c r="D170" s="13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 ht="19" x14ac:dyDescent="0.2">
      <c r="A171" s="74"/>
      <c r="B171" s="58"/>
      <c r="C171" s="49"/>
      <c r="D171" s="13"/>
      <c r="E171" s="15"/>
      <c r="F171" s="9"/>
      <c r="G171" s="9"/>
      <c r="H171" s="9"/>
      <c r="I171" s="9"/>
      <c r="J171" s="9"/>
      <c r="K171" s="9"/>
      <c r="L171" s="9"/>
      <c r="M171" s="9"/>
      <c r="N171" s="9"/>
    </row>
    <row r="172" spans="1:14" ht="19" x14ac:dyDescent="0.2">
      <c r="A172" s="74"/>
      <c r="B172" s="58"/>
      <c r="C172" s="49"/>
      <c r="D172" s="13"/>
      <c r="E172" s="15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9" x14ac:dyDescent="0.2">
      <c r="A173" s="74"/>
      <c r="B173" s="58"/>
      <c r="C173" s="49"/>
      <c r="D173" s="13"/>
      <c r="E173" s="15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9" x14ac:dyDescent="0.2">
      <c r="A174" s="74"/>
      <c r="B174" s="58">
        <v>44976</v>
      </c>
      <c r="C174" s="3"/>
      <c r="D174" s="13"/>
      <c r="E174" s="15"/>
      <c r="F174" s="9"/>
      <c r="G174" s="9"/>
      <c r="H174" s="9" t="s">
        <v>737</v>
      </c>
      <c r="I174" s="9"/>
      <c r="J174" s="9"/>
      <c r="K174" s="9"/>
      <c r="L174" s="9"/>
      <c r="M174" s="9"/>
      <c r="N174" s="9"/>
    </row>
    <row r="175" spans="1:14" ht="19" x14ac:dyDescent="0.2">
      <c r="A175" s="74">
        <v>1825000</v>
      </c>
      <c r="B175" s="58">
        <v>44977</v>
      </c>
      <c r="C175" s="35" t="s">
        <v>440</v>
      </c>
      <c r="D175" s="13" t="s">
        <v>405</v>
      </c>
      <c r="E175" s="15">
        <v>1624000</v>
      </c>
      <c r="F175" s="9">
        <v>201000</v>
      </c>
      <c r="G175" s="9">
        <v>2736000</v>
      </c>
      <c r="H175" s="9" t="s">
        <v>1045</v>
      </c>
      <c r="I175" s="9">
        <v>65000</v>
      </c>
      <c r="J175" s="9" t="s">
        <v>908</v>
      </c>
      <c r="K175" s="9"/>
      <c r="L175" s="9"/>
      <c r="M175" s="9"/>
      <c r="N175" s="9"/>
    </row>
    <row r="176" spans="1:14" ht="19" x14ac:dyDescent="0.2">
      <c r="A176" s="74"/>
      <c r="B176" s="58"/>
      <c r="C176" s="49"/>
      <c r="D176" s="13"/>
      <c r="E176" s="15"/>
      <c r="F176" s="9"/>
      <c r="G176" s="9"/>
      <c r="H176" s="9"/>
      <c r="I176" s="76">
        <v>19000</v>
      </c>
      <c r="J176" s="76" t="s">
        <v>1446</v>
      </c>
      <c r="K176" s="9"/>
      <c r="L176" s="9"/>
      <c r="M176" s="9"/>
      <c r="N176" s="9"/>
    </row>
    <row r="177" spans="1:14" ht="19" x14ac:dyDescent="0.2">
      <c r="A177" s="74"/>
      <c r="B177" s="58"/>
      <c r="C177" s="49"/>
      <c r="D177" s="13"/>
      <c r="E177" s="15"/>
      <c r="F177" s="9"/>
      <c r="G177" s="9"/>
      <c r="H177" s="9"/>
      <c r="I177" s="76">
        <v>10000</v>
      </c>
      <c r="J177" s="76" t="s">
        <v>681</v>
      </c>
      <c r="K177" s="9"/>
      <c r="L177" s="9"/>
      <c r="M177" s="9"/>
      <c r="N177" s="9"/>
    </row>
    <row r="178" spans="1:14" ht="19" x14ac:dyDescent="0.2">
      <c r="A178" s="74"/>
      <c r="B178" s="58"/>
      <c r="C178" s="49"/>
      <c r="D178" s="13"/>
      <c r="E178" s="15"/>
      <c r="F178" s="9"/>
      <c r="G178" s="9"/>
      <c r="H178" s="103"/>
      <c r="I178" s="76">
        <v>26000</v>
      </c>
      <c r="J178" s="76" t="s">
        <v>982</v>
      </c>
      <c r="K178" s="9"/>
      <c r="L178" s="9"/>
      <c r="M178" s="9"/>
      <c r="N178" s="9"/>
    </row>
    <row r="179" spans="1:14" ht="19" x14ac:dyDescent="0.2">
      <c r="A179" s="101"/>
      <c r="B179" s="58"/>
      <c r="C179" s="49"/>
      <c r="D179" s="102"/>
      <c r="E179" s="15"/>
      <c r="F179" s="9"/>
      <c r="G179" s="9"/>
      <c r="H179" s="103"/>
      <c r="I179" s="76">
        <v>38000</v>
      </c>
      <c r="J179" s="76" t="s">
        <v>1447</v>
      </c>
      <c r="K179" s="9"/>
      <c r="L179" s="9"/>
      <c r="M179" s="9"/>
      <c r="N179" s="9"/>
    </row>
    <row r="180" spans="1:14" ht="19" x14ac:dyDescent="0.2">
      <c r="A180" s="101"/>
      <c r="B180" s="58"/>
      <c r="C180" s="49"/>
      <c r="D180" s="102"/>
      <c r="E180" s="15"/>
      <c r="F180" s="9"/>
      <c r="G180" s="9"/>
      <c r="H180" s="103"/>
      <c r="I180" s="76"/>
      <c r="J180" s="76"/>
      <c r="K180" s="9"/>
      <c r="L180" s="9"/>
      <c r="M180" s="9"/>
      <c r="N180" s="9"/>
    </row>
    <row r="181" spans="1:14" ht="19" x14ac:dyDescent="0.2">
      <c r="A181" s="61">
        <v>1505000</v>
      </c>
      <c r="B181" s="58"/>
      <c r="C181" s="49" t="s">
        <v>10</v>
      </c>
      <c r="D181" s="13" t="s">
        <v>685</v>
      </c>
      <c r="E181" s="15">
        <v>1229000</v>
      </c>
      <c r="F181" s="9">
        <v>276000</v>
      </c>
      <c r="G181" s="9"/>
      <c r="H181" s="9"/>
      <c r="I181" s="9">
        <v>144000</v>
      </c>
      <c r="J181" s="9" t="s">
        <v>1245</v>
      </c>
      <c r="K181" s="9"/>
      <c r="L181" s="9"/>
      <c r="M181" s="9"/>
      <c r="N181" s="9"/>
    </row>
    <row r="182" spans="1:14" ht="19" x14ac:dyDescent="0.2">
      <c r="A182" s="74"/>
      <c r="B182" s="58"/>
      <c r="C182" s="49"/>
      <c r="D182" s="13"/>
      <c r="E182" s="15"/>
      <c r="F182" s="9"/>
      <c r="G182" s="9"/>
      <c r="H182" s="9"/>
      <c r="I182" s="9">
        <v>56000</v>
      </c>
      <c r="J182" s="9" t="s">
        <v>1448</v>
      </c>
      <c r="K182" s="9"/>
      <c r="L182" s="9"/>
      <c r="M182" s="9"/>
      <c r="N182" s="9"/>
    </row>
    <row r="183" spans="1:14" ht="19" x14ac:dyDescent="0.2">
      <c r="A183" s="74"/>
      <c r="B183" s="58"/>
      <c r="C183" s="49"/>
      <c r="D183" s="13"/>
      <c r="E183" s="15"/>
      <c r="F183" s="9"/>
      <c r="G183" s="9"/>
      <c r="H183" s="9"/>
      <c r="I183" s="9">
        <v>100000</v>
      </c>
      <c r="J183" s="9" t="s">
        <v>889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9">
        <v>240000</v>
      </c>
      <c r="J184" s="9" t="s">
        <v>1397</v>
      </c>
      <c r="K184" s="9"/>
      <c r="L184" s="9"/>
      <c r="M184" s="9"/>
      <c r="N184" s="9"/>
    </row>
    <row r="185" spans="1:14" ht="19" x14ac:dyDescent="0.2">
      <c r="A185" s="74"/>
      <c r="B185" s="58"/>
      <c r="C185" s="49"/>
      <c r="D185" s="13"/>
      <c r="E185" s="15"/>
      <c r="F185" s="9"/>
      <c r="G185" s="9"/>
      <c r="H185" s="9"/>
      <c r="I185" s="9"/>
      <c r="J185" s="9"/>
      <c r="K185" s="9"/>
      <c r="L185" s="9"/>
      <c r="M185" s="9"/>
      <c r="N185" s="9"/>
    </row>
    <row r="186" spans="1:14" ht="19" x14ac:dyDescent="0.2">
      <c r="A186" s="61">
        <v>1678000</v>
      </c>
      <c r="B186" s="58">
        <v>44978</v>
      </c>
      <c r="C186" s="2" t="s">
        <v>9</v>
      </c>
      <c r="D186" s="13" t="s">
        <v>405</v>
      </c>
      <c r="E186" s="15">
        <v>1482000</v>
      </c>
      <c r="F186" s="9">
        <v>196000</v>
      </c>
      <c r="G186" s="9"/>
      <c r="H186" s="76"/>
      <c r="I186" s="9">
        <v>48000</v>
      </c>
      <c r="J186" s="9" t="s">
        <v>1449</v>
      </c>
      <c r="K186" s="9"/>
      <c r="L186" s="9"/>
      <c r="M186" s="9"/>
      <c r="N186" s="9"/>
    </row>
    <row r="187" spans="1:14" ht="19" x14ac:dyDescent="0.2">
      <c r="A187" s="74"/>
      <c r="B187" s="58"/>
      <c r="C187" s="35"/>
      <c r="D187" s="13"/>
      <c r="E187" s="15"/>
      <c r="F187" s="9"/>
      <c r="G187" s="9"/>
      <c r="H187" s="76"/>
      <c r="I187" s="9">
        <v>26500</v>
      </c>
      <c r="J187" s="9" t="s">
        <v>1450</v>
      </c>
      <c r="K187" s="9"/>
      <c r="L187" s="9"/>
      <c r="M187" s="9"/>
      <c r="N187" s="9"/>
    </row>
    <row r="188" spans="1:14" ht="19" x14ac:dyDescent="0.2">
      <c r="A188" s="74"/>
      <c r="B188" s="58"/>
      <c r="C188" s="35"/>
      <c r="D188" s="13"/>
      <c r="E188" s="15"/>
      <c r="F188" s="9"/>
      <c r="G188" s="9"/>
      <c r="H188" s="76"/>
      <c r="I188" s="9">
        <v>57500</v>
      </c>
      <c r="J188" s="9" t="s">
        <v>1451</v>
      </c>
      <c r="K188" s="9"/>
      <c r="L188" s="9"/>
      <c r="M188" s="9"/>
      <c r="N188" s="9"/>
    </row>
    <row r="189" spans="1:14" ht="19" x14ac:dyDescent="0.2">
      <c r="A189" s="74"/>
      <c r="B189" s="58"/>
      <c r="C189" s="35"/>
      <c r="D189" s="13"/>
      <c r="E189" s="15"/>
      <c r="F189" s="9"/>
      <c r="G189" s="9"/>
      <c r="H189" s="76"/>
      <c r="I189" s="9">
        <v>26000</v>
      </c>
      <c r="J189" s="9" t="s">
        <v>1452</v>
      </c>
      <c r="K189" s="9"/>
      <c r="L189" s="9"/>
      <c r="M189" s="9"/>
      <c r="N189" s="9"/>
    </row>
    <row r="190" spans="1:14" ht="19" x14ac:dyDescent="0.2">
      <c r="A190" s="74"/>
      <c r="B190" s="58"/>
      <c r="C190" s="35"/>
      <c r="D190" s="13"/>
      <c r="E190" s="15"/>
      <c r="F190" s="9"/>
      <c r="G190" s="9"/>
      <c r="H190" s="76"/>
      <c r="I190" s="9"/>
      <c r="J190" s="9"/>
      <c r="K190" s="9"/>
      <c r="L190" s="9"/>
      <c r="M190" s="9"/>
      <c r="N190" s="9"/>
    </row>
    <row r="191" spans="1:14" ht="19" x14ac:dyDescent="0.2">
      <c r="A191" s="74">
        <v>1093000</v>
      </c>
      <c r="B191" s="58"/>
      <c r="C191" s="3" t="s">
        <v>10</v>
      </c>
      <c r="D191" s="13" t="s">
        <v>685</v>
      </c>
      <c r="E191" s="15">
        <v>907000</v>
      </c>
      <c r="F191" s="9">
        <v>186000</v>
      </c>
      <c r="G191" s="9"/>
      <c r="H191" s="76" t="s">
        <v>1454</v>
      </c>
      <c r="I191" s="9">
        <v>65000</v>
      </c>
      <c r="J191" s="9" t="s">
        <v>1455</v>
      </c>
      <c r="K191" s="9"/>
      <c r="L191" s="9"/>
      <c r="M191" s="9"/>
      <c r="N191" s="9"/>
    </row>
    <row r="192" spans="1:14" ht="19" x14ac:dyDescent="0.2">
      <c r="A192" s="74"/>
      <c r="B192" s="58"/>
      <c r="C192" s="35"/>
      <c r="D192" s="13"/>
      <c r="E192" s="15"/>
      <c r="F192" s="9"/>
      <c r="G192" s="9"/>
      <c r="H192" s="76" t="s">
        <v>1454</v>
      </c>
      <c r="I192" s="9">
        <v>170000</v>
      </c>
      <c r="J192" s="9" t="s">
        <v>1456</v>
      </c>
      <c r="K192" s="9"/>
      <c r="L192" s="9"/>
      <c r="M192" s="9"/>
      <c r="N192" s="9"/>
    </row>
    <row r="193" spans="1:14" ht="19" x14ac:dyDescent="0.2">
      <c r="A193" s="74"/>
      <c r="B193" s="58"/>
      <c r="C193" s="35"/>
      <c r="D193" s="13"/>
      <c r="E193" s="15"/>
      <c r="F193" s="9"/>
      <c r="G193" s="9"/>
      <c r="H193" s="76"/>
      <c r="I193" s="9">
        <v>200000</v>
      </c>
      <c r="J193" s="9" t="s">
        <v>653</v>
      </c>
      <c r="K193" s="9"/>
      <c r="L193" s="9"/>
      <c r="M193" s="9"/>
      <c r="N193" s="9"/>
    </row>
    <row r="194" spans="1:14" ht="19" x14ac:dyDescent="0.2">
      <c r="A194" s="101"/>
      <c r="B194" s="58"/>
      <c r="C194" s="35"/>
      <c r="D194" s="102"/>
      <c r="E194" s="15"/>
      <c r="F194" s="9"/>
      <c r="G194" s="9"/>
      <c r="H194" s="76"/>
      <c r="I194" s="9">
        <v>70000</v>
      </c>
      <c r="J194" s="9" t="s">
        <v>1477</v>
      </c>
      <c r="K194" s="9"/>
      <c r="L194" s="9"/>
      <c r="M194" s="9"/>
      <c r="N194" s="9"/>
    </row>
    <row r="195" spans="1:14" ht="19" x14ac:dyDescent="0.2">
      <c r="A195" s="101"/>
      <c r="B195" s="58"/>
      <c r="C195" s="35"/>
      <c r="D195" s="102"/>
      <c r="E195" s="15"/>
      <c r="F195" s="9"/>
      <c r="G195" s="9"/>
      <c r="H195" s="76"/>
      <c r="I195" s="9">
        <v>100000</v>
      </c>
      <c r="J195" s="9" t="s">
        <v>827</v>
      </c>
      <c r="K195" s="9"/>
      <c r="L195" s="9"/>
      <c r="M195" s="9"/>
      <c r="N195" s="9"/>
    </row>
    <row r="196" spans="1:14" ht="19" x14ac:dyDescent="0.2">
      <c r="A196" s="74">
        <v>2455000</v>
      </c>
      <c r="B196" s="58">
        <v>44979</v>
      </c>
      <c r="C196" s="2" t="s">
        <v>9</v>
      </c>
      <c r="D196" s="13" t="s">
        <v>405</v>
      </c>
      <c r="E196" s="15">
        <v>1959000</v>
      </c>
      <c r="F196" s="9">
        <v>496000</v>
      </c>
      <c r="G196" s="9"/>
      <c r="H196" s="77"/>
      <c r="I196" s="9">
        <v>52000</v>
      </c>
      <c r="J196" s="9" t="s">
        <v>1487</v>
      </c>
      <c r="K196" s="9"/>
      <c r="L196" s="9"/>
      <c r="M196" s="9"/>
      <c r="N196" s="9"/>
    </row>
    <row r="197" spans="1:14" ht="19" x14ac:dyDescent="0.2">
      <c r="A197" s="74"/>
      <c r="B197" s="58"/>
      <c r="C197" s="35"/>
      <c r="D197" s="13"/>
      <c r="E197" s="15"/>
      <c r="F197" s="9"/>
      <c r="G197" s="9"/>
      <c r="H197" s="76"/>
      <c r="I197" s="9"/>
      <c r="J197" s="9"/>
      <c r="K197" s="9"/>
      <c r="L197" s="9"/>
      <c r="M197" s="9"/>
      <c r="N197" s="9"/>
    </row>
    <row r="198" spans="1:14" ht="19" x14ac:dyDescent="0.2">
      <c r="A198" s="74">
        <v>1498000</v>
      </c>
      <c r="B198" s="58"/>
      <c r="C198" s="3" t="s">
        <v>10</v>
      </c>
      <c r="D198" s="13" t="s">
        <v>565</v>
      </c>
      <c r="E198" s="15">
        <v>1227000</v>
      </c>
      <c r="F198" s="9">
        <v>271000</v>
      </c>
      <c r="G198" s="9"/>
      <c r="H198" s="76"/>
      <c r="I198" s="9">
        <v>100000</v>
      </c>
      <c r="J198" s="9" t="s">
        <v>1453</v>
      </c>
      <c r="K198" s="9"/>
      <c r="L198" s="9"/>
      <c r="M198" s="9"/>
      <c r="N198" s="9"/>
    </row>
    <row r="199" spans="1:14" ht="19" x14ac:dyDescent="0.2">
      <c r="A199" s="74"/>
      <c r="B199" s="58"/>
      <c r="C199" s="35"/>
      <c r="D199" s="13"/>
      <c r="E199" s="15"/>
      <c r="F199" s="9"/>
      <c r="G199" s="9"/>
      <c r="H199" s="76" t="s">
        <v>1454</v>
      </c>
      <c r="I199" s="9">
        <v>50000</v>
      </c>
      <c r="J199" s="9" t="s">
        <v>1463</v>
      </c>
      <c r="K199" s="9"/>
      <c r="L199" s="9"/>
      <c r="M199" s="9"/>
      <c r="N199" s="9"/>
    </row>
    <row r="200" spans="1:14" ht="19" x14ac:dyDescent="0.2">
      <c r="A200" s="74">
        <v>1357000</v>
      </c>
      <c r="B200" s="58">
        <v>44980</v>
      </c>
      <c r="C200" s="2" t="s">
        <v>9</v>
      </c>
      <c r="D200" s="13" t="s">
        <v>405</v>
      </c>
      <c r="E200" s="15">
        <v>1144000</v>
      </c>
      <c r="F200" s="9">
        <v>213000</v>
      </c>
      <c r="G200" s="9">
        <v>292000</v>
      </c>
      <c r="H200" s="132" t="s">
        <v>1388</v>
      </c>
      <c r="I200" s="9">
        <v>180000</v>
      </c>
      <c r="J200" s="9" t="s">
        <v>1457</v>
      </c>
      <c r="K200" s="9"/>
      <c r="L200" s="9"/>
      <c r="M200" s="9"/>
      <c r="N200" s="9"/>
    </row>
    <row r="201" spans="1:14" ht="19" x14ac:dyDescent="0.2">
      <c r="A201" s="74"/>
      <c r="B201" s="58"/>
      <c r="C201" s="35"/>
      <c r="D201" s="13"/>
      <c r="E201" s="15"/>
      <c r="F201" s="9"/>
      <c r="G201" s="9"/>
      <c r="H201" s="76"/>
      <c r="I201" s="9"/>
      <c r="J201" s="9"/>
      <c r="K201" s="9"/>
      <c r="L201" s="9"/>
      <c r="M201" s="9"/>
      <c r="N201" s="9"/>
    </row>
    <row r="202" spans="1:14" ht="19" x14ac:dyDescent="0.2">
      <c r="A202" s="74"/>
      <c r="B202" s="58"/>
      <c r="C202" s="49"/>
      <c r="D202" s="13"/>
      <c r="E202" s="15"/>
      <c r="F202" s="9"/>
      <c r="G202" s="9"/>
      <c r="H202" s="9"/>
      <c r="I202" s="9"/>
      <c r="J202" s="9"/>
      <c r="K202" s="9"/>
      <c r="L202" s="9"/>
      <c r="M202" s="9"/>
      <c r="N202" s="9"/>
    </row>
    <row r="203" spans="1:14" ht="19" x14ac:dyDescent="0.2">
      <c r="A203" s="74">
        <v>658000</v>
      </c>
      <c r="B203" s="58"/>
      <c r="C203" s="3" t="s">
        <v>10</v>
      </c>
      <c r="D203" s="13" t="s">
        <v>685</v>
      </c>
      <c r="E203" s="15">
        <v>508000</v>
      </c>
      <c r="F203" s="9">
        <v>150000</v>
      </c>
      <c r="G203" s="9"/>
      <c r="H203" s="9"/>
      <c r="I203" s="9"/>
      <c r="J203" s="9"/>
      <c r="K203" s="9"/>
      <c r="L203" s="9"/>
      <c r="M203" s="9"/>
      <c r="N203" s="9"/>
    </row>
    <row r="204" spans="1:14" ht="19" x14ac:dyDescent="0.2">
      <c r="A204" s="74"/>
      <c r="B204" s="75"/>
      <c r="C204" s="35"/>
      <c r="D204" s="13"/>
      <c r="E204" s="15"/>
      <c r="F204" s="9"/>
      <c r="G204" s="9"/>
      <c r="H204" s="77"/>
      <c r="I204" s="9"/>
      <c r="J204" s="9"/>
      <c r="K204" s="9"/>
      <c r="L204" s="9"/>
      <c r="M204" s="9"/>
      <c r="N204" s="9"/>
    </row>
    <row r="205" spans="1:14" ht="19" x14ac:dyDescent="0.2">
      <c r="A205" s="61">
        <v>1520000</v>
      </c>
      <c r="B205" s="58">
        <v>44981</v>
      </c>
      <c r="C205" s="3" t="s">
        <v>9</v>
      </c>
      <c r="D205" s="13" t="s">
        <v>405</v>
      </c>
      <c r="E205" s="15">
        <v>1290000</v>
      </c>
      <c r="F205" s="9">
        <v>230000</v>
      </c>
      <c r="G205" s="9"/>
      <c r="H205" s="9"/>
      <c r="I205" s="9">
        <v>35000</v>
      </c>
      <c r="J205" s="9" t="s">
        <v>1458</v>
      </c>
      <c r="K205" s="9"/>
      <c r="L205" s="9"/>
      <c r="M205" s="9"/>
      <c r="N205" s="9"/>
    </row>
    <row r="206" spans="1:14" ht="19" x14ac:dyDescent="0.2">
      <c r="A206" s="74"/>
      <c r="B206" s="58"/>
      <c r="C206" s="49"/>
      <c r="D206" s="13"/>
      <c r="E206" s="15"/>
      <c r="F206" s="9"/>
      <c r="G206" s="9"/>
      <c r="H206" s="9"/>
      <c r="I206" s="76">
        <v>31000</v>
      </c>
      <c r="J206" s="76" t="s">
        <v>714</v>
      </c>
      <c r="K206" s="9"/>
      <c r="L206" s="9"/>
      <c r="M206" s="9"/>
      <c r="N206" s="9"/>
    </row>
    <row r="207" spans="1:14" ht="19" x14ac:dyDescent="0.2">
      <c r="A207" s="74"/>
      <c r="B207" s="58"/>
      <c r="C207" s="49"/>
      <c r="D207" s="13"/>
      <c r="E207" s="15"/>
      <c r="F207" s="9"/>
      <c r="G207" s="9"/>
      <c r="H207" s="9"/>
      <c r="I207" s="76">
        <v>20500</v>
      </c>
      <c r="J207" s="76" t="s">
        <v>1459</v>
      </c>
      <c r="K207" s="9"/>
      <c r="L207" s="9"/>
      <c r="M207" s="9"/>
      <c r="N207" s="9"/>
    </row>
    <row r="208" spans="1:14" ht="19" x14ac:dyDescent="0.2">
      <c r="A208" s="74"/>
      <c r="B208" s="58"/>
      <c r="C208" s="49"/>
      <c r="D208" s="13"/>
      <c r="E208" s="15"/>
      <c r="F208" s="9"/>
      <c r="G208" s="9"/>
      <c r="H208" s="9"/>
      <c r="I208" s="76">
        <v>104000</v>
      </c>
      <c r="J208" s="76" t="s">
        <v>1460</v>
      </c>
      <c r="K208" s="9"/>
      <c r="L208" s="9"/>
      <c r="M208" s="9"/>
      <c r="N208" s="9"/>
    </row>
    <row r="209" spans="1:14" ht="19" x14ac:dyDescent="0.2">
      <c r="A209" s="74"/>
      <c r="B209" s="58"/>
      <c r="C209" s="49"/>
      <c r="D209" s="13"/>
      <c r="E209" s="15"/>
      <c r="F209" s="9"/>
      <c r="G209" s="9"/>
      <c r="H209" s="9"/>
      <c r="I209" s="76">
        <v>39000</v>
      </c>
      <c r="J209" s="76" t="s">
        <v>640</v>
      </c>
      <c r="K209" s="9"/>
      <c r="L209" s="9"/>
      <c r="M209" s="9"/>
      <c r="N209" s="9"/>
    </row>
    <row r="210" spans="1:14" ht="19" x14ac:dyDescent="0.2">
      <c r="A210" s="74">
        <v>1813000</v>
      </c>
      <c r="B210" s="58"/>
      <c r="C210" s="49" t="s">
        <v>363</v>
      </c>
      <c r="D210" s="13" t="s">
        <v>685</v>
      </c>
      <c r="E210" s="15">
        <v>1362000</v>
      </c>
      <c r="F210" s="9">
        <v>451000</v>
      </c>
      <c r="G210" s="9"/>
      <c r="H210" s="9"/>
      <c r="I210" s="76"/>
      <c r="J210" s="76"/>
      <c r="K210" s="9"/>
      <c r="L210" s="9"/>
      <c r="M210" s="9"/>
      <c r="N210" s="9"/>
    </row>
    <row r="211" spans="1:14" ht="19" x14ac:dyDescent="0.2">
      <c r="A211" s="74"/>
      <c r="B211" s="58"/>
      <c r="C211" s="49"/>
      <c r="D211" s="13"/>
      <c r="E211" s="15"/>
      <c r="F211" s="9"/>
      <c r="G211" s="9"/>
      <c r="H211" s="9"/>
      <c r="I211" s="76">
        <v>75000</v>
      </c>
      <c r="J211" s="76" t="s">
        <v>1461</v>
      </c>
      <c r="K211" s="9"/>
      <c r="L211" s="9"/>
      <c r="M211" s="9"/>
      <c r="N211" s="9"/>
    </row>
    <row r="212" spans="1:14" ht="19" x14ac:dyDescent="0.2">
      <c r="A212" s="74"/>
      <c r="B212" s="58"/>
      <c r="C212" s="49"/>
      <c r="D212" s="13"/>
      <c r="E212" s="15"/>
      <c r="F212" s="9"/>
      <c r="G212" s="9"/>
      <c r="H212" s="9"/>
      <c r="I212" s="76">
        <v>144000</v>
      </c>
      <c r="J212" s="76" t="s">
        <v>1245</v>
      </c>
      <c r="K212" s="9"/>
      <c r="L212" s="9"/>
      <c r="M212" s="9"/>
      <c r="N212" s="9"/>
    </row>
    <row r="213" spans="1:14" ht="19" x14ac:dyDescent="0.2">
      <c r="A213" s="74"/>
      <c r="B213" s="58"/>
      <c r="C213" s="49"/>
      <c r="D213" s="13"/>
      <c r="E213" s="15"/>
      <c r="F213" s="9"/>
      <c r="G213" s="9"/>
      <c r="H213" s="9"/>
      <c r="I213" s="76"/>
      <c r="J213" s="76"/>
      <c r="K213" s="9"/>
      <c r="L213" s="9"/>
      <c r="M213" s="9"/>
      <c r="N213" s="9"/>
    </row>
    <row r="214" spans="1:14" ht="19" x14ac:dyDescent="0.2">
      <c r="A214" s="74">
        <v>1452000</v>
      </c>
      <c r="B214" s="58">
        <v>44982</v>
      </c>
      <c r="C214" s="49" t="s">
        <v>9</v>
      </c>
      <c r="D214" s="13" t="s">
        <v>405</v>
      </c>
      <c r="E214" s="15">
        <v>1203000</v>
      </c>
      <c r="F214" s="9">
        <v>249000</v>
      </c>
      <c r="G214" s="9"/>
      <c r="H214" s="9"/>
      <c r="I214" s="76">
        <v>120000</v>
      </c>
      <c r="J214" s="76" t="s">
        <v>703</v>
      </c>
      <c r="K214" s="9"/>
      <c r="L214" s="9"/>
      <c r="M214" s="9"/>
      <c r="N214" s="9"/>
    </row>
    <row r="215" spans="1:14" ht="19" x14ac:dyDescent="0.2">
      <c r="A215" s="74"/>
      <c r="B215" s="58"/>
      <c r="C215" s="49"/>
      <c r="D215" s="13"/>
      <c r="E215" s="15"/>
      <c r="F215" s="9"/>
      <c r="G215" s="9"/>
      <c r="H215" s="9"/>
      <c r="I215" s="76">
        <v>520000</v>
      </c>
      <c r="J215" s="76" t="s">
        <v>1462</v>
      </c>
      <c r="K215" s="9"/>
      <c r="L215" s="9"/>
      <c r="M215" s="9"/>
      <c r="N215" s="9"/>
    </row>
    <row r="216" spans="1:14" ht="19" x14ac:dyDescent="0.2">
      <c r="A216" s="74"/>
      <c r="B216" s="58"/>
      <c r="C216" s="49"/>
      <c r="D216" s="13"/>
      <c r="E216" s="15"/>
      <c r="F216" s="9"/>
      <c r="G216" s="9"/>
      <c r="H216" s="9"/>
      <c r="I216" s="76">
        <v>310000</v>
      </c>
      <c r="J216" s="76" t="s">
        <v>1464</v>
      </c>
      <c r="K216" s="9"/>
      <c r="L216" s="9"/>
      <c r="M216" s="9"/>
      <c r="N216" s="9"/>
    </row>
    <row r="217" spans="1:14" ht="19" x14ac:dyDescent="0.2">
      <c r="A217" s="74"/>
      <c r="B217" s="58"/>
      <c r="C217" s="49"/>
      <c r="D217" s="13"/>
      <c r="E217" s="15"/>
      <c r="F217" s="9"/>
      <c r="G217" s="9"/>
      <c r="H217" s="9"/>
      <c r="I217" s="76">
        <v>310000</v>
      </c>
      <c r="J217" s="76" t="s">
        <v>1465</v>
      </c>
      <c r="K217" s="9"/>
      <c r="L217" s="9"/>
      <c r="M217" s="9"/>
      <c r="N217" s="9"/>
    </row>
    <row r="218" spans="1:14" ht="19" x14ac:dyDescent="0.2">
      <c r="A218" s="61"/>
      <c r="B218" s="58"/>
      <c r="C218" s="49"/>
      <c r="D218" s="13"/>
      <c r="E218" s="15"/>
      <c r="F218" s="9"/>
      <c r="G218" s="9"/>
      <c r="H218" s="9"/>
      <c r="I218" s="9">
        <v>60000</v>
      </c>
      <c r="J218" s="9" t="s">
        <v>1259</v>
      </c>
      <c r="K218" s="9"/>
      <c r="L218" s="9"/>
      <c r="M218" s="9"/>
      <c r="N218" s="9"/>
    </row>
    <row r="219" spans="1:14" ht="19" x14ac:dyDescent="0.2">
      <c r="A219" s="74"/>
      <c r="B219" s="58"/>
      <c r="C219" s="49"/>
      <c r="D219" s="13"/>
      <c r="E219" s="15"/>
      <c r="F219" s="9"/>
      <c r="G219" s="9"/>
      <c r="H219" s="9"/>
      <c r="I219" s="9"/>
      <c r="J219" s="9"/>
      <c r="K219" s="9"/>
      <c r="L219" s="9"/>
      <c r="M219" s="9"/>
      <c r="N219" s="9"/>
    </row>
    <row r="220" spans="1:14" ht="19" x14ac:dyDescent="0.2">
      <c r="A220" s="74">
        <v>1245000</v>
      </c>
      <c r="B220" s="58"/>
      <c r="C220" s="49" t="s">
        <v>363</v>
      </c>
      <c r="D220" s="13" t="s">
        <v>685</v>
      </c>
      <c r="E220" s="15">
        <v>1132000</v>
      </c>
      <c r="F220" s="9">
        <v>113000</v>
      </c>
      <c r="G220" s="9"/>
      <c r="H220" s="9"/>
      <c r="I220" s="9">
        <v>50000</v>
      </c>
      <c r="J220" s="9" t="s">
        <v>1466</v>
      </c>
      <c r="K220" s="9"/>
      <c r="L220" s="9"/>
      <c r="M220" s="9"/>
      <c r="N220" s="9"/>
    </row>
    <row r="221" spans="1:14" ht="19" x14ac:dyDescent="0.2">
      <c r="A221" s="74"/>
      <c r="B221" s="58"/>
      <c r="C221" s="49"/>
      <c r="D221" s="13"/>
      <c r="E221" s="15"/>
      <c r="F221" s="9"/>
      <c r="G221" s="9"/>
      <c r="H221" s="9"/>
      <c r="I221" s="9">
        <v>200000</v>
      </c>
      <c r="J221" s="9" t="s">
        <v>653</v>
      </c>
      <c r="K221" s="9"/>
      <c r="L221" s="9"/>
      <c r="M221" s="9"/>
      <c r="N221" s="9"/>
    </row>
    <row r="222" spans="1:14" ht="19" x14ac:dyDescent="0.2">
      <c r="A222" s="74"/>
      <c r="B222" s="58"/>
      <c r="C222" s="49"/>
      <c r="D222" s="13"/>
      <c r="E222" s="15"/>
      <c r="F222" s="9"/>
      <c r="G222" s="9"/>
      <c r="H222" s="9"/>
      <c r="I222" s="9">
        <v>35000</v>
      </c>
      <c r="J222" s="9" t="s">
        <v>1467</v>
      </c>
      <c r="K222" s="9"/>
      <c r="L222" s="9"/>
      <c r="M222" s="9"/>
      <c r="N222" s="9"/>
    </row>
    <row r="223" spans="1:14" ht="19" x14ac:dyDescent="0.2">
      <c r="A223" s="74"/>
      <c r="B223" s="58"/>
      <c r="C223" s="49"/>
      <c r="D223" s="13"/>
      <c r="E223" s="15"/>
      <c r="F223" s="9"/>
      <c r="G223" s="9"/>
      <c r="H223" s="9"/>
      <c r="I223" s="9">
        <v>80000</v>
      </c>
      <c r="J223" s="9" t="s">
        <v>1468</v>
      </c>
      <c r="K223" s="9"/>
      <c r="L223" s="9"/>
      <c r="M223" s="9"/>
      <c r="N223" s="9"/>
    </row>
    <row r="224" spans="1:14" ht="19" x14ac:dyDescent="0.2">
      <c r="A224" s="74"/>
      <c r="B224" s="58"/>
      <c r="C224" s="49"/>
      <c r="D224" s="13"/>
      <c r="E224" s="15"/>
      <c r="F224" s="9"/>
      <c r="G224" s="9"/>
      <c r="H224" s="9"/>
      <c r="I224" s="9"/>
      <c r="J224" s="9"/>
      <c r="K224" s="9"/>
      <c r="L224" s="9"/>
      <c r="M224" s="9"/>
      <c r="N224" s="9"/>
    </row>
    <row r="225" spans="1:14" ht="19" x14ac:dyDescent="0.2">
      <c r="A225" s="74"/>
      <c r="B225" s="75"/>
      <c r="C225" s="35"/>
      <c r="D225" s="13"/>
      <c r="E225" s="15"/>
      <c r="F225" s="9"/>
      <c r="G225" s="9"/>
      <c r="H225" s="9"/>
      <c r="I225" s="9"/>
      <c r="J225" s="9"/>
      <c r="K225" s="9"/>
      <c r="L225" s="9"/>
      <c r="M225" s="9"/>
      <c r="N225" s="9"/>
    </row>
    <row r="226" spans="1:14" ht="19" x14ac:dyDescent="0.2">
      <c r="A226" s="61">
        <v>1405000</v>
      </c>
      <c r="B226" s="58">
        <v>44983</v>
      </c>
      <c r="C226" s="49" t="s">
        <v>9</v>
      </c>
      <c r="D226" s="13" t="s">
        <v>565</v>
      </c>
      <c r="E226" s="15">
        <v>953000</v>
      </c>
      <c r="F226" s="9">
        <v>452000</v>
      </c>
      <c r="G226" s="9"/>
      <c r="H226" s="9"/>
      <c r="I226" s="76">
        <v>240000</v>
      </c>
      <c r="J226" s="76" t="s">
        <v>1271</v>
      </c>
      <c r="K226" s="9"/>
      <c r="L226" s="9"/>
      <c r="M226" s="9"/>
      <c r="N226" s="9"/>
    </row>
    <row r="227" spans="1:14" ht="19" x14ac:dyDescent="0.2">
      <c r="A227" s="74"/>
      <c r="B227" s="58"/>
      <c r="C227" s="49"/>
      <c r="D227" s="13"/>
      <c r="E227" s="15"/>
      <c r="F227" s="9"/>
      <c r="G227" s="9"/>
      <c r="H227" s="9"/>
      <c r="I227" s="9"/>
      <c r="J227" s="9"/>
      <c r="K227" s="9"/>
      <c r="L227" s="9"/>
      <c r="M227" s="9"/>
      <c r="N227" s="9"/>
    </row>
    <row r="228" spans="1:14" ht="19" x14ac:dyDescent="0.2">
      <c r="A228" s="61">
        <v>1139000</v>
      </c>
      <c r="B228" s="75"/>
      <c r="C228" s="2" t="s">
        <v>10</v>
      </c>
      <c r="D228" s="13" t="s">
        <v>685</v>
      </c>
      <c r="E228" s="15">
        <v>1097000</v>
      </c>
      <c r="F228" s="9">
        <v>42000</v>
      </c>
      <c r="G228" s="9"/>
      <c r="H228" s="9"/>
      <c r="I228" s="9">
        <v>20000</v>
      </c>
      <c r="J228" s="9" t="s">
        <v>1469</v>
      </c>
      <c r="K228" s="9"/>
      <c r="L228" s="9"/>
      <c r="M228" s="9"/>
      <c r="N228" s="9"/>
    </row>
    <row r="229" spans="1:14" ht="19" x14ac:dyDescent="0.2">
      <c r="A229" s="74"/>
      <c r="B229" s="75"/>
      <c r="C229" s="35"/>
      <c r="D229" s="13"/>
      <c r="E229" s="15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9" x14ac:dyDescent="0.2">
      <c r="A230" s="61">
        <v>1393000</v>
      </c>
      <c r="B230" s="58">
        <v>44984</v>
      </c>
      <c r="C230" s="3" t="s">
        <v>9</v>
      </c>
      <c r="D230" s="13" t="s">
        <v>405</v>
      </c>
      <c r="E230" s="9">
        <v>1104000</v>
      </c>
      <c r="F230" s="9">
        <v>289000</v>
      </c>
      <c r="G230" s="9">
        <v>2736000</v>
      </c>
      <c r="H230" s="9" t="s">
        <v>1475</v>
      </c>
      <c r="I230" s="106">
        <v>28000</v>
      </c>
      <c r="J230" s="107" t="s">
        <v>1470</v>
      </c>
      <c r="K230" s="9"/>
      <c r="L230" s="9"/>
      <c r="M230" s="9"/>
      <c r="N230" s="9"/>
    </row>
    <row r="231" spans="1:14" ht="19" x14ac:dyDescent="0.2">
      <c r="A231" s="61"/>
      <c r="B231" s="58"/>
      <c r="C231" s="2"/>
      <c r="D231" s="13"/>
      <c r="E231" s="15"/>
      <c r="F231" s="9"/>
      <c r="G231" s="9"/>
      <c r="H231" s="9"/>
      <c r="I231" s="9">
        <v>49000</v>
      </c>
      <c r="J231" s="9" t="s">
        <v>1471</v>
      </c>
      <c r="K231" s="9"/>
      <c r="L231" s="9"/>
      <c r="M231" s="9"/>
      <c r="N231" s="9"/>
    </row>
    <row r="232" spans="1:14" ht="19" x14ac:dyDescent="0.2">
      <c r="A232" s="74"/>
      <c r="B232" s="58"/>
      <c r="C232" s="35"/>
      <c r="D232" s="13"/>
      <c r="E232" s="15"/>
      <c r="F232" s="9"/>
      <c r="G232" s="9"/>
      <c r="H232" s="9"/>
      <c r="I232" s="9">
        <v>83500</v>
      </c>
      <c r="J232" s="9" t="s">
        <v>1443</v>
      </c>
      <c r="K232" s="9"/>
      <c r="L232" s="9"/>
      <c r="M232" s="9"/>
      <c r="N232" s="9"/>
    </row>
    <row r="233" spans="1:14" ht="19" x14ac:dyDescent="0.2">
      <c r="A233" s="74"/>
      <c r="B233" s="58"/>
      <c r="C233" s="35"/>
      <c r="D233" s="13"/>
      <c r="E233" s="15"/>
      <c r="F233" s="9"/>
      <c r="G233" s="9"/>
      <c r="H233" s="9"/>
      <c r="I233" s="9">
        <v>174500</v>
      </c>
      <c r="J233" s="9" t="s">
        <v>1472</v>
      </c>
      <c r="K233" s="9"/>
      <c r="L233" s="9"/>
      <c r="M233" s="9"/>
      <c r="N233" s="9"/>
    </row>
    <row r="234" spans="1:14" ht="19" x14ac:dyDescent="0.2">
      <c r="A234" s="74"/>
      <c r="B234" s="58"/>
      <c r="C234" s="35"/>
      <c r="D234" s="13"/>
      <c r="E234" s="15"/>
      <c r="F234" s="9"/>
      <c r="G234" s="9"/>
      <c r="H234" s="9"/>
      <c r="I234" s="9">
        <v>44500</v>
      </c>
      <c r="J234" s="9" t="s">
        <v>645</v>
      </c>
      <c r="K234" s="9"/>
      <c r="L234" s="9"/>
      <c r="M234" s="9"/>
      <c r="N234" s="9"/>
    </row>
    <row r="235" spans="1:14" ht="19" x14ac:dyDescent="0.2">
      <c r="A235" s="74"/>
      <c r="B235" s="58"/>
      <c r="C235" s="35"/>
      <c r="D235" s="13"/>
      <c r="E235" s="15"/>
      <c r="F235" s="9"/>
      <c r="G235" s="9"/>
      <c r="H235" s="9"/>
      <c r="I235" s="106">
        <v>62500</v>
      </c>
      <c r="J235" s="107" t="s">
        <v>1473</v>
      </c>
      <c r="K235" s="9"/>
      <c r="L235" s="9"/>
      <c r="M235" s="9"/>
      <c r="N235" s="9"/>
    </row>
    <row r="236" spans="1:14" ht="19" x14ac:dyDescent="0.2">
      <c r="A236" s="74"/>
      <c r="B236" s="58"/>
      <c r="C236" s="35"/>
      <c r="D236" s="13"/>
      <c r="E236" s="15"/>
      <c r="F236" s="9"/>
      <c r="G236" s="9"/>
      <c r="H236" s="9"/>
      <c r="I236" s="9">
        <v>16500</v>
      </c>
      <c r="J236" s="9" t="s">
        <v>1474</v>
      </c>
      <c r="K236" s="9"/>
      <c r="L236" s="9"/>
      <c r="M236" s="9"/>
      <c r="N236" s="9"/>
    </row>
    <row r="237" spans="1:14" ht="19" x14ac:dyDescent="0.2">
      <c r="A237" s="74"/>
      <c r="B237" s="58"/>
      <c r="C237" s="35"/>
      <c r="D237" s="13"/>
      <c r="E237" s="15"/>
      <c r="F237" s="9"/>
      <c r="G237" s="9"/>
      <c r="H237" s="9"/>
      <c r="I237" s="106">
        <v>115000</v>
      </c>
      <c r="J237" s="107" t="s">
        <v>1476</v>
      </c>
      <c r="K237" s="9"/>
      <c r="L237" s="9"/>
      <c r="M237" s="9"/>
      <c r="N237" s="9"/>
    </row>
    <row r="238" spans="1:14" ht="19" x14ac:dyDescent="0.2">
      <c r="A238" s="101"/>
      <c r="B238" s="58"/>
      <c r="C238" s="35"/>
      <c r="D238" s="102"/>
      <c r="E238" s="15"/>
      <c r="F238" s="9"/>
      <c r="G238" s="9"/>
      <c r="H238" s="9"/>
      <c r="I238" s="106">
        <v>75000</v>
      </c>
      <c r="J238" s="107" t="s">
        <v>1478</v>
      </c>
      <c r="K238" s="9"/>
      <c r="L238" s="9"/>
      <c r="M238" s="9"/>
      <c r="N238" s="9"/>
    </row>
    <row r="239" spans="1:14" ht="19" x14ac:dyDescent="0.2">
      <c r="A239" s="101"/>
      <c r="B239" s="58"/>
      <c r="C239" s="35"/>
      <c r="D239" s="102"/>
      <c r="E239" s="15"/>
      <c r="F239" s="9"/>
      <c r="G239" s="9"/>
      <c r="H239" s="9"/>
      <c r="I239" s="106">
        <v>75000</v>
      </c>
      <c r="J239" s="107" t="s">
        <v>1479</v>
      </c>
      <c r="K239" s="9"/>
      <c r="L239" s="9"/>
      <c r="M239" s="9"/>
      <c r="N239" s="9"/>
    </row>
    <row r="240" spans="1:14" ht="19" x14ac:dyDescent="0.2">
      <c r="A240" s="101"/>
      <c r="B240" s="58"/>
      <c r="C240" s="35"/>
      <c r="D240" s="102"/>
      <c r="E240" s="15"/>
      <c r="F240" s="9"/>
      <c r="G240" s="9"/>
      <c r="H240" s="9"/>
      <c r="I240" s="106"/>
      <c r="J240" s="107"/>
      <c r="K240" s="9"/>
      <c r="L240" s="9"/>
      <c r="M240" s="9"/>
      <c r="N240" s="9"/>
    </row>
    <row r="241" spans="1:14" ht="19" x14ac:dyDescent="0.2">
      <c r="A241" s="74">
        <v>1972000</v>
      </c>
      <c r="B241" s="58"/>
      <c r="C241" s="35" t="s">
        <v>10</v>
      </c>
      <c r="D241" s="13" t="s">
        <v>685</v>
      </c>
      <c r="E241" s="15">
        <v>1796000</v>
      </c>
      <c r="F241" s="9">
        <v>176000</v>
      </c>
      <c r="G241" s="9"/>
      <c r="H241" s="9"/>
      <c r="I241" s="9">
        <v>100000</v>
      </c>
      <c r="J241" s="9" t="s">
        <v>889</v>
      </c>
      <c r="K241" s="9"/>
      <c r="L241" s="9"/>
      <c r="M241" s="9"/>
      <c r="N241" s="9"/>
    </row>
    <row r="242" spans="1:14" ht="19" x14ac:dyDescent="0.2">
      <c r="A242" s="74"/>
      <c r="B242" s="58"/>
      <c r="C242" s="35"/>
      <c r="D242" s="13"/>
      <c r="E242" s="15"/>
      <c r="F242" s="9"/>
      <c r="G242" s="9"/>
      <c r="H242" s="9"/>
      <c r="I242" s="9">
        <v>144000</v>
      </c>
      <c r="J242" s="9" t="s">
        <v>1245</v>
      </c>
      <c r="K242" s="9"/>
      <c r="L242" s="9"/>
      <c r="M242" s="9"/>
      <c r="N242" s="9"/>
    </row>
    <row r="243" spans="1:14" ht="19" x14ac:dyDescent="0.2">
      <c r="A243" s="74"/>
      <c r="B243" s="58"/>
      <c r="C243" s="35"/>
      <c r="D243" s="13"/>
      <c r="E243" s="15"/>
      <c r="F243" s="9"/>
      <c r="G243" s="9"/>
      <c r="H243" s="9"/>
      <c r="I243" s="9">
        <v>56000</v>
      </c>
      <c r="J243" s="9" t="s">
        <v>1448</v>
      </c>
      <c r="K243" s="9"/>
      <c r="L243" s="9"/>
      <c r="M243" s="9"/>
      <c r="N243" s="9"/>
    </row>
    <row r="244" spans="1:14" ht="19" x14ac:dyDescent="0.2">
      <c r="A244" s="74">
        <v>1300000</v>
      </c>
      <c r="B244" s="58">
        <v>44985</v>
      </c>
      <c r="C244" s="35" t="s">
        <v>9</v>
      </c>
      <c r="D244" s="13" t="s">
        <v>405</v>
      </c>
      <c r="E244" s="15">
        <v>1157000</v>
      </c>
      <c r="F244" s="9">
        <v>143000</v>
      </c>
      <c r="G244" s="9"/>
      <c r="H244" s="9"/>
      <c r="I244" s="9"/>
      <c r="J244" s="9"/>
      <c r="K244" s="9"/>
      <c r="L244" s="9"/>
      <c r="M244" s="9"/>
      <c r="N244" s="9"/>
    </row>
    <row r="245" spans="1:14" ht="19" x14ac:dyDescent="0.2">
      <c r="A245" s="74"/>
      <c r="B245" s="58"/>
      <c r="C245" s="35"/>
      <c r="D245" s="13"/>
      <c r="E245" s="15"/>
      <c r="F245" s="9"/>
      <c r="G245" s="9"/>
      <c r="H245" s="9"/>
      <c r="I245" s="9"/>
      <c r="J245" s="9"/>
      <c r="K245" s="9"/>
      <c r="L245" s="9"/>
      <c r="M245" s="9"/>
      <c r="N245" s="9"/>
    </row>
    <row r="246" spans="1:14" ht="19" x14ac:dyDescent="0.2">
      <c r="A246" s="74"/>
      <c r="B246" s="58"/>
      <c r="C246" s="35"/>
      <c r="D246" s="13"/>
      <c r="E246" s="15"/>
      <c r="F246" s="9"/>
      <c r="G246" s="9"/>
      <c r="H246" s="9"/>
      <c r="I246" s="9"/>
      <c r="J246" s="9"/>
      <c r="K246" s="9"/>
      <c r="L246" s="9"/>
      <c r="M246" s="9"/>
      <c r="N246" s="9"/>
    </row>
    <row r="247" spans="1:14" ht="19" x14ac:dyDescent="0.2">
      <c r="A247" s="74"/>
      <c r="B247" s="58"/>
      <c r="C247" s="35"/>
      <c r="D247" s="13"/>
      <c r="E247" s="15"/>
      <c r="F247" s="9"/>
      <c r="G247" s="9"/>
      <c r="H247" s="9"/>
      <c r="I247" s="9"/>
      <c r="J247" s="9"/>
      <c r="K247" s="9"/>
      <c r="L247" s="9"/>
      <c r="M247" s="9"/>
      <c r="N247" s="9"/>
    </row>
    <row r="248" spans="1:14" ht="19" x14ac:dyDescent="0.2">
      <c r="A248" s="74"/>
      <c r="B248" s="58"/>
      <c r="C248" s="35"/>
      <c r="D248" s="13"/>
      <c r="E248" s="15"/>
      <c r="F248" s="9"/>
      <c r="G248" s="9"/>
      <c r="H248" s="9"/>
      <c r="I248" s="9"/>
      <c r="J248" s="9"/>
      <c r="K248" s="9"/>
      <c r="L248" s="9"/>
      <c r="M248" s="9"/>
      <c r="N248" s="9"/>
    </row>
    <row r="249" spans="1:14" ht="19" x14ac:dyDescent="0.2">
      <c r="A249" s="101"/>
      <c r="B249" s="58"/>
      <c r="C249" s="35"/>
      <c r="D249" s="102"/>
      <c r="E249" s="15"/>
      <c r="F249" s="9"/>
      <c r="G249" s="9"/>
      <c r="H249" s="9"/>
      <c r="I249" s="9"/>
      <c r="J249" s="9"/>
      <c r="K249" s="9"/>
      <c r="L249" s="9"/>
      <c r="M249" s="9"/>
      <c r="N249" s="9"/>
    </row>
    <row r="250" spans="1:14" ht="32" x14ac:dyDescent="0.2">
      <c r="A250" s="61">
        <v>1632000</v>
      </c>
      <c r="B250" s="58"/>
      <c r="C250" s="49" t="s">
        <v>10</v>
      </c>
      <c r="D250" s="13" t="s">
        <v>685</v>
      </c>
      <c r="E250" s="15">
        <v>1304000</v>
      </c>
      <c r="F250" s="9">
        <v>328000</v>
      </c>
      <c r="G250" s="9">
        <v>328000</v>
      </c>
      <c r="H250" s="47" t="s">
        <v>1480</v>
      </c>
      <c r="I250" s="106">
        <v>169000</v>
      </c>
      <c r="J250" s="106" t="s">
        <v>1484</v>
      </c>
      <c r="K250" s="9"/>
      <c r="L250" s="9"/>
      <c r="M250" s="9"/>
      <c r="N250" s="9"/>
    </row>
    <row r="251" spans="1:14" ht="19" x14ac:dyDescent="0.2">
      <c r="A251" s="101"/>
      <c r="B251" s="58"/>
      <c r="C251" s="49"/>
      <c r="D251" s="102"/>
      <c r="E251" s="15"/>
      <c r="F251" s="9"/>
      <c r="G251" s="9">
        <v>1540000</v>
      </c>
      <c r="H251" s="9" t="s">
        <v>1481</v>
      </c>
      <c r="I251" s="106"/>
      <c r="J251" s="106"/>
      <c r="K251" s="9"/>
      <c r="L251" s="9"/>
      <c r="M251" s="9"/>
      <c r="N251" s="9"/>
    </row>
    <row r="252" spans="1:14" ht="32" x14ac:dyDescent="0.2">
      <c r="A252" s="101"/>
      <c r="B252" s="58"/>
      <c r="C252" s="49"/>
      <c r="D252" s="102"/>
      <c r="E252" s="15"/>
      <c r="F252" s="9"/>
      <c r="G252" s="9">
        <v>2257000</v>
      </c>
      <c r="H252" s="47" t="s">
        <v>1482</v>
      </c>
      <c r="I252" s="106"/>
      <c r="J252" s="106"/>
      <c r="K252" s="9"/>
      <c r="L252" s="9"/>
      <c r="M252" s="9"/>
      <c r="N252" s="9"/>
    </row>
    <row r="253" spans="1:14" ht="19" x14ac:dyDescent="0.2">
      <c r="A253" s="101"/>
      <c r="B253" s="58"/>
      <c r="C253" s="49"/>
      <c r="D253" s="102"/>
      <c r="E253" s="15"/>
      <c r="F253" s="9"/>
      <c r="G253" s="9">
        <v>1000000</v>
      </c>
      <c r="H253" s="9" t="s">
        <v>717</v>
      </c>
      <c r="I253" s="106"/>
      <c r="J253" s="106"/>
      <c r="K253" s="9"/>
      <c r="L253" s="9"/>
      <c r="M253" s="9"/>
      <c r="N253" s="9"/>
    </row>
    <row r="254" spans="1:14" ht="19" x14ac:dyDescent="0.2">
      <c r="A254" s="101"/>
      <c r="B254" s="58"/>
      <c r="C254" s="35"/>
      <c r="D254" s="102"/>
      <c r="E254" s="15"/>
      <c r="F254" s="9"/>
      <c r="G254" s="9"/>
      <c r="H254" s="9"/>
      <c r="I254" s="9"/>
      <c r="J254" s="9"/>
      <c r="K254" s="9"/>
      <c r="L254" s="9"/>
      <c r="M254" s="9"/>
      <c r="N254" s="9"/>
    </row>
  </sheetData>
  <mergeCells count="1">
    <mergeCell ref="F4:G4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N262"/>
  <sheetViews>
    <sheetView zoomScale="60" zoomScaleNormal="60" zoomScaleSheetLayoutView="100" workbookViewId="0">
      <selection activeCell="R24" sqref="R24"/>
    </sheetView>
  </sheetViews>
  <sheetFormatPr baseColWidth="10" defaultColWidth="8.83203125" defaultRowHeight="15" x14ac:dyDescent="0.2"/>
  <cols>
    <col min="1" max="1" width="25.5" customWidth="1"/>
    <col min="2" max="2" width="11.83203125" customWidth="1"/>
    <col min="3" max="3" width="12.1640625" customWidth="1"/>
    <col min="4" max="4" width="10.83203125" bestFit="1" customWidth="1"/>
    <col min="5" max="5" width="26.33203125" customWidth="1"/>
    <col min="6" max="7" width="23.1640625" bestFit="1" customWidth="1"/>
    <col min="8" max="8" width="30.1640625" customWidth="1"/>
    <col min="9" max="9" width="23.1640625" bestFit="1" customWidth="1"/>
    <col min="10" max="10" width="33.1640625" customWidth="1"/>
  </cols>
  <sheetData>
    <row r="3" spans="1:14" ht="21" x14ac:dyDescent="0.2">
      <c r="G3" s="73"/>
      <c r="H3" s="71" t="s">
        <v>174</v>
      </c>
      <c r="I3" s="71">
        <f>L10/A10</f>
        <v>0</v>
      </c>
    </row>
    <row r="4" spans="1:14" ht="21" x14ac:dyDescent="0.2">
      <c r="F4" s="306" t="s">
        <v>1393</v>
      </c>
      <c r="G4" s="307"/>
      <c r="H4" s="71" t="s">
        <v>175</v>
      </c>
      <c r="I4" s="71">
        <v>18504500</v>
      </c>
      <c r="J4" s="72">
        <f>I4/10820</f>
        <v>1710.2125693160813</v>
      </c>
    </row>
    <row r="5" spans="1:14" ht="24" x14ac:dyDescent="0.3">
      <c r="B5" s="99" t="s">
        <v>1539</v>
      </c>
      <c r="G5" s="73"/>
      <c r="H5" s="71" t="s">
        <v>176</v>
      </c>
      <c r="I5" s="71">
        <v>7930500</v>
      </c>
      <c r="J5" s="72">
        <f>I5/10820</f>
        <v>732.94824399260631</v>
      </c>
    </row>
    <row r="6" spans="1:14" ht="24" x14ac:dyDescent="0.3">
      <c r="B6" s="99"/>
      <c r="G6" s="73"/>
      <c r="H6" s="71" t="s">
        <v>178</v>
      </c>
      <c r="I6" s="71" t="s">
        <v>1594</v>
      </c>
      <c r="J6" s="71">
        <v>4682057</v>
      </c>
      <c r="L6" s="85"/>
      <c r="M6" s="85"/>
    </row>
    <row r="7" spans="1:14" ht="26" x14ac:dyDescent="0.3">
      <c r="B7" s="100" t="s">
        <v>1540</v>
      </c>
    </row>
    <row r="9" spans="1:14" ht="19" x14ac:dyDescent="0.2">
      <c r="A9" s="109" t="s">
        <v>0</v>
      </c>
      <c r="B9" s="110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 t="s">
        <v>1</v>
      </c>
      <c r="L9" s="114" t="s">
        <v>15</v>
      </c>
      <c r="M9" s="115" t="s">
        <v>397</v>
      </c>
      <c r="N9" s="115" t="s">
        <v>398</v>
      </c>
    </row>
    <row r="10" spans="1:14" ht="21" x14ac:dyDescent="0.2">
      <c r="A10" s="64">
        <f>SUM(A11:A262)</f>
        <v>87214000</v>
      </c>
      <c r="B10" s="65"/>
      <c r="C10" s="66" t="s">
        <v>13</v>
      </c>
      <c r="D10" s="67"/>
      <c r="E10" s="68">
        <f>SUM(E11:E262)</f>
        <v>67627000</v>
      </c>
      <c r="F10" s="69">
        <f>SUM(F11:F262)</f>
        <v>19587000</v>
      </c>
      <c r="G10" s="69">
        <f>SUM(G11:G262)</f>
        <v>26801000</v>
      </c>
      <c r="H10" s="69"/>
      <c r="I10" s="69">
        <f>SUM(I11:I262)</f>
        <v>14391000</v>
      </c>
      <c r="J10" s="69"/>
      <c r="K10" s="69"/>
      <c r="L10" s="69"/>
      <c r="M10" s="8"/>
      <c r="N10" s="8"/>
    </row>
    <row r="11" spans="1:14" ht="19" x14ac:dyDescent="0.2">
      <c r="A11" s="61">
        <v>1645000</v>
      </c>
      <c r="B11" s="58">
        <v>44927</v>
      </c>
      <c r="C11" s="3" t="s">
        <v>440</v>
      </c>
      <c r="D11" s="13" t="s">
        <v>405</v>
      </c>
      <c r="E11" s="9">
        <v>1251000</v>
      </c>
      <c r="F11" s="9">
        <v>394000</v>
      </c>
      <c r="G11" s="9">
        <v>410000</v>
      </c>
      <c r="H11" s="9" t="s">
        <v>1541</v>
      </c>
      <c r="I11" s="9"/>
      <c r="J11" s="9"/>
      <c r="K11" s="9"/>
      <c r="L11" s="9"/>
      <c r="M11" s="9"/>
      <c r="N11" s="9"/>
    </row>
    <row r="12" spans="1:14" ht="19" x14ac:dyDescent="0.2">
      <c r="A12" s="136"/>
      <c r="B12" s="58"/>
      <c r="C12" s="49"/>
      <c r="D12" s="137"/>
      <c r="E12" s="15"/>
      <c r="F12" s="9"/>
      <c r="G12" s="9"/>
      <c r="H12" s="9"/>
      <c r="I12" s="9"/>
      <c r="J12" s="9"/>
      <c r="K12" s="9"/>
      <c r="L12" s="9"/>
      <c r="M12" s="9"/>
      <c r="N12" s="9"/>
    </row>
    <row r="13" spans="1:14" ht="19" x14ac:dyDescent="0.2">
      <c r="A13" s="136">
        <v>1150000</v>
      </c>
      <c r="B13" s="58"/>
      <c r="C13" s="49" t="s">
        <v>363</v>
      </c>
      <c r="D13" s="137" t="s">
        <v>565</v>
      </c>
      <c r="E13" s="15">
        <v>889000</v>
      </c>
      <c r="F13" s="9">
        <v>261000</v>
      </c>
      <c r="G13" s="9"/>
      <c r="H13" s="9"/>
      <c r="I13" s="9"/>
      <c r="J13" s="9"/>
      <c r="K13" s="9"/>
      <c r="L13" s="9"/>
      <c r="M13" s="9"/>
      <c r="N13" s="9"/>
    </row>
    <row r="14" spans="1:14" ht="19" x14ac:dyDescent="0.2">
      <c r="A14" s="136"/>
      <c r="B14" s="58"/>
      <c r="C14" s="49"/>
      <c r="D14" s="137"/>
      <c r="E14" s="15"/>
      <c r="F14" s="9"/>
      <c r="G14" s="9"/>
      <c r="H14" s="9"/>
      <c r="I14" s="9"/>
      <c r="J14" s="9"/>
      <c r="K14" s="9"/>
      <c r="L14" s="9"/>
      <c r="M14" s="9"/>
      <c r="N14" s="9"/>
    </row>
    <row r="15" spans="1:14" ht="19" x14ac:dyDescent="0.2">
      <c r="A15" s="61">
        <v>1575000</v>
      </c>
      <c r="B15" s="58">
        <v>44987</v>
      </c>
      <c r="C15" s="35" t="s">
        <v>9</v>
      </c>
      <c r="D15" s="13" t="s">
        <v>405</v>
      </c>
      <c r="E15" s="15">
        <v>1126000</v>
      </c>
      <c r="F15" s="9">
        <v>449000</v>
      </c>
      <c r="G15" s="60"/>
      <c r="H15" s="60"/>
      <c r="I15" s="9">
        <v>65000</v>
      </c>
      <c r="J15" s="9" t="s">
        <v>908</v>
      </c>
      <c r="K15" s="9"/>
      <c r="L15" s="9"/>
      <c r="M15" s="9"/>
      <c r="N15" s="9"/>
    </row>
    <row r="16" spans="1:14" ht="19" x14ac:dyDescent="0.2">
      <c r="A16" s="74"/>
      <c r="B16" s="58"/>
      <c r="C16" s="35"/>
      <c r="D16" s="13"/>
      <c r="E16" s="15"/>
      <c r="F16" s="9"/>
      <c r="G16" s="9"/>
      <c r="H16" s="9"/>
      <c r="I16" s="9">
        <v>200000</v>
      </c>
      <c r="J16" s="9" t="s">
        <v>1090</v>
      </c>
      <c r="K16" s="9"/>
      <c r="L16" s="9"/>
      <c r="M16" s="9"/>
      <c r="N16" s="9"/>
    </row>
    <row r="17" spans="1:14" ht="19" x14ac:dyDescent="0.2">
      <c r="A17" s="74"/>
      <c r="B17" s="58"/>
      <c r="C17" s="35"/>
      <c r="D17" s="13"/>
      <c r="E17" s="15"/>
      <c r="F17" s="9"/>
      <c r="G17" s="9"/>
      <c r="H17" s="9"/>
      <c r="I17" s="9">
        <v>200000</v>
      </c>
      <c r="J17" s="9" t="s">
        <v>653</v>
      </c>
      <c r="K17" s="9"/>
      <c r="L17" s="9"/>
      <c r="M17" s="9"/>
      <c r="N17" s="9"/>
    </row>
    <row r="18" spans="1:14" ht="19" x14ac:dyDescent="0.2">
      <c r="A18" s="74"/>
      <c r="B18" s="58"/>
      <c r="C18" s="35"/>
      <c r="D18" s="13"/>
      <c r="E18" s="15"/>
      <c r="F18" s="9"/>
      <c r="G18" s="9"/>
      <c r="H18" s="9"/>
      <c r="I18" s="9">
        <v>21000</v>
      </c>
      <c r="J18" s="9" t="s">
        <v>1496</v>
      </c>
      <c r="K18" s="9"/>
      <c r="L18" s="9"/>
      <c r="M18" s="9"/>
      <c r="N18" s="9"/>
    </row>
    <row r="19" spans="1:14" ht="19" x14ac:dyDescent="0.2">
      <c r="A19" s="136"/>
      <c r="B19" s="58"/>
      <c r="C19" s="35"/>
      <c r="D19" s="137"/>
      <c r="E19" s="15"/>
      <c r="F19" s="9"/>
      <c r="G19" s="9"/>
      <c r="H19" s="9"/>
      <c r="I19" s="9">
        <v>100000</v>
      </c>
      <c r="J19" s="9" t="s">
        <v>827</v>
      </c>
      <c r="K19" s="9"/>
      <c r="L19" s="9"/>
      <c r="M19" s="9"/>
      <c r="N19" s="9"/>
    </row>
    <row r="20" spans="1:14" ht="19" x14ac:dyDescent="0.2">
      <c r="A20" s="136"/>
      <c r="B20" s="58"/>
      <c r="C20" s="35"/>
      <c r="D20" s="137"/>
      <c r="E20" s="15"/>
      <c r="F20" s="9"/>
      <c r="G20" s="9"/>
      <c r="H20" s="9"/>
      <c r="I20" s="9"/>
      <c r="J20" s="9"/>
      <c r="K20" s="9"/>
      <c r="L20" s="9"/>
      <c r="M20" s="9"/>
      <c r="N20" s="9"/>
    </row>
    <row r="21" spans="1:14" ht="19" x14ac:dyDescent="0.2">
      <c r="A21" s="74">
        <v>1731000</v>
      </c>
      <c r="B21" s="58"/>
      <c r="C21" s="35" t="s">
        <v>363</v>
      </c>
      <c r="D21" s="13" t="s">
        <v>685</v>
      </c>
      <c r="E21" s="15">
        <v>1310000</v>
      </c>
      <c r="F21" s="9">
        <v>421000</v>
      </c>
      <c r="G21" s="9"/>
      <c r="H21" s="9"/>
      <c r="I21" s="9"/>
      <c r="J21" s="9"/>
      <c r="K21" s="9"/>
      <c r="L21" s="9"/>
      <c r="M21" s="9"/>
      <c r="N21" s="9"/>
    </row>
    <row r="22" spans="1:14" ht="19" x14ac:dyDescent="0.2">
      <c r="A22" s="74"/>
      <c r="B22" s="58"/>
      <c r="C22" s="35"/>
      <c r="D22" s="13"/>
      <c r="E22" s="15"/>
      <c r="F22" s="9"/>
      <c r="G22" s="9"/>
      <c r="H22" s="9"/>
      <c r="I22" s="9"/>
      <c r="J22" s="9"/>
      <c r="K22" s="9"/>
      <c r="L22" s="9"/>
      <c r="M22" s="9"/>
      <c r="N22" s="9"/>
    </row>
    <row r="23" spans="1:14" ht="19" x14ac:dyDescent="0.2">
      <c r="A23" s="61">
        <v>1461000</v>
      </c>
      <c r="B23" s="58">
        <v>44988</v>
      </c>
      <c r="C23" s="49" t="s">
        <v>440</v>
      </c>
      <c r="D23" s="13" t="s">
        <v>405</v>
      </c>
      <c r="E23" s="15">
        <v>1106000</v>
      </c>
      <c r="F23" s="9">
        <v>355000</v>
      </c>
      <c r="G23" s="9"/>
      <c r="H23" s="9"/>
      <c r="I23" s="9">
        <v>355000</v>
      </c>
      <c r="J23" s="9" t="s">
        <v>1489</v>
      </c>
      <c r="K23" s="9"/>
      <c r="L23" s="9"/>
      <c r="M23" s="9"/>
      <c r="N23" s="9"/>
    </row>
    <row r="24" spans="1:14" ht="19" x14ac:dyDescent="0.2">
      <c r="A24" s="74"/>
      <c r="B24" s="58"/>
      <c r="C24" s="49"/>
      <c r="D24" s="13"/>
      <c r="E24" s="15"/>
      <c r="F24" s="9"/>
      <c r="G24" s="9"/>
      <c r="H24" s="9"/>
      <c r="I24" s="9">
        <v>55000</v>
      </c>
      <c r="J24" s="9" t="s">
        <v>1490</v>
      </c>
      <c r="K24" s="9"/>
      <c r="L24" s="9"/>
      <c r="M24" s="9"/>
      <c r="N24" s="9"/>
    </row>
    <row r="25" spans="1:14" ht="19" x14ac:dyDescent="0.2">
      <c r="A25" s="74"/>
      <c r="B25" s="58"/>
      <c r="C25" s="49"/>
      <c r="D25" s="13"/>
      <c r="E25" s="15"/>
      <c r="F25" s="9"/>
      <c r="G25" s="9"/>
      <c r="H25" s="9"/>
      <c r="I25" s="9">
        <v>31000</v>
      </c>
      <c r="J25" s="9" t="s">
        <v>1279</v>
      </c>
      <c r="K25" s="9"/>
      <c r="L25" s="9"/>
      <c r="M25" s="9"/>
      <c r="N25" s="9"/>
    </row>
    <row r="26" spans="1:14" ht="19" x14ac:dyDescent="0.2">
      <c r="A26" s="74"/>
      <c r="B26" s="58"/>
      <c r="C26" s="49"/>
      <c r="D26" s="13"/>
      <c r="E26" s="15"/>
      <c r="F26" s="9"/>
      <c r="G26" s="9"/>
      <c r="H26" s="9"/>
      <c r="I26" s="9">
        <v>72000</v>
      </c>
      <c r="J26" s="9" t="s">
        <v>1491</v>
      </c>
      <c r="K26" s="9"/>
      <c r="L26" s="9"/>
      <c r="M26" s="9"/>
      <c r="N26" s="9"/>
    </row>
    <row r="27" spans="1:14" ht="19" x14ac:dyDescent="0.2">
      <c r="A27" s="74"/>
      <c r="B27" s="58"/>
      <c r="C27" s="49"/>
      <c r="D27" s="13"/>
      <c r="E27" s="15"/>
      <c r="F27" s="9"/>
      <c r="G27" s="9"/>
      <c r="H27" s="9"/>
      <c r="I27" s="9">
        <v>12000</v>
      </c>
      <c r="J27" s="9" t="s">
        <v>1492</v>
      </c>
      <c r="K27" s="9"/>
      <c r="L27" s="9"/>
      <c r="M27" s="9"/>
      <c r="N27" s="9"/>
    </row>
    <row r="28" spans="1:14" ht="19" x14ac:dyDescent="0.2">
      <c r="A28" s="74"/>
      <c r="B28" s="58"/>
      <c r="C28" s="49"/>
      <c r="D28" s="13"/>
      <c r="E28" s="15"/>
      <c r="F28" s="9"/>
      <c r="G28" s="9"/>
      <c r="H28" s="9"/>
      <c r="I28" s="9"/>
      <c r="J28" s="9"/>
      <c r="K28" s="9"/>
      <c r="L28" s="9"/>
      <c r="M28" s="9"/>
      <c r="N28" s="9"/>
    </row>
    <row r="29" spans="1:14" ht="19" x14ac:dyDescent="0.2">
      <c r="A29" s="74">
        <v>1008000</v>
      </c>
      <c r="B29" s="58"/>
      <c r="C29" s="49" t="s">
        <v>363</v>
      </c>
      <c r="D29" s="13" t="s">
        <v>685</v>
      </c>
      <c r="E29" s="15">
        <v>565000</v>
      </c>
      <c r="F29" s="9">
        <v>443000</v>
      </c>
      <c r="G29" s="9"/>
      <c r="H29" s="9"/>
      <c r="I29" s="9"/>
      <c r="J29" s="9"/>
      <c r="K29" s="9"/>
      <c r="L29" s="9"/>
      <c r="M29" s="9"/>
      <c r="N29" s="9"/>
    </row>
    <row r="30" spans="1:14" ht="19" x14ac:dyDescent="0.2">
      <c r="A30" s="136"/>
      <c r="B30" s="58"/>
      <c r="C30" s="49"/>
      <c r="D30" s="137"/>
      <c r="E30" s="15"/>
      <c r="F30" s="9"/>
      <c r="G30" s="9"/>
      <c r="H30" s="9"/>
      <c r="I30" s="9"/>
      <c r="J30" s="9"/>
      <c r="K30" s="9"/>
      <c r="L30" s="9"/>
      <c r="M30" s="9"/>
      <c r="N30" s="9"/>
    </row>
    <row r="31" spans="1:14" ht="19" x14ac:dyDescent="0.2">
      <c r="A31" s="136">
        <v>1112000</v>
      </c>
      <c r="B31" s="58">
        <v>44989</v>
      </c>
      <c r="C31" s="49" t="s">
        <v>440</v>
      </c>
      <c r="D31" s="137" t="s">
        <v>405</v>
      </c>
      <c r="E31" s="15">
        <v>824000</v>
      </c>
      <c r="F31" s="9">
        <v>288000</v>
      </c>
      <c r="G31" s="9"/>
      <c r="H31" s="9"/>
      <c r="I31" s="9">
        <v>34000</v>
      </c>
      <c r="J31" s="9" t="s">
        <v>1493</v>
      </c>
      <c r="K31" s="9"/>
      <c r="L31" s="9"/>
      <c r="M31" s="9"/>
      <c r="N31" s="9"/>
    </row>
    <row r="32" spans="1:14" ht="19" x14ac:dyDescent="0.2">
      <c r="A32" s="136"/>
      <c r="B32" s="58"/>
      <c r="C32" s="49"/>
      <c r="D32" s="137"/>
      <c r="E32" s="15"/>
      <c r="F32" s="9"/>
      <c r="G32" s="9"/>
      <c r="H32" s="9"/>
      <c r="I32" s="9">
        <v>33500</v>
      </c>
      <c r="J32" s="9" t="s">
        <v>1494</v>
      </c>
      <c r="K32" s="9"/>
      <c r="L32" s="9"/>
      <c r="M32" s="9"/>
      <c r="N32" s="9"/>
    </row>
    <row r="33" spans="1:14" ht="19" x14ac:dyDescent="0.2">
      <c r="A33" s="136"/>
      <c r="B33" s="58"/>
      <c r="C33" s="49"/>
      <c r="D33" s="137"/>
      <c r="E33" s="15"/>
      <c r="F33" s="9"/>
      <c r="G33" s="9"/>
      <c r="H33" s="9"/>
      <c r="I33" s="9">
        <v>24500</v>
      </c>
      <c r="J33" s="9" t="s">
        <v>1495</v>
      </c>
      <c r="K33" s="9"/>
      <c r="L33" s="9"/>
      <c r="M33" s="9"/>
      <c r="N33" s="9"/>
    </row>
    <row r="34" spans="1:14" ht="19" x14ac:dyDescent="0.2">
      <c r="A34" s="136"/>
      <c r="B34" s="58"/>
      <c r="C34" s="49"/>
      <c r="D34" s="137"/>
      <c r="E34" s="15"/>
      <c r="F34" s="9"/>
      <c r="G34" s="9"/>
      <c r="H34" s="9"/>
      <c r="I34" s="9">
        <v>180000</v>
      </c>
      <c r="J34" s="9" t="s">
        <v>1497</v>
      </c>
      <c r="K34" s="9"/>
      <c r="L34" s="9"/>
      <c r="M34" s="9"/>
      <c r="N34" s="9"/>
    </row>
    <row r="35" spans="1:14" ht="19" x14ac:dyDescent="0.2">
      <c r="A35" s="136"/>
      <c r="B35" s="58"/>
      <c r="C35" s="49"/>
      <c r="D35" s="137"/>
      <c r="E35" s="15"/>
      <c r="F35" s="9"/>
      <c r="G35" s="9"/>
      <c r="H35" s="9"/>
      <c r="I35" s="9"/>
      <c r="J35" s="9"/>
      <c r="K35" s="9"/>
      <c r="L35" s="9"/>
      <c r="M35" s="9"/>
      <c r="N35" s="9"/>
    </row>
    <row r="36" spans="1:14" ht="19" x14ac:dyDescent="0.2">
      <c r="A36" s="136"/>
      <c r="B36" s="58"/>
      <c r="C36" s="49"/>
      <c r="D36" s="137"/>
      <c r="E36" s="15"/>
      <c r="F36" s="9"/>
      <c r="G36" s="9"/>
      <c r="H36" s="9"/>
      <c r="I36" s="9"/>
      <c r="J36" s="9"/>
      <c r="K36" s="9"/>
      <c r="L36" s="9"/>
      <c r="M36" s="9"/>
      <c r="N36" s="9"/>
    </row>
    <row r="37" spans="1:14" ht="19" x14ac:dyDescent="0.2">
      <c r="A37" s="136">
        <v>1270000</v>
      </c>
      <c r="B37" s="58"/>
      <c r="C37" s="49" t="s">
        <v>363</v>
      </c>
      <c r="D37" s="137" t="s">
        <v>685</v>
      </c>
      <c r="E37" s="15">
        <v>1134000</v>
      </c>
      <c r="F37" s="9">
        <v>136000</v>
      </c>
      <c r="G37" s="9"/>
      <c r="H37" s="9"/>
      <c r="I37" s="9">
        <v>50000</v>
      </c>
      <c r="J37" s="9" t="s">
        <v>1466</v>
      </c>
      <c r="K37" s="9"/>
      <c r="L37" s="9"/>
      <c r="M37" s="9"/>
      <c r="N37" s="9"/>
    </row>
    <row r="38" spans="1:14" ht="19" x14ac:dyDescent="0.2">
      <c r="A38" s="74"/>
      <c r="B38" s="58"/>
      <c r="C38" s="49"/>
      <c r="D38" s="13"/>
      <c r="E38" s="15"/>
      <c r="F38" s="9"/>
      <c r="G38" s="9"/>
      <c r="H38" s="9"/>
      <c r="I38" s="9"/>
      <c r="J38" s="9"/>
      <c r="K38" s="9"/>
      <c r="L38" s="9"/>
      <c r="M38" s="9"/>
      <c r="N38" s="9"/>
    </row>
    <row r="39" spans="1:14" ht="19" x14ac:dyDescent="0.2">
      <c r="A39" s="74">
        <v>1420000</v>
      </c>
      <c r="B39" s="32">
        <v>44990</v>
      </c>
      <c r="C39" s="49" t="s">
        <v>9</v>
      </c>
      <c r="D39" s="13" t="s">
        <v>565</v>
      </c>
      <c r="E39" s="15">
        <v>1056000</v>
      </c>
      <c r="F39" s="9">
        <v>364000</v>
      </c>
      <c r="G39" s="9">
        <v>3429000</v>
      </c>
      <c r="H39" s="9" t="s">
        <v>1542</v>
      </c>
      <c r="I39" s="9"/>
      <c r="J39" s="9"/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/>
      <c r="J40" s="9"/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9"/>
      <c r="I41" s="9"/>
      <c r="J41" s="9"/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135" t="s">
        <v>1498</v>
      </c>
      <c r="I42" s="9"/>
      <c r="J42" s="9"/>
      <c r="K42" s="9"/>
      <c r="L42" s="9"/>
      <c r="M42" s="9"/>
      <c r="N42" s="9"/>
    </row>
    <row r="43" spans="1:14" ht="19" x14ac:dyDescent="0.2">
      <c r="A43" s="74"/>
      <c r="B43" s="58"/>
      <c r="C43" s="49"/>
      <c r="D43" s="13"/>
      <c r="E43" s="15"/>
      <c r="F43" s="9"/>
      <c r="G43" s="9"/>
      <c r="H43" s="9"/>
      <c r="I43" s="9"/>
      <c r="J43" s="9"/>
      <c r="K43" s="9"/>
      <c r="L43" s="9"/>
      <c r="M43" s="9"/>
      <c r="N43" s="9"/>
    </row>
    <row r="44" spans="1:14" ht="19" x14ac:dyDescent="0.2">
      <c r="A44" s="74">
        <v>2154000</v>
      </c>
      <c r="B44" s="58">
        <v>44991</v>
      </c>
      <c r="C44" s="49" t="s">
        <v>1228</v>
      </c>
      <c r="D44" s="13" t="s">
        <v>405</v>
      </c>
      <c r="E44" s="15">
        <v>1694000</v>
      </c>
      <c r="F44" s="9">
        <v>460000</v>
      </c>
      <c r="G44" s="9">
        <v>2736000</v>
      </c>
      <c r="H44" s="9" t="s">
        <v>1505</v>
      </c>
      <c r="I44" s="9">
        <v>25500</v>
      </c>
      <c r="J44" s="9" t="s">
        <v>1499</v>
      </c>
      <c r="K44" s="9"/>
      <c r="L44" s="9"/>
      <c r="M44" s="9"/>
      <c r="N44" s="9"/>
    </row>
    <row r="45" spans="1:14" ht="19" x14ac:dyDescent="0.2">
      <c r="A45" s="74"/>
      <c r="B45" s="58"/>
      <c r="C45" s="49"/>
      <c r="D45" s="13"/>
      <c r="E45" s="15"/>
      <c r="F45" s="9"/>
      <c r="G45" s="9"/>
      <c r="H45" s="9"/>
      <c r="I45" s="9">
        <v>44500</v>
      </c>
      <c r="J45" s="9" t="s">
        <v>1500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9">
        <v>157000</v>
      </c>
      <c r="J46" s="9" t="s">
        <v>1501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9">
        <v>254000</v>
      </c>
      <c r="J47" s="9" t="s">
        <v>1502</v>
      </c>
      <c r="K47" s="9"/>
      <c r="L47" s="9"/>
      <c r="M47" s="9"/>
      <c r="N47" s="9"/>
    </row>
    <row r="48" spans="1:14" ht="19" x14ac:dyDescent="0.2">
      <c r="A48" s="74"/>
      <c r="B48" s="58"/>
      <c r="C48" s="49"/>
      <c r="D48" s="13"/>
      <c r="E48" s="15"/>
      <c r="F48" s="9"/>
      <c r="G48" s="9"/>
      <c r="H48" s="9"/>
      <c r="I48" s="9">
        <v>15000</v>
      </c>
      <c r="J48" s="9" t="s">
        <v>1305</v>
      </c>
      <c r="K48" s="9"/>
      <c r="L48" s="9"/>
      <c r="M48" s="9"/>
      <c r="N48" s="9"/>
    </row>
    <row r="49" spans="1:14" ht="19" x14ac:dyDescent="0.2">
      <c r="A49" s="74"/>
      <c r="B49" s="58"/>
      <c r="C49" s="49"/>
      <c r="D49" s="13"/>
      <c r="E49" s="15"/>
      <c r="F49" s="9"/>
      <c r="G49" s="9"/>
      <c r="H49" s="9"/>
      <c r="I49" s="9">
        <v>49000</v>
      </c>
      <c r="J49" s="9" t="s">
        <v>1503</v>
      </c>
      <c r="K49" s="9"/>
      <c r="L49" s="9"/>
      <c r="M49" s="9"/>
      <c r="N49" s="9"/>
    </row>
    <row r="50" spans="1:14" ht="19" x14ac:dyDescent="0.2">
      <c r="A50" s="74"/>
      <c r="B50" s="58"/>
      <c r="C50" s="49"/>
      <c r="D50" s="13"/>
      <c r="E50" s="15"/>
      <c r="F50" s="9"/>
      <c r="G50" s="9"/>
      <c r="H50" s="9"/>
      <c r="I50" s="9">
        <v>39000</v>
      </c>
      <c r="J50" s="9" t="s">
        <v>1504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>
        <v>75000</v>
      </c>
      <c r="J51" s="9" t="s">
        <v>1506</v>
      </c>
      <c r="K51" s="9"/>
      <c r="L51" s="9"/>
      <c r="M51" s="9"/>
      <c r="N51" s="9"/>
    </row>
    <row r="52" spans="1:14" ht="19" x14ac:dyDescent="0.2">
      <c r="A52" s="74"/>
      <c r="B52" s="58"/>
      <c r="C52" s="49"/>
      <c r="D52" s="13"/>
      <c r="E52" s="15"/>
      <c r="F52" s="9"/>
      <c r="G52" s="9"/>
      <c r="H52" s="9"/>
      <c r="I52" s="9">
        <v>39000</v>
      </c>
      <c r="J52" s="9" t="s">
        <v>1507</v>
      </c>
      <c r="K52" s="9"/>
      <c r="L52" s="9"/>
      <c r="M52" s="9"/>
      <c r="N52" s="9"/>
    </row>
    <row r="53" spans="1:14" ht="19" x14ac:dyDescent="0.2">
      <c r="A53" s="74"/>
      <c r="B53" s="58"/>
      <c r="C53" s="49"/>
      <c r="D53" s="13"/>
      <c r="E53" s="15"/>
      <c r="F53" s="9"/>
      <c r="G53" s="9"/>
      <c r="H53" s="9"/>
      <c r="I53" s="9">
        <v>270000</v>
      </c>
      <c r="J53" s="9" t="s">
        <v>1508</v>
      </c>
      <c r="K53" s="9"/>
      <c r="L53" s="9"/>
      <c r="M53" s="9"/>
      <c r="N53" s="9"/>
    </row>
    <row r="54" spans="1:14" ht="19" x14ac:dyDescent="0.2">
      <c r="A54" s="74"/>
      <c r="B54" s="58"/>
      <c r="C54" s="49"/>
      <c r="D54" s="13"/>
      <c r="E54" s="15"/>
      <c r="F54" s="9"/>
      <c r="G54" s="9"/>
      <c r="H54" s="9"/>
      <c r="I54" s="9">
        <v>70000</v>
      </c>
      <c r="J54" s="9" t="s">
        <v>1285</v>
      </c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>
        <v>100000</v>
      </c>
      <c r="J55" s="9" t="s">
        <v>1296</v>
      </c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>
        <v>240000</v>
      </c>
      <c r="J56" s="9" t="s">
        <v>1509</v>
      </c>
      <c r="K56" s="9"/>
      <c r="L56" s="9"/>
      <c r="M56" s="9"/>
      <c r="N56" s="9"/>
    </row>
    <row r="57" spans="1:14" ht="19" x14ac:dyDescent="0.2">
      <c r="A57" s="74"/>
      <c r="B57" s="58"/>
      <c r="C57" s="49"/>
      <c r="D57" s="13"/>
      <c r="E57" s="15"/>
      <c r="F57" s="9"/>
      <c r="G57" s="9"/>
      <c r="H57" s="9"/>
      <c r="I57" s="9"/>
      <c r="J57" s="9"/>
      <c r="K57" s="9"/>
      <c r="L57" s="9"/>
      <c r="M57" s="9"/>
      <c r="N57" s="9"/>
    </row>
    <row r="58" spans="1:14" ht="19" x14ac:dyDescent="0.2">
      <c r="A58" s="61">
        <v>1242000</v>
      </c>
      <c r="B58" s="58"/>
      <c r="C58" s="2" t="s">
        <v>10</v>
      </c>
      <c r="D58" s="13" t="s">
        <v>685</v>
      </c>
      <c r="E58" s="9">
        <v>1062000</v>
      </c>
      <c r="F58" s="9">
        <v>180000</v>
      </c>
      <c r="G58" s="9"/>
      <c r="H58" s="9"/>
      <c r="I58" s="9">
        <v>200000</v>
      </c>
      <c r="J58" s="9" t="s">
        <v>653</v>
      </c>
      <c r="K58" s="9"/>
      <c r="L58" s="9"/>
      <c r="M58" s="9"/>
      <c r="N58" s="9"/>
    </row>
    <row r="59" spans="1:14" ht="19" x14ac:dyDescent="0.2">
      <c r="A59" s="74"/>
      <c r="B59" s="58"/>
      <c r="C59" s="35"/>
      <c r="D59" s="13"/>
      <c r="E59" s="15"/>
      <c r="F59" s="9"/>
      <c r="G59" s="9"/>
      <c r="H59" s="9"/>
      <c r="I59" s="9">
        <v>35000</v>
      </c>
      <c r="J59" s="9" t="s">
        <v>1312</v>
      </c>
      <c r="K59" s="9"/>
      <c r="L59" s="9"/>
      <c r="M59" s="9"/>
      <c r="N59" s="9"/>
    </row>
    <row r="60" spans="1:14" ht="19" x14ac:dyDescent="0.2">
      <c r="A60" s="74"/>
      <c r="B60" s="58"/>
      <c r="C60" s="35"/>
      <c r="D60" s="13"/>
      <c r="E60" s="15"/>
      <c r="F60" s="9"/>
      <c r="G60" s="9"/>
      <c r="H60" s="9"/>
      <c r="I60" s="9">
        <v>100000</v>
      </c>
      <c r="J60" s="9" t="s">
        <v>827</v>
      </c>
      <c r="K60" s="9"/>
      <c r="L60" s="9"/>
      <c r="M60" s="9"/>
      <c r="N60" s="9"/>
    </row>
    <row r="61" spans="1:14" ht="19" x14ac:dyDescent="0.2">
      <c r="A61" s="74"/>
      <c r="B61" s="58"/>
      <c r="C61" s="49"/>
      <c r="D61" s="13"/>
      <c r="E61" s="15"/>
      <c r="F61" s="9"/>
      <c r="G61" s="9"/>
      <c r="H61" s="9"/>
      <c r="I61" s="9"/>
      <c r="J61" s="9"/>
      <c r="K61" s="9"/>
      <c r="L61" s="9"/>
      <c r="M61" s="9"/>
      <c r="N61" s="9"/>
    </row>
    <row r="62" spans="1:14" ht="19" x14ac:dyDescent="0.2">
      <c r="A62" s="74">
        <v>1945000</v>
      </c>
      <c r="B62" s="32">
        <v>44992</v>
      </c>
      <c r="C62" s="49" t="s">
        <v>440</v>
      </c>
      <c r="D62" s="13" t="s">
        <v>405</v>
      </c>
      <c r="E62" s="15">
        <v>1251000</v>
      </c>
      <c r="F62" s="9">
        <v>694000</v>
      </c>
      <c r="G62" s="9">
        <v>730000</v>
      </c>
      <c r="H62" s="9" t="s">
        <v>1511</v>
      </c>
      <c r="I62" s="9">
        <v>180000</v>
      </c>
      <c r="J62" s="9" t="s">
        <v>1510</v>
      </c>
      <c r="K62" s="9"/>
      <c r="L62" s="9"/>
      <c r="M62" s="9"/>
      <c r="N62" s="9"/>
    </row>
    <row r="63" spans="1:14" ht="19" x14ac:dyDescent="0.2">
      <c r="A63" s="74"/>
      <c r="B63" s="32"/>
      <c r="C63" s="49"/>
      <c r="D63" s="13"/>
      <c r="E63" s="15"/>
      <c r="F63" s="9"/>
      <c r="G63" s="9"/>
      <c r="H63" s="9"/>
      <c r="I63" s="9"/>
      <c r="J63" s="9"/>
      <c r="K63" s="9"/>
      <c r="L63" s="9"/>
      <c r="M63" s="9"/>
      <c r="N63" s="9"/>
    </row>
    <row r="64" spans="1:14" ht="19" x14ac:dyDescent="0.2">
      <c r="A64" s="74">
        <v>1185000</v>
      </c>
      <c r="B64" s="58"/>
      <c r="C64" s="49" t="s">
        <v>363</v>
      </c>
      <c r="D64" s="13" t="s">
        <v>685</v>
      </c>
      <c r="E64" s="15">
        <v>1060000</v>
      </c>
      <c r="F64" s="9">
        <v>125000</v>
      </c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74"/>
      <c r="B65" s="58"/>
      <c r="C65" s="49"/>
      <c r="D65" s="13"/>
      <c r="E65" s="15"/>
      <c r="F65" s="9"/>
      <c r="G65" s="9"/>
      <c r="H65" s="9"/>
      <c r="I65" s="9"/>
      <c r="J65" s="9"/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9"/>
      <c r="J66" s="9"/>
      <c r="K66" s="9"/>
      <c r="L66" s="9"/>
      <c r="M66" s="9"/>
      <c r="N66" s="9"/>
    </row>
    <row r="67" spans="1:14" ht="19" x14ac:dyDescent="0.2">
      <c r="A67" s="74"/>
      <c r="B67" s="58"/>
      <c r="C67" s="49"/>
      <c r="D67" s="13"/>
      <c r="E67" s="15"/>
      <c r="F67" s="9"/>
      <c r="G67" s="9"/>
      <c r="H67" s="9"/>
      <c r="I67" s="9"/>
      <c r="J67" s="9"/>
      <c r="K67" s="9"/>
      <c r="L67" s="9"/>
      <c r="M67" s="9"/>
      <c r="N67" s="9"/>
    </row>
    <row r="68" spans="1:14" ht="19" x14ac:dyDescent="0.2">
      <c r="A68" s="74">
        <v>2500000</v>
      </c>
      <c r="B68" s="32">
        <v>44993</v>
      </c>
      <c r="C68" s="49" t="s">
        <v>440</v>
      </c>
      <c r="D68" s="13" t="s">
        <v>565</v>
      </c>
      <c r="E68" s="15">
        <v>1814000</v>
      </c>
      <c r="F68" s="9">
        <v>686000</v>
      </c>
      <c r="G68" s="9"/>
      <c r="H68" s="9"/>
      <c r="I68" s="9">
        <v>140000</v>
      </c>
      <c r="J68" s="9" t="s">
        <v>1512</v>
      </c>
      <c r="K68" s="9"/>
      <c r="L68" s="9"/>
      <c r="M68" s="9"/>
      <c r="N68" s="9"/>
    </row>
    <row r="69" spans="1:14" ht="19" x14ac:dyDescent="0.2">
      <c r="A69" s="74"/>
      <c r="B69" s="58"/>
      <c r="C69" s="49"/>
      <c r="D69" s="13"/>
      <c r="E69" s="15"/>
      <c r="F69" s="9"/>
      <c r="G69" s="9"/>
      <c r="H69" s="9"/>
      <c r="I69" s="9">
        <v>140000</v>
      </c>
      <c r="J69" s="9" t="s">
        <v>1513</v>
      </c>
      <c r="K69" s="9"/>
      <c r="L69" s="9"/>
      <c r="M69" s="9"/>
      <c r="N69" s="9"/>
    </row>
    <row r="70" spans="1:14" ht="19" x14ac:dyDescent="0.2">
      <c r="A70" s="74"/>
      <c r="B70" s="33"/>
      <c r="C70" s="2"/>
      <c r="D70" s="13"/>
      <c r="E70" s="15"/>
      <c r="F70" s="9"/>
      <c r="G70" s="9"/>
      <c r="H70" s="9"/>
      <c r="I70" s="9"/>
      <c r="J70" s="9"/>
      <c r="K70" s="9"/>
      <c r="L70" s="9"/>
      <c r="M70" s="9"/>
      <c r="N70" s="9"/>
    </row>
    <row r="71" spans="1:14" ht="19" x14ac:dyDescent="0.2">
      <c r="A71" s="136">
        <v>1432000</v>
      </c>
      <c r="B71" s="75"/>
      <c r="C71" s="35" t="s">
        <v>806</v>
      </c>
      <c r="D71" s="137" t="s">
        <v>685</v>
      </c>
      <c r="E71" s="15">
        <v>939000</v>
      </c>
      <c r="F71" s="9">
        <v>493000</v>
      </c>
      <c r="G71" s="9"/>
      <c r="H71" s="9"/>
      <c r="I71" s="9"/>
      <c r="J71" s="9"/>
      <c r="K71" s="9"/>
      <c r="L71" s="9"/>
      <c r="M71" s="9"/>
      <c r="N71" s="9"/>
    </row>
    <row r="72" spans="1:14" ht="19" x14ac:dyDescent="0.2">
      <c r="A72" s="136"/>
      <c r="B72" s="75"/>
      <c r="C72" s="35"/>
      <c r="D72" s="137"/>
      <c r="E72" s="15"/>
      <c r="F72" s="9"/>
      <c r="G72" s="9"/>
      <c r="H72" s="9"/>
      <c r="I72" s="9"/>
      <c r="J72" s="9"/>
      <c r="K72" s="9"/>
      <c r="L72" s="9"/>
      <c r="M72" s="9"/>
      <c r="N72" s="9"/>
    </row>
    <row r="73" spans="1:14" ht="19" x14ac:dyDescent="0.2">
      <c r="A73" s="74">
        <v>2114000</v>
      </c>
      <c r="B73" s="32">
        <v>44994</v>
      </c>
      <c r="C73" s="35" t="s">
        <v>440</v>
      </c>
      <c r="D73" s="13" t="s">
        <v>405</v>
      </c>
      <c r="E73" s="15">
        <v>1667000</v>
      </c>
      <c r="F73" s="9">
        <v>447000</v>
      </c>
      <c r="G73" s="9"/>
      <c r="H73" s="9"/>
      <c r="I73" s="9">
        <v>63000</v>
      </c>
      <c r="J73" s="9" t="s">
        <v>1514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60"/>
      <c r="H74" s="60"/>
      <c r="I74" s="9">
        <v>20500</v>
      </c>
      <c r="J74" s="9" t="s">
        <v>1515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60"/>
      <c r="H75" s="60"/>
      <c r="I75" s="9">
        <v>29500</v>
      </c>
      <c r="J75" s="9" t="s">
        <v>1516</v>
      </c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60"/>
      <c r="H76" s="60"/>
      <c r="I76" s="9">
        <v>72000</v>
      </c>
      <c r="J76" s="9" t="s">
        <v>1491</v>
      </c>
      <c r="K76" s="9"/>
      <c r="L76" s="9"/>
      <c r="M76" s="9"/>
      <c r="N76" s="9"/>
    </row>
    <row r="77" spans="1:14" ht="19" x14ac:dyDescent="0.2">
      <c r="A77" s="74"/>
      <c r="B77" s="58"/>
      <c r="C77" s="49"/>
      <c r="D77" s="13"/>
      <c r="E77" s="15"/>
      <c r="F77" s="9"/>
      <c r="G77" s="60"/>
      <c r="H77" s="60"/>
      <c r="I77" s="9">
        <v>500000</v>
      </c>
      <c r="J77" s="9" t="s">
        <v>1517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60"/>
      <c r="H78" s="60"/>
      <c r="I78" s="9">
        <v>140000</v>
      </c>
      <c r="J78" s="9" t="s">
        <v>1518</v>
      </c>
      <c r="K78" s="9"/>
      <c r="L78" s="9"/>
      <c r="M78" s="9"/>
      <c r="N78" s="9"/>
    </row>
    <row r="79" spans="1:14" ht="19" x14ac:dyDescent="0.2">
      <c r="A79" s="74"/>
      <c r="B79" s="58"/>
      <c r="C79" s="49"/>
      <c r="D79" s="13"/>
      <c r="E79" s="15"/>
      <c r="F79" s="9"/>
      <c r="G79" s="60"/>
      <c r="H79" s="60"/>
      <c r="I79" s="9">
        <v>200000</v>
      </c>
      <c r="J79" s="9" t="s">
        <v>653</v>
      </c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60"/>
      <c r="H80" s="60"/>
      <c r="I80" s="9">
        <v>35000</v>
      </c>
      <c r="J80" s="9" t="s">
        <v>655</v>
      </c>
      <c r="K80" s="9"/>
      <c r="L80" s="9"/>
      <c r="M80" s="9"/>
      <c r="N80" s="9"/>
    </row>
    <row r="81" spans="1:14" ht="19" x14ac:dyDescent="0.2">
      <c r="A81" s="74"/>
      <c r="B81" s="58"/>
      <c r="C81" s="49"/>
      <c r="D81" s="13"/>
      <c r="E81" s="15"/>
      <c r="F81" s="9"/>
      <c r="G81" s="60"/>
      <c r="H81" s="60"/>
      <c r="I81" s="9">
        <v>100000</v>
      </c>
      <c r="J81" s="9" t="s">
        <v>827</v>
      </c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60"/>
      <c r="H82" s="60"/>
      <c r="I82" s="9">
        <v>39000</v>
      </c>
      <c r="J82" s="9" t="s">
        <v>1493</v>
      </c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60"/>
      <c r="H83" s="60"/>
      <c r="I83" s="9"/>
      <c r="J83" s="9"/>
      <c r="K83" s="9"/>
      <c r="L83" s="9"/>
      <c r="M83" s="9"/>
      <c r="N83" s="9"/>
    </row>
    <row r="84" spans="1:14" ht="19" x14ac:dyDescent="0.2">
      <c r="A84" s="74">
        <v>1331000</v>
      </c>
      <c r="B84" s="58"/>
      <c r="C84" s="49" t="s">
        <v>806</v>
      </c>
      <c r="D84" s="13" t="s">
        <v>685</v>
      </c>
      <c r="E84" s="15">
        <v>1126000</v>
      </c>
      <c r="F84" s="9">
        <v>205000</v>
      </c>
      <c r="G84" s="60"/>
      <c r="H84" s="60"/>
      <c r="I84" s="9">
        <v>200000</v>
      </c>
      <c r="J84" s="9" t="s">
        <v>1543</v>
      </c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60"/>
      <c r="H85" s="60"/>
      <c r="I85" s="9">
        <v>100000</v>
      </c>
      <c r="J85" s="9" t="s">
        <v>1535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60"/>
      <c r="H86" s="60"/>
      <c r="I86" s="9">
        <v>52000</v>
      </c>
      <c r="J86" s="9" t="s">
        <v>1536</v>
      </c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60"/>
      <c r="H87" s="60"/>
      <c r="I87" s="9"/>
      <c r="J87" s="9"/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60"/>
      <c r="H88" s="60"/>
      <c r="I88" s="9"/>
      <c r="J88" s="9"/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60"/>
      <c r="H89" s="60"/>
      <c r="I89" s="9"/>
      <c r="J89" s="9"/>
      <c r="K89" s="9"/>
      <c r="L89" s="9"/>
      <c r="M89" s="9"/>
      <c r="N89" s="9"/>
    </row>
    <row r="90" spans="1:14" ht="19" x14ac:dyDescent="0.2">
      <c r="A90" s="74"/>
      <c r="B90" s="58"/>
      <c r="C90" s="49"/>
      <c r="D90" s="13"/>
      <c r="E90" s="15"/>
      <c r="F90" s="9"/>
      <c r="G90" s="60"/>
      <c r="H90" s="60"/>
      <c r="I90" s="9"/>
      <c r="J90" s="9"/>
      <c r="K90" s="9"/>
      <c r="L90" s="9"/>
      <c r="M90" s="9"/>
      <c r="N90" s="9"/>
    </row>
    <row r="91" spans="1:14" ht="19" x14ac:dyDescent="0.2">
      <c r="A91" s="61">
        <v>1511000</v>
      </c>
      <c r="B91" s="58">
        <v>44936</v>
      </c>
      <c r="C91" s="2" t="s">
        <v>440</v>
      </c>
      <c r="D91" s="13" t="s">
        <v>405</v>
      </c>
      <c r="E91" s="15">
        <v>1159000</v>
      </c>
      <c r="F91" s="9">
        <v>352000</v>
      </c>
      <c r="G91" s="9"/>
      <c r="H91" s="9"/>
      <c r="I91" s="9">
        <v>24000</v>
      </c>
      <c r="J91" s="9" t="s">
        <v>1519</v>
      </c>
      <c r="K91" s="9"/>
      <c r="L91" s="9"/>
      <c r="M91" s="9"/>
      <c r="N91" s="9"/>
    </row>
    <row r="92" spans="1:14" ht="19" x14ac:dyDescent="0.2">
      <c r="A92" s="61"/>
      <c r="B92" s="58"/>
      <c r="C92" s="3"/>
      <c r="D92" s="13"/>
      <c r="E92" s="15"/>
      <c r="F92" s="9"/>
      <c r="G92" s="9"/>
      <c r="H92" s="9"/>
      <c r="I92" s="9">
        <v>26000</v>
      </c>
      <c r="J92" s="9" t="s">
        <v>1520</v>
      </c>
      <c r="K92" s="9"/>
      <c r="L92" s="9"/>
      <c r="M92" s="9"/>
      <c r="N92" s="9"/>
    </row>
    <row r="93" spans="1:14" ht="19" x14ac:dyDescent="0.2">
      <c r="A93" s="61"/>
      <c r="B93" s="58"/>
      <c r="C93" s="49"/>
      <c r="D93" s="13"/>
      <c r="E93" s="15"/>
      <c r="F93" s="9"/>
      <c r="G93" s="9"/>
      <c r="H93" s="9"/>
      <c r="I93" s="9">
        <v>288000</v>
      </c>
      <c r="J93" s="9" t="s">
        <v>1017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98000</v>
      </c>
      <c r="J94" s="9" t="s">
        <v>821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75000</v>
      </c>
      <c r="J95" s="9" t="s">
        <v>1521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9"/>
      <c r="H96" s="9"/>
      <c r="I96" s="9">
        <v>75000</v>
      </c>
      <c r="J96" s="9" t="s">
        <v>1522</v>
      </c>
      <c r="K96" s="9"/>
      <c r="L96" s="9"/>
      <c r="M96" s="9"/>
      <c r="N96" s="9"/>
    </row>
    <row r="97" spans="1:14" ht="19" x14ac:dyDescent="0.2">
      <c r="A97" s="74"/>
      <c r="B97" s="58"/>
      <c r="C97" s="49"/>
      <c r="D97" s="13"/>
      <c r="E97" s="15"/>
      <c r="F97" s="9"/>
      <c r="G97" s="9"/>
      <c r="H97" s="9"/>
      <c r="I97" s="9"/>
      <c r="J97" s="9"/>
      <c r="K97" s="9"/>
      <c r="L97" s="9"/>
      <c r="M97" s="9"/>
      <c r="N97" s="9"/>
    </row>
    <row r="98" spans="1:14" ht="19" x14ac:dyDescent="0.2">
      <c r="A98" s="61">
        <v>2223000</v>
      </c>
      <c r="B98" s="58"/>
      <c r="C98" s="49" t="s">
        <v>363</v>
      </c>
      <c r="D98" s="13" t="s">
        <v>685</v>
      </c>
      <c r="E98" s="15">
        <v>1743000</v>
      </c>
      <c r="F98" s="9">
        <v>480000</v>
      </c>
      <c r="G98" s="9">
        <v>50000</v>
      </c>
      <c r="H98" s="9" t="s">
        <v>1523</v>
      </c>
      <c r="I98" s="9"/>
      <c r="J98" s="9"/>
      <c r="K98" s="9"/>
      <c r="L98" s="9"/>
      <c r="M98" s="9"/>
      <c r="N98" s="9"/>
    </row>
    <row r="99" spans="1:14" ht="19" x14ac:dyDescent="0.2">
      <c r="A99" s="74"/>
      <c r="B99" s="58"/>
      <c r="C99" s="49"/>
      <c r="D99" s="13"/>
      <c r="E99" s="15"/>
      <c r="F99" s="9"/>
      <c r="G99" s="9"/>
      <c r="H99" s="9"/>
      <c r="I99" s="9"/>
      <c r="J99" s="9"/>
      <c r="K99" s="9"/>
      <c r="L99" s="9"/>
      <c r="M99" s="9"/>
      <c r="N99" s="9"/>
    </row>
    <row r="100" spans="1:14" ht="19" x14ac:dyDescent="0.2">
      <c r="A100" s="136"/>
      <c r="B100" s="58"/>
      <c r="C100" s="49"/>
      <c r="D100" s="137"/>
      <c r="E100" s="15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19" x14ac:dyDescent="0.2">
      <c r="A101" s="61">
        <v>1326000</v>
      </c>
      <c r="B101" s="58">
        <v>44996</v>
      </c>
      <c r="C101" s="49" t="s">
        <v>9</v>
      </c>
      <c r="D101" s="13" t="s">
        <v>405</v>
      </c>
      <c r="E101" s="15">
        <v>1043000</v>
      </c>
      <c r="F101" s="9">
        <v>283000</v>
      </c>
      <c r="G101" s="9"/>
      <c r="H101" s="9"/>
      <c r="I101" s="9">
        <v>19000</v>
      </c>
      <c r="J101" s="9" t="s">
        <v>1524</v>
      </c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9">
        <v>20000</v>
      </c>
      <c r="J102" s="9" t="s">
        <v>1525</v>
      </c>
      <c r="K102" s="9"/>
      <c r="L102" s="9"/>
      <c r="M102" s="9"/>
      <c r="N102" s="9"/>
    </row>
    <row r="103" spans="1:14" ht="19" x14ac:dyDescent="0.2">
      <c r="A103" s="74"/>
      <c r="B103" s="58"/>
      <c r="C103" s="49"/>
      <c r="D103" s="13"/>
      <c r="E103" s="15"/>
      <c r="F103" s="9"/>
      <c r="G103" s="9"/>
      <c r="H103" s="9"/>
      <c r="I103" s="9">
        <v>16000</v>
      </c>
      <c r="J103" s="9" t="s">
        <v>1526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9">
        <v>40000</v>
      </c>
      <c r="J104" s="9" t="s">
        <v>1529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40000</v>
      </c>
      <c r="J105" s="9" t="s">
        <v>1527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>
        <v>40000</v>
      </c>
      <c r="J106" s="9" t="s">
        <v>1528</v>
      </c>
      <c r="K106" s="9"/>
      <c r="L106" s="9"/>
      <c r="M106" s="9"/>
      <c r="N106" s="9"/>
    </row>
    <row r="107" spans="1:14" ht="19" x14ac:dyDescent="0.2">
      <c r="A107" s="74"/>
      <c r="B107" s="58"/>
      <c r="C107" s="49"/>
      <c r="D107" s="13"/>
      <c r="E107" s="15"/>
      <c r="F107" s="9"/>
      <c r="G107" s="9"/>
      <c r="H107" s="9"/>
      <c r="I107" s="9">
        <v>6000</v>
      </c>
      <c r="J107" s="9" t="s">
        <v>1530</v>
      </c>
      <c r="K107" s="9"/>
      <c r="L107" s="9"/>
      <c r="M107" s="9"/>
      <c r="N107" s="9"/>
    </row>
    <row r="108" spans="1:14" ht="19" x14ac:dyDescent="0.2">
      <c r="A108" s="74"/>
      <c r="B108" s="58"/>
      <c r="C108" s="49"/>
      <c r="D108" s="13"/>
      <c r="E108" s="15"/>
      <c r="F108" s="9"/>
      <c r="G108" s="9"/>
      <c r="H108" s="9"/>
      <c r="I108" s="9">
        <v>51500</v>
      </c>
      <c r="J108" s="9" t="s">
        <v>1531</v>
      </c>
      <c r="K108" s="9"/>
      <c r="L108" s="9"/>
      <c r="M108" s="9"/>
      <c r="N108" s="9"/>
    </row>
    <row r="109" spans="1:14" ht="19" x14ac:dyDescent="0.2">
      <c r="A109" s="74"/>
      <c r="B109" s="58"/>
      <c r="C109" s="49"/>
      <c r="D109" s="13"/>
      <c r="E109" s="15"/>
      <c r="F109" s="9"/>
      <c r="G109" s="9"/>
      <c r="H109" s="9"/>
      <c r="I109" s="9">
        <v>76000</v>
      </c>
      <c r="J109" s="9" t="s">
        <v>1532</v>
      </c>
      <c r="K109" s="9"/>
      <c r="L109" s="9"/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>
        <v>25000</v>
      </c>
      <c r="H110" s="9" t="s">
        <v>1534</v>
      </c>
      <c r="I110" s="9"/>
      <c r="J110" s="9"/>
      <c r="K110" s="9"/>
      <c r="L110" s="9"/>
      <c r="M110" s="9"/>
      <c r="N110" s="9"/>
    </row>
    <row r="111" spans="1:14" ht="19" x14ac:dyDescent="0.2">
      <c r="A111" s="74"/>
      <c r="B111" s="58"/>
      <c r="C111" s="49"/>
      <c r="D111" s="13"/>
      <c r="E111" s="15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74">
        <v>1074000</v>
      </c>
      <c r="B112" s="58"/>
      <c r="C112" s="49" t="s">
        <v>10</v>
      </c>
      <c r="D112" s="13" t="s">
        <v>685</v>
      </c>
      <c r="E112" s="15">
        <v>612000</v>
      </c>
      <c r="F112" s="9">
        <v>462000</v>
      </c>
      <c r="G112" s="9"/>
      <c r="H112" s="9"/>
      <c r="I112" s="9">
        <v>50000</v>
      </c>
      <c r="J112" s="9" t="s">
        <v>123</v>
      </c>
      <c r="K112" s="9"/>
      <c r="L112" s="9"/>
      <c r="M112" s="9"/>
      <c r="N112" s="9"/>
    </row>
    <row r="113" spans="1:14" ht="19" x14ac:dyDescent="0.2">
      <c r="A113" s="74"/>
      <c r="B113" s="58"/>
      <c r="C113" s="49"/>
      <c r="D113" s="13"/>
      <c r="E113" s="15"/>
      <c r="F113" s="9"/>
      <c r="G113" s="9"/>
      <c r="H113" s="9"/>
      <c r="I113" s="9"/>
      <c r="J113" s="9"/>
      <c r="K113" s="9"/>
      <c r="L113" s="9"/>
      <c r="M113" s="9"/>
      <c r="N113" s="9"/>
    </row>
    <row r="114" spans="1:14" ht="19" x14ac:dyDescent="0.2">
      <c r="A114" s="74">
        <v>1878000</v>
      </c>
      <c r="B114" s="58">
        <v>44997</v>
      </c>
      <c r="C114" s="49" t="s">
        <v>9</v>
      </c>
      <c r="D114" s="13" t="s">
        <v>565</v>
      </c>
      <c r="E114" s="15">
        <v>1644000</v>
      </c>
      <c r="F114" s="9">
        <v>234000</v>
      </c>
      <c r="G114" s="9"/>
      <c r="H114" s="9"/>
      <c r="I114" s="9">
        <v>60000</v>
      </c>
      <c r="J114" s="9" t="s">
        <v>1533</v>
      </c>
      <c r="K114" s="9"/>
      <c r="L114" s="9"/>
      <c r="M114" s="9"/>
      <c r="N114" s="9"/>
    </row>
    <row r="115" spans="1:14" ht="19" x14ac:dyDescent="0.2">
      <c r="A115" s="74"/>
      <c r="B115" s="58"/>
      <c r="C115" s="49"/>
      <c r="D115" s="13"/>
      <c r="E115" s="15"/>
      <c r="F115" s="9"/>
      <c r="G115" s="9"/>
      <c r="H115" s="9"/>
      <c r="I115" s="9"/>
      <c r="J115" s="9"/>
      <c r="K115" s="9"/>
      <c r="L115" s="9"/>
      <c r="M115" s="9"/>
      <c r="N115" s="9"/>
    </row>
    <row r="116" spans="1:14" ht="19" x14ac:dyDescent="0.2">
      <c r="A116" s="74">
        <v>1197000</v>
      </c>
      <c r="B116" s="58"/>
      <c r="C116" s="49" t="s">
        <v>10</v>
      </c>
      <c r="D116" s="13" t="s">
        <v>685</v>
      </c>
      <c r="E116" s="15">
        <v>842000</v>
      </c>
      <c r="F116" s="9">
        <v>355000</v>
      </c>
      <c r="G116" s="9"/>
      <c r="H116" s="9"/>
      <c r="I116" s="9"/>
      <c r="J116" s="9"/>
      <c r="K116" s="9"/>
      <c r="L116" s="9"/>
      <c r="M116" s="9"/>
      <c r="N116" s="9"/>
    </row>
    <row r="117" spans="1:14" ht="19" x14ac:dyDescent="0.2">
      <c r="A117" s="74"/>
      <c r="B117" s="58"/>
      <c r="C117" s="49"/>
      <c r="D117" s="13"/>
      <c r="E117" s="15"/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19" x14ac:dyDescent="0.2">
      <c r="A118" s="61">
        <v>1783000</v>
      </c>
      <c r="B118" s="58">
        <v>44998</v>
      </c>
      <c r="C118" s="49" t="s">
        <v>9</v>
      </c>
      <c r="D118" s="13" t="s">
        <v>405</v>
      </c>
      <c r="E118" s="15">
        <v>1418000</v>
      </c>
      <c r="F118" s="9">
        <v>365000</v>
      </c>
      <c r="G118" s="9"/>
      <c r="H118" s="9"/>
      <c r="I118" s="9">
        <v>39000</v>
      </c>
      <c r="J118" s="9" t="s">
        <v>1493</v>
      </c>
      <c r="K118" s="9"/>
      <c r="L118" s="9"/>
      <c r="M118" s="9"/>
      <c r="N118" s="9"/>
    </row>
    <row r="119" spans="1:14" ht="19" x14ac:dyDescent="0.2">
      <c r="A119" s="74"/>
      <c r="B119" s="75"/>
      <c r="C119" s="35"/>
      <c r="D119" s="13"/>
      <c r="E119" s="15"/>
      <c r="F119" s="9"/>
      <c r="G119" s="9"/>
      <c r="H119" s="9"/>
      <c r="I119" s="9">
        <v>15000</v>
      </c>
      <c r="J119" s="9" t="s">
        <v>1537</v>
      </c>
      <c r="K119" s="9"/>
      <c r="L119" s="9"/>
      <c r="M119" s="9"/>
      <c r="N119" s="9"/>
    </row>
    <row r="120" spans="1:14" ht="19" x14ac:dyDescent="0.2">
      <c r="A120" s="136"/>
      <c r="B120" s="75"/>
      <c r="C120" s="35"/>
      <c r="D120" s="137"/>
      <c r="E120" s="15"/>
      <c r="F120" s="9"/>
      <c r="G120" s="9"/>
      <c r="H120" s="9"/>
      <c r="I120" s="9">
        <v>70000</v>
      </c>
      <c r="J120" s="9" t="s">
        <v>1473</v>
      </c>
      <c r="K120" s="9"/>
      <c r="L120" s="9"/>
      <c r="M120" s="9"/>
      <c r="N120" s="9"/>
    </row>
    <row r="121" spans="1:14" ht="19" x14ac:dyDescent="0.2">
      <c r="A121" s="136"/>
      <c r="B121" s="75"/>
      <c r="C121" s="35"/>
      <c r="D121" s="137"/>
      <c r="E121" s="15"/>
      <c r="F121" s="9"/>
      <c r="G121" s="9"/>
      <c r="H121" s="9"/>
      <c r="I121" s="9">
        <v>44500</v>
      </c>
      <c r="J121" s="9" t="s">
        <v>1500</v>
      </c>
      <c r="K121" s="9"/>
      <c r="L121" s="9"/>
      <c r="M121" s="9"/>
      <c r="N121" s="9"/>
    </row>
    <row r="122" spans="1:14" ht="19" x14ac:dyDescent="0.2">
      <c r="A122" s="136"/>
      <c r="B122" s="75"/>
      <c r="C122" s="35"/>
      <c r="D122" s="137"/>
      <c r="E122" s="15"/>
      <c r="F122" s="9"/>
      <c r="G122" s="9"/>
      <c r="H122" s="9"/>
      <c r="I122" s="9">
        <v>255000</v>
      </c>
      <c r="J122" s="9" t="s">
        <v>1502</v>
      </c>
      <c r="K122" s="9"/>
      <c r="L122" s="9"/>
      <c r="M122" s="9"/>
      <c r="N122" s="9"/>
    </row>
    <row r="123" spans="1:14" ht="19" x14ac:dyDescent="0.2">
      <c r="A123" s="136"/>
      <c r="B123" s="75"/>
      <c r="C123" s="35"/>
      <c r="D123" s="137"/>
      <c r="E123" s="15"/>
      <c r="F123" s="9"/>
      <c r="G123" s="9"/>
      <c r="H123" s="9"/>
      <c r="I123" s="9">
        <v>98000</v>
      </c>
      <c r="J123" s="9" t="s">
        <v>821</v>
      </c>
      <c r="K123" s="9"/>
      <c r="L123" s="9"/>
      <c r="M123" s="9"/>
      <c r="N123" s="9"/>
    </row>
    <row r="124" spans="1:14" ht="19" x14ac:dyDescent="0.2">
      <c r="A124" s="136"/>
      <c r="B124" s="75"/>
      <c r="C124" s="35"/>
      <c r="D124" s="137"/>
      <c r="E124" s="15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9" x14ac:dyDescent="0.2">
      <c r="A125" s="74">
        <v>1273000</v>
      </c>
      <c r="B125" s="75"/>
      <c r="C125" s="35" t="s">
        <v>10</v>
      </c>
      <c r="D125" s="13" t="s">
        <v>685</v>
      </c>
      <c r="E125" s="15">
        <v>1059000</v>
      </c>
      <c r="F125" s="9">
        <v>214000</v>
      </c>
      <c r="G125" s="9"/>
      <c r="H125" s="9"/>
      <c r="I125" s="60"/>
      <c r="J125" s="60"/>
      <c r="K125" s="9"/>
      <c r="L125" s="9"/>
      <c r="M125" s="9"/>
      <c r="N125" s="9"/>
    </row>
    <row r="126" spans="1:14" ht="19" x14ac:dyDescent="0.2">
      <c r="A126" s="74"/>
      <c r="B126" s="75"/>
      <c r="C126" s="35"/>
      <c r="D126" s="13"/>
      <c r="E126" s="15"/>
      <c r="F126" s="9"/>
      <c r="G126" s="9"/>
      <c r="H126" s="9"/>
      <c r="I126" s="60"/>
      <c r="J126" s="60"/>
      <c r="K126" s="9"/>
      <c r="L126" s="9"/>
      <c r="M126" s="9"/>
      <c r="N126" s="9"/>
    </row>
    <row r="127" spans="1:14" ht="19" x14ac:dyDescent="0.2">
      <c r="A127" s="74"/>
      <c r="B127" s="75"/>
      <c r="C127" s="35"/>
      <c r="D127" s="13"/>
      <c r="E127" s="15"/>
      <c r="F127" s="9"/>
      <c r="G127" s="9">
        <v>440000</v>
      </c>
      <c r="H127" s="9" t="s">
        <v>1544</v>
      </c>
      <c r="I127" s="60"/>
      <c r="J127" s="60"/>
      <c r="K127" s="9"/>
      <c r="L127" s="9"/>
      <c r="M127" s="9"/>
      <c r="N127" s="9"/>
    </row>
    <row r="128" spans="1:14" ht="19" x14ac:dyDescent="0.2">
      <c r="A128" s="61">
        <v>1889000</v>
      </c>
      <c r="B128" s="58">
        <v>44665</v>
      </c>
      <c r="C128" s="3" t="s">
        <v>9</v>
      </c>
      <c r="D128" s="13" t="s">
        <v>405</v>
      </c>
      <c r="E128" s="15">
        <v>1605000</v>
      </c>
      <c r="F128" s="9">
        <v>284000</v>
      </c>
      <c r="G128" s="9">
        <v>2746000</v>
      </c>
      <c r="H128" s="9" t="s">
        <v>1475</v>
      </c>
      <c r="I128" s="60">
        <v>183000</v>
      </c>
      <c r="J128" s="60" t="s">
        <v>1545</v>
      </c>
      <c r="K128" s="9"/>
      <c r="L128" s="9"/>
      <c r="M128" s="9"/>
      <c r="N128" s="9"/>
    </row>
    <row r="129" spans="1:14" ht="19" x14ac:dyDescent="0.2">
      <c r="A129" s="61"/>
      <c r="B129" s="58"/>
      <c r="C129" s="3"/>
      <c r="D129" s="13"/>
      <c r="E129" s="15"/>
      <c r="F129" s="9"/>
      <c r="G129" s="9">
        <v>440000</v>
      </c>
      <c r="H129" s="9" t="s">
        <v>1546</v>
      </c>
      <c r="I129" s="60">
        <v>183000</v>
      </c>
      <c r="J129" s="60" t="s">
        <v>1547</v>
      </c>
      <c r="K129" s="9"/>
      <c r="L129" s="9"/>
      <c r="M129" s="9"/>
      <c r="N129" s="9"/>
    </row>
    <row r="130" spans="1:14" ht="19" x14ac:dyDescent="0.2">
      <c r="A130" s="61"/>
      <c r="B130" s="58"/>
      <c r="C130" s="3"/>
      <c r="D130" s="13"/>
      <c r="E130" s="15"/>
      <c r="F130" s="9"/>
      <c r="G130" s="9"/>
      <c r="H130" s="9"/>
      <c r="I130" s="60">
        <v>200000</v>
      </c>
      <c r="J130" s="60" t="s">
        <v>1543</v>
      </c>
      <c r="K130" s="9"/>
      <c r="L130" s="9"/>
      <c r="M130" s="9"/>
      <c r="N130" s="9"/>
    </row>
    <row r="131" spans="1:14" ht="19" x14ac:dyDescent="0.2">
      <c r="A131" s="61"/>
      <c r="B131" s="58"/>
      <c r="C131" s="3"/>
      <c r="D131" s="13"/>
      <c r="E131" s="15"/>
      <c r="F131" s="9"/>
      <c r="G131" s="9"/>
      <c r="H131" s="9"/>
      <c r="I131" s="60">
        <v>75000</v>
      </c>
      <c r="J131" s="60" t="s">
        <v>1506</v>
      </c>
      <c r="K131" s="9"/>
      <c r="L131" s="9"/>
      <c r="M131" s="9"/>
      <c r="N131" s="9"/>
    </row>
    <row r="132" spans="1:14" ht="19" x14ac:dyDescent="0.2">
      <c r="A132" s="61"/>
      <c r="B132" s="58"/>
      <c r="C132" s="3"/>
      <c r="D132" s="13"/>
      <c r="E132" s="15"/>
      <c r="F132" s="9"/>
      <c r="G132" s="9"/>
      <c r="H132" s="9"/>
      <c r="I132" s="60">
        <v>240000</v>
      </c>
      <c r="J132" s="60" t="s">
        <v>1548</v>
      </c>
      <c r="K132" s="9"/>
      <c r="L132" s="9"/>
      <c r="M132" s="9"/>
      <c r="N132" s="9"/>
    </row>
    <row r="133" spans="1:14" ht="19" x14ac:dyDescent="0.2">
      <c r="A133" s="61">
        <v>1489000</v>
      </c>
      <c r="B133" s="58"/>
      <c r="C133" s="2" t="s">
        <v>10</v>
      </c>
      <c r="D133" s="13" t="s">
        <v>685</v>
      </c>
      <c r="E133" s="15">
        <v>1123000</v>
      </c>
      <c r="F133" s="9">
        <v>366000</v>
      </c>
      <c r="G133" s="9"/>
      <c r="H133" s="9"/>
      <c r="I133" s="9">
        <v>200000</v>
      </c>
      <c r="J133" s="9" t="s">
        <v>653</v>
      </c>
      <c r="K133" s="9"/>
      <c r="L133" s="9"/>
      <c r="M133" s="9"/>
      <c r="N133" s="9"/>
    </row>
    <row r="134" spans="1:14" ht="19" x14ac:dyDescent="0.2">
      <c r="A134" s="74"/>
      <c r="B134" s="58"/>
      <c r="C134" s="35"/>
      <c r="D134" s="13"/>
      <c r="E134" s="15"/>
      <c r="F134" s="9"/>
      <c r="G134" s="9"/>
      <c r="H134" s="9"/>
      <c r="I134" s="9">
        <v>35000</v>
      </c>
      <c r="J134" s="9" t="s">
        <v>655</v>
      </c>
      <c r="K134" s="9"/>
      <c r="L134" s="9"/>
      <c r="M134" s="9"/>
      <c r="N134" s="9"/>
    </row>
    <row r="135" spans="1:14" ht="19" x14ac:dyDescent="0.2">
      <c r="A135" s="74"/>
      <c r="B135" s="58"/>
      <c r="C135" s="35"/>
      <c r="D135" s="13"/>
      <c r="E135" s="15"/>
      <c r="F135" s="9"/>
      <c r="G135" s="9"/>
      <c r="H135" s="9"/>
      <c r="I135" s="9">
        <v>100000</v>
      </c>
      <c r="J135" s="9" t="s">
        <v>827</v>
      </c>
      <c r="K135" s="9"/>
      <c r="L135" s="9"/>
      <c r="M135" s="9"/>
      <c r="N135" s="9"/>
    </row>
    <row r="136" spans="1:14" ht="19" x14ac:dyDescent="0.2">
      <c r="A136" s="74"/>
      <c r="B136" s="58"/>
      <c r="C136" s="35"/>
      <c r="D136" s="13"/>
      <c r="E136" s="15"/>
      <c r="F136" s="9"/>
      <c r="G136" s="9"/>
      <c r="H136" s="9"/>
      <c r="I136" s="9"/>
      <c r="J136" s="9"/>
      <c r="K136" s="9"/>
      <c r="L136" s="9"/>
      <c r="M136" s="9"/>
      <c r="N136" s="9"/>
    </row>
    <row r="137" spans="1:14" ht="32" x14ac:dyDescent="0.2">
      <c r="A137" s="61">
        <v>2468000</v>
      </c>
      <c r="B137" s="58">
        <v>45000</v>
      </c>
      <c r="C137" s="3" t="s">
        <v>440</v>
      </c>
      <c r="D137" s="13" t="s">
        <v>565</v>
      </c>
      <c r="E137" s="15">
        <v>1924000</v>
      </c>
      <c r="F137" s="9">
        <v>544000</v>
      </c>
      <c r="G137" s="9">
        <v>748000</v>
      </c>
      <c r="H137" s="47" t="s">
        <v>1549</v>
      </c>
      <c r="I137" s="9">
        <v>18500</v>
      </c>
      <c r="J137" s="9" t="s">
        <v>1270</v>
      </c>
      <c r="K137" s="9"/>
      <c r="L137" s="9"/>
      <c r="M137" s="9"/>
      <c r="N137" s="9"/>
    </row>
    <row r="138" spans="1:14" ht="19" x14ac:dyDescent="0.2">
      <c r="A138" s="74"/>
      <c r="B138" s="58"/>
      <c r="C138" s="49"/>
      <c r="D138" s="13"/>
      <c r="E138" s="15"/>
      <c r="F138" s="9"/>
      <c r="G138" s="9">
        <v>1770000</v>
      </c>
      <c r="H138" s="9" t="s">
        <v>1431</v>
      </c>
      <c r="I138" s="9">
        <v>30500</v>
      </c>
      <c r="J138" s="9" t="s">
        <v>1550</v>
      </c>
      <c r="K138" s="9"/>
      <c r="L138" s="9"/>
      <c r="M138" s="9"/>
      <c r="N138" s="9"/>
    </row>
    <row r="139" spans="1:14" ht="19" x14ac:dyDescent="0.2">
      <c r="A139" s="61"/>
      <c r="B139" s="75"/>
      <c r="C139" s="2"/>
      <c r="D139" s="13"/>
      <c r="E139" s="15"/>
      <c r="F139" s="9"/>
      <c r="G139" s="9">
        <v>700000</v>
      </c>
      <c r="H139" s="9" t="s">
        <v>1551</v>
      </c>
      <c r="I139" s="9">
        <v>47000</v>
      </c>
      <c r="J139" s="9" t="s">
        <v>1552</v>
      </c>
      <c r="K139" s="9"/>
      <c r="L139" s="9"/>
      <c r="M139" s="9"/>
      <c r="N139" s="9"/>
    </row>
    <row r="140" spans="1:14" ht="19" x14ac:dyDescent="0.2">
      <c r="A140" s="74"/>
      <c r="B140" s="75"/>
      <c r="C140" s="35"/>
      <c r="D140" s="13"/>
      <c r="E140" s="15"/>
      <c r="F140" s="9"/>
      <c r="G140" s="9"/>
      <c r="H140" s="9"/>
      <c r="I140" s="9">
        <v>112000</v>
      </c>
      <c r="J140" s="9" t="s">
        <v>1553</v>
      </c>
      <c r="K140" s="9"/>
      <c r="L140" s="9"/>
      <c r="M140" s="9"/>
      <c r="N140" s="9"/>
    </row>
    <row r="141" spans="1:14" ht="19" x14ac:dyDescent="0.2">
      <c r="A141" s="74"/>
      <c r="B141" s="75"/>
      <c r="C141" s="35"/>
      <c r="D141" s="13"/>
      <c r="E141" s="15"/>
      <c r="F141" s="9"/>
      <c r="G141" s="9"/>
      <c r="H141" s="9"/>
      <c r="I141" s="9">
        <v>100000</v>
      </c>
      <c r="J141" s="9" t="s">
        <v>1296</v>
      </c>
      <c r="K141" s="9"/>
      <c r="L141" s="9"/>
      <c r="M141" s="9"/>
      <c r="N141" s="9"/>
    </row>
    <row r="142" spans="1:14" ht="19" x14ac:dyDescent="0.2">
      <c r="A142" s="136"/>
      <c r="B142" s="75"/>
      <c r="C142" s="2"/>
      <c r="D142" s="13"/>
      <c r="E142" s="15"/>
      <c r="F142" s="9"/>
      <c r="G142" s="9"/>
      <c r="H142" s="9"/>
      <c r="I142" s="9">
        <v>70000</v>
      </c>
      <c r="J142" s="9" t="s">
        <v>1285</v>
      </c>
      <c r="K142" s="9"/>
      <c r="L142" s="9"/>
      <c r="M142" s="9"/>
      <c r="N142" s="9"/>
    </row>
    <row r="143" spans="1:14" ht="19" x14ac:dyDescent="0.2">
      <c r="A143" s="136"/>
      <c r="B143" s="75"/>
      <c r="C143" s="35"/>
      <c r="D143" s="137"/>
      <c r="E143" s="15"/>
      <c r="F143" s="9"/>
      <c r="G143" s="9"/>
      <c r="H143" s="9"/>
      <c r="I143" s="9">
        <v>144000</v>
      </c>
      <c r="J143" s="9" t="s">
        <v>1245</v>
      </c>
      <c r="K143" s="9"/>
      <c r="L143" s="9"/>
      <c r="M143" s="9"/>
      <c r="N143" s="9"/>
    </row>
    <row r="144" spans="1:14" ht="19" x14ac:dyDescent="0.2">
      <c r="A144" s="136">
        <v>1534000</v>
      </c>
      <c r="B144" s="75"/>
      <c r="C144" s="2" t="s">
        <v>10</v>
      </c>
      <c r="D144" s="13" t="s">
        <v>685</v>
      </c>
      <c r="E144" s="15">
        <v>1240000</v>
      </c>
      <c r="F144" s="9">
        <v>294000</v>
      </c>
      <c r="G144" s="9"/>
      <c r="H144" s="9"/>
      <c r="I144" s="9"/>
      <c r="J144" s="9"/>
      <c r="K144" s="9"/>
      <c r="L144" s="9"/>
      <c r="M144" s="9"/>
      <c r="N144" s="9"/>
    </row>
    <row r="145" spans="1:14" ht="19" x14ac:dyDescent="0.2">
      <c r="A145" s="136"/>
      <c r="B145" s="75"/>
      <c r="C145" s="35"/>
      <c r="D145" s="137"/>
      <c r="E145" s="15"/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9" x14ac:dyDescent="0.2">
      <c r="A146" s="61">
        <v>1942000</v>
      </c>
      <c r="B146" s="58">
        <v>44667</v>
      </c>
      <c r="C146" s="35" t="s">
        <v>440</v>
      </c>
      <c r="D146" s="13" t="s">
        <v>405</v>
      </c>
      <c r="E146" s="15">
        <v>1348000</v>
      </c>
      <c r="F146" s="9">
        <v>594000</v>
      </c>
      <c r="G146" s="9"/>
      <c r="H146" s="9"/>
      <c r="I146" s="9">
        <v>74000</v>
      </c>
      <c r="J146" s="9" t="s">
        <v>1554</v>
      </c>
      <c r="K146" s="9"/>
      <c r="L146" s="9"/>
      <c r="M146" s="9"/>
      <c r="N146" s="9"/>
    </row>
    <row r="147" spans="1:14" ht="19" x14ac:dyDescent="0.2">
      <c r="A147" s="61"/>
      <c r="B147" s="75"/>
      <c r="C147" s="2"/>
      <c r="D147" s="13"/>
      <c r="E147" s="9"/>
      <c r="F147" s="9"/>
      <c r="G147" s="9"/>
      <c r="H147" s="9"/>
      <c r="I147" s="9">
        <v>27000</v>
      </c>
      <c r="J147" s="9" t="s">
        <v>1555</v>
      </c>
      <c r="K147" s="9"/>
      <c r="L147" s="9"/>
      <c r="M147" s="9"/>
      <c r="N147" s="9"/>
    </row>
    <row r="148" spans="1:14" ht="19" x14ac:dyDescent="0.2">
      <c r="A148" s="74"/>
      <c r="B148" s="75"/>
      <c r="C148" s="35"/>
      <c r="D148" s="13"/>
      <c r="E148" s="15"/>
      <c r="F148" s="9"/>
      <c r="G148" s="9"/>
      <c r="H148" s="9"/>
      <c r="I148" s="9">
        <v>6000</v>
      </c>
      <c r="J148" s="9" t="s">
        <v>1556</v>
      </c>
      <c r="K148" s="9"/>
      <c r="L148" s="9"/>
      <c r="M148" s="9"/>
      <c r="N148" s="9"/>
    </row>
    <row r="149" spans="1:14" ht="19" x14ac:dyDescent="0.2">
      <c r="A149" s="74"/>
      <c r="B149" s="75"/>
      <c r="C149" s="35"/>
      <c r="D149" s="13"/>
      <c r="E149" s="15"/>
      <c r="F149" s="9"/>
      <c r="G149" s="9"/>
      <c r="H149" s="9"/>
      <c r="I149" s="9">
        <v>5000</v>
      </c>
      <c r="J149" s="9" t="s">
        <v>1557</v>
      </c>
      <c r="K149" s="9"/>
      <c r="L149" s="9"/>
      <c r="M149" s="9"/>
      <c r="N149" s="9"/>
    </row>
    <row r="150" spans="1:14" ht="19" x14ac:dyDescent="0.2">
      <c r="A150" s="74"/>
      <c r="B150" s="75"/>
      <c r="C150" s="35"/>
      <c r="D150" s="13"/>
      <c r="E150" s="15"/>
      <c r="F150" s="9"/>
      <c r="G150" s="9"/>
      <c r="H150" s="9"/>
      <c r="I150" s="9"/>
      <c r="J150" s="9" t="s">
        <v>1558</v>
      </c>
      <c r="K150" s="9"/>
      <c r="L150" s="9"/>
      <c r="M150" s="9"/>
      <c r="N150" s="9"/>
    </row>
    <row r="151" spans="1:14" ht="19" x14ac:dyDescent="0.2">
      <c r="A151" s="74"/>
      <c r="B151" s="75"/>
      <c r="C151" s="35"/>
      <c r="D151" s="13"/>
      <c r="E151" s="15"/>
      <c r="F151" s="9"/>
      <c r="G151" s="9"/>
      <c r="H151" s="9"/>
      <c r="I151" s="9"/>
      <c r="J151" s="9"/>
      <c r="K151" s="9"/>
      <c r="L151" s="9"/>
      <c r="M151" s="9"/>
      <c r="N151" s="9"/>
    </row>
    <row r="152" spans="1:14" ht="19" x14ac:dyDescent="0.2">
      <c r="A152" s="74">
        <v>2195000</v>
      </c>
      <c r="B152" s="75"/>
      <c r="C152" s="35" t="s">
        <v>363</v>
      </c>
      <c r="D152" s="13" t="s">
        <v>685</v>
      </c>
      <c r="E152" s="15">
        <v>1732000</v>
      </c>
      <c r="F152" s="9">
        <v>463000</v>
      </c>
      <c r="G152" s="9"/>
      <c r="H152" s="9"/>
      <c r="I152" s="9">
        <v>112000</v>
      </c>
      <c r="J152" s="9" t="s">
        <v>1553</v>
      </c>
      <c r="K152" s="9"/>
      <c r="L152" s="9"/>
      <c r="M152" s="9"/>
      <c r="N152" s="9"/>
    </row>
    <row r="153" spans="1:14" ht="19" x14ac:dyDescent="0.2">
      <c r="A153" s="74"/>
      <c r="B153" s="75"/>
      <c r="C153" s="35"/>
      <c r="D153" s="13"/>
      <c r="E153" s="15"/>
      <c r="F153" s="9"/>
      <c r="G153" s="9"/>
      <c r="H153" s="9"/>
      <c r="I153" s="9"/>
      <c r="J153" s="9"/>
      <c r="K153" s="9"/>
      <c r="L153" s="9"/>
      <c r="M153" s="9"/>
      <c r="N153" s="9"/>
    </row>
    <row r="154" spans="1:14" ht="19" x14ac:dyDescent="0.2">
      <c r="A154" s="74">
        <v>1280000</v>
      </c>
      <c r="B154" s="58">
        <v>45002</v>
      </c>
      <c r="C154" s="35" t="s">
        <v>440</v>
      </c>
      <c r="D154" s="13" t="s">
        <v>405</v>
      </c>
      <c r="E154" s="15">
        <v>946000</v>
      </c>
      <c r="F154" s="9">
        <v>334000</v>
      </c>
      <c r="G154" s="9"/>
      <c r="H154" s="9"/>
      <c r="I154" s="9"/>
      <c r="J154" s="9"/>
      <c r="K154" s="9"/>
      <c r="L154" s="9"/>
      <c r="M154" s="9"/>
      <c r="N154" s="9"/>
    </row>
    <row r="155" spans="1:14" ht="19" x14ac:dyDescent="0.2">
      <c r="A155" s="74"/>
      <c r="B155" s="58"/>
      <c r="C155" s="35"/>
      <c r="D155" s="13"/>
      <c r="E155" s="15"/>
      <c r="F155" s="9"/>
      <c r="G155" s="9"/>
      <c r="H155" s="9"/>
      <c r="I155" s="9"/>
      <c r="J155" s="9"/>
      <c r="K155" s="9"/>
      <c r="L155" s="9"/>
      <c r="M155" s="9"/>
      <c r="N155" s="9"/>
    </row>
    <row r="156" spans="1:14" ht="19" x14ac:dyDescent="0.2">
      <c r="A156" s="74">
        <v>1643000</v>
      </c>
      <c r="B156" s="58"/>
      <c r="C156" s="35" t="s">
        <v>363</v>
      </c>
      <c r="D156" s="13" t="s">
        <v>685</v>
      </c>
      <c r="E156" s="15">
        <v>1097000</v>
      </c>
      <c r="F156" s="9">
        <v>546000</v>
      </c>
      <c r="G156" s="9"/>
      <c r="H156" s="9"/>
      <c r="I156" s="9"/>
      <c r="J156" s="9"/>
      <c r="K156" s="9"/>
      <c r="L156" s="9"/>
      <c r="M156" s="9"/>
      <c r="N156" s="9"/>
    </row>
    <row r="157" spans="1:14" ht="19" x14ac:dyDescent="0.2">
      <c r="A157" s="74"/>
      <c r="B157" s="75"/>
      <c r="C157" s="35"/>
      <c r="D157" s="13"/>
      <c r="E157" s="15"/>
      <c r="F157" s="9"/>
      <c r="G157" s="9"/>
      <c r="H157" s="9"/>
      <c r="I157" s="9"/>
      <c r="J157" s="9"/>
      <c r="K157" s="9"/>
      <c r="L157" s="9"/>
      <c r="M157" s="9"/>
      <c r="N157" s="9"/>
    </row>
    <row r="158" spans="1:14" ht="19" x14ac:dyDescent="0.2">
      <c r="A158" s="136">
        <v>1348000</v>
      </c>
      <c r="B158" s="58">
        <v>45003</v>
      </c>
      <c r="C158" s="3" t="s">
        <v>9</v>
      </c>
      <c r="D158" s="13" t="s">
        <v>405</v>
      </c>
      <c r="E158" s="15">
        <v>986000</v>
      </c>
      <c r="F158" s="9">
        <v>362000</v>
      </c>
      <c r="G158" s="9"/>
      <c r="H158" s="9"/>
      <c r="I158" s="9">
        <v>55000</v>
      </c>
      <c r="J158" s="9" t="s">
        <v>1490</v>
      </c>
      <c r="K158" s="9"/>
      <c r="L158" s="9"/>
      <c r="M158" s="9"/>
      <c r="N158" s="9"/>
    </row>
    <row r="159" spans="1:14" ht="19" x14ac:dyDescent="0.2">
      <c r="A159" s="136"/>
      <c r="B159" s="75"/>
      <c r="C159" s="35"/>
      <c r="D159" s="137"/>
      <c r="E159" s="15"/>
      <c r="F159" s="9"/>
      <c r="G159" s="9"/>
      <c r="H159" s="9"/>
      <c r="I159" s="9">
        <v>240000</v>
      </c>
      <c r="J159" s="9" t="s">
        <v>1559</v>
      </c>
      <c r="K159" s="9"/>
      <c r="L159" s="9"/>
      <c r="M159" s="9"/>
      <c r="N159" s="9"/>
    </row>
    <row r="160" spans="1:14" ht="19" x14ac:dyDescent="0.2">
      <c r="A160" s="136"/>
      <c r="B160" s="75"/>
      <c r="C160" s="35"/>
      <c r="D160" s="137"/>
      <c r="E160" s="15"/>
      <c r="F160" s="9"/>
      <c r="G160" s="9"/>
      <c r="H160" s="9"/>
      <c r="I160" s="9">
        <v>45000</v>
      </c>
      <c r="J160" s="9" t="s">
        <v>1500</v>
      </c>
      <c r="K160" s="9"/>
      <c r="L160" s="9"/>
      <c r="M160" s="9"/>
      <c r="N160" s="9"/>
    </row>
    <row r="161" spans="1:14" ht="19" x14ac:dyDescent="0.2">
      <c r="A161" s="136"/>
      <c r="B161" s="75"/>
      <c r="C161" s="35"/>
      <c r="D161" s="137"/>
      <c r="E161" s="15"/>
      <c r="F161" s="9"/>
      <c r="G161" s="9"/>
      <c r="H161" s="9"/>
      <c r="I161" s="9">
        <v>9000</v>
      </c>
      <c r="J161" s="9" t="s">
        <v>1560</v>
      </c>
      <c r="K161" s="9"/>
      <c r="L161" s="9"/>
      <c r="M161" s="9"/>
      <c r="N161" s="9"/>
    </row>
    <row r="162" spans="1:14" ht="19" x14ac:dyDescent="0.2">
      <c r="A162" s="136"/>
      <c r="B162" s="75"/>
      <c r="C162" s="35"/>
      <c r="D162" s="137"/>
      <c r="E162" s="15"/>
      <c r="F162" s="9"/>
      <c r="G162" s="9"/>
      <c r="H162" s="9"/>
      <c r="I162" s="9">
        <v>59500</v>
      </c>
      <c r="J162" s="9" t="s">
        <v>1561</v>
      </c>
      <c r="K162" s="9"/>
      <c r="L162" s="9"/>
      <c r="M162" s="9"/>
      <c r="N162" s="9"/>
    </row>
    <row r="163" spans="1:14" ht="19" x14ac:dyDescent="0.2">
      <c r="A163" s="136"/>
      <c r="B163" s="75"/>
      <c r="C163" s="35"/>
      <c r="D163" s="137"/>
      <c r="E163" s="15"/>
      <c r="F163" s="9"/>
      <c r="G163" s="9"/>
      <c r="H163" s="9"/>
      <c r="I163" s="9">
        <v>21500</v>
      </c>
      <c r="J163" s="9" t="s">
        <v>1562</v>
      </c>
      <c r="K163" s="9"/>
      <c r="L163" s="9"/>
      <c r="M163" s="9"/>
      <c r="N163" s="9"/>
    </row>
    <row r="164" spans="1:14" ht="19" x14ac:dyDescent="0.2">
      <c r="A164" s="136"/>
      <c r="B164" s="75"/>
      <c r="C164" s="35"/>
      <c r="D164" s="137"/>
      <c r="E164" s="15"/>
      <c r="F164" s="9"/>
      <c r="G164" s="9"/>
      <c r="H164" s="9"/>
      <c r="I164" s="9">
        <v>49000</v>
      </c>
      <c r="J164" s="9" t="s">
        <v>1563</v>
      </c>
      <c r="K164" s="9"/>
      <c r="L164" s="9"/>
      <c r="M164" s="9"/>
      <c r="N164" s="9"/>
    </row>
    <row r="165" spans="1:14" ht="19" x14ac:dyDescent="0.2">
      <c r="A165" s="136"/>
      <c r="B165" s="75"/>
      <c r="C165" s="35"/>
      <c r="D165" s="137"/>
      <c r="E165" s="15"/>
      <c r="F165" s="9"/>
      <c r="G165" s="9"/>
      <c r="H165" s="9"/>
      <c r="I165" s="9">
        <v>22500</v>
      </c>
      <c r="J165" s="9" t="s">
        <v>1564</v>
      </c>
      <c r="K165" s="9"/>
      <c r="L165" s="9"/>
      <c r="M165" s="9"/>
      <c r="N165" s="9"/>
    </row>
    <row r="166" spans="1:14" ht="19" x14ac:dyDescent="0.2">
      <c r="A166" s="136"/>
      <c r="B166" s="75"/>
      <c r="C166" s="35"/>
      <c r="D166" s="137"/>
      <c r="E166" s="15"/>
      <c r="F166" s="9"/>
      <c r="G166" s="9"/>
      <c r="H166" s="9"/>
      <c r="I166" s="9">
        <v>39000</v>
      </c>
      <c r="J166" s="9" t="s">
        <v>1493</v>
      </c>
      <c r="K166" s="9"/>
      <c r="L166" s="9"/>
      <c r="M166" s="9"/>
      <c r="N166" s="9"/>
    </row>
    <row r="167" spans="1:14" ht="19" x14ac:dyDescent="0.2">
      <c r="A167" s="136"/>
      <c r="B167" s="75"/>
      <c r="C167" s="35"/>
      <c r="D167" s="137"/>
      <c r="E167" s="15"/>
      <c r="F167" s="9"/>
      <c r="G167" s="9"/>
      <c r="H167" s="9"/>
      <c r="I167" s="9">
        <v>20000</v>
      </c>
      <c r="J167" s="9" t="s">
        <v>1565</v>
      </c>
      <c r="K167" s="9"/>
      <c r="L167" s="9"/>
      <c r="M167" s="9"/>
      <c r="N167" s="9"/>
    </row>
    <row r="168" spans="1:14" ht="19" x14ac:dyDescent="0.2">
      <c r="A168" s="136"/>
      <c r="B168" s="75"/>
      <c r="C168" s="35"/>
      <c r="D168" s="137"/>
      <c r="E168" s="15"/>
      <c r="F168" s="9"/>
      <c r="G168" s="9"/>
      <c r="H168" s="9"/>
      <c r="I168" s="9"/>
      <c r="J168" s="9"/>
      <c r="K168" s="9"/>
      <c r="L168" s="9"/>
      <c r="M168" s="9"/>
      <c r="N168" s="9"/>
    </row>
    <row r="169" spans="1:14" ht="19" x14ac:dyDescent="0.2">
      <c r="A169" s="136">
        <v>2064000</v>
      </c>
      <c r="B169" s="58"/>
      <c r="C169" s="35" t="s">
        <v>806</v>
      </c>
      <c r="D169" s="13" t="s">
        <v>685</v>
      </c>
      <c r="E169" s="15">
        <v>1817000</v>
      </c>
      <c r="F169" s="9">
        <v>247000</v>
      </c>
      <c r="G169" s="9"/>
      <c r="H169" s="9"/>
      <c r="I169" s="9">
        <v>50000</v>
      </c>
      <c r="J169" s="9" t="s">
        <v>123</v>
      </c>
      <c r="K169" s="9"/>
      <c r="L169" s="9"/>
      <c r="M169" s="9"/>
      <c r="N169" s="9"/>
    </row>
    <row r="170" spans="1:14" ht="19" x14ac:dyDescent="0.2">
      <c r="A170" s="74"/>
      <c r="B170" s="75"/>
      <c r="C170" s="35"/>
      <c r="D170" s="13"/>
      <c r="E170" s="15"/>
      <c r="F170" s="9"/>
      <c r="G170" s="9"/>
      <c r="H170" s="9"/>
      <c r="I170" s="9">
        <v>200000</v>
      </c>
      <c r="J170" s="9" t="s">
        <v>653</v>
      </c>
      <c r="K170" s="9"/>
      <c r="L170" s="9"/>
      <c r="M170" s="9"/>
      <c r="N170" s="9"/>
    </row>
    <row r="171" spans="1:14" ht="19" x14ac:dyDescent="0.2">
      <c r="A171" s="74"/>
      <c r="B171" s="75"/>
      <c r="C171" s="35"/>
      <c r="D171" s="13"/>
      <c r="E171" s="15"/>
      <c r="F171" s="9"/>
      <c r="G171" s="9"/>
      <c r="H171" s="9"/>
      <c r="I171" s="9">
        <v>35000</v>
      </c>
      <c r="J171" s="9" t="s">
        <v>1467</v>
      </c>
      <c r="K171" s="9"/>
      <c r="L171" s="9"/>
      <c r="M171" s="9"/>
      <c r="N171" s="9"/>
    </row>
    <row r="172" spans="1:14" ht="19" x14ac:dyDescent="0.2">
      <c r="A172" s="74"/>
      <c r="B172" s="75"/>
      <c r="C172" s="35"/>
      <c r="D172" s="13"/>
      <c r="E172" s="15"/>
      <c r="F172" s="9"/>
      <c r="G172" s="9"/>
      <c r="H172" s="9"/>
      <c r="I172" s="9">
        <v>100000</v>
      </c>
      <c r="J172" s="9" t="s">
        <v>827</v>
      </c>
      <c r="K172" s="9"/>
      <c r="L172" s="9"/>
      <c r="M172" s="9"/>
      <c r="N172" s="9"/>
    </row>
    <row r="173" spans="1:14" ht="19" x14ac:dyDescent="0.2">
      <c r="A173" s="74"/>
      <c r="B173" s="58"/>
      <c r="C173" s="3"/>
      <c r="D173" s="13"/>
      <c r="E173" s="15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9" x14ac:dyDescent="0.2">
      <c r="A174" s="74">
        <v>1459000</v>
      </c>
      <c r="B174" s="58">
        <v>45004</v>
      </c>
      <c r="C174" s="35" t="s">
        <v>9</v>
      </c>
      <c r="D174" s="13" t="s">
        <v>405</v>
      </c>
      <c r="E174" s="15">
        <v>1169000</v>
      </c>
      <c r="F174" s="9">
        <v>290000</v>
      </c>
      <c r="G174" s="9"/>
      <c r="H174" s="9"/>
      <c r="I174" s="9">
        <v>288000</v>
      </c>
      <c r="J174" s="9" t="s">
        <v>1017</v>
      </c>
      <c r="K174" s="9"/>
      <c r="L174" s="9"/>
      <c r="M174" s="9"/>
      <c r="N174" s="9"/>
    </row>
    <row r="175" spans="1:14" ht="19" x14ac:dyDescent="0.2">
      <c r="A175" s="74"/>
      <c r="B175" s="58"/>
      <c r="C175" s="35"/>
      <c r="D175" s="13"/>
      <c r="E175" s="15"/>
      <c r="F175" s="9"/>
      <c r="G175" s="9"/>
      <c r="H175" s="9"/>
      <c r="I175" s="9">
        <v>51000</v>
      </c>
      <c r="J175" s="9" t="s">
        <v>1566</v>
      </c>
      <c r="K175" s="9"/>
      <c r="L175" s="9"/>
      <c r="M175" s="9"/>
      <c r="N175" s="9"/>
    </row>
    <row r="176" spans="1:14" ht="19" x14ac:dyDescent="0.2">
      <c r="A176" s="74"/>
      <c r="B176" s="58"/>
      <c r="C176" s="35" t="s">
        <v>363</v>
      </c>
      <c r="D176" s="13"/>
      <c r="E176" s="15"/>
      <c r="F176" s="9"/>
      <c r="G176" s="9"/>
      <c r="H176" s="9" t="s">
        <v>737</v>
      </c>
      <c r="I176" s="9">
        <v>100000</v>
      </c>
      <c r="J176" s="9" t="s">
        <v>1296</v>
      </c>
      <c r="K176" s="9"/>
      <c r="L176" s="9"/>
      <c r="M176" s="9"/>
      <c r="N176" s="9"/>
    </row>
    <row r="177" spans="1:14" ht="19" x14ac:dyDescent="0.2">
      <c r="A177" s="74"/>
      <c r="B177" s="58"/>
      <c r="C177" s="35"/>
      <c r="D177" s="13"/>
      <c r="E177" s="15"/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19" x14ac:dyDescent="0.2">
      <c r="A178" s="61">
        <v>2440000</v>
      </c>
      <c r="B178" s="58">
        <v>45005</v>
      </c>
      <c r="C178" s="35" t="s">
        <v>440</v>
      </c>
      <c r="D178" s="13" t="s">
        <v>405</v>
      </c>
      <c r="E178" s="9">
        <v>1665000</v>
      </c>
      <c r="F178" s="9">
        <v>775000</v>
      </c>
      <c r="G178" s="9"/>
      <c r="H178" s="9"/>
      <c r="I178" s="9"/>
      <c r="J178" s="9"/>
      <c r="K178" s="9"/>
      <c r="L178" s="9"/>
      <c r="M178" s="9"/>
      <c r="N178" s="9"/>
    </row>
    <row r="179" spans="1:14" ht="19" x14ac:dyDescent="0.2">
      <c r="A179" s="74"/>
      <c r="B179" s="58"/>
      <c r="C179" s="49"/>
      <c r="D179" s="13"/>
      <c r="E179" s="15"/>
      <c r="F179" s="9"/>
      <c r="G179" s="9"/>
      <c r="H179" s="9"/>
      <c r="I179" s="9"/>
      <c r="J179" s="9"/>
      <c r="K179" s="9"/>
      <c r="L179" s="9"/>
      <c r="M179" s="9"/>
      <c r="N179" s="9"/>
    </row>
    <row r="180" spans="1:14" ht="19" x14ac:dyDescent="0.2">
      <c r="A180" s="74">
        <v>1149000</v>
      </c>
      <c r="B180" s="58"/>
      <c r="C180" s="49" t="s">
        <v>10</v>
      </c>
      <c r="D180" s="13" t="s">
        <v>685</v>
      </c>
      <c r="E180" s="15">
        <v>994000</v>
      </c>
      <c r="F180" s="9">
        <v>155000</v>
      </c>
      <c r="G180" s="9"/>
      <c r="H180" s="9"/>
      <c r="I180" s="9"/>
      <c r="J180" s="9"/>
      <c r="K180" s="9"/>
      <c r="L180" s="9"/>
      <c r="M180" s="9"/>
      <c r="N180" s="9"/>
    </row>
    <row r="181" spans="1:14" ht="19" x14ac:dyDescent="0.2">
      <c r="A181" s="74"/>
      <c r="B181" s="58"/>
      <c r="C181" s="49"/>
      <c r="D181" s="13"/>
      <c r="E181" s="15"/>
      <c r="F181" s="9"/>
      <c r="G181" s="9"/>
      <c r="H181" s="9"/>
      <c r="I181" s="9"/>
      <c r="J181" s="9"/>
      <c r="K181" s="9"/>
      <c r="L181" s="9"/>
      <c r="M181" s="9"/>
      <c r="N181" s="9"/>
    </row>
    <row r="182" spans="1:14" ht="19" x14ac:dyDescent="0.2">
      <c r="A182" s="74">
        <v>1249000</v>
      </c>
      <c r="B182" s="58">
        <v>45006</v>
      </c>
      <c r="C182" s="2" t="s">
        <v>9</v>
      </c>
      <c r="D182" s="13" t="s">
        <v>405</v>
      </c>
      <c r="E182" s="15">
        <v>872000</v>
      </c>
      <c r="F182" s="9">
        <v>377000</v>
      </c>
      <c r="G182" s="9"/>
      <c r="H182" s="9"/>
      <c r="I182" s="9">
        <v>33500</v>
      </c>
      <c r="J182" s="9" t="s">
        <v>1567</v>
      </c>
      <c r="K182" s="9"/>
      <c r="L182" s="9"/>
      <c r="M182" s="9"/>
      <c r="N182" s="9"/>
    </row>
    <row r="183" spans="1:14" ht="19" x14ac:dyDescent="0.2">
      <c r="A183" s="74"/>
      <c r="B183" s="58"/>
      <c r="C183" s="35"/>
      <c r="D183" s="13"/>
      <c r="E183" s="15"/>
      <c r="F183" s="9"/>
      <c r="G183" s="9"/>
      <c r="H183" s="9"/>
      <c r="I183" s="9">
        <v>25000</v>
      </c>
      <c r="J183" s="9" t="s">
        <v>1568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76">
        <v>31000</v>
      </c>
      <c r="J184" s="76" t="s">
        <v>1569</v>
      </c>
      <c r="K184" s="9"/>
      <c r="L184" s="9"/>
      <c r="M184" s="9"/>
      <c r="N184" s="9"/>
    </row>
    <row r="185" spans="1:14" ht="19" x14ac:dyDescent="0.2">
      <c r="A185" s="74"/>
      <c r="B185" s="58"/>
      <c r="C185" s="49"/>
      <c r="D185" s="13"/>
      <c r="E185" s="15"/>
      <c r="F185" s="9"/>
      <c r="G185" s="9"/>
      <c r="H185" s="9"/>
      <c r="I185" s="76">
        <v>52000</v>
      </c>
      <c r="J185" s="76" t="s">
        <v>1449</v>
      </c>
      <c r="K185" s="9"/>
      <c r="L185" s="9"/>
      <c r="M185" s="9"/>
      <c r="N185" s="9"/>
    </row>
    <row r="186" spans="1:14" ht="19" x14ac:dyDescent="0.2">
      <c r="A186" s="74"/>
      <c r="B186" s="58"/>
      <c r="C186" s="49"/>
      <c r="D186" s="13"/>
      <c r="E186" s="15"/>
      <c r="F186" s="9"/>
      <c r="G186" s="9"/>
      <c r="H186" s="103"/>
      <c r="I186" s="76">
        <v>15000</v>
      </c>
      <c r="J186" s="76" t="s">
        <v>1570</v>
      </c>
      <c r="K186" s="9"/>
      <c r="L186" s="9"/>
      <c r="M186" s="9"/>
      <c r="N186" s="9"/>
    </row>
    <row r="187" spans="1:14" ht="19" x14ac:dyDescent="0.2">
      <c r="A187" s="136"/>
      <c r="B187" s="58"/>
      <c r="C187" s="49"/>
      <c r="D187" s="137"/>
      <c r="E187" s="15"/>
      <c r="F187" s="9"/>
      <c r="G187" s="9"/>
      <c r="H187" s="103"/>
      <c r="I187" s="76"/>
      <c r="J187" s="76"/>
      <c r="K187" s="9"/>
      <c r="L187" s="9"/>
      <c r="M187" s="9"/>
      <c r="N187" s="9"/>
    </row>
    <row r="188" spans="1:14" ht="19" x14ac:dyDescent="0.2">
      <c r="A188" s="136">
        <v>1643000</v>
      </c>
      <c r="B188" s="58"/>
      <c r="C188" s="3" t="s">
        <v>10</v>
      </c>
      <c r="D188" s="13" t="s">
        <v>685</v>
      </c>
      <c r="E188" s="15">
        <v>1305000</v>
      </c>
      <c r="F188" s="9">
        <v>338000</v>
      </c>
      <c r="G188" s="9"/>
      <c r="H188" s="103"/>
      <c r="I188" s="76"/>
      <c r="J188" s="76"/>
      <c r="K188" s="9"/>
      <c r="L188" s="9"/>
      <c r="M188" s="9"/>
      <c r="N188" s="9"/>
    </row>
    <row r="189" spans="1:14" ht="19" x14ac:dyDescent="0.2">
      <c r="A189" s="61"/>
      <c r="B189" s="58"/>
      <c r="C189" s="49"/>
      <c r="D189" s="13"/>
      <c r="E189" s="15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9" x14ac:dyDescent="0.2">
      <c r="A190" s="74">
        <v>1045000</v>
      </c>
      <c r="B190" s="58">
        <v>45007</v>
      </c>
      <c r="C190" s="2" t="s">
        <v>9</v>
      </c>
      <c r="D190" s="13" t="s">
        <v>405</v>
      </c>
      <c r="E190" s="15">
        <v>877000</v>
      </c>
      <c r="F190" s="9">
        <v>168000</v>
      </c>
      <c r="G190" s="9"/>
      <c r="H190" s="9"/>
      <c r="I190" s="9">
        <v>520000</v>
      </c>
      <c r="J190" s="9" t="s">
        <v>1517</v>
      </c>
      <c r="K190" s="9"/>
      <c r="L190" s="9"/>
      <c r="M190" s="9"/>
      <c r="N190" s="9"/>
    </row>
    <row r="191" spans="1:14" ht="19" x14ac:dyDescent="0.2">
      <c r="A191" s="74"/>
      <c r="B191" s="58"/>
      <c r="C191" s="49"/>
      <c r="D191" s="13"/>
      <c r="E191" s="15"/>
      <c r="F191" s="9"/>
      <c r="G191" s="9"/>
      <c r="H191" s="9"/>
      <c r="I191" s="9"/>
      <c r="J191" s="9"/>
      <c r="K191" s="9"/>
      <c r="L191" s="9"/>
      <c r="M191" s="9"/>
      <c r="N191" s="9"/>
    </row>
    <row r="192" spans="1:14" ht="19" x14ac:dyDescent="0.2">
      <c r="A192" s="74">
        <v>1473000</v>
      </c>
      <c r="B192" s="58"/>
      <c r="C192" s="3" t="s">
        <v>10</v>
      </c>
      <c r="D192" s="13" t="s">
        <v>565</v>
      </c>
      <c r="E192" s="15">
        <v>1176000</v>
      </c>
      <c r="F192" s="9">
        <v>297000</v>
      </c>
      <c r="G192" s="9"/>
      <c r="H192" s="9"/>
      <c r="I192" s="9">
        <v>52000</v>
      </c>
      <c r="J192" s="9" t="s">
        <v>1449</v>
      </c>
      <c r="K192" s="9"/>
      <c r="L192" s="9"/>
      <c r="M192" s="9"/>
      <c r="N192" s="9"/>
    </row>
    <row r="193" spans="1:14" ht="19" x14ac:dyDescent="0.2">
      <c r="A193" s="74"/>
      <c r="B193" s="58"/>
      <c r="C193" s="49"/>
      <c r="D193" s="13"/>
      <c r="E193" s="15"/>
      <c r="F193" s="9"/>
      <c r="G193" s="9"/>
      <c r="H193" s="9"/>
      <c r="I193" s="9">
        <v>39000</v>
      </c>
      <c r="J193" s="9" t="s">
        <v>1493</v>
      </c>
      <c r="K193" s="9"/>
      <c r="L193" s="9"/>
      <c r="M193" s="9"/>
      <c r="N193" s="9"/>
    </row>
    <row r="194" spans="1:14" ht="19" x14ac:dyDescent="0.2">
      <c r="A194" s="61">
        <v>868000</v>
      </c>
      <c r="B194" s="58">
        <v>45008</v>
      </c>
      <c r="C194" s="2" t="s">
        <v>9</v>
      </c>
      <c r="D194" s="13" t="s">
        <v>405</v>
      </c>
      <c r="E194" s="15">
        <v>434000</v>
      </c>
      <c r="F194" s="9">
        <v>434000</v>
      </c>
      <c r="G194" s="9"/>
      <c r="H194" s="76"/>
      <c r="I194" s="9">
        <v>240000</v>
      </c>
      <c r="J194" s="9" t="s">
        <v>1509</v>
      </c>
      <c r="K194" s="9"/>
      <c r="L194" s="9"/>
      <c r="M194" s="9"/>
      <c r="N194" s="9"/>
    </row>
    <row r="195" spans="1:14" ht="19" x14ac:dyDescent="0.2">
      <c r="A195" s="74"/>
      <c r="B195" s="58"/>
      <c r="C195" s="35"/>
      <c r="D195" s="13"/>
      <c r="E195" s="15"/>
      <c r="F195" s="9"/>
      <c r="G195" s="9"/>
      <c r="H195" s="76"/>
      <c r="I195" s="9">
        <v>200000</v>
      </c>
      <c r="J195" s="9" t="s">
        <v>1571</v>
      </c>
      <c r="K195" s="9"/>
      <c r="L195" s="9"/>
      <c r="M195" s="9"/>
      <c r="N195" s="9"/>
    </row>
    <row r="196" spans="1:14" ht="19" x14ac:dyDescent="0.2">
      <c r="A196" s="74">
        <v>824000</v>
      </c>
      <c r="B196" s="58"/>
      <c r="C196" s="3" t="s">
        <v>10</v>
      </c>
      <c r="D196" s="13" t="s">
        <v>685</v>
      </c>
      <c r="E196" s="15">
        <v>694000</v>
      </c>
      <c r="F196" s="9">
        <v>130000</v>
      </c>
      <c r="G196" s="9"/>
      <c r="H196" s="76"/>
      <c r="I196" s="9"/>
      <c r="J196" s="9"/>
      <c r="K196" s="9"/>
      <c r="L196" s="9"/>
      <c r="M196" s="9"/>
      <c r="N196" s="9"/>
    </row>
    <row r="197" spans="1:14" ht="19" x14ac:dyDescent="0.2">
      <c r="A197" s="74"/>
      <c r="B197" s="58"/>
      <c r="C197" s="35"/>
      <c r="D197" s="13"/>
      <c r="E197" s="15"/>
      <c r="F197" s="9"/>
      <c r="G197" s="9"/>
      <c r="H197" s="76"/>
      <c r="I197" s="9"/>
      <c r="J197" s="9"/>
      <c r="K197" s="9"/>
      <c r="L197" s="9"/>
      <c r="M197" s="9"/>
      <c r="N197" s="9"/>
    </row>
    <row r="198" spans="1:14" ht="19" x14ac:dyDescent="0.2">
      <c r="A198" s="74">
        <v>926000</v>
      </c>
      <c r="B198" s="58">
        <v>45009</v>
      </c>
      <c r="C198" s="3" t="s">
        <v>9</v>
      </c>
      <c r="D198" s="13" t="s">
        <v>565</v>
      </c>
      <c r="E198" s="15">
        <v>647000</v>
      </c>
      <c r="F198" s="9">
        <v>279000</v>
      </c>
      <c r="G198" s="9">
        <v>2731000</v>
      </c>
      <c r="H198" s="76" t="s">
        <v>1475</v>
      </c>
      <c r="I198" s="9">
        <v>112000</v>
      </c>
      <c r="J198" s="9" t="s">
        <v>1553</v>
      </c>
      <c r="K198" s="9"/>
      <c r="L198" s="9"/>
      <c r="M198" s="9"/>
      <c r="N198" s="9"/>
    </row>
    <row r="199" spans="1:14" ht="19" x14ac:dyDescent="0.2">
      <c r="A199" s="74"/>
      <c r="B199" s="58"/>
      <c r="C199" s="3"/>
      <c r="D199" s="13"/>
      <c r="E199" s="15"/>
      <c r="F199" s="9"/>
      <c r="G199" s="9"/>
      <c r="H199" s="76"/>
      <c r="I199" s="9">
        <v>200000</v>
      </c>
      <c r="J199" s="9" t="s">
        <v>1572</v>
      </c>
      <c r="K199" s="9"/>
      <c r="L199" s="9"/>
      <c r="M199" s="9"/>
      <c r="N199" s="9"/>
    </row>
    <row r="200" spans="1:14" ht="19" x14ac:dyDescent="0.2">
      <c r="A200" s="74"/>
      <c r="B200" s="58"/>
      <c r="C200" s="35"/>
      <c r="D200" s="13"/>
      <c r="E200" s="15"/>
      <c r="F200" s="9"/>
      <c r="G200" s="9"/>
      <c r="H200" s="76"/>
      <c r="I200" s="9">
        <v>35000</v>
      </c>
      <c r="J200" s="9" t="s">
        <v>1467</v>
      </c>
      <c r="K200" s="9"/>
      <c r="L200" s="9"/>
      <c r="M200" s="9"/>
      <c r="N200" s="9"/>
    </row>
    <row r="201" spans="1:14" ht="19" x14ac:dyDescent="0.2">
      <c r="A201" s="74"/>
      <c r="B201" s="58"/>
      <c r="C201" s="35"/>
      <c r="D201" s="13"/>
      <c r="E201" s="15"/>
      <c r="F201" s="9"/>
      <c r="G201" s="9"/>
      <c r="H201" s="76"/>
      <c r="I201" s="9">
        <v>100000</v>
      </c>
      <c r="J201" s="9" t="s">
        <v>827</v>
      </c>
      <c r="K201" s="9"/>
      <c r="L201" s="9"/>
      <c r="M201" s="9"/>
      <c r="N201" s="9"/>
    </row>
    <row r="202" spans="1:14" ht="19" x14ac:dyDescent="0.2">
      <c r="A202" s="136"/>
      <c r="B202" s="58"/>
      <c r="C202" s="35"/>
      <c r="D202" s="137"/>
      <c r="E202" s="15"/>
      <c r="F202" s="9"/>
      <c r="G202" s="9"/>
      <c r="H202" s="76"/>
      <c r="I202" s="9">
        <v>137000</v>
      </c>
      <c r="J202" s="9" t="s">
        <v>1573</v>
      </c>
      <c r="K202" s="9"/>
      <c r="L202" s="9"/>
      <c r="M202" s="9"/>
      <c r="N202" s="9"/>
    </row>
    <row r="203" spans="1:14" ht="19" x14ac:dyDescent="0.2">
      <c r="A203" s="136"/>
      <c r="B203" s="58"/>
      <c r="C203" s="35"/>
      <c r="D203" s="137"/>
      <c r="E203" s="15"/>
      <c r="F203" s="9"/>
      <c r="G203" s="9"/>
      <c r="H203" s="76"/>
      <c r="I203" s="9">
        <v>182000</v>
      </c>
      <c r="J203" s="9" t="s">
        <v>1574</v>
      </c>
      <c r="K203" s="9"/>
      <c r="L203" s="9"/>
      <c r="M203" s="9"/>
      <c r="N203" s="9"/>
    </row>
    <row r="204" spans="1:14" ht="19" x14ac:dyDescent="0.2">
      <c r="A204" s="74"/>
      <c r="B204" s="58"/>
      <c r="C204" s="2"/>
      <c r="D204" s="13"/>
      <c r="E204" s="15"/>
      <c r="F204" s="9"/>
      <c r="G204" s="9"/>
      <c r="H204" s="77"/>
      <c r="I204" s="9"/>
      <c r="J204" s="9"/>
      <c r="K204" s="9"/>
      <c r="L204" s="9"/>
      <c r="M204" s="9"/>
      <c r="N204" s="9"/>
    </row>
    <row r="205" spans="1:14" ht="19" x14ac:dyDescent="0.2">
      <c r="A205" s="74">
        <v>1301000</v>
      </c>
      <c r="B205" s="58"/>
      <c r="C205" s="49" t="s">
        <v>363</v>
      </c>
      <c r="D205" s="13" t="s">
        <v>685</v>
      </c>
      <c r="E205" s="15">
        <v>1217000</v>
      </c>
      <c r="F205" s="9">
        <v>84000</v>
      </c>
      <c r="G205" s="9"/>
      <c r="H205" s="76"/>
      <c r="I205" s="9">
        <v>75000</v>
      </c>
      <c r="J205" s="9" t="s">
        <v>1575</v>
      </c>
      <c r="K205" s="9"/>
      <c r="L205" s="9"/>
      <c r="M205" s="9"/>
      <c r="N205" s="9"/>
    </row>
    <row r="206" spans="1:14" ht="19" x14ac:dyDescent="0.2">
      <c r="A206" s="74"/>
      <c r="B206" s="58"/>
      <c r="C206" s="3"/>
      <c r="D206" s="13"/>
      <c r="E206" s="15"/>
      <c r="F206" s="9"/>
      <c r="G206" s="9"/>
      <c r="H206" s="76"/>
      <c r="I206" s="9">
        <v>75000</v>
      </c>
      <c r="J206" s="9" t="s">
        <v>1576</v>
      </c>
      <c r="K206" s="9"/>
      <c r="L206" s="9"/>
      <c r="M206" s="9"/>
      <c r="N206" s="9"/>
    </row>
    <row r="207" spans="1:14" ht="19" x14ac:dyDescent="0.2">
      <c r="A207" s="74"/>
      <c r="B207" s="58"/>
      <c r="C207" s="35"/>
      <c r="D207" s="13"/>
      <c r="E207" s="15"/>
      <c r="F207" s="9"/>
      <c r="G207" s="9"/>
      <c r="H207" s="76"/>
      <c r="I207" s="9"/>
      <c r="J207" s="9"/>
      <c r="K207" s="9"/>
      <c r="L207" s="9"/>
      <c r="M207" s="9"/>
      <c r="N207" s="9"/>
    </row>
    <row r="208" spans="1:14" ht="19" x14ac:dyDescent="0.2">
      <c r="A208" s="74"/>
      <c r="B208" s="58"/>
      <c r="C208" s="2"/>
      <c r="D208" s="13"/>
      <c r="E208" s="15"/>
      <c r="F208" s="9"/>
      <c r="G208" s="9"/>
      <c r="H208" s="134"/>
      <c r="I208" s="9"/>
      <c r="J208" s="9"/>
      <c r="K208" s="9"/>
      <c r="L208" s="9"/>
      <c r="M208" s="9"/>
      <c r="N208" s="9"/>
    </row>
    <row r="209" spans="1:14" ht="19" x14ac:dyDescent="0.2">
      <c r="A209" s="74">
        <v>1062000</v>
      </c>
      <c r="B209" s="58">
        <v>45010</v>
      </c>
      <c r="C209" s="49" t="s">
        <v>9</v>
      </c>
      <c r="D209" s="13" t="s">
        <v>405</v>
      </c>
      <c r="E209" s="15">
        <v>688000</v>
      </c>
      <c r="F209" s="9">
        <v>374000</v>
      </c>
      <c r="G209" s="9"/>
      <c r="H209" s="76"/>
      <c r="I209" s="9">
        <v>24000</v>
      </c>
      <c r="J209" s="9" t="s">
        <v>1577</v>
      </c>
      <c r="K209" s="9"/>
      <c r="L209" s="9"/>
      <c r="M209" s="9"/>
      <c r="N209" s="9"/>
    </row>
    <row r="210" spans="1:14" ht="19" x14ac:dyDescent="0.2">
      <c r="A210" s="74"/>
      <c r="B210" s="58"/>
      <c r="C210" s="58"/>
      <c r="D210" s="13"/>
      <c r="E210" s="15"/>
      <c r="F210" s="9"/>
      <c r="G210" s="9"/>
      <c r="H210" s="9"/>
      <c r="I210" s="9">
        <v>25000</v>
      </c>
      <c r="J210" s="9" t="s">
        <v>1578</v>
      </c>
      <c r="K210" s="9"/>
      <c r="L210" s="9"/>
      <c r="M210" s="9"/>
      <c r="N210" s="9"/>
    </row>
    <row r="211" spans="1:14" ht="19" x14ac:dyDescent="0.2">
      <c r="A211" s="74"/>
      <c r="B211" s="58"/>
      <c r="C211" s="3"/>
      <c r="D211" s="13"/>
      <c r="E211" s="15"/>
      <c r="F211" s="9"/>
      <c r="G211" s="9"/>
      <c r="H211" s="9"/>
      <c r="I211" s="9">
        <v>19500</v>
      </c>
      <c r="J211" s="9" t="s">
        <v>1579</v>
      </c>
      <c r="K211" s="9"/>
      <c r="L211" s="9"/>
      <c r="M211" s="9"/>
      <c r="N211" s="9"/>
    </row>
    <row r="212" spans="1:14" ht="19" x14ac:dyDescent="0.2">
      <c r="A212" s="74"/>
      <c r="B212" s="75"/>
      <c r="C212" s="35"/>
      <c r="D212" s="13"/>
      <c r="E212" s="15"/>
      <c r="F212" s="9"/>
      <c r="G212" s="9"/>
      <c r="H212" s="77"/>
      <c r="I212" s="9">
        <v>16000</v>
      </c>
      <c r="J212" s="9" t="s">
        <v>1580</v>
      </c>
      <c r="K212" s="9"/>
      <c r="L212" s="9"/>
      <c r="M212" s="9"/>
      <c r="N212" s="9"/>
    </row>
    <row r="213" spans="1:14" ht="19" x14ac:dyDescent="0.2">
      <c r="A213" s="61"/>
      <c r="B213" s="58"/>
      <c r="C213" s="3"/>
      <c r="D213" s="13"/>
      <c r="E213" s="15"/>
      <c r="F213" s="9"/>
      <c r="G213" s="9"/>
      <c r="H213" s="9"/>
      <c r="I213" s="9">
        <v>23000</v>
      </c>
      <c r="J213" s="9" t="s">
        <v>1581</v>
      </c>
      <c r="K213" s="9"/>
      <c r="L213" s="9"/>
      <c r="M213" s="9"/>
      <c r="N213" s="9"/>
    </row>
    <row r="214" spans="1:14" ht="19" x14ac:dyDescent="0.2">
      <c r="A214" s="74"/>
      <c r="B214" s="58"/>
      <c r="C214" s="49"/>
      <c r="D214" s="13"/>
      <c r="E214" s="15"/>
      <c r="F214" s="9"/>
      <c r="G214" s="9"/>
      <c r="H214" s="9"/>
      <c r="I214" s="76">
        <v>12000</v>
      </c>
      <c r="J214" s="76" t="s">
        <v>1582</v>
      </c>
      <c r="K214" s="9"/>
      <c r="L214" s="9"/>
      <c r="M214" s="9"/>
      <c r="N214" s="9"/>
    </row>
    <row r="215" spans="1:14" ht="19" x14ac:dyDescent="0.2">
      <c r="A215" s="74"/>
      <c r="B215" s="58"/>
      <c r="C215" s="49"/>
      <c r="D215" s="13"/>
      <c r="E215" s="15"/>
      <c r="F215" s="9"/>
      <c r="G215" s="9"/>
      <c r="H215" s="9"/>
      <c r="I215" s="76">
        <v>140000</v>
      </c>
      <c r="J215" s="76" t="s">
        <v>1583</v>
      </c>
      <c r="K215" s="9"/>
      <c r="L215" s="9"/>
      <c r="M215" s="9"/>
      <c r="N215" s="9"/>
    </row>
    <row r="216" spans="1:14" ht="19" x14ac:dyDescent="0.2">
      <c r="A216" s="74"/>
      <c r="B216" s="58"/>
      <c r="C216" s="49"/>
      <c r="D216" s="13"/>
      <c r="E216" s="15"/>
      <c r="F216" s="9"/>
      <c r="G216" s="9"/>
      <c r="H216" s="9"/>
      <c r="I216" s="76">
        <v>27500</v>
      </c>
      <c r="J216" s="76" t="s">
        <v>1584</v>
      </c>
      <c r="K216" s="9"/>
      <c r="L216" s="9"/>
      <c r="M216" s="9"/>
      <c r="N216" s="9"/>
    </row>
    <row r="217" spans="1:14" ht="19" x14ac:dyDescent="0.2">
      <c r="A217" s="74"/>
      <c r="B217" s="58"/>
      <c r="C217" s="49"/>
      <c r="D217" s="13"/>
      <c r="E217" s="15"/>
      <c r="F217" s="9"/>
      <c r="G217" s="9"/>
      <c r="H217" s="9"/>
      <c r="I217" s="76">
        <v>97500</v>
      </c>
      <c r="J217" s="76" t="s">
        <v>1585</v>
      </c>
      <c r="K217" s="9"/>
      <c r="L217" s="9"/>
      <c r="M217" s="9"/>
      <c r="N217" s="9"/>
    </row>
    <row r="218" spans="1:14" ht="19" x14ac:dyDescent="0.2">
      <c r="A218" s="74"/>
      <c r="B218" s="58"/>
      <c r="C218" s="49"/>
      <c r="D218" s="13"/>
      <c r="E218" s="15"/>
      <c r="F218" s="9"/>
      <c r="G218" s="9"/>
      <c r="H218" s="9"/>
      <c r="I218" s="76">
        <v>44500</v>
      </c>
      <c r="J218" s="76" t="s">
        <v>1500</v>
      </c>
      <c r="K218" s="9"/>
      <c r="L218" s="9"/>
      <c r="M218" s="9"/>
      <c r="N218" s="9"/>
    </row>
    <row r="219" spans="1:14" ht="36" customHeight="1" x14ac:dyDescent="0.2">
      <c r="A219" s="74">
        <v>1555000</v>
      </c>
      <c r="B219" s="58"/>
      <c r="C219" s="49" t="s">
        <v>363</v>
      </c>
      <c r="D219" s="13" t="s">
        <v>685</v>
      </c>
      <c r="E219" s="15">
        <v>1230000</v>
      </c>
      <c r="F219" s="9">
        <v>325000</v>
      </c>
      <c r="G219" s="9">
        <v>253000</v>
      </c>
      <c r="H219" s="47" t="s">
        <v>1586</v>
      </c>
      <c r="I219" s="76">
        <v>50000</v>
      </c>
      <c r="J219" s="76" t="s">
        <v>123</v>
      </c>
      <c r="K219" s="9"/>
      <c r="L219" s="9"/>
      <c r="M219" s="9"/>
      <c r="N219" s="9"/>
    </row>
    <row r="220" spans="1:14" ht="24" customHeight="1" x14ac:dyDescent="0.2">
      <c r="A220" s="74"/>
      <c r="B220" s="58"/>
      <c r="C220" s="49"/>
      <c r="D220" s="13"/>
      <c r="E220" s="15"/>
      <c r="F220" s="9"/>
      <c r="G220" s="9"/>
      <c r="H220" s="9"/>
      <c r="I220" s="76"/>
      <c r="J220" s="76"/>
      <c r="K220" s="9"/>
      <c r="L220" s="9"/>
      <c r="M220" s="9"/>
      <c r="N220" s="9"/>
    </row>
    <row r="221" spans="1:14" ht="19" x14ac:dyDescent="0.2">
      <c r="A221" s="74">
        <v>991000</v>
      </c>
      <c r="B221" s="58">
        <v>45011</v>
      </c>
      <c r="C221" s="49" t="s">
        <v>9</v>
      </c>
      <c r="D221" s="13" t="s">
        <v>565</v>
      </c>
      <c r="E221" s="15">
        <v>706000</v>
      </c>
      <c r="F221" s="9">
        <v>285000</v>
      </c>
      <c r="G221" s="9"/>
      <c r="H221" s="9"/>
      <c r="I221" s="76">
        <v>240000</v>
      </c>
      <c r="J221" s="76" t="s">
        <v>1509</v>
      </c>
      <c r="K221" s="9"/>
      <c r="L221" s="9"/>
      <c r="M221" s="9"/>
      <c r="N221" s="9"/>
    </row>
    <row r="222" spans="1:14" ht="19" x14ac:dyDescent="0.2">
      <c r="A222" s="74"/>
      <c r="B222" s="58"/>
      <c r="C222" s="49"/>
      <c r="D222" s="13"/>
      <c r="E222" s="15"/>
      <c r="F222" s="9"/>
      <c r="G222" s="9"/>
      <c r="H222" s="9"/>
      <c r="I222" s="76"/>
      <c r="J222" s="76"/>
      <c r="K222" s="9"/>
      <c r="L222" s="9"/>
      <c r="M222" s="9"/>
      <c r="N222" s="9"/>
    </row>
    <row r="223" spans="1:14" ht="19" x14ac:dyDescent="0.2">
      <c r="A223" s="74">
        <v>1147000</v>
      </c>
      <c r="B223" s="58"/>
      <c r="C223" s="2" t="s">
        <v>10</v>
      </c>
      <c r="D223" s="13" t="s">
        <v>685</v>
      </c>
      <c r="E223" s="15">
        <v>988000</v>
      </c>
      <c r="F223" s="9">
        <v>159000</v>
      </c>
      <c r="G223" s="9"/>
      <c r="H223" s="9"/>
      <c r="I223" s="76">
        <v>84000</v>
      </c>
      <c r="J223" s="76" t="s">
        <v>1310</v>
      </c>
      <c r="K223" s="9"/>
      <c r="L223" s="9"/>
      <c r="M223" s="9"/>
      <c r="N223" s="9"/>
    </row>
    <row r="224" spans="1:14" ht="19" x14ac:dyDescent="0.2">
      <c r="A224" s="74"/>
      <c r="B224" s="58"/>
      <c r="C224" s="49"/>
      <c r="D224" s="13"/>
      <c r="E224" s="15"/>
      <c r="F224" s="9"/>
      <c r="G224" s="9"/>
      <c r="H224" s="9"/>
      <c r="I224" s="76"/>
      <c r="J224" s="76"/>
      <c r="K224" s="9"/>
      <c r="L224" s="9"/>
      <c r="M224" s="9"/>
      <c r="N224" s="9"/>
    </row>
    <row r="225" spans="1:14" ht="19" x14ac:dyDescent="0.2">
      <c r="A225" s="74">
        <v>1038000</v>
      </c>
      <c r="B225" s="58">
        <v>45012</v>
      </c>
      <c r="C225" s="3" t="s">
        <v>9</v>
      </c>
      <c r="D225" s="13" t="s">
        <v>405</v>
      </c>
      <c r="E225" s="15">
        <v>798000</v>
      </c>
      <c r="F225" s="9">
        <v>240000</v>
      </c>
      <c r="G225" s="9"/>
      <c r="H225" s="9"/>
      <c r="I225" s="76">
        <v>144000</v>
      </c>
      <c r="J225" s="76" t="s">
        <v>1245</v>
      </c>
      <c r="K225" s="9"/>
      <c r="L225" s="9"/>
      <c r="M225" s="9"/>
      <c r="N225" s="9"/>
    </row>
    <row r="226" spans="1:14" ht="19" x14ac:dyDescent="0.2">
      <c r="A226" s="61"/>
      <c r="B226" s="58"/>
      <c r="C226" s="49"/>
      <c r="D226" s="13"/>
      <c r="E226" s="15"/>
      <c r="F226" s="9"/>
      <c r="G226" s="9"/>
      <c r="H226" s="9"/>
      <c r="I226" s="9">
        <v>100000</v>
      </c>
      <c r="J226" s="9" t="s">
        <v>1296</v>
      </c>
      <c r="K226" s="9"/>
      <c r="L226" s="9"/>
      <c r="M226" s="9"/>
      <c r="N226" s="9"/>
    </row>
    <row r="227" spans="1:14" ht="19" x14ac:dyDescent="0.2">
      <c r="A227" s="74"/>
      <c r="B227" s="58"/>
      <c r="C227" s="49"/>
      <c r="D227" s="13"/>
      <c r="E227" s="15"/>
      <c r="F227" s="9"/>
      <c r="G227" s="9"/>
      <c r="H227" s="9"/>
      <c r="I227" s="9">
        <v>51000</v>
      </c>
      <c r="J227" s="9" t="s">
        <v>1448</v>
      </c>
      <c r="K227" s="9"/>
      <c r="L227" s="9"/>
      <c r="M227" s="9"/>
      <c r="N227" s="9"/>
    </row>
    <row r="228" spans="1:14" ht="19" x14ac:dyDescent="0.2">
      <c r="A228" s="74"/>
      <c r="B228" s="58"/>
      <c r="C228" s="49"/>
      <c r="D228" s="13"/>
      <c r="E228" s="15"/>
      <c r="F228" s="9"/>
      <c r="G228" s="9"/>
      <c r="H228" s="9"/>
      <c r="I228" s="9"/>
      <c r="J228" s="9"/>
      <c r="K228" s="9"/>
      <c r="L228" s="9"/>
      <c r="M228" s="9"/>
      <c r="N228" s="9"/>
    </row>
    <row r="229" spans="1:14" ht="19" x14ac:dyDescent="0.2">
      <c r="A229" s="74">
        <v>1252000</v>
      </c>
      <c r="B229" s="58"/>
      <c r="C229" s="35" t="s">
        <v>10</v>
      </c>
      <c r="D229" s="13" t="s">
        <v>685</v>
      </c>
      <c r="E229" s="15">
        <v>1095000</v>
      </c>
      <c r="F229" s="9">
        <v>157000</v>
      </c>
      <c r="G229" s="9"/>
      <c r="H229" s="9"/>
      <c r="I229" s="9"/>
      <c r="J229" s="9"/>
      <c r="K229" s="9"/>
      <c r="L229" s="9"/>
      <c r="M229" s="9"/>
      <c r="N229" s="9"/>
    </row>
    <row r="230" spans="1:14" ht="19" x14ac:dyDescent="0.2">
      <c r="A230" s="74"/>
      <c r="B230" s="58"/>
      <c r="C230" s="49"/>
      <c r="D230" s="13"/>
      <c r="E230" s="15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9" x14ac:dyDescent="0.2">
      <c r="A231" s="74">
        <v>1998000</v>
      </c>
      <c r="B231" s="58">
        <v>45013</v>
      </c>
      <c r="C231" s="35" t="s">
        <v>9</v>
      </c>
      <c r="D231" s="13" t="s">
        <v>405</v>
      </c>
      <c r="E231" s="15">
        <v>1745000</v>
      </c>
      <c r="F231" s="9">
        <v>253000</v>
      </c>
      <c r="G231" s="9"/>
      <c r="H231" s="9"/>
      <c r="I231" s="9">
        <v>84000</v>
      </c>
      <c r="J231" s="9" t="s">
        <v>1310</v>
      </c>
      <c r="K231" s="9"/>
      <c r="L231" s="9"/>
      <c r="M231" s="9"/>
      <c r="N231" s="9"/>
    </row>
    <row r="232" spans="1:14" ht="19" x14ac:dyDescent="0.2">
      <c r="A232" s="74"/>
      <c r="B232" s="58"/>
      <c r="C232" s="49"/>
      <c r="D232" s="13"/>
      <c r="E232" s="15"/>
      <c r="F232" s="9"/>
      <c r="G232" s="9"/>
      <c r="H232" s="9"/>
      <c r="I232" s="9"/>
      <c r="J232" s="9"/>
      <c r="K232" s="9"/>
      <c r="L232" s="9"/>
      <c r="M232" s="9"/>
      <c r="N232" s="9"/>
    </row>
    <row r="233" spans="1:14" ht="19" x14ac:dyDescent="0.2">
      <c r="A233" s="74">
        <v>327000</v>
      </c>
      <c r="B233" s="75"/>
      <c r="C233" s="49" t="s">
        <v>10</v>
      </c>
      <c r="D233" s="13" t="s">
        <v>685</v>
      </c>
      <c r="E233" s="15">
        <v>307000</v>
      </c>
      <c r="F233" s="9">
        <v>20000</v>
      </c>
      <c r="G233" s="9"/>
      <c r="H233" s="9"/>
      <c r="I233" s="9"/>
      <c r="J233" s="9"/>
      <c r="K233" s="9"/>
      <c r="L233" s="9"/>
      <c r="M233" s="9"/>
      <c r="N233" s="9"/>
    </row>
    <row r="234" spans="1:14" ht="19" x14ac:dyDescent="0.2">
      <c r="A234" s="61"/>
      <c r="B234" s="58"/>
      <c r="C234" s="49"/>
      <c r="D234" s="13"/>
      <c r="E234" s="15"/>
      <c r="F234" s="9"/>
      <c r="G234" s="9"/>
      <c r="H234" s="9"/>
      <c r="I234" s="76"/>
      <c r="J234" s="76"/>
      <c r="K234" s="9"/>
      <c r="L234" s="9"/>
      <c r="M234" s="9"/>
      <c r="N234" s="9"/>
    </row>
    <row r="235" spans="1:14" ht="19" x14ac:dyDescent="0.2">
      <c r="A235" s="74">
        <v>813000</v>
      </c>
      <c r="B235" s="58">
        <v>45014</v>
      </c>
      <c r="C235" s="49" t="s">
        <v>9</v>
      </c>
      <c r="D235" s="13" t="s">
        <v>405</v>
      </c>
      <c r="E235" s="15">
        <v>531000</v>
      </c>
      <c r="F235" s="9">
        <v>282000</v>
      </c>
      <c r="G235" s="9"/>
      <c r="H235" s="9"/>
      <c r="I235" s="9">
        <v>87000</v>
      </c>
      <c r="J235" s="9" t="s">
        <v>1587</v>
      </c>
      <c r="K235" s="9"/>
      <c r="L235" s="9"/>
      <c r="M235" s="9"/>
      <c r="N235" s="9"/>
    </row>
    <row r="236" spans="1:14" ht="19" x14ac:dyDescent="0.2">
      <c r="A236" s="61"/>
      <c r="B236" s="75"/>
      <c r="C236" s="2"/>
      <c r="D236" s="13"/>
      <c r="E236" s="15"/>
      <c r="F236" s="9"/>
      <c r="G236" s="9"/>
      <c r="H236" s="9"/>
      <c r="I236" s="9">
        <v>52000</v>
      </c>
      <c r="J236" s="9" t="s">
        <v>1449</v>
      </c>
      <c r="K236" s="9"/>
      <c r="L236" s="9"/>
      <c r="M236" s="9"/>
      <c r="N236" s="9"/>
    </row>
    <row r="237" spans="1:14" ht="19" x14ac:dyDescent="0.2">
      <c r="A237" s="74"/>
      <c r="B237" s="75"/>
      <c r="C237" s="35"/>
      <c r="D237" s="13"/>
      <c r="E237" s="15"/>
      <c r="F237" s="9"/>
      <c r="G237" s="9"/>
      <c r="H237" s="9"/>
      <c r="I237" s="9">
        <v>27000</v>
      </c>
      <c r="J237" s="9" t="s">
        <v>1588</v>
      </c>
      <c r="K237" s="9"/>
      <c r="L237" s="9"/>
      <c r="M237" s="9"/>
      <c r="N237" s="9"/>
    </row>
    <row r="238" spans="1:14" ht="19" x14ac:dyDescent="0.2">
      <c r="A238" s="61"/>
      <c r="B238" s="58"/>
      <c r="C238" s="3"/>
      <c r="D238" s="13"/>
      <c r="E238" s="9"/>
      <c r="F238" s="9"/>
      <c r="G238" s="9"/>
      <c r="H238" s="9"/>
      <c r="I238" s="106">
        <v>6000</v>
      </c>
      <c r="J238" s="107" t="s">
        <v>1556</v>
      </c>
      <c r="K238" s="9"/>
      <c r="L238" s="9"/>
      <c r="M238" s="9"/>
      <c r="N238" s="9"/>
    </row>
    <row r="239" spans="1:14" ht="19" x14ac:dyDescent="0.2">
      <c r="A239" s="61"/>
      <c r="B239" s="58"/>
      <c r="C239" s="2"/>
      <c r="D239" s="13"/>
      <c r="E239" s="15"/>
      <c r="F239" s="9"/>
      <c r="G239" s="9"/>
      <c r="H239" s="9"/>
      <c r="I239" s="9">
        <v>34000</v>
      </c>
      <c r="J239" s="9" t="s">
        <v>1493</v>
      </c>
      <c r="K239" s="9"/>
      <c r="L239" s="9"/>
      <c r="M239" s="9"/>
      <c r="N239" s="9"/>
    </row>
    <row r="240" spans="1:14" ht="19" x14ac:dyDescent="0.2">
      <c r="A240" s="74"/>
      <c r="B240" s="58"/>
      <c r="C240" s="35"/>
      <c r="D240" s="13"/>
      <c r="E240" s="15"/>
      <c r="F240" s="9"/>
      <c r="G240" s="9"/>
      <c r="H240" s="9"/>
      <c r="I240" s="9">
        <v>27000</v>
      </c>
      <c r="J240" s="9" t="s">
        <v>1589</v>
      </c>
      <c r="K240" s="9"/>
      <c r="L240" s="9"/>
      <c r="M240" s="9"/>
      <c r="N240" s="9"/>
    </row>
    <row r="241" spans="1:14" ht="19" x14ac:dyDescent="0.2">
      <c r="A241" s="74"/>
      <c r="B241" s="58"/>
      <c r="C241" s="35"/>
      <c r="D241" s="13"/>
      <c r="E241" s="15"/>
      <c r="F241" s="9"/>
      <c r="G241" s="9"/>
      <c r="H241" s="9"/>
      <c r="I241" s="9"/>
      <c r="J241" s="9"/>
      <c r="K241" s="9"/>
      <c r="L241" s="9"/>
      <c r="M241" s="9"/>
      <c r="N241" s="9"/>
    </row>
    <row r="242" spans="1:14" ht="19" x14ac:dyDescent="0.2">
      <c r="A242" s="74">
        <v>1795000</v>
      </c>
      <c r="B242" s="58"/>
      <c r="C242" s="35" t="s">
        <v>10</v>
      </c>
      <c r="D242" s="13" t="s">
        <v>685</v>
      </c>
      <c r="E242" s="15">
        <v>1603000</v>
      </c>
      <c r="F242" s="9">
        <v>192000</v>
      </c>
      <c r="G242" s="9">
        <v>2745000</v>
      </c>
      <c r="H242" s="9" t="s">
        <v>1590</v>
      </c>
      <c r="I242" s="9"/>
      <c r="J242" s="9"/>
      <c r="K242" s="9"/>
      <c r="L242" s="9"/>
      <c r="M242" s="9"/>
      <c r="N242" s="9"/>
    </row>
    <row r="243" spans="1:14" ht="19" x14ac:dyDescent="0.2">
      <c r="A243" s="74"/>
      <c r="B243" s="58"/>
      <c r="C243" s="35"/>
      <c r="D243" s="13"/>
      <c r="E243" s="15"/>
      <c r="F243" s="9"/>
      <c r="G243" s="9"/>
      <c r="H243" s="9"/>
      <c r="I243" s="106"/>
      <c r="J243" s="107"/>
      <c r="K243" s="9"/>
      <c r="L243" s="9"/>
      <c r="M243" s="9"/>
      <c r="N243" s="9"/>
    </row>
    <row r="244" spans="1:14" ht="19" x14ac:dyDescent="0.2">
      <c r="A244" s="74">
        <v>697000</v>
      </c>
      <c r="B244" s="58">
        <v>45015</v>
      </c>
      <c r="C244" s="35" t="s">
        <v>9</v>
      </c>
      <c r="D244" s="13" t="s">
        <v>405</v>
      </c>
      <c r="E244" s="15">
        <v>531000</v>
      </c>
      <c r="F244" s="9">
        <v>166000</v>
      </c>
      <c r="G244" s="9"/>
      <c r="H244" s="9"/>
      <c r="I244" s="9">
        <v>22000</v>
      </c>
      <c r="J244" s="9" t="s">
        <v>1591</v>
      </c>
      <c r="K244" s="9"/>
      <c r="L244" s="9"/>
      <c r="M244" s="9"/>
      <c r="N244" s="9"/>
    </row>
    <row r="245" spans="1:14" ht="19" x14ac:dyDescent="0.2">
      <c r="A245" s="74"/>
      <c r="B245" s="58"/>
      <c r="C245" s="35"/>
      <c r="D245" s="13"/>
      <c r="E245" s="15"/>
      <c r="F245" s="9"/>
      <c r="G245" s="9"/>
      <c r="H245" s="9"/>
      <c r="I245" s="106">
        <v>144000</v>
      </c>
      <c r="J245" s="107" t="s">
        <v>1245</v>
      </c>
      <c r="K245" s="9"/>
      <c r="L245" s="9"/>
      <c r="M245" s="9"/>
      <c r="N245" s="9"/>
    </row>
    <row r="246" spans="1:14" ht="19" x14ac:dyDescent="0.2">
      <c r="A246" s="136"/>
      <c r="B246" s="58"/>
      <c r="C246" s="35"/>
      <c r="D246" s="137"/>
      <c r="E246" s="15"/>
      <c r="F246" s="9"/>
      <c r="G246" s="9"/>
      <c r="H246" s="9"/>
      <c r="I246" s="106">
        <v>200000</v>
      </c>
      <c r="J246" s="107" t="s">
        <v>653</v>
      </c>
      <c r="K246" s="9"/>
      <c r="L246" s="9"/>
      <c r="M246" s="9"/>
      <c r="N246" s="9"/>
    </row>
    <row r="247" spans="1:14" ht="19" x14ac:dyDescent="0.2">
      <c r="A247" s="136"/>
      <c r="B247" s="58"/>
      <c r="C247" s="35"/>
      <c r="D247" s="137"/>
      <c r="E247" s="15"/>
      <c r="F247" s="9"/>
      <c r="G247" s="9"/>
      <c r="H247" s="9"/>
      <c r="I247" s="106">
        <v>35000</v>
      </c>
      <c r="J247" s="107" t="s">
        <v>1467</v>
      </c>
      <c r="K247" s="9"/>
      <c r="L247" s="9"/>
      <c r="M247" s="9"/>
      <c r="N247" s="9"/>
    </row>
    <row r="248" spans="1:14" ht="19" x14ac:dyDescent="0.2">
      <c r="A248" s="136"/>
      <c r="B248" s="58"/>
      <c r="C248" s="35"/>
      <c r="D248" s="137"/>
      <c r="E248" s="15"/>
      <c r="F248" s="9"/>
      <c r="G248" s="9"/>
      <c r="H248" s="9"/>
      <c r="I248" s="106">
        <v>100000</v>
      </c>
      <c r="J248" s="107" t="s">
        <v>827</v>
      </c>
      <c r="K248" s="9"/>
      <c r="L248" s="9"/>
      <c r="M248" s="9"/>
      <c r="N248" s="9"/>
    </row>
    <row r="249" spans="1:14" ht="19" x14ac:dyDescent="0.2">
      <c r="A249" s="74"/>
      <c r="B249" s="58"/>
      <c r="C249" s="35"/>
      <c r="D249" s="13"/>
      <c r="E249" s="15"/>
      <c r="F249" s="9"/>
      <c r="G249" s="9"/>
      <c r="H249" s="9"/>
      <c r="I249" s="9"/>
      <c r="J249" s="9"/>
      <c r="K249" s="9"/>
      <c r="L249" s="9"/>
      <c r="M249" s="9"/>
      <c r="N249" s="9"/>
    </row>
    <row r="250" spans="1:14" ht="19" x14ac:dyDescent="0.2">
      <c r="A250" s="74">
        <v>1189000</v>
      </c>
      <c r="B250" s="58"/>
      <c r="C250" s="35" t="s">
        <v>10</v>
      </c>
      <c r="D250" s="13" t="s">
        <v>685</v>
      </c>
      <c r="E250" s="15">
        <v>1006000</v>
      </c>
      <c r="F250" s="9">
        <v>183000</v>
      </c>
      <c r="G250" s="9"/>
      <c r="H250" s="9"/>
      <c r="I250" s="9">
        <v>200000</v>
      </c>
      <c r="J250" s="9" t="s">
        <v>1543</v>
      </c>
      <c r="K250" s="9"/>
      <c r="L250" s="9"/>
      <c r="M250" s="9"/>
      <c r="N250" s="9"/>
    </row>
    <row r="251" spans="1:14" ht="19" x14ac:dyDescent="0.2">
      <c r="A251" s="74"/>
      <c r="B251" s="58"/>
      <c r="C251" s="35"/>
      <c r="D251" s="13"/>
      <c r="E251" s="15"/>
      <c r="F251" s="9"/>
      <c r="G251" s="9"/>
      <c r="H251" s="9"/>
      <c r="I251" s="9">
        <v>84000</v>
      </c>
      <c r="J251" s="9" t="s">
        <v>1310</v>
      </c>
      <c r="K251" s="9"/>
      <c r="L251" s="9"/>
      <c r="M251" s="9"/>
      <c r="N251" s="9"/>
    </row>
    <row r="252" spans="1:14" ht="19" x14ac:dyDescent="0.2">
      <c r="A252" s="74"/>
      <c r="B252" s="58"/>
      <c r="C252" s="35"/>
      <c r="D252" s="13"/>
      <c r="E252" s="15"/>
      <c r="F252" s="9"/>
      <c r="G252" s="9"/>
      <c r="H252" s="9"/>
      <c r="I252" s="9"/>
      <c r="J252" s="9"/>
      <c r="K252" s="9"/>
      <c r="L252" s="9"/>
      <c r="M252" s="9"/>
      <c r="N252" s="9"/>
    </row>
    <row r="253" spans="1:14" ht="19" x14ac:dyDescent="0.2">
      <c r="A253" s="74">
        <v>901000</v>
      </c>
      <c r="B253" s="58">
        <v>45016</v>
      </c>
      <c r="C253" s="35" t="s">
        <v>9</v>
      </c>
      <c r="D253" s="13" t="s">
        <v>405</v>
      </c>
      <c r="E253" s="15">
        <v>552000</v>
      </c>
      <c r="F253" s="9">
        <v>349000</v>
      </c>
      <c r="G253" s="9"/>
      <c r="H253" s="9"/>
      <c r="I253" s="9">
        <v>38000</v>
      </c>
      <c r="J253" s="9" t="s">
        <v>1592</v>
      </c>
      <c r="K253" s="9"/>
      <c r="L253" s="9"/>
      <c r="M253" s="9"/>
      <c r="N253" s="9"/>
    </row>
    <row r="254" spans="1:14" ht="19" x14ac:dyDescent="0.2">
      <c r="A254" s="74"/>
      <c r="B254" s="58"/>
      <c r="C254" s="35"/>
      <c r="D254" s="13"/>
      <c r="E254" s="15"/>
      <c r="F254" s="9"/>
      <c r="G254" s="9"/>
      <c r="H254" s="9"/>
      <c r="I254" s="9"/>
      <c r="J254" s="9"/>
      <c r="K254" s="9"/>
      <c r="L254" s="9"/>
      <c r="M254" s="9"/>
      <c r="N254" s="9"/>
    </row>
    <row r="255" spans="1:14" ht="19" x14ac:dyDescent="0.2">
      <c r="A255" s="74">
        <v>1680000</v>
      </c>
      <c r="B255" s="58"/>
      <c r="C255" s="35" t="s">
        <v>363</v>
      </c>
      <c r="D255" s="13" t="s">
        <v>685</v>
      </c>
      <c r="E255" s="15">
        <v>1585000</v>
      </c>
      <c r="F255" s="9">
        <v>95000</v>
      </c>
      <c r="G255" s="9">
        <v>1960000</v>
      </c>
      <c r="H255" s="9" t="s">
        <v>601</v>
      </c>
      <c r="I255" s="9"/>
      <c r="J255" s="9"/>
      <c r="K255" s="9"/>
      <c r="L255" s="9"/>
      <c r="M255" s="9"/>
      <c r="N255" s="9"/>
    </row>
    <row r="256" spans="1:14" ht="19" x14ac:dyDescent="0.2">
      <c r="A256" s="74"/>
      <c r="B256" s="58"/>
      <c r="C256" s="35"/>
      <c r="D256" s="13"/>
      <c r="E256" s="15"/>
      <c r="F256" s="9"/>
      <c r="G256" s="9">
        <v>1960000</v>
      </c>
      <c r="H256" s="9" t="s">
        <v>1205</v>
      </c>
      <c r="I256" s="9"/>
      <c r="J256" s="9"/>
      <c r="K256" s="9"/>
      <c r="L256" s="9"/>
      <c r="M256" s="9"/>
      <c r="N256" s="9"/>
    </row>
    <row r="257" spans="1:14" ht="32" x14ac:dyDescent="0.2">
      <c r="A257" s="136"/>
      <c r="B257" s="58"/>
      <c r="C257" s="35"/>
      <c r="D257" s="137"/>
      <c r="E257" s="15"/>
      <c r="F257" s="9"/>
      <c r="G257" s="9">
        <v>1928000</v>
      </c>
      <c r="H257" s="47" t="s">
        <v>1593</v>
      </c>
      <c r="I257" s="9"/>
      <c r="J257" s="9"/>
      <c r="K257" s="9"/>
      <c r="L257" s="9"/>
      <c r="M257" s="9"/>
      <c r="N257" s="9"/>
    </row>
    <row r="258" spans="1:14" ht="19" x14ac:dyDescent="0.2">
      <c r="A258" s="61"/>
      <c r="B258" s="58"/>
      <c r="C258" s="49"/>
      <c r="D258" s="13"/>
      <c r="E258" s="15"/>
      <c r="F258" s="9"/>
      <c r="G258" s="9">
        <v>1000000</v>
      </c>
      <c r="H258" s="9" t="s">
        <v>785</v>
      </c>
      <c r="I258" s="106"/>
      <c r="J258" s="106"/>
      <c r="K258" s="9"/>
      <c r="L258" s="9"/>
      <c r="M258" s="9"/>
      <c r="N258" s="9"/>
    </row>
    <row r="259" spans="1:14" ht="19" x14ac:dyDescent="0.2">
      <c r="A259" s="136"/>
      <c r="B259" s="58"/>
      <c r="C259" s="49"/>
      <c r="D259" s="137"/>
      <c r="E259" s="15"/>
      <c r="F259" s="9"/>
      <c r="G259" s="9"/>
      <c r="H259" s="9"/>
      <c r="I259" s="106"/>
      <c r="J259" s="106"/>
      <c r="K259" s="9"/>
      <c r="L259" s="9"/>
      <c r="M259" s="9"/>
      <c r="N259" s="9"/>
    </row>
    <row r="260" spans="1:14" ht="19" x14ac:dyDescent="0.2">
      <c r="A260" s="136"/>
      <c r="B260" s="58"/>
      <c r="C260" s="49"/>
      <c r="D260" s="137"/>
      <c r="E260" s="15"/>
      <c r="F260" s="9"/>
      <c r="G260" s="9"/>
      <c r="H260" s="9"/>
      <c r="I260" s="106"/>
      <c r="J260" s="106"/>
      <c r="K260" s="9"/>
      <c r="L260" s="9"/>
      <c r="M260" s="9"/>
      <c r="N260" s="9"/>
    </row>
    <row r="261" spans="1:14" ht="19" x14ac:dyDescent="0.2">
      <c r="A261" s="136"/>
      <c r="B261" s="58"/>
      <c r="C261" s="49"/>
      <c r="D261" s="137"/>
      <c r="E261" s="15"/>
      <c r="F261" s="9"/>
      <c r="G261" s="9"/>
      <c r="H261" s="9"/>
      <c r="I261" s="106"/>
      <c r="J261" s="106"/>
      <c r="K261" s="9"/>
      <c r="L261" s="9"/>
      <c r="M261" s="9"/>
      <c r="N261" s="9"/>
    </row>
    <row r="262" spans="1:14" ht="19" x14ac:dyDescent="0.2">
      <c r="A262" s="136"/>
      <c r="B262" s="58"/>
      <c r="C262" s="35"/>
      <c r="D262" s="137"/>
      <c r="E262" s="15"/>
      <c r="F262" s="9"/>
      <c r="G262" s="9"/>
      <c r="H262" s="9"/>
      <c r="I262" s="9"/>
      <c r="J262" s="9"/>
      <c r="K262" s="9"/>
      <c r="L262" s="9"/>
      <c r="M262" s="9"/>
      <c r="N262" s="9"/>
    </row>
  </sheetData>
  <mergeCells count="1">
    <mergeCell ref="F4:G4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N234"/>
  <sheetViews>
    <sheetView zoomScale="74" zoomScaleNormal="74" zoomScaleSheetLayoutView="100" workbookViewId="0">
      <selection activeCell="F3" sqref="F3:G3"/>
    </sheetView>
  </sheetViews>
  <sheetFormatPr baseColWidth="10" defaultColWidth="8.83203125" defaultRowHeight="15" x14ac:dyDescent="0.2"/>
  <cols>
    <col min="1" max="1" width="20.83203125" bestFit="1" customWidth="1"/>
    <col min="2" max="2" width="11.33203125" customWidth="1"/>
    <col min="3" max="3" width="14.6640625" customWidth="1"/>
    <col min="4" max="4" width="10.83203125" customWidth="1"/>
    <col min="5" max="5" width="22.1640625" customWidth="1"/>
    <col min="6" max="6" width="21.83203125" customWidth="1"/>
    <col min="7" max="7" width="21.1640625" customWidth="1"/>
    <col min="8" max="8" width="25.33203125" customWidth="1"/>
    <col min="9" max="9" width="23.1640625" customWidth="1"/>
    <col min="10" max="10" width="32.1640625" customWidth="1"/>
  </cols>
  <sheetData>
    <row r="2" spans="1:14" ht="21" x14ac:dyDescent="0.2">
      <c r="G2" s="73"/>
      <c r="H2" s="71" t="s">
        <v>174</v>
      </c>
      <c r="I2" s="71">
        <f>L9/A9</f>
        <v>0</v>
      </c>
    </row>
    <row r="3" spans="1:14" ht="21" x14ac:dyDescent="0.2">
      <c r="F3" s="306" t="s">
        <v>1707</v>
      </c>
      <c r="G3" s="307"/>
      <c r="H3" s="71" t="s">
        <v>175</v>
      </c>
      <c r="I3" s="71">
        <v>20560400</v>
      </c>
      <c r="J3" s="72">
        <f>I3/10820</f>
        <v>1900.2218114602588</v>
      </c>
    </row>
    <row r="4" spans="1:14" ht="24" x14ac:dyDescent="0.3">
      <c r="B4" s="99" t="s">
        <v>1706</v>
      </c>
      <c r="G4" s="73"/>
      <c r="H4" s="71" t="s">
        <v>176</v>
      </c>
      <c r="I4" s="71">
        <v>8811600</v>
      </c>
      <c r="J4" s="72">
        <f>I4/10820</f>
        <v>814.38077634011086</v>
      </c>
    </row>
    <row r="5" spans="1:14" ht="24" x14ac:dyDescent="0.3">
      <c r="B5" s="99"/>
      <c r="G5" s="73"/>
      <c r="H5" s="71" t="s">
        <v>178</v>
      </c>
      <c r="I5" s="71">
        <v>8479596</v>
      </c>
      <c r="J5" s="72" t="s">
        <v>1705</v>
      </c>
      <c r="L5" s="85"/>
      <c r="M5" s="85"/>
    </row>
    <row r="6" spans="1:14" ht="26" x14ac:dyDescent="0.3">
      <c r="B6" s="100" t="s">
        <v>1704</v>
      </c>
    </row>
    <row r="8" spans="1:14" ht="19" x14ac:dyDescent="0.2">
      <c r="A8" s="109" t="s">
        <v>0</v>
      </c>
      <c r="B8" s="110" t="s">
        <v>6</v>
      </c>
      <c r="C8" s="111" t="s">
        <v>5</v>
      </c>
      <c r="D8" s="112" t="s">
        <v>7</v>
      </c>
      <c r="E8" s="113" t="s">
        <v>4</v>
      </c>
      <c r="F8" s="114" t="s">
        <v>2</v>
      </c>
      <c r="G8" s="114" t="s">
        <v>8</v>
      </c>
      <c r="H8" s="114" t="s">
        <v>11</v>
      </c>
      <c r="I8" s="114" t="s">
        <v>3</v>
      </c>
      <c r="J8" s="114" t="s">
        <v>12</v>
      </c>
      <c r="K8" s="114" t="s">
        <v>1</v>
      </c>
      <c r="L8" s="114" t="s">
        <v>15</v>
      </c>
      <c r="M8" s="115" t="s">
        <v>397</v>
      </c>
      <c r="N8" s="115" t="s">
        <v>398</v>
      </c>
    </row>
    <row r="9" spans="1:14" ht="21" x14ac:dyDescent="0.2">
      <c r="A9" s="64">
        <f>SUM(A10:A234)</f>
        <v>89233000</v>
      </c>
      <c r="B9" s="65"/>
      <c r="C9" s="66" t="s">
        <v>13</v>
      </c>
      <c r="D9" s="67"/>
      <c r="E9" s="68">
        <f>SUM(E10:E234)</f>
        <v>71929000</v>
      </c>
      <c r="F9" s="69">
        <f>SUM(F10:F234)</f>
        <v>17304000</v>
      </c>
      <c r="G9" s="69">
        <f>SUM(G10:G234)</f>
        <v>25047000</v>
      </c>
      <c r="H9" s="69"/>
      <c r="I9" s="69">
        <f>SUM(I10:I234)</f>
        <v>17510000</v>
      </c>
      <c r="J9" s="69"/>
      <c r="K9" s="69"/>
      <c r="L9" s="69"/>
      <c r="M9" s="8"/>
      <c r="N9" s="8"/>
    </row>
    <row r="10" spans="1:14" ht="19" x14ac:dyDescent="0.2">
      <c r="A10" s="61">
        <v>806000</v>
      </c>
      <c r="B10" s="58">
        <v>45017</v>
      </c>
      <c r="C10" s="3" t="s">
        <v>1228</v>
      </c>
      <c r="D10" s="13" t="s">
        <v>405</v>
      </c>
      <c r="E10" s="9">
        <v>749000</v>
      </c>
      <c r="F10" s="9">
        <v>57000</v>
      </c>
      <c r="G10" s="9">
        <v>420000</v>
      </c>
      <c r="H10" s="9" t="s">
        <v>1702</v>
      </c>
      <c r="I10" s="139">
        <v>93000</v>
      </c>
      <c r="J10" s="9" t="s">
        <v>1595</v>
      </c>
      <c r="K10" s="9"/>
      <c r="L10" s="9"/>
      <c r="M10" s="9"/>
      <c r="N10" s="9"/>
    </row>
    <row r="11" spans="1:14" ht="19" x14ac:dyDescent="0.2">
      <c r="A11" s="101"/>
      <c r="B11" s="58"/>
      <c r="C11" s="49"/>
      <c r="D11" s="102"/>
      <c r="E11" s="15"/>
      <c r="F11" s="9"/>
      <c r="G11" s="9"/>
      <c r="H11" s="9"/>
      <c r="I11" s="139">
        <v>39000</v>
      </c>
      <c r="J11" s="9" t="s">
        <v>1493</v>
      </c>
      <c r="K11" s="9"/>
      <c r="L11" s="9"/>
      <c r="M11" s="9"/>
      <c r="N11" s="9"/>
    </row>
    <row r="12" spans="1:14" ht="19" x14ac:dyDescent="0.2">
      <c r="A12" s="101"/>
      <c r="B12" s="58"/>
      <c r="C12" s="49"/>
      <c r="D12" s="102"/>
      <c r="E12" s="15"/>
      <c r="F12" s="9"/>
      <c r="G12" s="9"/>
      <c r="H12" s="9"/>
      <c r="I12" s="9"/>
      <c r="J12" s="9"/>
      <c r="K12" s="9"/>
      <c r="L12" s="9"/>
      <c r="M12" s="9"/>
      <c r="N12" s="9"/>
    </row>
    <row r="13" spans="1:14" ht="19" x14ac:dyDescent="0.2">
      <c r="A13" s="101">
        <v>1750000</v>
      </c>
      <c r="B13" s="58"/>
      <c r="C13" s="49" t="s">
        <v>10</v>
      </c>
      <c r="D13" s="102" t="s">
        <v>685</v>
      </c>
      <c r="E13" s="15">
        <v>1519000</v>
      </c>
      <c r="F13" s="9">
        <v>231000</v>
      </c>
      <c r="G13" s="9"/>
      <c r="H13" s="9"/>
      <c r="I13" s="9">
        <v>50000</v>
      </c>
      <c r="J13" s="9" t="s">
        <v>123</v>
      </c>
      <c r="K13" s="9"/>
      <c r="L13" s="9"/>
      <c r="M13" s="9"/>
      <c r="N13" s="9"/>
    </row>
    <row r="14" spans="1:14" ht="19" x14ac:dyDescent="0.2">
      <c r="A14" s="61"/>
      <c r="B14" s="58"/>
      <c r="C14" s="35"/>
      <c r="D14" s="13"/>
      <c r="E14" s="15"/>
      <c r="F14" s="9"/>
      <c r="G14" s="60"/>
      <c r="H14" s="60"/>
      <c r="I14" s="60"/>
      <c r="J14" s="9"/>
      <c r="K14" s="9"/>
      <c r="L14" s="9"/>
      <c r="M14" s="9"/>
      <c r="N14" s="9"/>
    </row>
    <row r="15" spans="1:14" ht="19" x14ac:dyDescent="0.2">
      <c r="A15" s="74">
        <v>951000</v>
      </c>
      <c r="B15" s="58">
        <v>45018</v>
      </c>
      <c r="C15" s="35" t="s">
        <v>1228</v>
      </c>
      <c r="D15" s="13" t="s">
        <v>565</v>
      </c>
      <c r="E15" s="15">
        <v>732000</v>
      </c>
      <c r="F15" s="9">
        <v>219000</v>
      </c>
      <c r="G15" s="9"/>
      <c r="H15" s="9"/>
      <c r="I15" s="9"/>
      <c r="J15" s="9"/>
      <c r="K15" s="9"/>
      <c r="L15" s="9"/>
      <c r="M15" s="9"/>
      <c r="N15" s="9"/>
    </row>
    <row r="16" spans="1:14" ht="19" x14ac:dyDescent="0.2">
      <c r="A16" s="74">
        <v>1131000</v>
      </c>
      <c r="B16" s="58"/>
      <c r="C16" s="35" t="s">
        <v>10</v>
      </c>
      <c r="D16" s="13" t="s">
        <v>685</v>
      </c>
      <c r="E16" s="15">
        <v>1015000</v>
      </c>
      <c r="F16" s="9">
        <v>116000</v>
      </c>
      <c r="G16" s="9"/>
      <c r="H16" s="9"/>
      <c r="I16" s="9"/>
      <c r="J16" s="9"/>
      <c r="K16" s="9"/>
      <c r="L16" s="9"/>
      <c r="M16" s="9"/>
      <c r="N16" s="9"/>
    </row>
    <row r="17" spans="1:14" ht="19" x14ac:dyDescent="0.2">
      <c r="A17" s="74">
        <v>1390000</v>
      </c>
      <c r="B17" s="58">
        <v>45019</v>
      </c>
      <c r="C17" s="35" t="s">
        <v>1228</v>
      </c>
      <c r="D17" s="13" t="s">
        <v>405</v>
      </c>
      <c r="E17" s="15">
        <v>1005000</v>
      </c>
      <c r="F17" s="9">
        <v>385000</v>
      </c>
      <c r="G17" s="9"/>
      <c r="H17" s="9"/>
      <c r="I17" s="9">
        <v>28000</v>
      </c>
      <c r="J17" s="9" t="s">
        <v>1596</v>
      </c>
      <c r="K17" s="9"/>
      <c r="L17" s="9"/>
      <c r="M17" s="9"/>
      <c r="N17" s="9"/>
    </row>
    <row r="18" spans="1:14" ht="19" x14ac:dyDescent="0.2">
      <c r="A18" s="101"/>
      <c r="B18" s="58"/>
      <c r="C18" s="35"/>
      <c r="D18" s="102"/>
      <c r="E18" s="15"/>
      <c r="F18" s="9"/>
      <c r="G18" s="9"/>
      <c r="H18" s="9"/>
      <c r="I18" s="9">
        <v>144000</v>
      </c>
      <c r="J18" s="9" t="s">
        <v>1245</v>
      </c>
      <c r="K18" s="9"/>
      <c r="L18" s="9"/>
      <c r="M18" s="9"/>
      <c r="N18" s="9"/>
    </row>
    <row r="19" spans="1:14" ht="19" x14ac:dyDescent="0.2">
      <c r="A19" s="101"/>
      <c r="B19" s="58"/>
      <c r="C19" s="35"/>
      <c r="D19" s="102"/>
      <c r="E19" s="15"/>
      <c r="F19" s="9"/>
      <c r="G19" s="9"/>
      <c r="H19" s="9"/>
      <c r="I19" s="9">
        <v>80000</v>
      </c>
      <c r="J19" s="9" t="s">
        <v>1597</v>
      </c>
      <c r="K19" s="9"/>
      <c r="L19" s="9"/>
      <c r="M19" s="9"/>
      <c r="N19" s="9"/>
    </row>
    <row r="20" spans="1:14" ht="19" x14ac:dyDescent="0.2">
      <c r="A20" s="74"/>
      <c r="B20" s="58"/>
      <c r="C20" s="35"/>
      <c r="D20" s="13"/>
      <c r="E20" s="15"/>
      <c r="F20" s="9"/>
      <c r="G20" s="9"/>
      <c r="H20" s="9"/>
      <c r="I20" s="9">
        <v>35000</v>
      </c>
      <c r="J20" s="9" t="s">
        <v>1598</v>
      </c>
      <c r="K20" s="9"/>
      <c r="L20" s="9"/>
      <c r="M20" s="9"/>
      <c r="N20" s="9"/>
    </row>
    <row r="21" spans="1:14" ht="19" x14ac:dyDescent="0.2">
      <c r="A21" s="74"/>
      <c r="B21" s="58"/>
      <c r="C21" s="35"/>
      <c r="D21" s="13"/>
      <c r="E21" s="15"/>
      <c r="F21" s="9"/>
      <c r="G21" s="9"/>
      <c r="H21" s="9"/>
      <c r="I21" s="139">
        <v>174500</v>
      </c>
      <c r="J21" s="9" t="s">
        <v>1599</v>
      </c>
      <c r="K21" s="9"/>
      <c r="L21" s="9"/>
      <c r="M21" s="9"/>
      <c r="N21" s="9"/>
    </row>
    <row r="22" spans="1:14" ht="19" x14ac:dyDescent="0.2">
      <c r="A22" s="61"/>
      <c r="B22" s="58"/>
      <c r="C22" s="49"/>
      <c r="D22" s="13"/>
      <c r="E22" s="15"/>
      <c r="F22" s="9"/>
      <c r="G22" s="9"/>
      <c r="H22" s="9"/>
      <c r="I22" s="139">
        <v>97500</v>
      </c>
      <c r="J22" s="9" t="s">
        <v>1585</v>
      </c>
      <c r="K22" s="9"/>
      <c r="L22" s="9"/>
      <c r="M22" s="9"/>
      <c r="N22" s="9"/>
    </row>
    <row r="23" spans="1:14" ht="19" x14ac:dyDescent="0.2">
      <c r="A23" s="74"/>
      <c r="B23" s="58"/>
      <c r="C23" s="49"/>
      <c r="D23" s="13"/>
      <c r="E23" s="15"/>
      <c r="F23" s="9"/>
      <c r="G23" s="9"/>
      <c r="H23" s="9"/>
      <c r="I23" s="139">
        <v>29000</v>
      </c>
      <c r="J23" s="9" t="s">
        <v>1584</v>
      </c>
      <c r="K23" s="9"/>
      <c r="L23" s="9"/>
      <c r="M23" s="9"/>
      <c r="N23" s="9"/>
    </row>
    <row r="24" spans="1:14" ht="19" x14ac:dyDescent="0.2">
      <c r="A24" s="74"/>
      <c r="B24" s="58"/>
      <c r="C24" s="49"/>
      <c r="D24" s="13"/>
      <c r="E24" s="15"/>
      <c r="F24" s="9"/>
      <c r="G24" s="9"/>
      <c r="H24" s="9"/>
      <c r="I24" s="139">
        <v>44500</v>
      </c>
      <c r="J24" s="9" t="s">
        <v>1600</v>
      </c>
      <c r="K24" s="9"/>
      <c r="L24" s="9"/>
      <c r="M24" s="9"/>
      <c r="N24" s="9"/>
    </row>
    <row r="25" spans="1:14" ht="19" x14ac:dyDescent="0.2">
      <c r="A25" s="74"/>
      <c r="B25" s="58"/>
      <c r="C25" s="49"/>
      <c r="D25" s="13"/>
      <c r="E25" s="15"/>
      <c r="F25" s="9"/>
      <c r="G25" s="9"/>
      <c r="H25" s="9"/>
      <c r="I25" s="139">
        <v>70000</v>
      </c>
      <c r="J25" s="9" t="s">
        <v>1473</v>
      </c>
      <c r="K25" s="9"/>
      <c r="L25" s="9"/>
      <c r="M25" s="9"/>
      <c r="N25" s="9"/>
    </row>
    <row r="26" spans="1:14" ht="19" x14ac:dyDescent="0.2">
      <c r="A26" s="74"/>
      <c r="B26" s="58"/>
      <c r="C26" s="49"/>
      <c r="D26" s="13"/>
      <c r="E26" s="15"/>
      <c r="F26" s="9"/>
      <c r="G26" s="9"/>
      <c r="H26" s="9"/>
      <c r="I26" s="139">
        <v>13500</v>
      </c>
      <c r="J26" s="9" t="s">
        <v>1601</v>
      </c>
      <c r="K26" s="9"/>
      <c r="L26" s="9"/>
      <c r="M26" s="9"/>
      <c r="N26" s="9"/>
    </row>
    <row r="27" spans="1:14" ht="19" x14ac:dyDescent="0.2">
      <c r="A27" s="74"/>
      <c r="B27" s="58"/>
      <c r="C27" s="49"/>
      <c r="D27" s="13"/>
      <c r="E27" s="15"/>
      <c r="F27" s="9"/>
      <c r="G27" s="9"/>
      <c r="H27" s="9"/>
      <c r="I27" s="9">
        <v>140000</v>
      </c>
      <c r="J27" s="9" t="s">
        <v>1602</v>
      </c>
      <c r="K27" s="9"/>
      <c r="L27" s="9"/>
      <c r="M27" s="9"/>
      <c r="N27" s="9"/>
    </row>
    <row r="28" spans="1:14" ht="19" x14ac:dyDescent="0.2">
      <c r="A28" s="74">
        <v>1948000</v>
      </c>
      <c r="B28" s="58"/>
      <c r="C28" s="49" t="s">
        <v>10</v>
      </c>
      <c r="D28" s="13" t="s">
        <v>565</v>
      </c>
      <c r="E28" s="15">
        <v>1726000</v>
      </c>
      <c r="F28" s="9">
        <v>222000</v>
      </c>
      <c r="G28" s="9"/>
      <c r="H28" s="9"/>
      <c r="I28" s="9">
        <v>140000</v>
      </c>
      <c r="J28" s="9" t="s">
        <v>1603</v>
      </c>
      <c r="K28" s="9"/>
      <c r="L28" s="9"/>
      <c r="M28" s="9"/>
      <c r="N28" s="9"/>
    </row>
    <row r="29" spans="1:14" ht="19" x14ac:dyDescent="0.2">
      <c r="A29" s="101"/>
      <c r="B29" s="58"/>
      <c r="C29" s="49"/>
      <c r="D29" s="102"/>
      <c r="E29" s="15"/>
      <c r="F29" s="9"/>
      <c r="G29" s="9"/>
      <c r="H29" s="9"/>
      <c r="I29" s="9">
        <v>140000</v>
      </c>
      <c r="J29" s="9" t="s">
        <v>1604</v>
      </c>
      <c r="K29" s="9"/>
      <c r="L29" s="9"/>
      <c r="M29" s="9"/>
      <c r="N29" s="9"/>
    </row>
    <row r="30" spans="1:14" ht="19" x14ac:dyDescent="0.2">
      <c r="A30" s="101"/>
      <c r="B30" s="58"/>
      <c r="C30" s="49"/>
      <c r="D30" s="102"/>
      <c r="E30" s="15"/>
      <c r="F30" s="9"/>
      <c r="G30" s="9"/>
      <c r="H30" s="9"/>
      <c r="I30" s="9">
        <v>140000</v>
      </c>
      <c r="J30" s="9" t="s">
        <v>1605</v>
      </c>
      <c r="K30" s="9"/>
      <c r="L30" s="9"/>
      <c r="M30" s="9"/>
      <c r="N30" s="9"/>
    </row>
    <row r="31" spans="1:14" ht="19" x14ac:dyDescent="0.2">
      <c r="A31" s="101"/>
      <c r="B31" s="58"/>
      <c r="C31" s="49"/>
      <c r="D31" s="102"/>
      <c r="E31" s="15"/>
      <c r="F31" s="9"/>
      <c r="G31" s="9"/>
      <c r="H31" s="9"/>
      <c r="I31" s="9">
        <v>140000</v>
      </c>
      <c r="J31" s="9" t="s">
        <v>1606</v>
      </c>
      <c r="K31" s="9"/>
      <c r="L31" s="9"/>
      <c r="M31" s="9"/>
      <c r="N31" s="9"/>
    </row>
    <row r="32" spans="1:14" ht="19" x14ac:dyDescent="0.2">
      <c r="A32" s="101"/>
      <c r="B32" s="58"/>
      <c r="C32" s="49"/>
      <c r="D32" s="102"/>
      <c r="E32" s="15"/>
      <c r="F32" s="9"/>
      <c r="G32" s="9"/>
      <c r="H32" s="9"/>
      <c r="I32" s="139">
        <v>9000</v>
      </c>
      <c r="J32" s="9" t="s">
        <v>1607</v>
      </c>
      <c r="K32" s="9"/>
      <c r="L32" s="9"/>
      <c r="M32" s="9"/>
      <c r="N32" s="9"/>
    </row>
    <row r="33" spans="1:14" ht="19" x14ac:dyDescent="0.2">
      <c r="A33" s="101"/>
      <c r="B33" s="58"/>
      <c r="C33" s="49"/>
      <c r="D33" s="102"/>
      <c r="E33" s="15"/>
      <c r="F33" s="9"/>
      <c r="G33" s="9"/>
      <c r="H33" s="9"/>
      <c r="I33" s="139">
        <v>52000</v>
      </c>
      <c r="J33" s="9" t="s">
        <v>1608</v>
      </c>
      <c r="K33" s="9"/>
      <c r="L33" s="9"/>
      <c r="M33" s="9"/>
      <c r="N33" s="9"/>
    </row>
    <row r="34" spans="1:14" ht="19" x14ac:dyDescent="0.2">
      <c r="A34" s="101"/>
      <c r="B34" s="58"/>
      <c r="C34" s="49"/>
      <c r="D34" s="102"/>
      <c r="E34" s="15"/>
      <c r="F34" s="9"/>
      <c r="G34" s="9"/>
      <c r="H34" s="9"/>
      <c r="I34" s="139">
        <v>23000</v>
      </c>
      <c r="J34" s="9" t="s">
        <v>1609</v>
      </c>
      <c r="K34" s="9"/>
      <c r="L34" s="9"/>
      <c r="M34" s="9"/>
      <c r="N34" s="9"/>
    </row>
    <row r="35" spans="1:14" ht="19" x14ac:dyDescent="0.2">
      <c r="A35" s="101"/>
      <c r="B35" s="58"/>
      <c r="C35" s="49"/>
      <c r="D35" s="102"/>
      <c r="E35" s="15"/>
      <c r="F35" s="9"/>
      <c r="G35" s="9"/>
      <c r="H35" s="9"/>
      <c r="I35" s="9">
        <v>355000</v>
      </c>
      <c r="J35" s="9" t="s">
        <v>1610</v>
      </c>
      <c r="K35" s="9"/>
      <c r="L35" s="9"/>
      <c r="M35" s="9"/>
      <c r="N35" s="9"/>
    </row>
    <row r="36" spans="1:14" ht="19" x14ac:dyDescent="0.2">
      <c r="A36" s="101">
        <v>972000</v>
      </c>
      <c r="B36" s="58">
        <v>45020</v>
      </c>
      <c r="C36" s="49" t="s">
        <v>1228</v>
      </c>
      <c r="D36" s="102" t="s">
        <v>405</v>
      </c>
      <c r="E36" s="15">
        <v>702000</v>
      </c>
      <c r="F36" s="9">
        <v>270000</v>
      </c>
      <c r="G36" s="9"/>
      <c r="H36" s="9"/>
      <c r="I36" s="9">
        <v>40000</v>
      </c>
      <c r="J36" s="9" t="s">
        <v>1493</v>
      </c>
      <c r="K36" s="9"/>
      <c r="L36" s="9"/>
      <c r="M36" s="9"/>
      <c r="N36" s="9"/>
    </row>
    <row r="37" spans="1:14" ht="19" x14ac:dyDescent="0.2">
      <c r="A37" s="74">
        <v>1714000</v>
      </c>
      <c r="B37" s="58"/>
      <c r="C37" s="49" t="s">
        <v>10</v>
      </c>
      <c r="D37" s="13" t="s">
        <v>685</v>
      </c>
      <c r="E37" s="15">
        <v>1323000</v>
      </c>
      <c r="F37" s="9">
        <v>391000</v>
      </c>
      <c r="G37" s="9"/>
      <c r="H37" s="9"/>
      <c r="I37" s="9">
        <v>140000</v>
      </c>
      <c r="J37" s="9" t="s">
        <v>1518</v>
      </c>
      <c r="K37" s="9"/>
      <c r="L37" s="9"/>
      <c r="M37" s="9"/>
      <c r="N37" s="9"/>
    </row>
    <row r="38" spans="1:14" ht="19" x14ac:dyDescent="0.2">
      <c r="A38" s="74">
        <v>1285000</v>
      </c>
      <c r="B38" s="32">
        <v>45021</v>
      </c>
      <c r="C38" s="49" t="s">
        <v>1228</v>
      </c>
      <c r="D38" s="13" t="s">
        <v>565</v>
      </c>
      <c r="E38" s="15">
        <v>1068000</v>
      </c>
      <c r="F38" s="9">
        <v>217000</v>
      </c>
      <c r="G38" s="9"/>
      <c r="H38" s="9"/>
      <c r="I38" s="9">
        <v>75000</v>
      </c>
      <c r="J38" s="9" t="s">
        <v>1611</v>
      </c>
      <c r="K38" s="9"/>
      <c r="L38" s="9"/>
      <c r="M38" s="9"/>
      <c r="N38" s="9"/>
    </row>
    <row r="39" spans="1:14" ht="19" x14ac:dyDescent="0.2">
      <c r="A39" s="74"/>
      <c r="B39" s="58"/>
      <c r="C39" s="49"/>
      <c r="D39" s="13"/>
      <c r="E39" s="15"/>
      <c r="F39" s="9"/>
      <c r="G39" s="9"/>
      <c r="H39" s="9"/>
      <c r="I39" s="9">
        <v>75000</v>
      </c>
      <c r="J39" s="9" t="s">
        <v>1612</v>
      </c>
      <c r="K39" s="9"/>
      <c r="L39" s="9"/>
      <c r="M39" s="9"/>
      <c r="N39" s="9"/>
    </row>
    <row r="40" spans="1:14" ht="19" x14ac:dyDescent="0.2">
      <c r="A40" s="74"/>
      <c r="B40" s="58"/>
      <c r="C40" s="49"/>
      <c r="D40" s="13"/>
      <c r="E40" s="15"/>
      <c r="F40" s="9"/>
      <c r="G40" s="9"/>
      <c r="H40" s="9"/>
      <c r="I40" s="9">
        <v>75000</v>
      </c>
      <c r="J40" s="9" t="s">
        <v>1613</v>
      </c>
      <c r="K40" s="9"/>
      <c r="L40" s="9"/>
      <c r="M40" s="9"/>
      <c r="N40" s="9"/>
    </row>
    <row r="41" spans="1:14" ht="19" x14ac:dyDescent="0.2">
      <c r="A41" s="74"/>
      <c r="B41" s="58"/>
      <c r="C41" s="49"/>
      <c r="D41" s="13"/>
      <c r="E41" s="15"/>
      <c r="F41" s="9"/>
      <c r="G41" s="9"/>
      <c r="H41" s="135"/>
      <c r="I41" s="9">
        <v>200000</v>
      </c>
      <c r="J41" s="9" t="s">
        <v>1614</v>
      </c>
      <c r="K41" s="9"/>
      <c r="L41" s="9"/>
      <c r="M41" s="9"/>
      <c r="N41" s="9"/>
    </row>
    <row r="42" spans="1:14" ht="19" x14ac:dyDescent="0.2">
      <c r="A42" s="74"/>
      <c r="B42" s="58"/>
      <c r="C42" s="49"/>
      <c r="D42" s="13"/>
      <c r="E42" s="15"/>
      <c r="F42" s="9"/>
      <c r="G42" s="9"/>
      <c r="H42" s="9"/>
      <c r="I42" s="9">
        <v>100000</v>
      </c>
      <c r="J42" s="9" t="s">
        <v>1615</v>
      </c>
      <c r="K42" s="9"/>
      <c r="L42" s="9"/>
      <c r="M42" s="9"/>
      <c r="N42" s="9"/>
    </row>
    <row r="43" spans="1:14" ht="19" x14ac:dyDescent="0.2">
      <c r="A43" s="74"/>
      <c r="B43" s="58"/>
      <c r="C43" s="49"/>
      <c r="D43" s="13"/>
      <c r="E43" s="15"/>
      <c r="F43" s="9"/>
      <c r="G43" s="9"/>
      <c r="H43" s="9"/>
      <c r="I43" s="9"/>
      <c r="J43" s="9"/>
      <c r="K43" s="9"/>
      <c r="L43" s="9"/>
      <c r="M43" s="9"/>
      <c r="N43" s="9"/>
    </row>
    <row r="44" spans="1:14" ht="19" x14ac:dyDescent="0.2">
      <c r="A44" s="74">
        <v>1950000</v>
      </c>
      <c r="B44" s="58"/>
      <c r="C44" s="49" t="s">
        <v>10</v>
      </c>
      <c r="D44" s="13" t="s">
        <v>685</v>
      </c>
      <c r="E44" s="15">
        <v>1521000</v>
      </c>
      <c r="F44" s="9">
        <v>429000</v>
      </c>
      <c r="G44" s="9"/>
      <c r="H44" s="9"/>
      <c r="I44" s="9"/>
      <c r="J44" s="9"/>
      <c r="K44" s="9"/>
      <c r="L44" s="9"/>
      <c r="M44" s="9"/>
      <c r="N44" s="9"/>
    </row>
    <row r="45" spans="1:14" ht="19" x14ac:dyDescent="0.2">
      <c r="A45" s="74">
        <v>1008000</v>
      </c>
      <c r="B45" s="58">
        <v>45022</v>
      </c>
      <c r="C45" s="49" t="s">
        <v>1228</v>
      </c>
      <c r="D45" s="13" t="s">
        <v>405</v>
      </c>
      <c r="E45" s="15">
        <v>714000</v>
      </c>
      <c r="F45" s="9">
        <v>294000</v>
      </c>
      <c r="G45" s="9">
        <v>548000</v>
      </c>
      <c r="H45" s="9" t="s">
        <v>1616</v>
      </c>
      <c r="I45" s="139">
        <v>520000</v>
      </c>
      <c r="J45" s="9" t="s">
        <v>1462</v>
      </c>
      <c r="K45" s="9"/>
      <c r="L45" s="9"/>
      <c r="M45" s="9"/>
      <c r="N45" s="9"/>
    </row>
    <row r="46" spans="1:14" ht="19" x14ac:dyDescent="0.2">
      <c r="A46" s="74"/>
      <c r="B46" s="58"/>
      <c r="C46" s="49"/>
      <c r="D46" s="13"/>
      <c r="E46" s="15"/>
      <c r="F46" s="9"/>
      <c r="G46" s="9"/>
      <c r="H46" s="9"/>
      <c r="I46" s="139">
        <v>29000</v>
      </c>
      <c r="J46" s="9" t="s">
        <v>1617</v>
      </c>
      <c r="K46" s="9"/>
      <c r="L46" s="9"/>
      <c r="M46" s="9"/>
      <c r="N46" s="9"/>
    </row>
    <row r="47" spans="1:14" ht="19" x14ac:dyDescent="0.2">
      <c r="A47" s="74"/>
      <c r="B47" s="58"/>
      <c r="C47" s="49"/>
      <c r="D47" s="13"/>
      <c r="E47" s="15"/>
      <c r="F47" s="9"/>
      <c r="G47" s="9"/>
      <c r="H47" s="9"/>
      <c r="I47" s="139">
        <v>26000</v>
      </c>
      <c r="J47" s="9" t="s">
        <v>1618</v>
      </c>
      <c r="K47" s="9"/>
      <c r="L47" s="9"/>
      <c r="M47" s="9"/>
      <c r="N47" s="9"/>
    </row>
    <row r="48" spans="1:14" ht="19" x14ac:dyDescent="0.2">
      <c r="A48" s="74"/>
      <c r="B48" s="58"/>
      <c r="C48" s="49"/>
      <c r="D48" s="13"/>
      <c r="E48" s="15"/>
      <c r="F48" s="9"/>
      <c r="G48" s="9"/>
      <c r="H48" s="9"/>
      <c r="I48" s="139">
        <v>50000</v>
      </c>
      <c r="J48" s="9" t="s">
        <v>1619</v>
      </c>
      <c r="K48" s="9"/>
      <c r="L48" s="9"/>
      <c r="M48" s="9"/>
      <c r="N48" s="9"/>
    </row>
    <row r="49" spans="1:14" ht="19" x14ac:dyDescent="0.2">
      <c r="A49" s="74"/>
      <c r="B49" s="58"/>
      <c r="C49" s="49"/>
      <c r="D49" s="13"/>
      <c r="E49" s="15"/>
      <c r="F49" s="9"/>
      <c r="G49" s="9"/>
      <c r="H49" s="9"/>
      <c r="I49" s="139">
        <v>10000</v>
      </c>
      <c r="J49" s="9" t="s">
        <v>1620</v>
      </c>
      <c r="K49" s="9"/>
      <c r="L49" s="9"/>
      <c r="M49" s="9"/>
      <c r="N49" s="9"/>
    </row>
    <row r="50" spans="1:14" ht="19" x14ac:dyDescent="0.2">
      <c r="A50" s="74"/>
      <c r="B50" s="58"/>
      <c r="C50" s="49"/>
      <c r="D50" s="13"/>
      <c r="E50" s="15"/>
      <c r="F50" s="9"/>
      <c r="G50" s="9"/>
      <c r="H50" s="9"/>
      <c r="I50" s="9">
        <v>300000</v>
      </c>
      <c r="J50" s="9" t="s">
        <v>1621</v>
      </c>
      <c r="K50" s="9"/>
      <c r="L50" s="9"/>
      <c r="M50" s="9"/>
      <c r="N50" s="9"/>
    </row>
    <row r="51" spans="1:14" ht="19" x14ac:dyDescent="0.2">
      <c r="A51" s="74"/>
      <c r="B51" s="58"/>
      <c r="C51" s="49"/>
      <c r="D51" s="13"/>
      <c r="E51" s="15"/>
      <c r="F51" s="9"/>
      <c r="G51" s="9"/>
      <c r="H51" s="9"/>
      <c r="I51" s="9">
        <v>140000</v>
      </c>
      <c r="J51" s="9" t="s">
        <v>1622</v>
      </c>
      <c r="K51" s="9"/>
      <c r="L51" s="9"/>
      <c r="M51" s="9"/>
      <c r="N51" s="9"/>
    </row>
    <row r="52" spans="1:14" ht="19" x14ac:dyDescent="0.2">
      <c r="A52" s="74"/>
      <c r="B52" s="58"/>
      <c r="C52" s="49"/>
      <c r="D52" s="13"/>
      <c r="E52" s="15"/>
      <c r="F52" s="9"/>
      <c r="G52" s="9"/>
      <c r="H52" s="9"/>
      <c r="I52" s="9">
        <v>140000</v>
      </c>
      <c r="J52" s="9" t="s">
        <v>1623</v>
      </c>
      <c r="K52" s="9"/>
      <c r="L52" s="9"/>
      <c r="M52" s="9"/>
      <c r="N52" s="9"/>
    </row>
    <row r="53" spans="1:14" ht="19" x14ac:dyDescent="0.2">
      <c r="A53" s="74"/>
      <c r="B53" s="58"/>
      <c r="C53" s="49"/>
      <c r="D53" s="13"/>
      <c r="E53" s="15"/>
      <c r="F53" s="9"/>
      <c r="G53" s="9"/>
      <c r="H53" s="9"/>
      <c r="I53" s="9"/>
      <c r="J53" s="9"/>
      <c r="K53" s="9"/>
      <c r="L53" s="9"/>
      <c r="M53" s="9"/>
      <c r="N53" s="9"/>
    </row>
    <row r="54" spans="1:14" ht="19" x14ac:dyDescent="0.2">
      <c r="A54" s="74">
        <v>2201000</v>
      </c>
      <c r="B54" s="58"/>
      <c r="C54" s="49" t="s">
        <v>10</v>
      </c>
      <c r="D54" s="13" t="s">
        <v>685</v>
      </c>
      <c r="E54" s="15">
        <v>1808000</v>
      </c>
      <c r="F54" s="9">
        <v>393000</v>
      </c>
      <c r="G54" s="9"/>
      <c r="H54" s="9"/>
      <c r="I54" s="9">
        <v>35000</v>
      </c>
      <c r="J54" s="9" t="s">
        <v>1624</v>
      </c>
      <c r="K54" s="9"/>
      <c r="L54" s="9"/>
      <c r="M54" s="9"/>
      <c r="N54" s="9"/>
    </row>
    <row r="55" spans="1:14" ht="19" x14ac:dyDescent="0.2">
      <c r="A55" s="74"/>
      <c r="B55" s="58"/>
      <c r="C55" s="49"/>
      <c r="D55" s="13"/>
      <c r="E55" s="15"/>
      <c r="F55" s="9"/>
      <c r="G55" s="9"/>
      <c r="H55" s="9"/>
      <c r="I55" s="9">
        <v>240000</v>
      </c>
      <c r="J55" s="9" t="s">
        <v>1509</v>
      </c>
      <c r="K55" s="9"/>
      <c r="L55" s="9"/>
      <c r="M55" s="9"/>
      <c r="N55" s="9"/>
    </row>
    <row r="56" spans="1:14" ht="19" x14ac:dyDescent="0.2">
      <c r="A56" s="74"/>
      <c r="B56" s="58"/>
      <c r="C56" s="49"/>
      <c r="D56" s="13"/>
      <c r="E56" s="15"/>
      <c r="F56" s="9"/>
      <c r="G56" s="9"/>
      <c r="H56" s="9"/>
      <c r="I56" s="9">
        <v>84000</v>
      </c>
      <c r="J56" s="9" t="s">
        <v>1310</v>
      </c>
      <c r="K56" s="9"/>
      <c r="L56" s="9"/>
      <c r="M56" s="9"/>
      <c r="N56" s="9"/>
    </row>
    <row r="57" spans="1:14" ht="19" x14ac:dyDescent="0.2">
      <c r="A57" s="61"/>
      <c r="B57" s="58"/>
      <c r="C57" s="2"/>
      <c r="D57" s="13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ht="19" x14ac:dyDescent="0.2">
      <c r="A58" s="74">
        <v>1266000</v>
      </c>
      <c r="B58" s="58">
        <v>45023</v>
      </c>
      <c r="C58" s="35" t="s">
        <v>1228</v>
      </c>
      <c r="D58" s="13" t="s">
        <v>405</v>
      </c>
      <c r="E58" s="15">
        <v>851000</v>
      </c>
      <c r="F58" s="9">
        <v>415000</v>
      </c>
      <c r="G58" s="9"/>
      <c r="H58" s="9"/>
      <c r="I58" s="139">
        <v>34000</v>
      </c>
      <c r="J58" s="9" t="s">
        <v>1493</v>
      </c>
      <c r="K58" s="9"/>
      <c r="L58" s="9"/>
      <c r="M58" s="9"/>
      <c r="N58" s="9"/>
    </row>
    <row r="59" spans="1:14" ht="19" x14ac:dyDescent="0.2">
      <c r="A59" s="74"/>
      <c r="B59" s="58"/>
      <c r="C59" s="35"/>
      <c r="D59" s="13"/>
      <c r="E59" s="15"/>
      <c r="F59" s="9"/>
      <c r="G59" s="9"/>
      <c r="H59" s="9"/>
      <c r="I59" s="139">
        <v>25000</v>
      </c>
      <c r="J59" s="9" t="s">
        <v>1625</v>
      </c>
      <c r="K59" s="9"/>
      <c r="L59" s="9"/>
      <c r="M59" s="9"/>
      <c r="N59" s="9"/>
    </row>
    <row r="60" spans="1:14" ht="19" x14ac:dyDescent="0.2">
      <c r="A60" s="74"/>
      <c r="B60" s="58"/>
      <c r="C60" s="49"/>
      <c r="D60" s="13"/>
      <c r="E60" s="15"/>
      <c r="F60" s="9"/>
      <c r="G60" s="9"/>
      <c r="H60" s="9"/>
      <c r="I60" s="139">
        <v>16000</v>
      </c>
      <c r="J60" s="9" t="s">
        <v>1626</v>
      </c>
      <c r="K60" s="9"/>
      <c r="L60" s="9"/>
      <c r="M60" s="9"/>
      <c r="N60" s="9"/>
    </row>
    <row r="61" spans="1:14" ht="19" x14ac:dyDescent="0.2">
      <c r="A61" s="74"/>
      <c r="B61" s="32"/>
      <c r="C61" s="49"/>
      <c r="D61" s="13"/>
      <c r="E61" s="15"/>
      <c r="F61" s="9"/>
      <c r="G61" s="9"/>
      <c r="H61" s="9"/>
      <c r="I61" s="9"/>
      <c r="J61" s="9"/>
      <c r="K61" s="9"/>
      <c r="L61" s="9"/>
      <c r="M61" s="9"/>
      <c r="N61" s="9"/>
    </row>
    <row r="62" spans="1:14" ht="19" x14ac:dyDescent="0.2">
      <c r="A62" s="74">
        <v>2031000</v>
      </c>
      <c r="B62" s="32"/>
      <c r="C62" s="49" t="s">
        <v>10</v>
      </c>
      <c r="D62" s="13" t="s">
        <v>685</v>
      </c>
      <c r="E62" s="15">
        <v>1530000</v>
      </c>
      <c r="F62" s="9">
        <v>501000</v>
      </c>
      <c r="G62" s="9">
        <v>200000</v>
      </c>
      <c r="H62" s="9" t="s">
        <v>1627</v>
      </c>
      <c r="I62" s="9">
        <v>144000</v>
      </c>
      <c r="J62" s="9" t="s">
        <v>1245</v>
      </c>
      <c r="K62" s="9"/>
      <c r="L62" s="9"/>
      <c r="M62" s="9"/>
      <c r="N62" s="9"/>
    </row>
    <row r="63" spans="1:14" ht="19" x14ac:dyDescent="0.2">
      <c r="A63" s="74"/>
      <c r="B63" s="58"/>
      <c r="C63" s="49"/>
      <c r="D63" s="13"/>
      <c r="E63" s="15"/>
      <c r="F63" s="9"/>
      <c r="G63" s="9"/>
      <c r="H63" s="9"/>
      <c r="I63" s="9">
        <v>51000</v>
      </c>
      <c r="J63" s="9" t="s">
        <v>1448</v>
      </c>
      <c r="K63" s="9"/>
      <c r="L63" s="9"/>
      <c r="M63" s="9"/>
      <c r="N63" s="9"/>
    </row>
    <row r="64" spans="1:14" ht="19" x14ac:dyDescent="0.2">
      <c r="A64" s="74"/>
      <c r="B64" s="58"/>
      <c r="C64" s="49"/>
      <c r="D64" s="13"/>
      <c r="E64" s="15"/>
      <c r="F64" s="9"/>
      <c r="G64" s="9"/>
      <c r="H64" s="9"/>
      <c r="I64" s="9"/>
      <c r="J64" s="9"/>
      <c r="K64" s="9"/>
      <c r="L64" s="9"/>
      <c r="M64" s="9"/>
      <c r="N64" s="9"/>
    </row>
    <row r="65" spans="1:14" ht="19" x14ac:dyDescent="0.2">
      <c r="A65" s="74">
        <v>1978000</v>
      </c>
      <c r="B65" s="58">
        <v>45024</v>
      </c>
      <c r="C65" s="49" t="s">
        <v>1228</v>
      </c>
      <c r="D65" s="13" t="s">
        <v>405</v>
      </c>
      <c r="E65" s="15">
        <v>1518000</v>
      </c>
      <c r="F65" s="9">
        <v>460000</v>
      </c>
      <c r="G65" s="9"/>
      <c r="H65" s="9"/>
      <c r="I65" s="139">
        <v>9000</v>
      </c>
      <c r="J65" s="9" t="s">
        <v>1607</v>
      </c>
      <c r="K65" s="9"/>
      <c r="L65" s="9"/>
      <c r="M65" s="9"/>
      <c r="N65" s="9"/>
    </row>
    <row r="66" spans="1:14" ht="19" x14ac:dyDescent="0.2">
      <c r="A66" s="74"/>
      <c r="B66" s="58"/>
      <c r="C66" s="49"/>
      <c r="D66" s="13"/>
      <c r="E66" s="15"/>
      <c r="F66" s="9"/>
      <c r="G66" s="9"/>
      <c r="H66" s="9"/>
      <c r="I66" s="139">
        <v>76000</v>
      </c>
      <c r="J66" s="9" t="s">
        <v>1628</v>
      </c>
      <c r="K66" s="9"/>
      <c r="L66" s="9"/>
      <c r="M66" s="9"/>
      <c r="N66" s="9"/>
    </row>
    <row r="67" spans="1:14" ht="19" x14ac:dyDescent="0.2">
      <c r="A67" s="74"/>
      <c r="B67" s="32"/>
      <c r="C67" s="49"/>
      <c r="D67" s="13"/>
      <c r="E67" s="15"/>
      <c r="F67" s="9"/>
      <c r="G67" s="9"/>
      <c r="H67" s="9"/>
      <c r="I67" s="139">
        <v>26500</v>
      </c>
      <c r="J67" s="9" t="s">
        <v>1629</v>
      </c>
      <c r="K67" s="9"/>
      <c r="L67" s="9"/>
      <c r="M67" s="9"/>
      <c r="N67" s="9"/>
    </row>
    <row r="68" spans="1:14" ht="19" x14ac:dyDescent="0.2">
      <c r="A68" s="74">
        <v>1644000</v>
      </c>
      <c r="B68" s="58"/>
      <c r="C68" s="49" t="s">
        <v>10</v>
      </c>
      <c r="D68" s="13" t="s">
        <v>685</v>
      </c>
      <c r="E68" s="15">
        <v>1313000</v>
      </c>
      <c r="F68" s="9">
        <v>331000</v>
      </c>
      <c r="G68" s="9"/>
      <c r="H68" s="9"/>
      <c r="I68" s="9">
        <v>50000</v>
      </c>
      <c r="J68" s="9" t="s">
        <v>123</v>
      </c>
      <c r="K68" s="9"/>
      <c r="L68" s="9"/>
      <c r="M68" s="9"/>
      <c r="N68" s="9"/>
    </row>
    <row r="69" spans="1:14" ht="19" x14ac:dyDescent="0.2">
      <c r="A69" s="74"/>
      <c r="B69" s="33"/>
      <c r="C69" s="2"/>
      <c r="D69" s="13"/>
      <c r="E69" s="15"/>
      <c r="F69" s="9"/>
      <c r="G69" s="9"/>
      <c r="H69" s="9"/>
      <c r="I69" s="9">
        <v>100000</v>
      </c>
      <c r="J69" s="9" t="s">
        <v>1296</v>
      </c>
      <c r="K69" s="9"/>
      <c r="L69" s="9"/>
      <c r="M69" s="9"/>
      <c r="N69" s="9"/>
    </row>
    <row r="70" spans="1:14" ht="19" x14ac:dyDescent="0.2">
      <c r="A70" s="101"/>
      <c r="B70" s="75"/>
      <c r="C70" s="35"/>
      <c r="D70" s="102"/>
      <c r="E70" s="15"/>
      <c r="F70" s="9"/>
      <c r="G70" s="9"/>
      <c r="H70" s="9"/>
      <c r="I70" s="9"/>
      <c r="J70" s="9"/>
      <c r="K70" s="9"/>
      <c r="L70" s="9"/>
      <c r="M70" s="9"/>
      <c r="N70" s="9"/>
    </row>
    <row r="71" spans="1:14" ht="19" x14ac:dyDescent="0.2">
      <c r="A71" s="101">
        <v>776000</v>
      </c>
      <c r="B71" s="58">
        <v>45025</v>
      </c>
      <c r="C71" s="35" t="s">
        <v>1228</v>
      </c>
      <c r="D71" s="102" t="s">
        <v>405</v>
      </c>
      <c r="E71" s="15">
        <v>642000</v>
      </c>
      <c r="F71" s="9">
        <v>134000</v>
      </c>
      <c r="G71" s="9"/>
      <c r="H71" s="9"/>
      <c r="I71" s="139">
        <v>39000</v>
      </c>
      <c r="J71" s="9" t="s">
        <v>1630</v>
      </c>
      <c r="K71" s="9"/>
      <c r="L71" s="9"/>
      <c r="M71" s="9"/>
      <c r="N71" s="9"/>
    </row>
    <row r="72" spans="1:14" ht="19" x14ac:dyDescent="0.2">
      <c r="A72" s="74"/>
      <c r="B72" s="32"/>
      <c r="C72" s="35"/>
      <c r="D72" s="13"/>
      <c r="E72" s="15"/>
      <c r="F72" s="9"/>
      <c r="G72" s="9"/>
      <c r="H72" s="9"/>
      <c r="I72" s="139">
        <v>52000</v>
      </c>
      <c r="J72" s="9" t="s">
        <v>1631</v>
      </c>
      <c r="K72" s="9"/>
      <c r="L72" s="9"/>
      <c r="M72" s="9"/>
      <c r="N72" s="9"/>
    </row>
    <row r="73" spans="1:14" ht="19" x14ac:dyDescent="0.2">
      <c r="A73" s="74">
        <v>1763000</v>
      </c>
      <c r="B73" s="58"/>
      <c r="C73" s="49" t="s">
        <v>10</v>
      </c>
      <c r="D73" s="13" t="s">
        <v>565</v>
      </c>
      <c r="E73" s="15">
        <v>1471000</v>
      </c>
      <c r="F73" s="9">
        <v>292000</v>
      </c>
      <c r="G73" s="60"/>
      <c r="H73" s="60"/>
      <c r="I73" s="9">
        <v>112000</v>
      </c>
      <c r="J73" s="9" t="s">
        <v>1553</v>
      </c>
      <c r="K73" s="9"/>
      <c r="L73" s="9"/>
      <c r="M73" s="9"/>
      <c r="N73" s="9"/>
    </row>
    <row r="74" spans="1:14" ht="19" x14ac:dyDescent="0.2">
      <c r="A74" s="74"/>
      <c r="B74" s="58"/>
      <c r="C74" s="49"/>
      <c r="D74" s="13"/>
      <c r="E74" s="15"/>
      <c r="F74" s="9"/>
      <c r="G74" s="60"/>
      <c r="H74" s="60"/>
      <c r="I74" s="9">
        <v>240000</v>
      </c>
      <c r="J74" s="9" t="s">
        <v>1509</v>
      </c>
      <c r="K74" s="9"/>
      <c r="L74" s="9"/>
      <c r="M74" s="9"/>
      <c r="N74" s="9"/>
    </row>
    <row r="75" spans="1:14" ht="19" x14ac:dyDescent="0.2">
      <c r="A75" s="74"/>
      <c r="B75" s="58"/>
      <c r="C75" s="49"/>
      <c r="D75" s="13"/>
      <c r="E75" s="15"/>
      <c r="F75" s="9"/>
      <c r="G75" s="60"/>
      <c r="H75" s="60"/>
      <c r="I75" s="9">
        <v>70000</v>
      </c>
      <c r="J75" s="9" t="s">
        <v>1285</v>
      </c>
      <c r="K75" s="9"/>
      <c r="L75" s="9"/>
      <c r="M75" s="9"/>
      <c r="N75" s="9"/>
    </row>
    <row r="76" spans="1:14" ht="19" x14ac:dyDescent="0.2">
      <c r="A76" s="74"/>
      <c r="B76" s="58"/>
      <c r="C76" s="49"/>
      <c r="D76" s="13"/>
      <c r="E76" s="15"/>
      <c r="F76" s="9"/>
      <c r="G76" s="60"/>
      <c r="H76" s="60"/>
      <c r="I76" s="9"/>
      <c r="J76" s="9"/>
      <c r="K76" s="9"/>
      <c r="L76" s="9"/>
      <c r="M76" s="9"/>
      <c r="N76" s="9"/>
    </row>
    <row r="77" spans="1:14" ht="19" x14ac:dyDescent="0.2">
      <c r="A77" s="74">
        <v>1156000</v>
      </c>
      <c r="B77" s="58">
        <v>45026</v>
      </c>
      <c r="C77" s="49" t="s">
        <v>1228</v>
      </c>
      <c r="D77" s="13" t="s">
        <v>405</v>
      </c>
      <c r="E77" s="15">
        <v>891000</v>
      </c>
      <c r="F77" s="9">
        <v>265000</v>
      </c>
      <c r="G77" s="60">
        <v>2737000</v>
      </c>
      <c r="H77" s="60" t="s">
        <v>812</v>
      </c>
      <c r="I77" s="9">
        <v>75000</v>
      </c>
      <c r="J77" s="9" t="s">
        <v>1632</v>
      </c>
      <c r="K77" s="9"/>
      <c r="L77" s="9"/>
      <c r="M77" s="9"/>
      <c r="N77" s="9"/>
    </row>
    <row r="78" spans="1:14" ht="19" x14ac:dyDescent="0.2">
      <c r="A78" s="74"/>
      <c r="B78" s="58"/>
      <c r="C78" s="49"/>
      <c r="D78" s="13"/>
      <c r="E78" s="15"/>
      <c r="F78" s="9"/>
      <c r="G78" s="60"/>
      <c r="H78" s="60"/>
      <c r="I78" s="9">
        <v>75000</v>
      </c>
      <c r="J78" s="9" t="s">
        <v>1633</v>
      </c>
      <c r="K78" s="9"/>
      <c r="L78" s="9"/>
      <c r="M78" s="9"/>
      <c r="N78" s="9"/>
    </row>
    <row r="79" spans="1:14" ht="19" x14ac:dyDescent="0.2">
      <c r="A79" s="74">
        <v>1617000</v>
      </c>
      <c r="B79" s="58"/>
      <c r="C79" s="49" t="s">
        <v>10</v>
      </c>
      <c r="D79" s="13" t="s">
        <v>685</v>
      </c>
      <c r="E79" s="15">
        <v>1303000</v>
      </c>
      <c r="F79" s="9">
        <v>314000</v>
      </c>
      <c r="G79" s="60"/>
      <c r="H79" s="60"/>
      <c r="I79" s="139">
        <v>52000</v>
      </c>
      <c r="J79" s="9" t="s">
        <v>1449</v>
      </c>
      <c r="K79" s="9"/>
      <c r="L79" s="9"/>
      <c r="M79" s="9"/>
      <c r="N79" s="9"/>
    </row>
    <row r="80" spans="1:14" ht="19" x14ac:dyDescent="0.2">
      <c r="A80" s="74"/>
      <c r="B80" s="58"/>
      <c r="C80" s="49"/>
      <c r="D80" s="13"/>
      <c r="E80" s="15"/>
      <c r="F80" s="9"/>
      <c r="G80" s="60"/>
      <c r="H80" s="60"/>
      <c r="I80" s="139">
        <v>36500</v>
      </c>
      <c r="J80" s="9" t="s">
        <v>1634</v>
      </c>
      <c r="K80" s="9"/>
      <c r="L80" s="9"/>
      <c r="M80" s="9"/>
      <c r="N80" s="9"/>
    </row>
    <row r="81" spans="1:14" ht="19" x14ac:dyDescent="0.2">
      <c r="A81" s="74">
        <v>1530000</v>
      </c>
      <c r="B81" s="58">
        <v>45027</v>
      </c>
      <c r="C81" s="49" t="s">
        <v>1228</v>
      </c>
      <c r="D81" s="13" t="s">
        <v>405</v>
      </c>
      <c r="E81" s="15">
        <v>929000</v>
      </c>
      <c r="F81" s="9">
        <v>601000</v>
      </c>
      <c r="G81" s="60"/>
      <c r="H81" s="60"/>
      <c r="I81" s="139">
        <v>44500</v>
      </c>
      <c r="J81" s="9" t="s">
        <v>1600</v>
      </c>
      <c r="K81" s="9"/>
      <c r="L81" s="9"/>
      <c r="M81" s="9"/>
      <c r="N81" s="9"/>
    </row>
    <row r="82" spans="1:14" ht="19" x14ac:dyDescent="0.2">
      <c r="A82" s="74"/>
      <c r="B82" s="58"/>
      <c r="C82" s="49"/>
      <c r="D82" s="13"/>
      <c r="E82" s="15"/>
      <c r="F82" s="9"/>
      <c r="G82" s="60"/>
      <c r="H82" s="60"/>
      <c r="I82" s="139">
        <v>31000</v>
      </c>
      <c r="J82" s="9" t="s">
        <v>1584</v>
      </c>
      <c r="K82" s="9"/>
      <c r="L82" s="9"/>
      <c r="M82" s="9"/>
      <c r="N82" s="9"/>
    </row>
    <row r="83" spans="1:14" ht="19" x14ac:dyDescent="0.2">
      <c r="A83" s="74"/>
      <c r="B83" s="58"/>
      <c r="C83" s="49"/>
      <c r="D83" s="13"/>
      <c r="E83" s="15"/>
      <c r="F83" s="9"/>
      <c r="G83" s="60"/>
      <c r="H83" s="60"/>
      <c r="I83" s="139">
        <v>70000</v>
      </c>
      <c r="J83" s="9" t="s">
        <v>1635</v>
      </c>
      <c r="K83" s="9"/>
      <c r="L83" s="9"/>
      <c r="M83" s="9"/>
      <c r="N83" s="9"/>
    </row>
    <row r="84" spans="1:14" ht="19" x14ac:dyDescent="0.2">
      <c r="A84" s="74"/>
      <c r="B84" s="58"/>
      <c r="C84" s="49"/>
      <c r="D84" s="13"/>
      <c r="E84" s="15"/>
      <c r="F84" s="9"/>
      <c r="G84" s="60"/>
      <c r="H84" s="60"/>
      <c r="I84" s="9">
        <v>103000</v>
      </c>
      <c r="J84" s="9" t="s">
        <v>1636</v>
      </c>
      <c r="K84" s="9"/>
      <c r="L84" s="9"/>
      <c r="M84" s="9"/>
      <c r="N84" s="9"/>
    </row>
    <row r="85" spans="1:14" ht="19" x14ac:dyDescent="0.2">
      <c r="A85" s="74"/>
      <c r="B85" s="58"/>
      <c r="C85" s="49"/>
      <c r="D85" s="13"/>
      <c r="E85" s="15"/>
      <c r="F85" s="9"/>
      <c r="G85" s="60"/>
      <c r="H85" s="60"/>
      <c r="I85" s="9">
        <v>2000</v>
      </c>
      <c r="J85" s="9" t="s">
        <v>1637</v>
      </c>
      <c r="K85" s="9"/>
      <c r="L85" s="9"/>
      <c r="M85" s="9"/>
      <c r="N85" s="9"/>
    </row>
    <row r="86" spans="1:14" ht="19" x14ac:dyDescent="0.2">
      <c r="A86" s="74"/>
      <c r="B86" s="58"/>
      <c r="C86" s="49"/>
      <c r="D86" s="13"/>
      <c r="E86" s="15"/>
      <c r="F86" s="9"/>
      <c r="G86" s="60"/>
      <c r="H86" s="60"/>
      <c r="I86" s="9">
        <v>690000</v>
      </c>
      <c r="J86" s="9" t="s">
        <v>1638</v>
      </c>
      <c r="K86" s="9"/>
      <c r="L86" s="9"/>
      <c r="M86" s="9"/>
      <c r="N86" s="9"/>
    </row>
    <row r="87" spans="1:14" ht="19" x14ac:dyDescent="0.2">
      <c r="A87" s="74"/>
      <c r="B87" s="58"/>
      <c r="C87" s="49"/>
      <c r="D87" s="13"/>
      <c r="E87" s="15"/>
      <c r="F87" s="9"/>
      <c r="G87" s="60"/>
      <c r="H87" s="60"/>
      <c r="I87" s="9">
        <v>180000</v>
      </c>
      <c r="J87" s="9" t="s">
        <v>1639</v>
      </c>
      <c r="K87" s="9"/>
      <c r="L87" s="9"/>
      <c r="M87" s="9"/>
      <c r="N87" s="9"/>
    </row>
    <row r="88" spans="1:14" ht="19" x14ac:dyDescent="0.2">
      <c r="A88" s="74"/>
      <c r="B88" s="58"/>
      <c r="C88" s="49"/>
      <c r="D88" s="13"/>
      <c r="E88" s="15"/>
      <c r="F88" s="9"/>
      <c r="G88" s="60"/>
      <c r="H88" s="60"/>
      <c r="I88" s="9">
        <v>154000</v>
      </c>
      <c r="J88" s="9" t="s">
        <v>1640</v>
      </c>
      <c r="K88" s="9"/>
      <c r="L88" s="9"/>
      <c r="M88" s="9"/>
      <c r="N88" s="9"/>
    </row>
    <row r="89" spans="1:14" ht="19" x14ac:dyDescent="0.2">
      <c r="A89" s="74"/>
      <c r="B89" s="58"/>
      <c r="C89" s="49"/>
      <c r="D89" s="13"/>
      <c r="E89" s="15"/>
      <c r="F89" s="9"/>
      <c r="G89" s="60"/>
      <c r="H89" s="60"/>
      <c r="I89" s="9">
        <v>200000</v>
      </c>
      <c r="J89" s="9" t="s">
        <v>1614</v>
      </c>
      <c r="K89" s="9"/>
      <c r="L89" s="9"/>
      <c r="M89" s="9"/>
      <c r="N89" s="9"/>
    </row>
    <row r="90" spans="1:14" ht="19" x14ac:dyDescent="0.2">
      <c r="A90" s="61"/>
      <c r="B90" s="58"/>
      <c r="C90" s="2"/>
      <c r="D90" s="13"/>
      <c r="E90" s="15"/>
      <c r="F90" s="9"/>
      <c r="G90" s="9"/>
      <c r="H90" s="9"/>
      <c r="I90" s="9">
        <v>100000</v>
      </c>
      <c r="J90" s="9" t="s">
        <v>1615</v>
      </c>
      <c r="K90" s="9"/>
      <c r="L90" s="9"/>
      <c r="M90" s="9"/>
      <c r="N90" s="9"/>
    </row>
    <row r="91" spans="1:14" ht="19" x14ac:dyDescent="0.2">
      <c r="A91" s="61"/>
      <c r="B91" s="58"/>
      <c r="C91" s="3"/>
      <c r="D91" s="13"/>
      <c r="E91" s="15"/>
      <c r="F91" s="9"/>
      <c r="G91" s="9"/>
      <c r="H91" s="9"/>
      <c r="I91" s="9"/>
      <c r="J91" s="9"/>
      <c r="K91" s="9"/>
      <c r="L91" s="9"/>
      <c r="M91" s="9"/>
      <c r="N91" s="9"/>
    </row>
    <row r="92" spans="1:14" ht="19" x14ac:dyDescent="0.2">
      <c r="A92" s="61">
        <v>1862000</v>
      </c>
      <c r="B92" s="58"/>
      <c r="C92" s="49" t="s">
        <v>10</v>
      </c>
      <c r="D92" s="13" t="s">
        <v>685</v>
      </c>
      <c r="E92" s="15">
        <v>1592000</v>
      </c>
      <c r="F92" s="9">
        <v>270000</v>
      </c>
      <c r="G92" s="9"/>
      <c r="H92" s="9"/>
      <c r="I92" s="9">
        <v>112000</v>
      </c>
      <c r="J92" s="9" t="s">
        <v>1553</v>
      </c>
      <c r="K92" s="9"/>
      <c r="L92" s="9"/>
      <c r="M92" s="9"/>
      <c r="N92" s="9"/>
    </row>
    <row r="93" spans="1:14" ht="19" x14ac:dyDescent="0.2">
      <c r="A93" s="74">
        <v>856000</v>
      </c>
      <c r="B93" s="58">
        <v>45028</v>
      </c>
      <c r="C93" s="49" t="s">
        <v>1228</v>
      </c>
      <c r="D93" s="13" t="s">
        <v>405</v>
      </c>
      <c r="E93" s="15">
        <v>635000</v>
      </c>
      <c r="F93" s="9">
        <v>221000</v>
      </c>
      <c r="G93" s="9"/>
      <c r="H93" s="9"/>
      <c r="I93" s="139">
        <v>73000</v>
      </c>
      <c r="J93" s="9" t="s">
        <v>1641</v>
      </c>
      <c r="K93" s="9"/>
      <c r="L93" s="9"/>
      <c r="M93" s="9"/>
      <c r="N93" s="9"/>
    </row>
    <row r="94" spans="1:14" ht="19" x14ac:dyDescent="0.2">
      <c r="A94" s="74"/>
      <c r="B94" s="58"/>
      <c r="C94" s="49"/>
      <c r="D94" s="13"/>
      <c r="E94" s="15"/>
      <c r="F94" s="9"/>
      <c r="G94" s="9"/>
      <c r="H94" s="9"/>
      <c r="I94" s="9">
        <v>144000</v>
      </c>
      <c r="J94" s="9" t="s">
        <v>1245</v>
      </c>
      <c r="K94" s="9"/>
      <c r="L94" s="9"/>
      <c r="M94" s="9"/>
      <c r="N94" s="9"/>
    </row>
    <row r="95" spans="1:14" ht="19" x14ac:dyDescent="0.2">
      <c r="A95" s="74"/>
      <c r="B95" s="58"/>
      <c r="C95" s="49"/>
      <c r="D95" s="13"/>
      <c r="E95" s="15"/>
      <c r="F95" s="9"/>
      <c r="G95" s="9"/>
      <c r="H95" s="9"/>
      <c r="I95" s="9">
        <v>80000</v>
      </c>
      <c r="J95" s="9" t="s">
        <v>1597</v>
      </c>
      <c r="K95" s="9"/>
      <c r="L95" s="9"/>
      <c r="M95" s="9"/>
      <c r="N95" s="9"/>
    </row>
    <row r="96" spans="1:14" ht="19" x14ac:dyDescent="0.2">
      <c r="A96" s="74"/>
      <c r="B96" s="58"/>
      <c r="C96" s="49"/>
      <c r="D96" s="13"/>
      <c r="E96" s="15"/>
      <c r="F96" s="9"/>
      <c r="G96" s="9"/>
      <c r="H96" s="9"/>
      <c r="I96" s="9"/>
      <c r="J96" s="9"/>
      <c r="K96" s="9"/>
      <c r="L96" s="9"/>
      <c r="M96" s="9"/>
      <c r="N96" s="9"/>
    </row>
    <row r="97" spans="1:14" ht="19" x14ac:dyDescent="0.2">
      <c r="A97" s="61">
        <v>2066000</v>
      </c>
      <c r="B97" s="58"/>
      <c r="C97" s="49" t="s">
        <v>10</v>
      </c>
      <c r="D97" s="13" t="s">
        <v>685</v>
      </c>
      <c r="E97" s="15">
        <v>1633000</v>
      </c>
      <c r="F97" s="9">
        <v>433000</v>
      </c>
      <c r="G97" s="9"/>
      <c r="H97" s="9"/>
      <c r="I97" s="9"/>
      <c r="J97" s="9"/>
      <c r="K97" s="9"/>
      <c r="L97" s="9"/>
      <c r="M97" s="9"/>
      <c r="N97" s="9"/>
    </row>
    <row r="98" spans="1:14" ht="19" x14ac:dyDescent="0.2">
      <c r="A98" s="74"/>
      <c r="B98" s="58"/>
      <c r="C98" s="49"/>
      <c r="D98" s="13"/>
      <c r="E98" s="15"/>
      <c r="F98" s="9"/>
      <c r="G98" s="9"/>
      <c r="H98" s="9"/>
      <c r="I98" s="9"/>
      <c r="J98" s="9"/>
      <c r="K98" s="9"/>
      <c r="L98" s="9"/>
      <c r="M98" s="9"/>
      <c r="N98" s="9"/>
    </row>
    <row r="99" spans="1:14" ht="19" x14ac:dyDescent="0.2">
      <c r="A99" s="101">
        <v>901000</v>
      </c>
      <c r="B99" s="58">
        <v>45029</v>
      </c>
      <c r="C99" s="49" t="s">
        <v>1228</v>
      </c>
      <c r="D99" s="102" t="s">
        <v>565</v>
      </c>
      <c r="E99" s="15">
        <v>588000</v>
      </c>
      <c r="F99" s="9">
        <v>313000</v>
      </c>
      <c r="G99" s="9">
        <v>3430000</v>
      </c>
      <c r="H99" s="9" t="s">
        <v>1213</v>
      </c>
      <c r="I99" s="139">
        <v>45000</v>
      </c>
      <c r="J99" s="9" t="s">
        <v>1642</v>
      </c>
      <c r="K99" s="9"/>
      <c r="L99" s="9"/>
      <c r="M99" s="9"/>
      <c r="N99" s="9"/>
    </row>
    <row r="100" spans="1:14" ht="19" x14ac:dyDescent="0.2">
      <c r="A100" s="61"/>
      <c r="B100" s="58"/>
      <c r="C100" s="49"/>
      <c r="D100" s="13"/>
      <c r="E100" s="15"/>
      <c r="F100" s="9"/>
      <c r="G100" s="9"/>
      <c r="H100" s="9"/>
      <c r="I100" s="119">
        <v>4000</v>
      </c>
      <c r="J100" s="9" t="s">
        <v>1643</v>
      </c>
      <c r="K100" s="9"/>
      <c r="L100" s="9"/>
      <c r="M100" s="9"/>
      <c r="N100" s="9"/>
    </row>
    <row r="101" spans="1:14" ht="19" x14ac:dyDescent="0.2">
      <c r="A101" s="74"/>
      <c r="B101" s="58"/>
      <c r="C101" s="49"/>
      <c r="D101" s="13"/>
      <c r="E101" s="15"/>
      <c r="F101" s="9"/>
      <c r="G101" s="9"/>
      <c r="H101" s="9"/>
      <c r="I101" s="139">
        <v>42000</v>
      </c>
      <c r="J101" s="9" t="s">
        <v>1644</v>
      </c>
      <c r="K101" s="9"/>
      <c r="L101" s="9"/>
      <c r="M101" s="9"/>
      <c r="N101" s="9"/>
    </row>
    <row r="102" spans="1:14" ht="19" x14ac:dyDescent="0.2">
      <c r="A102" s="74"/>
      <c r="B102" s="58"/>
      <c r="C102" s="49"/>
      <c r="D102" s="13"/>
      <c r="E102" s="15"/>
      <c r="F102" s="9"/>
      <c r="G102" s="9"/>
      <c r="H102" s="9"/>
      <c r="I102" s="119">
        <v>37000</v>
      </c>
      <c r="J102" s="9" t="s">
        <v>1645</v>
      </c>
      <c r="K102" s="9"/>
      <c r="L102" s="9"/>
      <c r="M102" s="9"/>
      <c r="N102" s="9"/>
    </row>
    <row r="103" spans="1:14" ht="19" x14ac:dyDescent="0.2">
      <c r="A103" s="74"/>
      <c r="B103" s="58"/>
      <c r="C103" s="49"/>
      <c r="D103" s="13"/>
      <c r="E103" s="15"/>
      <c r="F103" s="9"/>
      <c r="G103" s="9"/>
      <c r="H103" s="9"/>
      <c r="I103" s="119">
        <v>40000</v>
      </c>
      <c r="J103" s="9" t="s">
        <v>1646</v>
      </c>
      <c r="K103" s="9"/>
      <c r="L103" s="9"/>
      <c r="M103" s="9"/>
      <c r="N103" s="9"/>
    </row>
    <row r="104" spans="1:14" ht="19" x14ac:dyDescent="0.2">
      <c r="A104" s="74"/>
      <c r="B104" s="58"/>
      <c r="C104" s="49"/>
      <c r="D104" s="13"/>
      <c r="E104" s="15"/>
      <c r="F104" s="9"/>
      <c r="G104" s="9"/>
      <c r="H104" s="9"/>
      <c r="I104" s="119">
        <v>20000</v>
      </c>
      <c r="J104" s="9" t="s">
        <v>1647</v>
      </c>
      <c r="K104" s="9"/>
      <c r="L104" s="9"/>
      <c r="M104" s="9"/>
      <c r="N104" s="9"/>
    </row>
    <row r="105" spans="1:14" ht="19" x14ac:dyDescent="0.2">
      <c r="A105" s="74"/>
      <c r="B105" s="58"/>
      <c r="C105" s="49"/>
      <c r="D105" s="13"/>
      <c r="E105" s="15"/>
      <c r="F105" s="9"/>
      <c r="G105" s="9"/>
      <c r="H105" s="9"/>
      <c r="I105" s="9">
        <v>200000</v>
      </c>
      <c r="J105" s="9" t="s">
        <v>1614</v>
      </c>
      <c r="K105" s="9"/>
      <c r="L105" s="9"/>
      <c r="M105" s="9"/>
      <c r="N105" s="9"/>
    </row>
    <row r="106" spans="1:14" ht="19" x14ac:dyDescent="0.2">
      <c r="A106" s="74"/>
      <c r="B106" s="58"/>
      <c r="C106" s="49"/>
      <c r="D106" s="13"/>
      <c r="E106" s="15"/>
      <c r="F106" s="9"/>
      <c r="G106" s="9"/>
      <c r="H106" s="9"/>
      <c r="I106" s="9">
        <v>35000</v>
      </c>
      <c r="J106" s="9" t="s">
        <v>1467</v>
      </c>
      <c r="K106" s="9"/>
      <c r="L106" s="9"/>
      <c r="M106" s="9"/>
      <c r="N106" s="9"/>
    </row>
    <row r="107" spans="1:14" ht="19" x14ac:dyDescent="0.2">
      <c r="A107" s="74"/>
      <c r="B107" s="58"/>
      <c r="C107" s="49"/>
      <c r="D107" s="13"/>
      <c r="E107" s="15"/>
      <c r="F107" s="9"/>
      <c r="G107" s="9"/>
      <c r="H107" s="9"/>
      <c r="I107" s="9">
        <v>100000</v>
      </c>
      <c r="J107" s="9" t="s">
        <v>1615</v>
      </c>
      <c r="K107" s="9"/>
      <c r="L107" s="9"/>
      <c r="M107" s="9"/>
      <c r="N107" s="9"/>
    </row>
    <row r="108" spans="1:14" ht="19" x14ac:dyDescent="0.2">
      <c r="A108" s="74"/>
      <c r="B108" s="58"/>
      <c r="C108" s="49"/>
      <c r="D108" s="13"/>
      <c r="E108" s="15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9" x14ac:dyDescent="0.2">
      <c r="A109" s="74">
        <v>1569000</v>
      </c>
      <c r="B109" s="58"/>
      <c r="C109" s="49" t="s">
        <v>10</v>
      </c>
      <c r="D109" s="13" t="s">
        <v>685</v>
      </c>
      <c r="E109" s="15">
        <v>1485000</v>
      </c>
      <c r="F109" s="9">
        <v>84000</v>
      </c>
      <c r="G109" s="9"/>
      <c r="H109" s="9"/>
      <c r="I109" s="9">
        <v>300000</v>
      </c>
      <c r="J109" s="9" t="s">
        <v>1648</v>
      </c>
      <c r="K109" s="9"/>
      <c r="L109" s="9"/>
      <c r="M109" s="9"/>
      <c r="N109" s="9"/>
    </row>
    <row r="110" spans="1:14" ht="19" x14ac:dyDescent="0.2">
      <c r="A110" s="74"/>
      <c r="B110" s="58"/>
      <c r="C110" s="49"/>
      <c r="D110" s="13"/>
      <c r="E110" s="15"/>
      <c r="F110" s="9"/>
      <c r="G110" s="9"/>
      <c r="H110" s="9"/>
      <c r="I110" s="9">
        <v>126000</v>
      </c>
      <c r="J110" s="9" t="s">
        <v>1649</v>
      </c>
      <c r="K110" s="9"/>
      <c r="L110" s="9"/>
      <c r="M110" s="9"/>
      <c r="N110" s="9"/>
    </row>
    <row r="111" spans="1:14" ht="19" x14ac:dyDescent="0.2">
      <c r="A111" s="74"/>
      <c r="B111" s="58"/>
      <c r="C111" s="49"/>
      <c r="D111" s="13"/>
      <c r="E111" s="15"/>
      <c r="F111" s="9"/>
      <c r="G111" s="9"/>
      <c r="H111" s="9"/>
      <c r="I111" s="9"/>
      <c r="J111" s="9"/>
      <c r="K111" s="9"/>
      <c r="L111" s="9"/>
      <c r="M111" s="9"/>
      <c r="N111" s="9"/>
    </row>
    <row r="112" spans="1:14" ht="19" x14ac:dyDescent="0.2">
      <c r="A112" s="74">
        <v>941000</v>
      </c>
      <c r="B112" s="58">
        <v>45030</v>
      </c>
      <c r="C112" s="49" t="s">
        <v>1228</v>
      </c>
      <c r="D112" s="13" t="s">
        <v>405</v>
      </c>
      <c r="E112" s="15">
        <v>704000</v>
      </c>
      <c r="F112" s="9">
        <v>237000</v>
      </c>
      <c r="G112" s="9"/>
      <c r="H112" s="9"/>
      <c r="I112" s="9"/>
      <c r="J112" s="9"/>
      <c r="K112" s="9"/>
      <c r="L112" s="9"/>
      <c r="M112" s="9"/>
      <c r="N112" s="9"/>
    </row>
    <row r="113" spans="1:14" ht="19" x14ac:dyDescent="0.2">
      <c r="A113" s="74"/>
      <c r="B113" s="58"/>
      <c r="C113" s="49"/>
      <c r="D113" s="13"/>
      <c r="E113" s="15"/>
      <c r="F113" s="9"/>
      <c r="G113" s="9"/>
      <c r="H113" s="9"/>
      <c r="I113" s="9"/>
      <c r="J113" s="9"/>
      <c r="K113" s="9"/>
      <c r="L113" s="9"/>
      <c r="M113" s="9"/>
      <c r="N113" s="9"/>
    </row>
    <row r="114" spans="1:14" ht="19" x14ac:dyDescent="0.2">
      <c r="A114" s="74">
        <v>1789000</v>
      </c>
      <c r="B114" s="58"/>
      <c r="C114" s="49" t="s">
        <v>10</v>
      </c>
      <c r="D114" s="13" t="s">
        <v>685</v>
      </c>
      <c r="E114" s="15">
        <v>1541000</v>
      </c>
      <c r="F114" s="9">
        <v>248000</v>
      </c>
      <c r="G114" s="9"/>
      <c r="H114" s="9"/>
      <c r="I114" s="9">
        <v>100000</v>
      </c>
      <c r="J114" s="9" t="s">
        <v>1247</v>
      </c>
      <c r="K114" s="9"/>
      <c r="L114" s="9"/>
      <c r="M114" s="9"/>
      <c r="N114" s="9"/>
    </row>
    <row r="115" spans="1:14" ht="19" x14ac:dyDescent="0.2">
      <c r="A115" s="74"/>
      <c r="B115" s="58"/>
      <c r="C115" s="49"/>
      <c r="D115" s="13"/>
      <c r="E115" s="15"/>
      <c r="F115" s="9"/>
      <c r="G115" s="9"/>
      <c r="H115" s="9"/>
      <c r="I115" s="9">
        <v>56000</v>
      </c>
      <c r="J115" s="9" t="s">
        <v>1650</v>
      </c>
      <c r="K115" s="9"/>
      <c r="L115" s="9"/>
      <c r="M115" s="9"/>
      <c r="N115" s="9"/>
    </row>
    <row r="116" spans="1:14" ht="19" x14ac:dyDescent="0.2">
      <c r="A116" s="74"/>
      <c r="B116" s="58"/>
      <c r="C116" s="49"/>
      <c r="D116" s="13"/>
      <c r="E116" s="15"/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19" x14ac:dyDescent="0.2">
      <c r="A117" s="61"/>
      <c r="B117" s="58"/>
      <c r="C117" s="49"/>
      <c r="D117" s="13"/>
      <c r="E117" s="15"/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19" x14ac:dyDescent="0.2">
      <c r="A118" s="74"/>
      <c r="B118" s="75"/>
      <c r="C118" s="35"/>
      <c r="D118" s="13"/>
      <c r="E118" s="15"/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45" customHeight="1" x14ac:dyDescent="0.2">
      <c r="A119" s="101">
        <v>1057000</v>
      </c>
      <c r="B119" s="58">
        <v>45031</v>
      </c>
      <c r="C119" s="35" t="s">
        <v>1228</v>
      </c>
      <c r="D119" s="102" t="s">
        <v>405</v>
      </c>
      <c r="E119" s="15">
        <v>568000</v>
      </c>
      <c r="F119" s="9">
        <v>489000</v>
      </c>
      <c r="G119" s="9">
        <v>712000</v>
      </c>
      <c r="H119" s="47" t="s">
        <v>1651</v>
      </c>
      <c r="I119" s="139">
        <v>50000</v>
      </c>
      <c r="J119" s="9" t="s">
        <v>1449</v>
      </c>
      <c r="K119" s="9"/>
      <c r="L119" s="9"/>
      <c r="M119" s="9"/>
      <c r="N119" s="9"/>
    </row>
    <row r="120" spans="1:14" ht="19" x14ac:dyDescent="0.2">
      <c r="A120" s="101"/>
      <c r="B120" s="75"/>
      <c r="C120" s="35"/>
      <c r="D120" s="102"/>
      <c r="E120" s="15"/>
      <c r="F120" s="9"/>
      <c r="G120" s="9">
        <v>1570000</v>
      </c>
      <c r="H120" s="9" t="s">
        <v>1652</v>
      </c>
      <c r="I120" s="119">
        <v>35000</v>
      </c>
      <c r="J120" s="9" t="s">
        <v>1653</v>
      </c>
      <c r="K120" s="9"/>
      <c r="L120" s="9"/>
      <c r="M120" s="9"/>
      <c r="N120" s="9"/>
    </row>
    <row r="121" spans="1:14" ht="19" x14ac:dyDescent="0.2">
      <c r="A121" s="101"/>
      <c r="B121" s="75"/>
      <c r="C121" s="35"/>
      <c r="D121" s="102"/>
      <c r="E121" s="15"/>
      <c r="F121" s="9"/>
      <c r="G121" s="9">
        <v>700000</v>
      </c>
      <c r="H121" s="9" t="s">
        <v>1654</v>
      </c>
      <c r="I121" s="139">
        <v>110000</v>
      </c>
      <c r="J121" s="9" t="s">
        <v>1655</v>
      </c>
      <c r="K121" s="9"/>
      <c r="L121" s="9"/>
      <c r="M121" s="9"/>
      <c r="N121" s="9"/>
    </row>
    <row r="122" spans="1:14" ht="19" x14ac:dyDescent="0.2">
      <c r="A122" s="101">
        <v>1993000</v>
      </c>
      <c r="B122" s="75"/>
      <c r="C122" s="35" t="s">
        <v>10</v>
      </c>
      <c r="D122" s="102" t="s">
        <v>685</v>
      </c>
      <c r="E122" s="15">
        <v>1436000</v>
      </c>
      <c r="F122" s="9">
        <v>557000</v>
      </c>
      <c r="G122" s="9"/>
      <c r="H122" s="9"/>
      <c r="I122" s="9">
        <v>288000</v>
      </c>
      <c r="J122" s="9" t="s">
        <v>1248</v>
      </c>
      <c r="K122" s="9"/>
      <c r="L122" s="9"/>
      <c r="M122" s="9"/>
      <c r="N122" s="9"/>
    </row>
    <row r="123" spans="1:14" ht="19" x14ac:dyDescent="0.2">
      <c r="A123" s="101"/>
      <c r="B123" s="75"/>
      <c r="C123" s="35"/>
      <c r="D123" s="102"/>
      <c r="E123" s="15"/>
      <c r="F123" s="9"/>
      <c r="G123" s="9"/>
      <c r="H123" s="9"/>
      <c r="I123" s="9">
        <v>50000</v>
      </c>
      <c r="J123" s="9" t="s">
        <v>1466</v>
      </c>
      <c r="K123" s="9"/>
      <c r="L123" s="9"/>
      <c r="M123" s="9"/>
      <c r="N123" s="9"/>
    </row>
    <row r="124" spans="1:14" ht="19" x14ac:dyDescent="0.2">
      <c r="A124" s="74"/>
      <c r="B124" s="75"/>
      <c r="C124" s="35"/>
      <c r="D124" s="13"/>
      <c r="E124" s="15"/>
      <c r="F124" s="9"/>
      <c r="G124" s="9"/>
      <c r="H124" s="9"/>
      <c r="I124" s="106">
        <v>220000</v>
      </c>
      <c r="J124" s="106" t="s">
        <v>1656</v>
      </c>
      <c r="K124" s="9"/>
      <c r="L124" s="9"/>
      <c r="M124" s="9"/>
      <c r="N124" s="9"/>
    </row>
    <row r="125" spans="1:14" ht="19" x14ac:dyDescent="0.2">
      <c r="A125" s="74"/>
      <c r="B125" s="75"/>
      <c r="C125" s="35"/>
      <c r="D125" s="13"/>
      <c r="E125" s="15"/>
      <c r="F125" s="9"/>
      <c r="G125" s="9"/>
      <c r="H125" s="9"/>
      <c r="I125" s="106"/>
      <c r="J125" s="106"/>
      <c r="K125" s="9"/>
      <c r="L125" s="9"/>
      <c r="M125" s="9"/>
      <c r="N125" s="9"/>
    </row>
    <row r="126" spans="1:14" ht="19" x14ac:dyDescent="0.2">
      <c r="A126" s="74">
        <v>839000</v>
      </c>
      <c r="B126" s="58">
        <v>45032</v>
      </c>
      <c r="C126" s="35" t="s">
        <v>1228</v>
      </c>
      <c r="D126" s="13" t="s">
        <v>405</v>
      </c>
      <c r="E126" s="15">
        <v>622000</v>
      </c>
      <c r="F126" s="9">
        <v>217000</v>
      </c>
      <c r="G126" s="9"/>
      <c r="H126" s="9"/>
      <c r="I126" s="106">
        <v>44500</v>
      </c>
      <c r="J126" s="106" t="s">
        <v>1600</v>
      </c>
      <c r="K126" s="9"/>
      <c r="L126" s="9"/>
      <c r="M126" s="9"/>
      <c r="N126" s="9"/>
    </row>
    <row r="127" spans="1:14" ht="19" x14ac:dyDescent="0.2">
      <c r="A127" s="61"/>
      <c r="B127" s="58"/>
      <c r="C127" s="3"/>
      <c r="D127" s="13"/>
      <c r="E127" s="15"/>
      <c r="F127" s="9"/>
      <c r="G127" s="9"/>
      <c r="H127" s="9"/>
      <c r="I127" s="106">
        <v>42000</v>
      </c>
      <c r="J127" s="106" t="s">
        <v>1644</v>
      </c>
      <c r="K127" s="9"/>
      <c r="L127" s="9"/>
      <c r="M127" s="9"/>
      <c r="N127" s="9"/>
    </row>
    <row r="128" spans="1:14" ht="19" x14ac:dyDescent="0.2">
      <c r="A128" s="61"/>
      <c r="B128" s="58"/>
      <c r="C128" s="3"/>
      <c r="D128" s="13"/>
      <c r="E128" s="15"/>
      <c r="F128" s="9"/>
      <c r="G128" s="9"/>
      <c r="H128" s="9"/>
      <c r="I128" s="106">
        <v>25000</v>
      </c>
      <c r="J128" s="106" t="s">
        <v>1657</v>
      </c>
      <c r="K128" s="9"/>
      <c r="L128" s="9"/>
      <c r="M128" s="9"/>
      <c r="N128" s="9"/>
    </row>
    <row r="129" spans="1:14" ht="19" x14ac:dyDescent="0.2">
      <c r="A129" s="61"/>
      <c r="B129" s="58"/>
      <c r="C129" s="3"/>
      <c r="D129" s="13"/>
      <c r="E129" s="15"/>
      <c r="F129" s="9"/>
      <c r="G129" s="9"/>
      <c r="H129" s="9"/>
      <c r="I129" s="106">
        <v>174500</v>
      </c>
      <c r="J129" s="106" t="s">
        <v>1658</v>
      </c>
      <c r="K129" s="9"/>
      <c r="L129" s="9"/>
      <c r="M129" s="9"/>
      <c r="N129" s="9"/>
    </row>
    <row r="130" spans="1:14" ht="19" x14ac:dyDescent="0.2">
      <c r="A130" s="61"/>
      <c r="B130" s="58"/>
      <c r="C130" s="3"/>
      <c r="D130" s="13"/>
      <c r="E130" s="15"/>
      <c r="F130" s="9"/>
      <c r="G130" s="9"/>
      <c r="H130" s="9"/>
      <c r="I130" s="106">
        <v>10500</v>
      </c>
      <c r="J130" s="106" t="s">
        <v>1659</v>
      </c>
      <c r="K130" s="9"/>
      <c r="L130" s="9"/>
      <c r="M130" s="9"/>
      <c r="N130" s="9"/>
    </row>
    <row r="131" spans="1:14" ht="19" x14ac:dyDescent="0.2">
      <c r="A131" s="61"/>
      <c r="B131" s="58"/>
      <c r="C131" s="3"/>
      <c r="D131" s="13"/>
      <c r="E131" s="15"/>
      <c r="F131" s="9"/>
      <c r="G131" s="9"/>
      <c r="H131" s="9"/>
      <c r="I131" s="106">
        <v>37500</v>
      </c>
      <c r="J131" s="106" t="s">
        <v>1660</v>
      </c>
      <c r="K131" s="9"/>
      <c r="L131" s="9"/>
      <c r="M131" s="9"/>
      <c r="N131" s="9"/>
    </row>
    <row r="132" spans="1:14" ht="19" x14ac:dyDescent="0.2">
      <c r="A132" s="61">
        <v>1634000</v>
      </c>
      <c r="B132" s="58"/>
      <c r="C132" s="2" t="s">
        <v>10</v>
      </c>
      <c r="D132" s="13" t="s">
        <v>565</v>
      </c>
      <c r="E132" s="15">
        <v>1446000</v>
      </c>
      <c r="F132" s="9">
        <v>188000</v>
      </c>
      <c r="G132" s="9"/>
      <c r="H132" s="9"/>
      <c r="I132" s="9">
        <v>49000</v>
      </c>
      <c r="J132" s="9" t="s">
        <v>1661</v>
      </c>
      <c r="K132" s="9"/>
      <c r="L132" s="9"/>
      <c r="M132" s="9"/>
      <c r="N132" s="9"/>
    </row>
    <row r="133" spans="1:14" ht="19" x14ac:dyDescent="0.2">
      <c r="A133" s="74"/>
      <c r="B133" s="58"/>
      <c r="C133" s="35"/>
      <c r="D133" s="13"/>
      <c r="E133" s="15"/>
      <c r="F133" s="9"/>
      <c r="G133" s="9"/>
      <c r="H133" s="9"/>
      <c r="I133" s="9">
        <v>85500</v>
      </c>
      <c r="J133" s="9" t="s">
        <v>1595</v>
      </c>
      <c r="K133" s="9"/>
      <c r="L133" s="9"/>
      <c r="M133" s="9"/>
      <c r="N133" s="9"/>
    </row>
    <row r="134" spans="1:14" ht="19" x14ac:dyDescent="0.2">
      <c r="A134" s="74"/>
      <c r="B134" s="58"/>
      <c r="C134" s="35"/>
      <c r="D134" s="13"/>
      <c r="E134" s="15"/>
      <c r="F134" s="9"/>
      <c r="G134" s="9"/>
      <c r="H134" s="9"/>
      <c r="I134" s="9">
        <v>40000</v>
      </c>
      <c r="J134" s="9" t="s">
        <v>1646</v>
      </c>
      <c r="K134" s="9"/>
      <c r="L134" s="9"/>
      <c r="M134" s="9"/>
      <c r="N134" s="9"/>
    </row>
    <row r="135" spans="1:14" ht="19" x14ac:dyDescent="0.2">
      <c r="A135" s="74"/>
      <c r="B135" s="58"/>
      <c r="C135" s="35"/>
      <c r="D135" s="13"/>
      <c r="E135" s="15"/>
      <c r="F135" s="9"/>
      <c r="G135" s="9"/>
      <c r="H135" s="9"/>
      <c r="I135" s="9">
        <v>33500</v>
      </c>
      <c r="J135" s="9" t="s">
        <v>1601</v>
      </c>
      <c r="K135" s="9"/>
      <c r="L135" s="9"/>
      <c r="M135" s="9"/>
      <c r="N135" s="9"/>
    </row>
    <row r="136" spans="1:14" ht="19" x14ac:dyDescent="0.2">
      <c r="A136" s="61"/>
      <c r="B136" s="58"/>
      <c r="C136" s="3"/>
      <c r="D136" s="13"/>
      <c r="E136" s="15"/>
      <c r="F136" s="9"/>
      <c r="G136" s="9"/>
      <c r="H136" s="47"/>
      <c r="I136" s="9">
        <v>16000</v>
      </c>
      <c r="J136" s="9" t="s">
        <v>1662</v>
      </c>
      <c r="K136" s="9"/>
      <c r="L136" s="9"/>
      <c r="M136" s="9"/>
      <c r="N136" s="9"/>
    </row>
    <row r="137" spans="1:14" ht="19" x14ac:dyDescent="0.2">
      <c r="A137" s="74"/>
      <c r="B137" s="58"/>
      <c r="C137" s="49"/>
      <c r="D137" s="13"/>
      <c r="E137" s="15"/>
      <c r="F137" s="9"/>
      <c r="G137" s="9"/>
      <c r="H137" s="9"/>
      <c r="I137" s="9">
        <v>15000</v>
      </c>
      <c r="J137" s="9" t="s">
        <v>1663</v>
      </c>
      <c r="K137" s="9"/>
      <c r="L137" s="9"/>
      <c r="M137" s="9"/>
      <c r="N137" s="9"/>
    </row>
    <row r="138" spans="1:14" ht="19" x14ac:dyDescent="0.2">
      <c r="A138" s="61"/>
      <c r="B138" s="75"/>
      <c r="C138" s="2"/>
      <c r="D138" s="13"/>
      <c r="E138" s="15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9" x14ac:dyDescent="0.2">
      <c r="A139" s="74">
        <v>2061000</v>
      </c>
      <c r="B139" s="58">
        <v>45033</v>
      </c>
      <c r="C139" s="35" t="s">
        <v>1228</v>
      </c>
      <c r="D139" s="13" t="s">
        <v>405</v>
      </c>
      <c r="E139" s="15">
        <v>1530000</v>
      </c>
      <c r="F139" s="9">
        <v>531000</v>
      </c>
      <c r="G139" s="9"/>
      <c r="H139" s="9"/>
      <c r="I139" s="9">
        <v>43000</v>
      </c>
      <c r="J139" s="9" t="s">
        <v>1664</v>
      </c>
      <c r="K139" s="9"/>
      <c r="L139" s="9"/>
      <c r="M139" s="9"/>
      <c r="N139" s="9"/>
    </row>
    <row r="140" spans="1:14" ht="19" x14ac:dyDescent="0.2">
      <c r="A140" s="74"/>
      <c r="B140" s="75"/>
      <c r="C140" s="35"/>
      <c r="D140" s="13"/>
      <c r="E140" s="15"/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19" x14ac:dyDescent="0.2">
      <c r="A141" s="101">
        <v>3000000</v>
      </c>
      <c r="B141" s="75"/>
      <c r="C141" s="2" t="s">
        <v>10</v>
      </c>
      <c r="D141" s="13" t="s">
        <v>685</v>
      </c>
      <c r="E141" s="15">
        <v>2751000</v>
      </c>
      <c r="F141" s="9">
        <v>249000</v>
      </c>
      <c r="G141" s="9"/>
      <c r="H141" s="9"/>
      <c r="I141" s="9"/>
      <c r="J141" s="9"/>
      <c r="K141" s="9"/>
      <c r="L141" s="9"/>
      <c r="M141" s="9"/>
      <c r="N141" s="9"/>
    </row>
    <row r="142" spans="1:14" ht="19" x14ac:dyDescent="0.2">
      <c r="A142" s="101"/>
      <c r="B142" s="75"/>
      <c r="C142" s="35"/>
      <c r="D142" s="102"/>
      <c r="E142" s="15"/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19" x14ac:dyDescent="0.2">
      <c r="A143" s="101">
        <v>1073000</v>
      </c>
      <c r="B143" s="58">
        <v>45034</v>
      </c>
      <c r="C143" s="2" t="s">
        <v>1228</v>
      </c>
      <c r="D143" s="13" t="s">
        <v>405</v>
      </c>
      <c r="E143" s="15">
        <v>725000</v>
      </c>
      <c r="F143" s="9">
        <v>348000</v>
      </c>
      <c r="G143" s="9">
        <v>2745000</v>
      </c>
      <c r="H143" s="9" t="s">
        <v>812</v>
      </c>
      <c r="I143" s="9">
        <v>50000</v>
      </c>
      <c r="J143" s="9" t="s">
        <v>1449</v>
      </c>
      <c r="K143" s="9"/>
      <c r="L143" s="9"/>
      <c r="M143" s="9"/>
      <c r="N143" s="9"/>
    </row>
    <row r="144" spans="1:14" ht="19" x14ac:dyDescent="0.2">
      <c r="A144" s="101"/>
      <c r="B144" s="75"/>
      <c r="C144" s="35"/>
      <c r="D144" s="102"/>
      <c r="E144" s="15"/>
      <c r="F144" s="9"/>
      <c r="G144" s="9"/>
      <c r="H144" s="9"/>
      <c r="I144" s="9">
        <v>19000</v>
      </c>
      <c r="J144" s="9" t="s">
        <v>1665</v>
      </c>
      <c r="K144" s="9"/>
      <c r="L144" s="9"/>
      <c r="M144" s="9"/>
      <c r="N144" s="9"/>
    </row>
    <row r="145" spans="1:14" ht="19" x14ac:dyDescent="0.2">
      <c r="A145" s="61"/>
      <c r="B145" s="58"/>
      <c r="C145" s="35"/>
      <c r="D145" s="13"/>
      <c r="E145" s="15"/>
      <c r="F145" s="9"/>
      <c r="G145" s="9"/>
      <c r="H145" s="9"/>
      <c r="I145" s="9">
        <v>37500</v>
      </c>
      <c r="J145" s="9" t="s">
        <v>1666</v>
      </c>
      <c r="K145" s="9"/>
      <c r="L145" s="9"/>
      <c r="M145" s="9"/>
      <c r="N145" s="9"/>
    </row>
    <row r="146" spans="1:14" ht="19" x14ac:dyDescent="0.2">
      <c r="A146" s="61"/>
      <c r="B146" s="75"/>
      <c r="C146" s="2"/>
      <c r="D146" s="13"/>
      <c r="E146" s="9"/>
      <c r="F146" s="9"/>
      <c r="G146" s="9"/>
      <c r="H146" s="9"/>
      <c r="I146" s="9">
        <v>39000</v>
      </c>
      <c r="J146" s="9" t="s">
        <v>1493</v>
      </c>
      <c r="K146" s="9"/>
      <c r="L146" s="9"/>
      <c r="M146" s="9"/>
      <c r="N146" s="9"/>
    </row>
    <row r="147" spans="1:14" ht="19" x14ac:dyDescent="0.2">
      <c r="A147" s="74"/>
      <c r="B147" s="75"/>
      <c r="C147" s="35"/>
      <c r="D147" s="13"/>
      <c r="E147" s="15"/>
      <c r="F147" s="9"/>
      <c r="G147" s="9"/>
      <c r="H147" s="9"/>
      <c r="I147" s="9">
        <v>6000</v>
      </c>
      <c r="J147" s="9" t="s">
        <v>1667</v>
      </c>
      <c r="K147" s="9"/>
      <c r="L147" s="9"/>
      <c r="M147" s="9"/>
      <c r="N147" s="9"/>
    </row>
    <row r="148" spans="1:14" ht="19" x14ac:dyDescent="0.2">
      <c r="A148" s="74"/>
      <c r="B148" s="75"/>
      <c r="C148" s="35"/>
      <c r="D148" s="13"/>
      <c r="E148" s="15"/>
      <c r="F148" s="9"/>
      <c r="G148" s="9"/>
      <c r="H148" s="9"/>
      <c r="I148" s="9">
        <v>100000</v>
      </c>
      <c r="J148" s="9" t="s">
        <v>1615</v>
      </c>
      <c r="K148" s="9"/>
      <c r="L148" s="9"/>
      <c r="M148" s="9"/>
      <c r="N148" s="9"/>
    </row>
    <row r="149" spans="1:14" ht="19" x14ac:dyDescent="0.2">
      <c r="A149" s="74"/>
      <c r="B149" s="75"/>
      <c r="C149" s="35"/>
      <c r="D149" s="13"/>
      <c r="E149" s="15"/>
      <c r="F149" s="9"/>
      <c r="G149" s="9"/>
      <c r="H149" s="9"/>
      <c r="I149" s="9">
        <v>35000</v>
      </c>
      <c r="J149" s="9" t="s">
        <v>1467</v>
      </c>
      <c r="K149" s="9"/>
      <c r="L149" s="9"/>
      <c r="M149" s="9"/>
      <c r="N149" s="9"/>
    </row>
    <row r="150" spans="1:14" ht="19" x14ac:dyDescent="0.2">
      <c r="A150" s="74"/>
      <c r="B150" s="75"/>
      <c r="C150" s="35"/>
      <c r="D150" s="13"/>
      <c r="E150" s="15"/>
      <c r="F150" s="9"/>
      <c r="G150" s="9"/>
      <c r="H150" s="9"/>
      <c r="I150" s="9">
        <v>200000</v>
      </c>
      <c r="J150" s="9" t="s">
        <v>1614</v>
      </c>
      <c r="K150" s="9"/>
      <c r="L150" s="9"/>
      <c r="M150" s="9"/>
      <c r="N150" s="9"/>
    </row>
    <row r="151" spans="1:14" ht="19" x14ac:dyDescent="0.2">
      <c r="A151" s="74"/>
      <c r="B151" s="75"/>
      <c r="C151" s="35"/>
      <c r="D151" s="13"/>
      <c r="E151" s="15"/>
      <c r="F151" s="9"/>
      <c r="G151" s="9"/>
      <c r="H151" s="9"/>
      <c r="I151" s="9">
        <v>240000</v>
      </c>
      <c r="J151" s="9" t="s">
        <v>1509</v>
      </c>
      <c r="K151" s="9"/>
      <c r="L151" s="9"/>
      <c r="M151" s="9"/>
      <c r="N151" s="9"/>
    </row>
    <row r="152" spans="1:14" ht="19" x14ac:dyDescent="0.2">
      <c r="A152" s="74"/>
      <c r="B152" s="75"/>
      <c r="C152" s="35"/>
      <c r="D152" s="13"/>
      <c r="E152" s="15"/>
      <c r="F152" s="9"/>
      <c r="G152" s="9"/>
      <c r="H152" s="9"/>
      <c r="I152" s="9"/>
      <c r="J152" s="9"/>
      <c r="K152" s="9"/>
      <c r="L152" s="9"/>
      <c r="M152" s="9"/>
      <c r="N152" s="9"/>
    </row>
    <row r="153" spans="1:14" ht="19" x14ac:dyDescent="0.2">
      <c r="A153" s="74">
        <v>1954000</v>
      </c>
      <c r="B153" s="58"/>
      <c r="C153" s="35" t="s">
        <v>10</v>
      </c>
      <c r="D153" s="13" t="s">
        <v>685</v>
      </c>
      <c r="E153" s="15">
        <v>1599000</v>
      </c>
      <c r="F153" s="9">
        <v>355000</v>
      </c>
      <c r="G153" s="9"/>
      <c r="H153" s="9"/>
      <c r="I153" s="9">
        <v>144000</v>
      </c>
      <c r="J153" s="9" t="s">
        <v>1245</v>
      </c>
      <c r="K153" s="9"/>
      <c r="L153" s="9"/>
      <c r="M153" s="9"/>
      <c r="N153" s="9"/>
    </row>
    <row r="154" spans="1:14" ht="19" x14ac:dyDescent="0.2">
      <c r="A154" s="74"/>
      <c r="B154" s="58"/>
      <c r="C154" s="35"/>
      <c r="D154" s="13"/>
      <c r="E154" s="15"/>
      <c r="F154" s="9"/>
      <c r="G154" s="9"/>
      <c r="H154" s="9"/>
      <c r="I154" s="9">
        <v>100000</v>
      </c>
      <c r="J154" s="9" t="s">
        <v>1296</v>
      </c>
      <c r="K154" s="9"/>
      <c r="L154" s="9"/>
      <c r="M154" s="9"/>
      <c r="N154" s="9"/>
    </row>
    <row r="155" spans="1:14" ht="19" x14ac:dyDescent="0.2">
      <c r="A155" s="74"/>
      <c r="B155" s="58"/>
      <c r="C155" s="35"/>
      <c r="D155" s="13"/>
      <c r="E155" s="15"/>
      <c r="F155" s="9"/>
      <c r="G155" s="9"/>
      <c r="H155" s="9"/>
      <c r="I155" s="9">
        <v>56000</v>
      </c>
      <c r="J155" s="9" t="s">
        <v>1448</v>
      </c>
      <c r="K155" s="9"/>
      <c r="L155" s="9"/>
      <c r="M155" s="9"/>
      <c r="N155" s="9"/>
    </row>
    <row r="156" spans="1:14" ht="19" x14ac:dyDescent="0.2">
      <c r="A156" s="74"/>
      <c r="B156" s="75"/>
      <c r="C156" s="35"/>
      <c r="D156" s="13"/>
      <c r="E156" s="15"/>
      <c r="F156" s="9"/>
      <c r="G156" s="9"/>
      <c r="H156" s="9"/>
      <c r="I156" s="9"/>
      <c r="J156" s="9"/>
      <c r="K156" s="9"/>
      <c r="L156" s="9"/>
      <c r="M156" s="9"/>
      <c r="N156" s="9"/>
    </row>
    <row r="157" spans="1:14" ht="19" x14ac:dyDescent="0.2">
      <c r="A157" s="101">
        <v>1292000</v>
      </c>
      <c r="B157" s="58">
        <v>45035</v>
      </c>
      <c r="C157" s="3" t="s">
        <v>1228</v>
      </c>
      <c r="D157" s="13" t="s">
        <v>405</v>
      </c>
      <c r="E157" s="15">
        <v>986000</v>
      </c>
      <c r="F157" s="9">
        <v>306000</v>
      </c>
      <c r="G157" s="9"/>
      <c r="H157" s="9"/>
      <c r="I157" s="9">
        <v>480000</v>
      </c>
      <c r="J157" s="9" t="s">
        <v>1462</v>
      </c>
      <c r="K157" s="9"/>
      <c r="L157" s="9"/>
      <c r="M157" s="9"/>
      <c r="N157" s="9"/>
    </row>
    <row r="158" spans="1:14" ht="19" x14ac:dyDescent="0.2">
      <c r="A158" s="101"/>
      <c r="B158" s="75"/>
      <c r="C158" s="35"/>
      <c r="D158" s="102"/>
      <c r="E158" s="15"/>
      <c r="F158" s="9"/>
      <c r="G158" s="9"/>
      <c r="H158" s="9"/>
      <c r="I158" s="9">
        <v>120000</v>
      </c>
      <c r="J158" s="9" t="s">
        <v>1668</v>
      </c>
      <c r="K158" s="9"/>
      <c r="L158" s="9"/>
      <c r="M158" s="9"/>
      <c r="N158" s="9"/>
    </row>
    <row r="159" spans="1:14" ht="19" x14ac:dyDescent="0.2">
      <c r="A159" s="101"/>
      <c r="B159" s="75"/>
      <c r="C159" s="35"/>
      <c r="D159" s="102"/>
      <c r="E159" s="15"/>
      <c r="F159" s="9"/>
      <c r="G159" s="9"/>
      <c r="H159" s="9"/>
      <c r="I159" s="9">
        <v>300000</v>
      </c>
      <c r="J159" s="9" t="s">
        <v>1669</v>
      </c>
      <c r="K159" s="9"/>
      <c r="L159" s="9"/>
      <c r="M159" s="9"/>
      <c r="N159" s="9"/>
    </row>
    <row r="160" spans="1:14" ht="19" x14ac:dyDescent="0.2">
      <c r="A160" s="101"/>
      <c r="B160" s="75"/>
      <c r="C160" s="35"/>
      <c r="D160" s="102"/>
      <c r="E160" s="15"/>
      <c r="F160" s="9"/>
      <c r="G160" s="9"/>
      <c r="H160" s="9"/>
      <c r="I160" s="9">
        <v>355000</v>
      </c>
      <c r="J160" s="9" t="s">
        <v>1610</v>
      </c>
      <c r="K160" s="9"/>
      <c r="L160" s="9"/>
      <c r="M160" s="9"/>
      <c r="N160" s="9"/>
    </row>
    <row r="161" spans="1:14" ht="19" x14ac:dyDescent="0.2">
      <c r="A161" s="101"/>
      <c r="B161" s="75"/>
      <c r="C161" s="35"/>
      <c r="D161" s="102"/>
      <c r="E161" s="15"/>
      <c r="F161" s="9"/>
      <c r="G161" s="9"/>
      <c r="H161" s="9"/>
      <c r="I161" s="9">
        <v>28000</v>
      </c>
      <c r="J161" s="9" t="s">
        <v>1596</v>
      </c>
      <c r="K161" s="9"/>
      <c r="L161" s="9"/>
      <c r="M161" s="9"/>
      <c r="N161" s="9"/>
    </row>
    <row r="162" spans="1:14" ht="19" x14ac:dyDescent="0.2">
      <c r="A162" s="101"/>
      <c r="B162" s="75"/>
      <c r="C162" s="35"/>
      <c r="D162" s="102"/>
      <c r="E162" s="15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9" x14ac:dyDescent="0.2">
      <c r="A163" s="101">
        <v>1642000</v>
      </c>
      <c r="B163" s="75"/>
      <c r="C163" s="35" t="s">
        <v>10</v>
      </c>
      <c r="D163" s="102" t="s">
        <v>685</v>
      </c>
      <c r="E163" s="15">
        <v>1407000</v>
      </c>
      <c r="F163" s="9">
        <v>235000</v>
      </c>
      <c r="G163" s="9"/>
      <c r="H163" s="9"/>
      <c r="I163" s="9"/>
      <c r="J163" s="9"/>
      <c r="K163" s="9"/>
      <c r="L163" s="9"/>
      <c r="M163" s="9"/>
      <c r="N163" s="9"/>
    </row>
    <row r="164" spans="1:14" ht="19" x14ac:dyDescent="0.2">
      <c r="A164" s="101"/>
      <c r="B164" s="75"/>
      <c r="C164" s="35"/>
      <c r="D164" s="102"/>
      <c r="E164" s="15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9" x14ac:dyDescent="0.2">
      <c r="A165" s="101">
        <v>1289000</v>
      </c>
      <c r="B165" s="58">
        <v>45036</v>
      </c>
      <c r="C165" s="35" t="s">
        <v>1228</v>
      </c>
      <c r="D165" s="102" t="s">
        <v>565</v>
      </c>
      <c r="E165" s="15">
        <v>937000</v>
      </c>
      <c r="F165" s="9">
        <v>352000</v>
      </c>
      <c r="G165" s="9"/>
      <c r="H165" s="9"/>
      <c r="I165" s="9"/>
      <c r="J165" s="9"/>
      <c r="K165" s="9"/>
      <c r="L165" s="9"/>
      <c r="M165" s="9"/>
      <c r="N165" s="9"/>
    </row>
    <row r="166" spans="1:14" ht="19" x14ac:dyDescent="0.2">
      <c r="A166" s="101">
        <v>1821000</v>
      </c>
      <c r="B166" s="75"/>
      <c r="C166" s="35" t="s">
        <v>10</v>
      </c>
      <c r="D166" s="102" t="s">
        <v>685</v>
      </c>
      <c r="E166" s="15">
        <v>1583000</v>
      </c>
      <c r="F166" s="9">
        <v>238000</v>
      </c>
      <c r="G166" s="9"/>
      <c r="H166" s="9"/>
      <c r="I166" s="9"/>
      <c r="J166" s="9"/>
      <c r="K166" s="9"/>
      <c r="L166" s="9"/>
      <c r="M166" s="9"/>
      <c r="N166" s="9"/>
    </row>
    <row r="167" spans="1:14" ht="19" x14ac:dyDescent="0.2">
      <c r="A167" s="101"/>
      <c r="B167" s="75"/>
      <c r="C167" s="35"/>
      <c r="D167" s="102"/>
      <c r="E167" s="15"/>
      <c r="F167" s="9"/>
      <c r="G167" s="9"/>
      <c r="H167" s="9"/>
      <c r="I167" s="9"/>
      <c r="J167" s="9"/>
      <c r="K167" s="9"/>
      <c r="L167" s="9"/>
      <c r="M167" s="9"/>
      <c r="N167" s="9"/>
    </row>
    <row r="168" spans="1:14" ht="19" x14ac:dyDescent="0.2">
      <c r="A168" s="101">
        <v>1697000</v>
      </c>
      <c r="B168" s="58">
        <v>45037</v>
      </c>
      <c r="C168" s="35" t="s">
        <v>1228</v>
      </c>
      <c r="D168" s="13" t="s">
        <v>405</v>
      </c>
      <c r="E168" s="15">
        <v>1431000</v>
      </c>
      <c r="F168" s="9">
        <v>266000</v>
      </c>
      <c r="G168" s="9"/>
      <c r="H168" s="9"/>
      <c r="I168" s="9">
        <v>75000</v>
      </c>
      <c r="J168" s="9" t="s">
        <v>1670</v>
      </c>
      <c r="K168" s="9"/>
      <c r="L168" s="9"/>
      <c r="M168" s="9"/>
      <c r="N168" s="9"/>
    </row>
    <row r="169" spans="1:14" ht="19" x14ac:dyDescent="0.2">
      <c r="A169" s="74"/>
      <c r="B169" s="75"/>
      <c r="C169" s="35"/>
      <c r="D169" s="13"/>
      <c r="E169" s="15"/>
      <c r="F169" s="9"/>
      <c r="G169" s="9"/>
      <c r="H169" s="9"/>
      <c r="I169" s="9">
        <v>75000</v>
      </c>
      <c r="J169" s="9" t="s">
        <v>1671</v>
      </c>
      <c r="K169" s="9"/>
      <c r="L169" s="9"/>
      <c r="M169" s="9"/>
      <c r="N169" s="9"/>
    </row>
    <row r="170" spans="1:14" ht="19" x14ac:dyDescent="0.2">
      <c r="A170" s="74"/>
      <c r="B170" s="75"/>
      <c r="C170" s="35"/>
      <c r="D170" s="13"/>
      <c r="E170" s="15"/>
      <c r="F170" s="9"/>
      <c r="G170" s="9">
        <v>250000</v>
      </c>
      <c r="H170" s="9" t="s">
        <v>1703</v>
      </c>
      <c r="I170" s="9">
        <v>75000</v>
      </c>
      <c r="J170" s="9" t="s">
        <v>1672</v>
      </c>
      <c r="K170" s="9"/>
      <c r="L170" s="9"/>
      <c r="M170" s="9"/>
      <c r="N170" s="9"/>
    </row>
    <row r="171" spans="1:14" ht="19" x14ac:dyDescent="0.2">
      <c r="A171" s="74"/>
      <c r="B171" s="75"/>
      <c r="C171" s="35"/>
      <c r="D171" s="13"/>
      <c r="E171" s="15"/>
      <c r="F171" s="9"/>
      <c r="G171" s="9"/>
      <c r="H171" s="9"/>
      <c r="I171" s="9">
        <v>140000</v>
      </c>
      <c r="J171" s="9" t="s">
        <v>1673</v>
      </c>
      <c r="K171" s="9"/>
      <c r="L171" s="9"/>
      <c r="M171" s="9"/>
      <c r="N171" s="9"/>
    </row>
    <row r="172" spans="1:14" ht="19" x14ac:dyDescent="0.2">
      <c r="A172" s="74"/>
      <c r="B172" s="58"/>
      <c r="C172" s="3"/>
      <c r="D172" s="13"/>
      <c r="E172" s="15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9" x14ac:dyDescent="0.2">
      <c r="A173" s="74">
        <v>1519000</v>
      </c>
      <c r="B173" s="58"/>
      <c r="C173" s="35" t="s">
        <v>10</v>
      </c>
      <c r="D173" s="13" t="s">
        <v>685</v>
      </c>
      <c r="E173" s="15">
        <v>1231000</v>
      </c>
      <c r="F173" s="9">
        <v>288000</v>
      </c>
      <c r="G173" s="9"/>
      <c r="H173" s="9"/>
      <c r="I173" s="9"/>
      <c r="J173" s="9"/>
      <c r="K173" s="9"/>
      <c r="L173" s="9"/>
      <c r="M173" s="9"/>
      <c r="N173" s="9"/>
    </row>
    <row r="174" spans="1:14" ht="19" x14ac:dyDescent="0.2">
      <c r="A174" s="74">
        <v>1022000</v>
      </c>
      <c r="B174" s="58">
        <v>45038</v>
      </c>
      <c r="C174" s="35" t="s">
        <v>1228</v>
      </c>
      <c r="D174" s="13" t="s">
        <v>405</v>
      </c>
      <c r="E174" s="15">
        <v>760000</v>
      </c>
      <c r="F174" s="9">
        <v>262000</v>
      </c>
      <c r="G174" s="9"/>
      <c r="H174" s="9"/>
      <c r="I174" s="9">
        <v>30000</v>
      </c>
      <c r="J174" s="9" t="s">
        <v>1450</v>
      </c>
      <c r="K174" s="9"/>
      <c r="L174" s="9"/>
      <c r="M174" s="9"/>
      <c r="N174" s="9"/>
    </row>
    <row r="175" spans="1:14" ht="19" x14ac:dyDescent="0.2">
      <c r="A175" s="74"/>
      <c r="B175" s="58">
        <v>45039</v>
      </c>
      <c r="C175" s="35"/>
      <c r="D175" s="13"/>
      <c r="E175" s="15"/>
      <c r="F175" s="9"/>
      <c r="G175" s="9"/>
      <c r="H175" s="9" t="s">
        <v>737</v>
      </c>
      <c r="I175" s="9">
        <v>6000</v>
      </c>
      <c r="J175" s="9" t="s">
        <v>1674</v>
      </c>
      <c r="K175" s="9"/>
      <c r="L175" s="9"/>
      <c r="M175" s="9"/>
      <c r="N175" s="9"/>
    </row>
    <row r="176" spans="1:14" ht="19" x14ac:dyDescent="0.2">
      <c r="A176" s="74">
        <v>1385000</v>
      </c>
      <c r="B176" s="58"/>
      <c r="C176" s="35" t="s">
        <v>10</v>
      </c>
      <c r="D176" s="13" t="s">
        <v>685</v>
      </c>
      <c r="E176" s="15">
        <v>1343000</v>
      </c>
      <c r="F176" s="9">
        <v>42000</v>
      </c>
      <c r="G176" s="9"/>
      <c r="H176" s="9"/>
      <c r="I176" s="9">
        <v>50000</v>
      </c>
      <c r="J176" s="9" t="s">
        <v>123</v>
      </c>
      <c r="K176" s="9"/>
      <c r="L176" s="9"/>
      <c r="M176" s="9"/>
      <c r="N176" s="9"/>
    </row>
    <row r="177" spans="1:14" ht="19" x14ac:dyDescent="0.2">
      <c r="A177" s="61"/>
      <c r="B177" s="58"/>
      <c r="C177" s="35"/>
      <c r="D177" s="13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19" x14ac:dyDescent="0.2">
      <c r="A178" s="74">
        <v>1535000</v>
      </c>
      <c r="B178" s="58">
        <v>45040</v>
      </c>
      <c r="C178" s="49" t="s">
        <v>1228</v>
      </c>
      <c r="D178" s="13" t="s">
        <v>405</v>
      </c>
      <c r="E178" s="15">
        <v>1261000</v>
      </c>
      <c r="F178" s="9">
        <v>274000</v>
      </c>
      <c r="G178" s="9"/>
      <c r="H178" s="9"/>
      <c r="I178" s="9">
        <v>76000</v>
      </c>
      <c r="J178" s="9" t="s">
        <v>1675</v>
      </c>
      <c r="K178" s="9"/>
      <c r="L178" s="9"/>
      <c r="M178" s="9"/>
      <c r="N178" s="9"/>
    </row>
    <row r="179" spans="1:14" ht="19" x14ac:dyDescent="0.2">
      <c r="A179" s="74"/>
      <c r="B179" s="58"/>
      <c r="C179" s="49"/>
      <c r="D179" s="13"/>
      <c r="E179" s="15"/>
      <c r="F179" s="9"/>
      <c r="G179" s="9"/>
      <c r="H179" s="9"/>
      <c r="I179" s="9">
        <v>51000</v>
      </c>
      <c r="J179" s="9" t="s">
        <v>1676</v>
      </c>
      <c r="K179" s="9"/>
      <c r="L179" s="9"/>
      <c r="M179" s="9"/>
      <c r="N179" s="9"/>
    </row>
    <row r="180" spans="1:14" ht="19" x14ac:dyDescent="0.2">
      <c r="A180" s="74"/>
      <c r="B180" s="58"/>
      <c r="C180" s="49"/>
      <c r="D180" s="13"/>
      <c r="E180" s="15"/>
      <c r="F180" s="9"/>
      <c r="G180" s="9"/>
      <c r="H180" s="9"/>
      <c r="I180" s="9">
        <v>15000</v>
      </c>
      <c r="J180" s="9" t="s">
        <v>1677</v>
      </c>
      <c r="K180" s="9"/>
      <c r="L180" s="9"/>
      <c r="M180" s="9"/>
      <c r="N180" s="9"/>
    </row>
    <row r="181" spans="1:14" ht="19" x14ac:dyDescent="0.2">
      <c r="A181" s="74"/>
      <c r="B181" s="58"/>
      <c r="C181" s="2"/>
      <c r="D181" s="13"/>
      <c r="E181" s="15"/>
      <c r="F181" s="9"/>
      <c r="G181" s="9"/>
      <c r="H181" s="9"/>
      <c r="I181" s="9">
        <v>15000</v>
      </c>
      <c r="J181" s="9" t="s">
        <v>1678</v>
      </c>
      <c r="K181" s="9"/>
      <c r="L181" s="9"/>
      <c r="M181" s="9"/>
      <c r="N181" s="9"/>
    </row>
    <row r="182" spans="1:14" ht="19" x14ac:dyDescent="0.2">
      <c r="A182" s="74"/>
      <c r="B182" s="58"/>
      <c r="C182" s="35"/>
      <c r="D182" s="13"/>
      <c r="E182" s="15"/>
      <c r="F182" s="9"/>
      <c r="G182" s="9"/>
      <c r="H182" s="9"/>
      <c r="I182" s="9">
        <v>30000</v>
      </c>
      <c r="J182" s="9" t="s">
        <v>1679</v>
      </c>
      <c r="K182" s="9"/>
      <c r="L182" s="9"/>
      <c r="M182" s="9"/>
      <c r="N182" s="9"/>
    </row>
    <row r="183" spans="1:14" ht="19" x14ac:dyDescent="0.2">
      <c r="A183" s="74"/>
      <c r="B183" s="58"/>
      <c r="C183" s="49"/>
      <c r="D183" s="13"/>
      <c r="E183" s="15"/>
      <c r="F183" s="9"/>
      <c r="G183" s="9"/>
      <c r="H183" s="9"/>
      <c r="I183" s="76">
        <v>18500</v>
      </c>
      <c r="J183" s="76" t="s">
        <v>1524</v>
      </c>
      <c r="K183" s="9"/>
      <c r="L183" s="9"/>
      <c r="M183" s="9"/>
      <c r="N183" s="9"/>
    </row>
    <row r="184" spans="1:14" ht="19" x14ac:dyDescent="0.2">
      <c r="A184" s="74"/>
      <c r="B184" s="58"/>
      <c r="C184" s="49"/>
      <c r="D184" s="13"/>
      <c r="E184" s="15"/>
      <c r="F184" s="9"/>
      <c r="G184" s="9"/>
      <c r="H184" s="9"/>
      <c r="I184" s="76">
        <v>144000</v>
      </c>
      <c r="J184" s="76" t="s">
        <v>1245</v>
      </c>
      <c r="K184" s="9"/>
      <c r="L184" s="9"/>
      <c r="M184" s="9"/>
      <c r="N184" s="9"/>
    </row>
    <row r="185" spans="1:14" ht="19" x14ac:dyDescent="0.2">
      <c r="A185" s="74"/>
      <c r="B185" s="58"/>
      <c r="C185" s="49"/>
      <c r="D185" s="13"/>
      <c r="E185" s="15"/>
      <c r="F185" s="9"/>
      <c r="G185" s="9"/>
      <c r="H185" s="103"/>
      <c r="I185" s="76">
        <v>51000</v>
      </c>
      <c r="J185" s="76" t="s">
        <v>1680</v>
      </c>
      <c r="K185" s="9"/>
      <c r="L185" s="9"/>
      <c r="M185" s="9"/>
      <c r="N185" s="9"/>
    </row>
    <row r="186" spans="1:14" ht="19" x14ac:dyDescent="0.2">
      <c r="A186" s="101"/>
      <c r="B186" s="58"/>
      <c r="C186" s="49"/>
      <c r="D186" s="102"/>
      <c r="E186" s="15"/>
      <c r="F186" s="9"/>
      <c r="G186" s="9"/>
      <c r="H186" s="103"/>
      <c r="I186" s="76">
        <v>200000</v>
      </c>
      <c r="J186" s="76" t="s">
        <v>1543</v>
      </c>
      <c r="K186" s="9"/>
      <c r="L186" s="9"/>
      <c r="M186" s="9"/>
      <c r="N186" s="9"/>
    </row>
    <row r="187" spans="1:14" ht="19" x14ac:dyDescent="0.2">
      <c r="A187" s="101"/>
      <c r="B187" s="58"/>
      <c r="C187" s="3"/>
      <c r="D187" s="13"/>
      <c r="E187" s="15"/>
      <c r="F187" s="9"/>
      <c r="G187" s="9"/>
      <c r="H187" s="103"/>
      <c r="I187" s="76"/>
      <c r="J187" s="76"/>
      <c r="K187" s="9"/>
      <c r="L187" s="9"/>
      <c r="M187" s="9"/>
      <c r="N187" s="9"/>
    </row>
    <row r="188" spans="1:14" ht="19" x14ac:dyDescent="0.2">
      <c r="A188" s="61">
        <v>2003000</v>
      </c>
      <c r="B188" s="58"/>
      <c r="C188" s="49" t="s">
        <v>10</v>
      </c>
      <c r="D188" s="13" t="s">
        <v>685</v>
      </c>
      <c r="E188" s="15">
        <v>1706000</v>
      </c>
      <c r="F188" s="9">
        <v>297000</v>
      </c>
      <c r="G188" s="9"/>
      <c r="H188" s="9"/>
      <c r="I188" s="9">
        <v>56000</v>
      </c>
      <c r="J188" s="9" t="s">
        <v>1681</v>
      </c>
      <c r="K188" s="9"/>
      <c r="L188" s="9"/>
      <c r="M188" s="9"/>
      <c r="N188" s="9"/>
    </row>
    <row r="189" spans="1:14" ht="19" x14ac:dyDescent="0.2">
      <c r="A189" s="74"/>
      <c r="B189" s="58"/>
      <c r="C189" s="2"/>
      <c r="D189" s="13"/>
      <c r="E189" s="15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9" x14ac:dyDescent="0.2">
      <c r="A190" s="74">
        <v>1275000</v>
      </c>
      <c r="B190" s="58">
        <v>45041</v>
      </c>
      <c r="C190" s="49" t="s">
        <v>1228</v>
      </c>
      <c r="D190" s="13" t="s">
        <v>405</v>
      </c>
      <c r="E190" s="15">
        <v>928000</v>
      </c>
      <c r="F190" s="9">
        <v>347000</v>
      </c>
      <c r="G190" s="9"/>
      <c r="H190" s="9"/>
      <c r="I190" s="9">
        <v>50000</v>
      </c>
      <c r="J190" s="9" t="s">
        <v>1449</v>
      </c>
      <c r="K190" s="9"/>
      <c r="L190" s="9"/>
      <c r="M190" s="9"/>
      <c r="N190" s="9"/>
    </row>
    <row r="191" spans="1:14" ht="19" x14ac:dyDescent="0.2">
      <c r="A191" s="74"/>
      <c r="B191" s="58"/>
      <c r="C191" s="3"/>
      <c r="D191" s="13"/>
      <c r="E191" s="15"/>
      <c r="F191" s="9"/>
      <c r="G191" s="9"/>
      <c r="H191" s="9"/>
      <c r="I191" s="9">
        <v>39000</v>
      </c>
      <c r="J191" s="9" t="s">
        <v>1493</v>
      </c>
      <c r="K191" s="9"/>
      <c r="L191" s="9"/>
      <c r="M191" s="9"/>
      <c r="N191" s="9"/>
    </row>
    <row r="192" spans="1:14" ht="19" x14ac:dyDescent="0.2">
      <c r="A192" s="74"/>
      <c r="B192" s="58"/>
      <c r="C192" s="49"/>
      <c r="D192" s="13"/>
      <c r="E192" s="15"/>
      <c r="F192" s="9"/>
      <c r="G192" s="9"/>
      <c r="H192" s="9"/>
      <c r="I192" s="9">
        <v>43000</v>
      </c>
      <c r="J192" s="9" t="s">
        <v>1682</v>
      </c>
      <c r="K192" s="9"/>
      <c r="L192" s="9"/>
      <c r="M192" s="9"/>
      <c r="N192" s="9"/>
    </row>
    <row r="193" spans="1:14" ht="19" x14ac:dyDescent="0.2">
      <c r="A193" s="61"/>
      <c r="B193" s="58"/>
      <c r="C193" s="2"/>
      <c r="D193" s="13"/>
      <c r="E193" s="15"/>
      <c r="F193" s="9"/>
      <c r="G193" s="9"/>
      <c r="H193" s="9"/>
      <c r="I193" s="9">
        <v>16000</v>
      </c>
      <c r="J193" s="9" t="s">
        <v>1570</v>
      </c>
      <c r="K193" s="9"/>
      <c r="L193" s="9"/>
      <c r="M193" s="9"/>
      <c r="N193" s="9"/>
    </row>
    <row r="194" spans="1:14" ht="19" x14ac:dyDescent="0.2">
      <c r="A194" s="74"/>
      <c r="B194" s="58"/>
      <c r="C194" s="35"/>
      <c r="D194" s="13"/>
      <c r="E194" s="15"/>
      <c r="F194" s="9"/>
      <c r="G194" s="9"/>
      <c r="H194" s="9"/>
      <c r="I194" s="9">
        <v>100000</v>
      </c>
      <c r="J194" s="9" t="s">
        <v>1683</v>
      </c>
      <c r="K194" s="9"/>
      <c r="L194" s="9"/>
      <c r="M194" s="9"/>
      <c r="N194" s="9"/>
    </row>
    <row r="195" spans="1:14" ht="19" x14ac:dyDescent="0.2">
      <c r="A195" s="74"/>
      <c r="B195" s="58"/>
      <c r="C195" s="3"/>
      <c r="D195" s="13"/>
      <c r="E195" s="15"/>
      <c r="F195" s="9"/>
      <c r="G195" s="9"/>
      <c r="H195" s="76"/>
      <c r="I195" s="9">
        <v>500000</v>
      </c>
      <c r="J195" s="9" t="s">
        <v>1684</v>
      </c>
      <c r="K195" s="9"/>
      <c r="L195" s="9"/>
      <c r="M195" s="9"/>
      <c r="N195" s="9"/>
    </row>
    <row r="196" spans="1:14" ht="19" x14ac:dyDescent="0.2">
      <c r="A196" s="74"/>
      <c r="B196" s="58"/>
      <c r="C196" s="35"/>
      <c r="D196" s="13"/>
      <c r="E196" s="15"/>
      <c r="F196" s="9"/>
      <c r="G196" s="9"/>
      <c r="H196" s="138"/>
      <c r="I196" s="9">
        <v>420000</v>
      </c>
      <c r="J196" s="76" t="s">
        <v>1685</v>
      </c>
      <c r="K196" s="9"/>
      <c r="L196" s="9"/>
      <c r="M196" s="9"/>
      <c r="N196" s="9"/>
    </row>
    <row r="197" spans="1:14" ht="19" x14ac:dyDescent="0.2">
      <c r="A197" s="74">
        <v>1758000</v>
      </c>
      <c r="B197" s="58"/>
      <c r="C197" s="3" t="s">
        <v>10</v>
      </c>
      <c r="D197" s="13" t="s">
        <v>685</v>
      </c>
      <c r="E197" s="15">
        <v>1265000</v>
      </c>
      <c r="F197" s="9">
        <v>493000</v>
      </c>
      <c r="G197" s="9">
        <v>2737000</v>
      </c>
      <c r="H197" s="76" t="s">
        <v>812</v>
      </c>
      <c r="I197" s="9"/>
      <c r="J197" s="9"/>
      <c r="K197" s="9"/>
      <c r="L197" s="9"/>
      <c r="M197" s="9"/>
      <c r="N197" s="9"/>
    </row>
    <row r="198" spans="1:14" ht="19" x14ac:dyDescent="0.2">
      <c r="A198" s="74"/>
      <c r="B198" s="58"/>
      <c r="C198" s="3"/>
      <c r="D198" s="13"/>
      <c r="E198" s="15"/>
      <c r="F198" s="9"/>
      <c r="G198" s="119"/>
      <c r="H198" s="138"/>
      <c r="I198" s="119">
        <v>80000</v>
      </c>
      <c r="J198" s="138" t="s">
        <v>1686</v>
      </c>
      <c r="K198" s="9"/>
      <c r="L198" s="9"/>
      <c r="M198" s="9"/>
      <c r="N198" s="9"/>
    </row>
    <row r="199" spans="1:14" ht="19" x14ac:dyDescent="0.2">
      <c r="A199" s="74"/>
      <c r="B199" s="58"/>
      <c r="C199" s="35"/>
      <c r="D199" s="13"/>
      <c r="E199" s="15"/>
      <c r="F199" s="9"/>
      <c r="G199" s="139"/>
      <c r="H199" s="140"/>
      <c r="I199" s="139">
        <v>483000</v>
      </c>
      <c r="J199" s="140" t="s">
        <v>1687</v>
      </c>
      <c r="K199" s="9"/>
      <c r="L199" s="9"/>
      <c r="M199" s="9"/>
      <c r="N199" s="9"/>
    </row>
    <row r="200" spans="1:14" ht="19" x14ac:dyDescent="0.2">
      <c r="A200" s="74"/>
      <c r="B200" s="58"/>
      <c r="C200" s="35"/>
      <c r="D200" s="13"/>
      <c r="E200" s="15"/>
      <c r="F200" s="9"/>
      <c r="G200" s="9"/>
      <c r="H200" s="138"/>
      <c r="I200" s="9"/>
      <c r="J200" s="9"/>
      <c r="K200" s="9"/>
      <c r="L200" s="9"/>
      <c r="M200" s="9"/>
      <c r="N200" s="9"/>
    </row>
    <row r="201" spans="1:14" ht="19" x14ac:dyDescent="0.2">
      <c r="A201" s="101">
        <v>2010000</v>
      </c>
      <c r="B201" s="58">
        <v>45042</v>
      </c>
      <c r="C201" s="35" t="s">
        <v>1228</v>
      </c>
      <c r="D201" s="102" t="s">
        <v>405</v>
      </c>
      <c r="E201" s="15">
        <v>1668000</v>
      </c>
      <c r="F201" s="9">
        <v>342000</v>
      </c>
      <c r="G201" s="9"/>
      <c r="H201" s="76"/>
      <c r="I201" s="9">
        <v>100000</v>
      </c>
      <c r="J201" s="9" t="s">
        <v>1247</v>
      </c>
      <c r="K201" s="9"/>
      <c r="L201" s="9"/>
      <c r="M201" s="9"/>
      <c r="N201" s="9"/>
    </row>
    <row r="202" spans="1:14" ht="19" x14ac:dyDescent="0.2">
      <c r="A202" s="101"/>
      <c r="B202" s="58"/>
      <c r="C202" s="35"/>
      <c r="D202" s="102"/>
      <c r="E202" s="15"/>
      <c r="F202" s="9"/>
      <c r="G202" s="9"/>
      <c r="H202" s="138"/>
      <c r="I202" s="9">
        <v>56000</v>
      </c>
      <c r="J202" s="9" t="s">
        <v>1650</v>
      </c>
      <c r="K202" s="9"/>
      <c r="L202" s="9"/>
      <c r="M202" s="9"/>
      <c r="N202" s="9"/>
    </row>
    <row r="203" spans="1:14" ht="19" x14ac:dyDescent="0.2">
      <c r="A203" s="74"/>
      <c r="B203" s="58"/>
      <c r="C203" s="2"/>
      <c r="D203" s="13"/>
      <c r="E203" s="15"/>
      <c r="F203" s="9"/>
      <c r="G203" s="9"/>
      <c r="H203" s="77"/>
      <c r="I203" s="9">
        <v>144000</v>
      </c>
      <c r="J203" s="9" t="s">
        <v>1245</v>
      </c>
      <c r="K203" s="9"/>
      <c r="L203" s="9"/>
      <c r="M203" s="9"/>
      <c r="N203" s="9"/>
    </row>
    <row r="204" spans="1:14" ht="19" x14ac:dyDescent="0.2">
      <c r="A204" s="74"/>
      <c r="B204" s="58"/>
      <c r="C204" s="49"/>
      <c r="D204" s="13"/>
      <c r="E204" s="15"/>
      <c r="F204" s="9"/>
      <c r="G204" s="9"/>
      <c r="H204" s="138"/>
      <c r="I204" s="9">
        <v>100000</v>
      </c>
      <c r="J204" s="9" t="s">
        <v>1615</v>
      </c>
      <c r="K204" s="9"/>
      <c r="L204" s="9"/>
      <c r="M204" s="9"/>
      <c r="N204" s="9"/>
    </row>
    <row r="205" spans="1:14" ht="19" x14ac:dyDescent="0.2">
      <c r="A205" s="74"/>
      <c r="B205" s="58"/>
      <c r="C205" s="3"/>
      <c r="D205" s="13"/>
      <c r="E205" s="15"/>
      <c r="F205" s="9"/>
      <c r="G205" s="9"/>
      <c r="H205" s="76"/>
      <c r="I205" s="9">
        <v>200000</v>
      </c>
      <c r="J205" s="9" t="s">
        <v>1614</v>
      </c>
      <c r="K205" s="9"/>
      <c r="L205" s="9"/>
      <c r="M205" s="9"/>
      <c r="N205" s="9"/>
    </row>
    <row r="206" spans="1:14" ht="19" x14ac:dyDescent="0.2">
      <c r="A206" s="74"/>
      <c r="B206" s="58"/>
      <c r="C206" s="35"/>
      <c r="D206" s="13"/>
      <c r="E206" s="15"/>
      <c r="F206" s="9"/>
      <c r="G206" s="9"/>
      <c r="H206" s="138"/>
      <c r="I206" s="9">
        <v>21000</v>
      </c>
      <c r="J206" s="9" t="s">
        <v>1688</v>
      </c>
      <c r="K206" s="9"/>
      <c r="L206" s="9"/>
      <c r="M206" s="9"/>
      <c r="N206" s="9"/>
    </row>
    <row r="207" spans="1:14" ht="19" x14ac:dyDescent="0.2">
      <c r="A207" s="74">
        <v>1738000</v>
      </c>
      <c r="B207" s="58"/>
      <c r="C207" s="2" t="s">
        <v>10</v>
      </c>
      <c r="D207" s="13" t="s">
        <v>685</v>
      </c>
      <c r="E207" s="15">
        <v>1434000</v>
      </c>
      <c r="F207" s="9">
        <v>304000</v>
      </c>
      <c r="G207" s="9"/>
      <c r="H207" s="134"/>
      <c r="I207" s="9"/>
      <c r="J207" s="9"/>
      <c r="K207" s="9"/>
      <c r="L207" s="9"/>
      <c r="M207" s="9"/>
      <c r="N207" s="9"/>
    </row>
    <row r="208" spans="1:14" ht="19" x14ac:dyDescent="0.2">
      <c r="A208" s="74"/>
      <c r="B208" s="58"/>
      <c r="C208" s="49"/>
      <c r="D208" s="13"/>
      <c r="E208" s="15"/>
      <c r="F208" s="9"/>
      <c r="G208" s="9"/>
      <c r="H208" s="138"/>
      <c r="I208" s="9"/>
      <c r="J208" s="9"/>
      <c r="K208" s="9"/>
      <c r="L208" s="9"/>
      <c r="M208" s="9"/>
      <c r="N208" s="9"/>
    </row>
    <row r="209" spans="1:14" ht="19" x14ac:dyDescent="0.2">
      <c r="A209" s="74">
        <v>2055000</v>
      </c>
      <c r="B209" s="58">
        <v>45043</v>
      </c>
      <c r="C209" s="58" t="s">
        <v>1228</v>
      </c>
      <c r="D209" s="13" t="s">
        <v>565</v>
      </c>
      <c r="E209" s="15">
        <v>1651000</v>
      </c>
      <c r="F209" s="9">
        <v>404000</v>
      </c>
      <c r="G209" s="9"/>
      <c r="H209" s="9"/>
      <c r="I209" s="9">
        <v>84000</v>
      </c>
      <c r="J209" s="9" t="s">
        <v>1689</v>
      </c>
      <c r="K209" s="9"/>
      <c r="L209" s="9"/>
      <c r="M209" s="9"/>
      <c r="N209" s="9"/>
    </row>
    <row r="210" spans="1:14" ht="19" x14ac:dyDescent="0.2">
      <c r="A210" s="74"/>
      <c r="B210" s="58"/>
      <c r="C210" s="3"/>
      <c r="D210" s="13"/>
      <c r="E210" s="15"/>
      <c r="F210" s="9"/>
      <c r="G210" s="9"/>
      <c r="H210" s="9"/>
      <c r="I210" s="9">
        <v>140000</v>
      </c>
      <c r="J210" s="9" t="s">
        <v>1606</v>
      </c>
      <c r="K210" s="9"/>
      <c r="L210" s="9"/>
      <c r="M210" s="9"/>
      <c r="N210" s="9"/>
    </row>
    <row r="211" spans="1:14" ht="19" x14ac:dyDescent="0.2">
      <c r="A211" s="74"/>
      <c r="B211" s="75"/>
      <c r="C211" s="35"/>
      <c r="D211" s="13"/>
      <c r="E211" s="15"/>
      <c r="F211" s="9"/>
      <c r="G211" s="9"/>
      <c r="H211" s="77"/>
      <c r="I211" s="9">
        <v>140000</v>
      </c>
      <c r="J211" s="9" t="s">
        <v>1603</v>
      </c>
      <c r="K211" s="9"/>
      <c r="L211" s="9"/>
      <c r="M211" s="9"/>
      <c r="N211" s="9"/>
    </row>
    <row r="212" spans="1:14" ht="19" x14ac:dyDescent="0.2">
      <c r="A212" s="61"/>
      <c r="B212" s="58"/>
      <c r="C212" s="3"/>
      <c r="D212" s="13"/>
      <c r="E212" s="15"/>
      <c r="F212" s="9"/>
      <c r="G212" s="9"/>
      <c r="H212" s="9"/>
      <c r="I212" s="9"/>
      <c r="J212" s="9"/>
      <c r="K212" s="9"/>
      <c r="L212" s="9"/>
      <c r="M212" s="9"/>
      <c r="N212" s="9"/>
    </row>
    <row r="213" spans="1:14" ht="19" x14ac:dyDescent="0.2">
      <c r="A213" s="74">
        <v>1679000</v>
      </c>
      <c r="B213" s="58"/>
      <c r="C213" s="49" t="s">
        <v>10</v>
      </c>
      <c r="D213" s="13" t="s">
        <v>685</v>
      </c>
      <c r="E213" s="15">
        <v>1457000</v>
      </c>
      <c r="F213" s="9">
        <v>222000</v>
      </c>
      <c r="G213" s="9"/>
      <c r="H213" s="9"/>
      <c r="I213" s="76"/>
      <c r="J213" s="76"/>
      <c r="K213" s="9"/>
      <c r="L213" s="9"/>
      <c r="M213" s="9"/>
      <c r="N213" s="9"/>
    </row>
    <row r="214" spans="1:14" ht="19" x14ac:dyDescent="0.2">
      <c r="A214" s="74"/>
      <c r="B214" s="58"/>
      <c r="C214" s="49"/>
      <c r="D214" s="13"/>
      <c r="E214" s="15"/>
      <c r="F214" s="9"/>
      <c r="G214" s="9"/>
      <c r="H214" s="9"/>
      <c r="I214" s="76"/>
      <c r="J214" s="76"/>
      <c r="K214" s="9"/>
      <c r="L214" s="9"/>
      <c r="M214" s="9"/>
      <c r="N214" s="9"/>
    </row>
    <row r="215" spans="1:14" ht="19" x14ac:dyDescent="0.2">
      <c r="A215" s="74">
        <v>1721000</v>
      </c>
      <c r="B215" s="58">
        <v>45044</v>
      </c>
      <c r="C215" s="49" t="s">
        <v>1228</v>
      </c>
      <c r="D215" s="13" t="s">
        <v>405</v>
      </c>
      <c r="E215" s="15">
        <v>1314000</v>
      </c>
      <c r="F215" s="9">
        <v>407000</v>
      </c>
      <c r="G215" s="9"/>
      <c r="H215" s="9"/>
      <c r="I215" s="76">
        <v>49000</v>
      </c>
      <c r="J215" s="76" t="s">
        <v>1690</v>
      </c>
      <c r="K215" s="9"/>
      <c r="L215" s="9"/>
      <c r="M215" s="9"/>
      <c r="N215" s="9"/>
    </row>
    <row r="216" spans="1:14" ht="19" x14ac:dyDescent="0.2">
      <c r="A216" s="74"/>
      <c r="B216" s="58"/>
      <c r="C216" s="49"/>
      <c r="D216" s="13"/>
      <c r="E216" s="15"/>
      <c r="F216" s="9"/>
      <c r="G216" s="9"/>
      <c r="H216" s="9"/>
      <c r="I216" s="76">
        <v>28000</v>
      </c>
      <c r="J216" s="76" t="s">
        <v>1691</v>
      </c>
      <c r="K216" s="9"/>
      <c r="L216" s="9"/>
      <c r="M216" s="9"/>
      <c r="N216" s="9"/>
    </row>
    <row r="217" spans="1:14" ht="19" x14ac:dyDescent="0.2">
      <c r="A217" s="74"/>
      <c r="B217" s="58"/>
      <c r="C217" s="49"/>
      <c r="D217" s="13"/>
      <c r="E217" s="15"/>
      <c r="F217" s="9"/>
      <c r="G217" s="9"/>
      <c r="H217" s="9"/>
      <c r="I217" s="76">
        <v>254500</v>
      </c>
      <c r="J217" s="76" t="s">
        <v>1692</v>
      </c>
      <c r="K217" s="9"/>
      <c r="L217" s="9"/>
      <c r="M217" s="9"/>
      <c r="N217" s="9"/>
    </row>
    <row r="218" spans="1:14" ht="19" x14ac:dyDescent="0.2">
      <c r="A218" s="74"/>
      <c r="B218" s="58"/>
      <c r="C218" s="49"/>
      <c r="D218" s="13"/>
      <c r="E218" s="15"/>
      <c r="F218" s="9"/>
      <c r="G218" s="9"/>
      <c r="H218" s="47"/>
      <c r="I218" s="76">
        <v>69500</v>
      </c>
      <c r="J218" s="76" t="s">
        <v>1585</v>
      </c>
      <c r="K218" s="9"/>
      <c r="L218" s="9"/>
      <c r="M218" s="9"/>
      <c r="N218" s="9"/>
    </row>
    <row r="219" spans="1:14" ht="19" x14ac:dyDescent="0.2">
      <c r="A219" s="74"/>
      <c r="B219" s="58"/>
      <c r="C219" s="49"/>
      <c r="D219" s="13"/>
      <c r="E219" s="15"/>
      <c r="F219" s="9"/>
      <c r="G219" s="9"/>
      <c r="H219" s="9"/>
      <c r="I219" s="76">
        <v>67000</v>
      </c>
      <c r="J219" s="76" t="s">
        <v>1693</v>
      </c>
      <c r="K219" s="9"/>
      <c r="L219" s="9"/>
      <c r="M219" s="9"/>
      <c r="N219" s="9"/>
    </row>
    <row r="220" spans="1:14" ht="19" x14ac:dyDescent="0.2">
      <c r="A220" s="74"/>
      <c r="B220" s="58"/>
      <c r="C220" s="49"/>
      <c r="D220" s="13"/>
      <c r="E220" s="15"/>
      <c r="F220" s="9"/>
      <c r="G220" s="9"/>
      <c r="H220" s="9"/>
      <c r="I220" s="76">
        <v>44000</v>
      </c>
      <c r="J220" s="76" t="s">
        <v>1694</v>
      </c>
      <c r="K220" s="9"/>
      <c r="L220" s="9"/>
      <c r="M220" s="9"/>
      <c r="N220" s="9"/>
    </row>
    <row r="221" spans="1:14" ht="19" x14ac:dyDescent="0.2">
      <c r="A221" s="74"/>
      <c r="B221" s="58"/>
      <c r="C221" s="49"/>
      <c r="D221" s="13"/>
      <c r="E221" s="15"/>
      <c r="F221" s="9"/>
      <c r="G221" s="9"/>
      <c r="H221" s="9"/>
      <c r="I221" s="76">
        <v>78000</v>
      </c>
      <c r="J221" s="76" t="s">
        <v>1641</v>
      </c>
      <c r="K221" s="9"/>
      <c r="L221" s="9"/>
      <c r="M221" s="9"/>
      <c r="N221" s="9"/>
    </row>
    <row r="222" spans="1:14" ht="19" x14ac:dyDescent="0.2">
      <c r="A222" s="74"/>
      <c r="B222" s="58"/>
      <c r="C222" s="2"/>
      <c r="D222" s="13"/>
      <c r="E222" s="15"/>
      <c r="F222" s="9"/>
      <c r="G222" s="9"/>
      <c r="H222" s="9"/>
      <c r="I222" s="76">
        <v>54000</v>
      </c>
      <c r="J222" s="76" t="s">
        <v>1449</v>
      </c>
      <c r="K222" s="9"/>
      <c r="L222" s="9"/>
      <c r="M222" s="9"/>
      <c r="N222" s="9"/>
    </row>
    <row r="223" spans="1:14" ht="19" x14ac:dyDescent="0.2">
      <c r="A223" s="74">
        <v>1773000</v>
      </c>
      <c r="B223" s="58"/>
      <c r="C223" s="49" t="s">
        <v>10</v>
      </c>
      <c r="D223" s="13" t="s">
        <v>685</v>
      </c>
      <c r="E223" s="15">
        <v>1454000</v>
      </c>
      <c r="F223" s="9">
        <v>319000</v>
      </c>
      <c r="G223" s="9"/>
      <c r="H223" s="9"/>
      <c r="I223" s="76">
        <v>56000</v>
      </c>
      <c r="J223" s="76" t="s">
        <v>1681</v>
      </c>
      <c r="K223" s="9"/>
      <c r="L223" s="9"/>
      <c r="M223" s="9"/>
      <c r="N223" s="9"/>
    </row>
    <row r="224" spans="1:14" ht="19" x14ac:dyDescent="0.2">
      <c r="A224" s="74"/>
      <c r="B224" s="58"/>
      <c r="C224" s="3"/>
      <c r="D224" s="13"/>
      <c r="E224" s="15"/>
      <c r="F224" s="9"/>
      <c r="G224" s="9"/>
      <c r="H224" s="9"/>
      <c r="I224" s="76"/>
      <c r="J224" s="76"/>
      <c r="K224" s="9"/>
      <c r="L224" s="9"/>
      <c r="M224" s="9"/>
      <c r="N224" s="9"/>
    </row>
    <row r="225" spans="1:14" ht="19" x14ac:dyDescent="0.2">
      <c r="A225" s="61">
        <v>1484000</v>
      </c>
      <c r="B225" s="58">
        <v>45045</v>
      </c>
      <c r="C225" s="49" t="s">
        <v>1228</v>
      </c>
      <c r="D225" s="13" t="s">
        <v>405</v>
      </c>
      <c r="E225" s="15">
        <v>1306000</v>
      </c>
      <c r="F225" s="9">
        <v>178000</v>
      </c>
      <c r="G225" s="9"/>
      <c r="H225" s="9"/>
      <c r="I225" s="9">
        <v>54000</v>
      </c>
      <c r="J225" s="9" t="s">
        <v>1449</v>
      </c>
      <c r="K225" s="9"/>
      <c r="L225" s="9"/>
      <c r="M225" s="9"/>
      <c r="N225" s="9"/>
    </row>
    <row r="226" spans="1:14" ht="19" x14ac:dyDescent="0.2">
      <c r="A226" s="74"/>
      <c r="B226" s="58"/>
      <c r="C226" s="49"/>
      <c r="D226" s="13"/>
      <c r="E226" s="15"/>
      <c r="F226" s="9"/>
      <c r="G226" s="9"/>
      <c r="H226" s="9"/>
      <c r="I226" s="9">
        <v>5500</v>
      </c>
      <c r="J226" s="9" t="s">
        <v>1607</v>
      </c>
      <c r="K226" s="9"/>
      <c r="L226" s="9"/>
      <c r="M226" s="9"/>
      <c r="N226" s="9"/>
    </row>
    <row r="227" spans="1:14" ht="19" x14ac:dyDescent="0.2">
      <c r="A227" s="74"/>
      <c r="B227" s="58"/>
      <c r="C227" s="49"/>
      <c r="D227" s="13"/>
      <c r="E227" s="15"/>
      <c r="F227" s="9"/>
      <c r="G227" s="9"/>
      <c r="H227" s="9"/>
      <c r="I227" s="9">
        <v>36000</v>
      </c>
      <c r="J227" s="9" t="s">
        <v>1695</v>
      </c>
      <c r="K227" s="9"/>
      <c r="L227" s="9"/>
      <c r="M227" s="9"/>
      <c r="N227" s="9"/>
    </row>
    <row r="228" spans="1:14" ht="19" x14ac:dyDescent="0.2">
      <c r="A228" s="74"/>
      <c r="B228" s="58"/>
      <c r="C228" s="35"/>
      <c r="D228" s="13"/>
      <c r="E228" s="15"/>
      <c r="F228" s="9"/>
      <c r="G228" s="9"/>
      <c r="H228" s="9"/>
      <c r="I228" s="9">
        <v>260000</v>
      </c>
      <c r="J228" s="9" t="s">
        <v>1696</v>
      </c>
      <c r="K228" s="9"/>
      <c r="L228" s="9"/>
      <c r="M228" s="9"/>
      <c r="N228" s="9"/>
    </row>
    <row r="229" spans="1:14" ht="19" x14ac:dyDescent="0.2">
      <c r="A229" s="74">
        <v>1566000</v>
      </c>
      <c r="B229" s="58"/>
      <c r="C229" s="49" t="s">
        <v>10</v>
      </c>
      <c r="D229" s="13" t="s">
        <v>685</v>
      </c>
      <c r="E229" s="15">
        <v>1520000</v>
      </c>
      <c r="F229" s="9">
        <v>46000</v>
      </c>
      <c r="G229" s="9">
        <v>2746000</v>
      </c>
      <c r="H229" s="9" t="s">
        <v>812</v>
      </c>
      <c r="I229" s="9">
        <v>50000</v>
      </c>
      <c r="J229" s="9" t="s">
        <v>123</v>
      </c>
      <c r="K229" s="9"/>
      <c r="L229" s="9"/>
      <c r="M229" s="9"/>
      <c r="N229" s="9"/>
    </row>
    <row r="230" spans="1:14" ht="19" x14ac:dyDescent="0.2">
      <c r="A230" s="74"/>
      <c r="B230" s="58"/>
      <c r="C230" s="35"/>
      <c r="D230" s="13"/>
      <c r="E230" s="15"/>
      <c r="F230" s="9"/>
      <c r="G230" s="9"/>
      <c r="H230" s="9"/>
      <c r="I230" s="9">
        <v>75000</v>
      </c>
      <c r="J230" s="9" t="s">
        <v>1697</v>
      </c>
      <c r="K230" s="9"/>
      <c r="L230" s="9"/>
      <c r="M230" s="9"/>
      <c r="N230" s="9"/>
    </row>
    <row r="231" spans="1:14" ht="19" x14ac:dyDescent="0.2">
      <c r="A231" s="74">
        <v>907000</v>
      </c>
      <c r="B231" s="58">
        <v>45046</v>
      </c>
      <c r="C231" s="49" t="s">
        <v>1228</v>
      </c>
      <c r="D231" s="13" t="s">
        <v>405</v>
      </c>
      <c r="E231" s="15">
        <v>771000</v>
      </c>
      <c r="F231" s="9">
        <v>136000</v>
      </c>
      <c r="G231" s="9">
        <v>1680000</v>
      </c>
      <c r="H231" s="9" t="s">
        <v>1698</v>
      </c>
      <c r="I231" s="9"/>
      <c r="J231" s="9"/>
      <c r="K231" s="9"/>
      <c r="L231" s="9"/>
      <c r="M231" s="9"/>
      <c r="N231" s="9"/>
    </row>
    <row r="232" spans="1:14" ht="19" x14ac:dyDescent="0.2">
      <c r="A232" s="74"/>
      <c r="B232" s="75"/>
      <c r="C232" s="49"/>
      <c r="D232" s="13"/>
      <c r="E232" s="15"/>
      <c r="F232" s="9"/>
      <c r="G232" s="9">
        <v>1680000</v>
      </c>
      <c r="H232" s="9" t="s">
        <v>1699</v>
      </c>
      <c r="I232" s="9"/>
      <c r="J232" s="9"/>
      <c r="K232" s="9"/>
      <c r="L232" s="9"/>
      <c r="M232" s="9"/>
      <c r="N232" s="9"/>
    </row>
    <row r="233" spans="1:14" ht="30" customHeight="1" x14ac:dyDescent="0.2">
      <c r="A233" s="61">
        <v>1600000</v>
      </c>
      <c r="B233" s="58"/>
      <c r="C233" s="49" t="s">
        <v>10</v>
      </c>
      <c r="D233" s="13" t="s">
        <v>565</v>
      </c>
      <c r="E233" s="15">
        <v>1331000</v>
      </c>
      <c r="F233" s="9">
        <v>269000</v>
      </c>
      <c r="G233" s="9">
        <v>1892000</v>
      </c>
      <c r="H233" s="47" t="s">
        <v>1700</v>
      </c>
      <c r="I233" s="76">
        <v>140000</v>
      </c>
      <c r="J233" s="76" t="s">
        <v>1701</v>
      </c>
      <c r="K233" s="9"/>
      <c r="L233" s="9"/>
      <c r="M233" s="9"/>
      <c r="N233" s="9"/>
    </row>
    <row r="234" spans="1:14" ht="19" x14ac:dyDescent="0.2">
      <c r="A234" s="74"/>
      <c r="B234" s="58"/>
      <c r="C234" s="49"/>
      <c r="D234" s="13"/>
      <c r="E234" s="15"/>
      <c r="F234" s="9"/>
      <c r="G234" s="9">
        <v>1000000</v>
      </c>
      <c r="H234" s="9" t="s">
        <v>717</v>
      </c>
      <c r="I234" s="9"/>
      <c r="J234" s="9"/>
      <c r="K234" s="9"/>
      <c r="L234" s="9"/>
      <c r="M234" s="9"/>
      <c r="N234" s="9"/>
    </row>
  </sheetData>
  <mergeCells count="1">
    <mergeCell ref="F3:G3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M243"/>
  <sheetViews>
    <sheetView topLeftCell="A73" zoomScale="90" zoomScaleNormal="90" workbookViewId="0">
      <selection activeCell="P172" sqref="P172"/>
    </sheetView>
  </sheetViews>
  <sheetFormatPr baseColWidth="10" defaultColWidth="11.5" defaultRowHeight="15" x14ac:dyDescent="0.2"/>
  <cols>
    <col min="1" max="1" width="24.6640625" customWidth="1"/>
    <col min="3" max="3" width="13" customWidth="1"/>
    <col min="4" max="4" width="12.1640625" customWidth="1"/>
    <col min="5" max="5" width="25.5" customWidth="1"/>
    <col min="6" max="6" width="21.83203125" customWidth="1"/>
    <col min="7" max="7" width="21.5" customWidth="1"/>
    <col min="8" max="8" width="26.33203125" customWidth="1"/>
    <col min="9" max="9" width="21.6640625" customWidth="1"/>
    <col min="10" max="10" width="27.33203125" customWidth="1"/>
    <col min="11" max="11" width="8.1640625" customWidth="1"/>
    <col min="12" max="12" width="6" customWidth="1"/>
    <col min="13" max="13" width="7" customWidth="1"/>
    <col min="14" max="14" width="7.33203125" customWidth="1"/>
  </cols>
  <sheetData>
    <row r="3" spans="1:13" ht="21" x14ac:dyDescent="0.2">
      <c r="G3" s="73"/>
      <c r="H3" s="71" t="s">
        <v>174</v>
      </c>
      <c r="I3" s="71">
        <f>L10/A10</f>
        <v>0</v>
      </c>
    </row>
    <row r="4" spans="1:13" ht="21" x14ac:dyDescent="0.2">
      <c r="F4" s="306" t="s">
        <v>1802</v>
      </c>
      <c r="G4" s="307"/>
      <c r="H4" s="71" t="s">
        <v>175</v>
      </c>
      <c r="I4" s="71">
        <v>25353300</v>
      </c>
      <c r="J4" s="72">
        <f>I4/10820</f>
        <v>2343.1885397412198</v>
      </c>
    </row>
    <row r="5" spans="1:13" ht="24" x14ac:dyDescent="0.3">
      <c r="B5" s="99" t="s">
        <v>1803</v>
      </c>
      <c r="G5" s="73"/>
      <c r="H5" s="71" t="s">
        <v>176</v>
      </c>
      <c r="I5" s="71">
        <v>10865700</v>
      </c>
      <c r="J5" s="72">
        <f>I5/10820</f>
        <v>1004.2236598890943</v>
      </c>
    </row>
    <row r="6" spans="1:13" ht="24" x14ac:dyDescent="0.3">
      <c r="B6" s="99"/>
      <c r="G6" s="73"/>
      <c r="H6" s="71" t="s">
        <v>178</v>
      </c>
      <c r="I6" s="71">
        <v>13324608</v>
      </c>
      <c r="J6" s="72" t="s">
        <v>1804</v>
      </c>
      <c r="L6" s="85"/>
      <c r="M6" s="85"/>
    </row>
    <row r="7" spans="1:13" ht="26" x14ac:dyDescent="0.3">
      <c r="B7" s="100" t="s">
        <v>1801</v>
      </c>
    </row>
    <row r="9" spans="1:13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/>
      <c r="L9" s="114"/>
    </row>
    <row r="10" spans="1:13" ht="21" x14ac:dyDescent="0.2">
      <c r="A10" s="69">
        <f>SUM(A11:A261)</f>
        <v>105251000</v>
      </c>
      <c r="B10" s="65"/>
      <c r="C10" s="66" t="s">
        <v>13</v>
      </c>
      <c r="D10" s="67"/>
      <c r="E10" s="68">
        <f>SUM(E11:E261)</f>
        <v>80656000</v>
      </c>
      <c r="F10" s="69">
        <f>SUM(F11:F261)</f>
        <v>24595000</v>
      </c>
      <c r="G10" s="69">
        <f>SUM(G11:G261)</f>
        <v>27380000</v>
      </c>
      <c r="H10" s="69"/>
      <c r="I10" s="69">
        <f>SUM(I11:I261)</f>
        <v>17057000</v>
      </c>
      <c r="J10" s="69"/>
      <c r="K10" s="69"/>
      <c r="L10" s="69"/>
    </row>
    <row r="11" spans="1:13" s="156" customFormat="1" ht="19" x14ac:dyDescent="0.2">
      <c r="A11" s="144">
        <v>1673000</v>
      </c>
      <c r="B11" s="145">
        <v>45047</v>
      </c>
      <c r="C11" s="146" t="s">
        <v>1228</v>
      </c>
      <c r="D11" s="147" t="s">
        <v>405</v>
      </c>
      <c r="E11" s="139">
        <v>1460000</v>
      </c>
      <c r="F11" s="139">
        <v>213000</v>
      </c>
      <c r="G11" s="139">
        <v>410000</v>
      </c>
      <c r="H11" s="139" t="s">
        <v>1798</v>
      </c>
      <c r="I11" s="139">
        <v>80000</v>
      </c>
      <c r="J11" s="139" t="s">
        <v>1597</v>
      </c>
      <c r="K11" s="139"/>
      <c r="L11" s="139"/>
    </row>
    <row r="12" spans="1:13" ht="19" x14ac:dyDescent="0.2">
      <c r="A12" s="142"/>
      <c r="B12" s="32"/>
      <c r="C12" s="49"/>
      <c r="D12" s="13"/>
      <c r="E12" s="15"/>
      <c r="F12" s="9"/>
      <c r="G12" s="9"/>
      <c r="H12" s="9"/>
      <c r="I12" s="9">
        <v>70000</v>
      </c>
      <c r="J12" s="9" t="s">
        <v>1285</v>
      </c>
      <c r="K12" s="9"/>
      <c r="L12" s="9"/>
    </row>
    <row r="13" spans="1:13" ht="19" x14ac:dyDescent="0.2">
      <c r="A13" s="148"/>
      <c r="B13" s="145"/>
      <c r="C13" s="149"/>
      <c r="D13" s="147"/>
      <c r="E13" s="150"/>
      <c r="F13" s="139"/>
      <c r="G13" s="139"/>
      <c r="H13" s="139"/>
      <c r="I13" s="139">
        <v>270000</v>
      </c>
      <c r="J13" s="139" t="s">
        <v>1508</v>
      </c>
      <c r="K13" s="139"/>
      <c r="L13" s="139"/>
    </row>
    <row r="14" spans="1:13" ht="19" x14ac:dyDescent="0.2">
      <c r="A14" s="142">
        <v>1791000</v>
      </c>
      <c r="B14" s="32"/>
      <c r="C14" s="49" t="s">
        <v>10</v>
      </c>
      <c r="D14" s="13" t="s">
        <v>685</v>
      </c>
      <c r="E14" s="15">
        <v>1345000</v>
      </c>
      <c r="F14" s="9">
        <v>446000</v>
      </c>
      <c r="G14" s="9"/>
      <c r="H14" s="9"/>
      <c r="I14" s="9">
        <v>60000</v>
      </c>
      <c r="J14" s="9" t="s">
        <v>1708</v>
      </c>
      <c r="K14" s="9"/>
      <c r="L14" s="9"/>
    </row>
    <row r="15" spans="1:13" ht="19" x14ac:dyDescent="0.2">
      <c r="A15" s="144"/>
      <c r="B15" s="145"/>
      <c r="C15" s="151"/>
      <c r="D15" s="147"/>
      <c r="E15" s="150"/>
      <c r="F15" s="139"/>
      <c r="G15" s="152"/>
      <c r="H15" s="152"/>
      <c r="I15" s="152"/>
      <c r="J15" s="139"/>
      <c r="K15" s="139"/>
      <c r="L15" s="139"/>
    </row>
    <row r="16" spans="1:13" s="156" customFormat="1" ht="19" x14ac:dyDescent="0.2">
      <c r="A16" s="143">
        <v>2403000</v>
      </c>
      <c r="B16" s="153">
        <v>45048</v>
      </c>
      <c r="C16" s="163" t="s">
        <v>1228</v>
      </c>
      <c r="D16" s="155" t="s">
        <v>565</v>
      </c>
      <c r="E16" s="164">
        <v>1773000</v>
      </c>
      <c r="F16" s="119">
        <v>630000</v>
      </c>
      <c r="G16" s="119">
        <v>1800000</v>
      </c>
      <c r="H16" s="119" t="s">
        <v>1795</v>
      </c>
      <c r="I16" s="119">
        <v>84000</v>
      </c>
      <c r="J16" s="119" t="s">
        <v>1310</v>
      </c>
      <c r="K16" s="119"/>
      <c r="L16" s="119"/>
    </row>
    <row r="17" spans="1:12" ht="19" x14ac:dyDescent="0.2">
      <c r="A17" s="144"/>
      <c r="B17" s="145"/>
      <c r="C17" s="151"/>
      <c r="D17" s="147"/>
      <c r="E17" s="150"/>
      <c r="F17" s="139"/>
      <c r="G17" s="139"/>
      <c r="H17" s="139"/>
      <c r="I17" s="139">
        <v>75000</v>
      </c>
      <c r="J17" s="139" t="s">
        <v>1709</v>
      </c>
      <c r="K17" s="139"/>
      <c r="L17" s="139"/>
    </row>
    <row r="18" spans="1:12" ht="19" x14ac:dyDescent="0.2">
      <c r="A18" s="143">
        <v>1525000</v>
      </c>
      <c r="B18" s="32"/>
      <c r="C18" s="35" t="s">
        <v>10</v>
      </c>
      <c r="D18" s="13" t="s">
        <v>685</v>
      </c>
      <c r="E18" s="15">
        <v>1189000</v>
      </c>
      <c r="F18" s="9">
        <v>336000</v>
      </c>
      <c r="G18" s="9"/>
      <c r="H18" s="9"/>
      <c r="I18" s="9">
        <v>100000</v>
      </c>
      <c r="J18" s="9" t="s">
        <v>1710</v>
      </c>
      <c r="K18" s="9"/>
      <c r="L18" s="9"/>
    </row>
    <row r="19" spans="1:12" ht="19" x14ac:dyDescent="0.2">
      <c r="A19" s="148"/>
      <c r="B19" s="145"/>
      <c r="C19" s="151"/>
      <c r="D19" s="147"/>
      <c r="E19" s="150"/>
      <c r="F19" s="139"/>
      <c r="G19" s="139"/>
      <c r="H19" s="139"/>
      <c r="I19" s="139">
        <v>200000</v>
      </c>
      <c r="J19" s="139" t="s">
        <v>1614</v>
      </c>
      <c r="K19" s="139"/>
      <c r="L19" s="139"/>
    </row>
    <row r="20" spans="1:12" ht="19" x14ac:dyDescent="0.2">
      <c r="A20" s="142"/>
      <c r="B20" s="32"/>
      <c r="C20" s="35"/>
      <c r="D20" s="13"/>
      <c r="E20" s="15"/>
      <c r="F20" s="9"/>
      <c r="G20" s="9"/>
      <c r="H20" s="9"/>
      <c r="I20" s="9">
        <v>54000</v>
      </c>
      <c r="J20" s="9" t="s">
        <v>1449</v>
      </c>
      <c r="K20" s="9"/>
      <c r="L20" s="9"/>
    </row>
    <row r="21" spans="1:12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39000</v>
      </c>
      <c r="J21" s="139" t="s">
        <v>1493</v>
      </c>
      <c r="K21" s="139"/>
      <c r="L21" s="139"/>
    </row>
    <row r="22" spans="1:12" ht="19" x14ac:dyDescent="0.2">
      <c r="A22" s="143"/>
      <c r="B22" s="32"/>
      <c r="C22" s="35"/>
      <c r="D22" s="13"/>
      <c r="E22" s="15"/>
      <c r="F22" s="9"/>
      <c r="G22" s="9"/>
      <c r="H22" s="9"/>
      <c r="I22" s="9">
        <v>96500</v>
      </c>
      <c r="J22" s="9" t="s">
        <v>1711</v>
      </c>
      <c r="K22" s="9"/>
      <c r="L22" s="9"/>
    </row>
    <row r="23" spans="1:12" ht="19" x14ac:dyDescent="0.2">
      <c r="A23" s="144"/>
      <c r="B23" s="145"/>
      <c r="C23" s="149"/>
      <c r="D23" s="147"/>
      <c r="E23" s="150"/>
      <c r="F23" s="139"/>
      <c r="G23" s="139"/>
      <c r="H23" s="139"/>
      <c r="I23" s="139">
        <v>370000</v>
      </c>
      <c r="J23" s="139" t="s">
        <v>1712</v>
      </c>
      <c r="K23" s="139"/>
      <c r="L23" s="139"/>
    </row>
    <row r="24" spans="1:12" ht="19" x14ac:dyDescent="0.2">
      <c r="A24" s="143"/>
      <c r="B24" s="32"/>
      <c r="C24" s="49"/>
      <c r="D24" s="13"/>
      <c r="E24" s="15"/>
      <c r="F24" s="9"/>
      <c r="G24" s="9"/>
      <c r="H24" s="9"/>
      <c r="I24" s="9">
        <v>29000</v>
      </c>
      <c r="J24" s="9" t="s">
        <v>1713</v>
      </c>
      <c r="K24" s="9"/>
      <c r="L24" s="9"/>
    </row>
    <row r="25" spans="1:12" ht="19" x14ac:dyDescent="0.2">
      <c r="A25" s="144"/>
      <c r="B25" s="145"/>
      <c r="C25" s="149"/>
      <c r="D25" s="147"/>
      <c r="E25" s="150"/>
      <c r="F25" s="139"/>
      <c r="G25" s="139"/>
      <c r="H25" s="139"/>
      <c r="I25" s="139"/>
      <c r="J25" s="139"/>
      <c r="K25" s="139"/>
      <c r="L25" s="139"/>
    </row>
    <row r="26" spans="1:12" s="156" customFormat="1" ht="19" x14ac:dyDescent="0.2">
      <c r="A26" s="143">
        <v>2165000</v>
      </c>
      <c r="B26" s="153">
        <v>45049</v>
      </c>
      <c r="C26" s="163" t="s">
        <v>1228</v>
      </c>
      <c r="D26" s="155" t="s">
        <v>405</v>
      </c>
      <c r="E26" s="164">
        <v>1776000</v>
      </c>
      <c r="F26" s="119">
        <v>389000</v>
      </c>
      <c r="G26" s="119"/>
      <c r="H26" s="119"/>
      <c r="I26" s="119">
        <v>78000</v>
      </c>
      <c r="J26" s="119" t="s">
        <v>1714</v>
      </c>
      <c r="K26" s="119"/>
      <c r="L26" s="119"/>
    </row>
    <row r="27" spans="1:12" ht="19" x14ac:dyDescent="0.2">
      <c r="A27" s="144"/>
      <c r="B27" s="145"/>
      <c r="C27" s="149"/>
      <c r="D27" s="147"/>
      <c r="E27" s="150"/>
      <c r="F27" s="139"/>
      <c r="G27" s="139"/>
      <c r="H27" s="139"/>
      <c r="I27" s="139">
        <v>30000</v>
      </c>
      <c r="J27" s="139" t="s">
        <v>1715</v>
      </c>
      <c r="K27" s="139"/>
      <c r="L27" s="139"/>
    </row>
    <row r="28" spans="1:12" ht="19" x14ac:dyDescent="0.2">
      <c r="A28" s="143"/>
      <c r="B28" s="32"/>
      <c r="C28" s="49"/>
      <c r="D28" s="13"/>
      <c r="E28" s="15"/>
      <c r="F28" s="9"/>
      <c r="G28" s="9"/>
      <c r="H28" s="9"/>
      <c r="I28" s="9">
        <v>3500</v>
      </c>
      <c r="J28" s="9" t="s">
        <v>1716</v>
      </c>
      <c r="K28" s="9"/>
      <c r="L28" s="9"/>
    </row>
    <row r="29" spans="1:12" ht="19" x14ac:dyDescent="0.2">
      <c r="A29" s="144"/>
      <c r="B29" s="145"/>
      <c r="C29" s="149"/>
      <c r="D29" s="147"/>
      <c r="E29" s="150"/>
      <c r="F29" s="139"/>
      <c r="G29" s="139"/>
      <c r="H29" s="139"/>
      <c r="I29" s="139">
        <v>37000</v>
      </c>
      <c r="J29" s="139" t="s">
        <v>1717</v>
      </c>
      <c r="K29" s="139"/>
      <c r="L29" s="139"/>
    </row>
    <row r="30" spans="1:12" ht="19" x14ac:dyDescent="0.2">
      <c r="A30" s="142"/>
      <c r="B30" s="32"/>
      <c r="C30" s="49"/>
      <c r="D30" s="13"/>
      <c r="E30" s="15"/>
      <c r="F30" s="9"/>
      <c r="G30" s="9"/>
      <c r="H30" s="9"/>
      <c r="I30" s="9">
        <v>32000</v>
      </c>
      <c r="J30" s="9" t="s">
        <v>1718</v>
      </c>
      <c r="K30" s="9"/>
      <c r="L30" s="9"/>
    </row>
    <row r="31" spans="1:12" ht="19" x14ac:dyDescent="0.2">
      <c r="A31" s="148"/>
      <c r="B31" s="145"/>
      <c r="C31" s="149"/>
      <c r="D31" s="147"/>
      <c r="E31" s="150"/>
      <c r="F31" s="139"/>
      <c r="G31" s="139"/>
      <c r="H31" s="139"/>
      <c r="I31" s="139">
        <v>43000</v>
      </c>
      <c r="J31" s="139" t="s">
        <v>1719</v>
      </c>
      <c r="K31" s="139"/>
      <c r="L31" s="139"/>
    </row>
    <row r="32" spans="1:12" ht="19" x14ac:dyDescent="0.2">
      <c r="A32" s="142"/>
      <c r="B32" s="32"/>
      <c r="C32" s="49"/>
      <c r="D32" s="13"/>
      <c r="E32" s="15"/>
      <c r="F32" s="9"/>
      <c r="G32" s="9"/>
      <c r="H32" s="9"/>
      <c r="I32" s="9">
        <v>54000</v>
      </c>
      <c r="J32" s="9" t="s">
        <v>1449</v>
      </c>
      <c r="K32" s="9"/>
      <c r="L32" s="9"/>
    </row>
    <row r="33" spans="1:12" ht="19" x14ac:dyDescent="0.2">
      <c r="A33" s="148"/>
      <c r="B33" s="145"/>
      <c r="C33" s="149"/>
      <c r="D33" s="147"/>
      <c r="E33" s="150"/>
      <c r="F33" s="139"/>
      <c r="G33" s="139"/>
      <c r="H33" s="139"/>
      <c r="I33" s="139">
        <v>350000</v>
      </c>
      <c r="J33" s="139" t="s">
        <v>1720</v>
      </c>
      <c r="K33" s="139"/>
      <c r="L33" s="139"/>
    </row>
    <row r="34" spans="1:12" ht="19" x14ac:dyDescent="0.2">
      <c r="A34" s="142">
        <v>1633000</v>
      </c>
      <c r="B34" s="32"/>
      <c r="C34" s="49" t="s">
        <v>10</v>
      </c>
      <c r="D34" s="13" t="s">
        <v>685</v>
      </c>
      <c r="E34" s="15">
        <v>1231000</v>
      </c>
      <c r="F34" s="9">
        <v>402000</v>
      </c>
      <c r="G34" s="9"/>
      <c r="H34" s="9"/>
      <c r="I34" s="9"/>
      <c r="J34" s="9"/>
      <c r="K34" s="9"/>
      <c r="L34" s="9"/>
    </row>
    <row r="35" spans="1:12" ht="19" x14ac:dyDescent="0.2">
      <c r="A35" s="148"/>
      <c r="B35" s="145"/>
      <c r="C35" s="149"/>
      <c r="D35" s="147"/>
      <c r="E35" s="150"/>
      <c r="F35" s="139"/>
      <c r="G35" s="139"/>
      <c r="H35" s="139"/>
      <c r="I35" s="139"/>
      <c r="J35" s="139"/>
      <c r="K35" s="139"/>
      <c r="L35" s="139"/>
    </row>
    <row r="36" spans="1:12" s="156" customFormat="1" ht="19" x14ac:dyDescent="0.2">
      <c r="A36" s="142">
        <v>1592000</v>
      </c>
      <c r="B36" s="153">
        <v>45020</v>
      </c>
      <c r="C36" s="171" t="s">
        <v>1228</v>
      </c>
      <c r="D36" s="155" t="s">
        <v>405</v>
      </c>
      <c r="E36" s="164">
        <v>1215000</v>
      </c>
      <c r="F36" s="119">
        <v>377000</v>
      </c>
      <c r="G36" s="119"/>
      <c r="H36" s="119"/>
      <c r="I36" s="119">
        <v>112000</v>
      </c>
      <c r="J36" s="119" t="s">
        <v>1553</v>
      </c>
      <c r="K36" s="119"/>
      <c r="L36" s="119"/>
    </row>
    <row r="37" spans="1:12" ht="19" x14ac:dyDescent="0.2">
      <c r="A37" s="148"/>
      <c r="B37" s="145"/>
      <c r="C37" s="149"/>
      <c r="D37" s="147"/>
      <c r="E37" s="150"/>
      <c r="F37" s="139"/>
      <c r="G37" s="139"/>
      <c r="H37" s="139"/>
      <c r="I37" s="139"/>
      <c r="J37" s="139"/>
      <c r="K37" s="139"/>
      <c r="L37" s="139"/>
    </row>
    <row r="38" spans="1:12" ht="19" x14ac:dyDescent="0.2">
      <c r="A38" s="143">
        <v>2320000</v>
      </c>
      <c r="B38" s="32"/>
      <c r="C38" s="49" t="s">
        <v>10</v>
      </c>
      <c r="D38" s="13" t="s">
        <v>685</v>
      </c>
      <c r="E38" s="15">
        <v>1933000</v>
      </c>
      <c r="F38" s="9">
        <v>387000</v>
      </c>
      <c r="G38" s="9"/>
      <c r="H38" s="9"/>
      <c r="I38" s="9"/>
      <c r="J38" s="9"/>
      <c r="K38" s="9"/>
      <c r="L38" s="9"/>
    </row>
    <row r="39" spans="1:12" ht="19" x14ac:dyDescent="0.2">
      <c r="A39" s="144"/>
      <c r="B39" s="145"/>
      <c r="C39" s="149"/>
      <c r="D39" s="147"/>
      <c r="E39" s="150"/>
      <c r="F39" s="139"/>
      <c r="G39" s="139"/>
      <c r="H39" s="139"/>
      <c r="I39" s="139"/>
      <c r="J39" s="139"/>
      <c r="K39" s="139"/>
      <c r="L39" s="139"/>
    </row>
    <row r="40" spans="1:12" ht="19" x14ac:dyDescent="0.2">
      <c r="A40" s="143"/>
      <c r="B40" s="32"/>
      <c r="C40" s="49"/>
      <c r="D40" s="13"/>
      <c r="E40" s="15"/>
      <c r="F40" s="9"/>
      <c r="G40" s="9"/>
      <c r="H40" s="9"/>
      <c r="I40" s="9"/>
      <c r="J40" s="9"/>
      <c r="K40" s="9"/>
      <c r="L40" s="9"/>
    </row>
    <row r="41" spans="1:12" ht="19" x14ac:dyDescent="0.2">
      <c r="A41" s="144">
        <v>1372000</v>
      </c>
      <c r="B41" s="145">
        <v>45021</v>
      </c>
      <c r="C41" s="149" t="s">
        <v>1228</v>
      </c>
      <c r="D41" s="147" t="s">
        <v>405</v>
      </c>
      <c r="E41" s="150">
        <v>1042000</v>
      </c>
      <c r="F41" s="139">
        <v>330000</v>
      </c>
      <c r="G41" s="139"/>
      <c r="H41" s="139"/>
      <c r="I41" s="139">
        <v>200000</v>
      </c>
      <c r="J41" s="139" t="s">
        <v>1543</v>
      </c>
      <c r="K41" s="139"/>
      <c r="L41" s="139"/>
    </row>
    <row r="42" spans="1:12" ht="19" x14ac:dyDescent="0.2">
      <c r="A42" s="143"/>
      <c r="B42" s="32"/>
      <c r="C42" s="49"/>
      <c r="D42" s="13"/>
      <c r="E42" s="15"/>
      <c r="F42" s="9"/>
      <c r="G42" s="9"/>
      <c r="H42" s="135"/>
      <c r="I42" s="9"/>
      <c r="J42" s="9"/>
      <c r="K42" s="9"/>
      <c r="L42" s="9"/>
    </row>
    <row r="43" spans="1:12" ht="19" x14ac:dyDescent="0.2">
      <c r="A43" s="144">
        <v>2429000</v>
      </c>
      <c r="B43" s="145"/>
      <c r="C43" s="149" t="s">
        <v>10</v>
      </c>
      <c r="D43" s="147" t="s">
        <v>685</v>
      </c>
      <c r="E43" s="150">
        <v>1693000</v>
      </c>
      <c r="F43" s="139">
        <v>736000</v>
      </c>
      <c r="G43" s="139"/>
      <c r="H43" s="139"/>
      <c r="I43" s="139">
        <v>144000</v>
      </c>
      <c r="J43" s="139" t="s">
        <v>1245</v>
      </c>
      <c r="K43" s="139"/>
      <c r="L43" s="139"/>
    </row>
    <row r="44" spans="1:12" ht="19" x14ac:dyDescent="0.2">
      <c r="A44" s="143"/>
      <c r="B44" s="32"/>
      <c r="C44" s="49"/>
      <c r="D44" s="13"/>
      <c r="E44" s="15"/>
      <c r="F44" s="9"/>
      <c r="G44" s="9"/>
      <c r="H44" s="9"/>
      <c r="I44" s="9">
        <v>56000</v>
      </c>
      <c r="J44" s="9" t="s">
        <v>1448</v>
      </c>
      <c r="K44" s="9"/>
      <c r="L44" s="9"/>
    </row>
    <row r="45" spans="1:12" ht="19" x14ac:dyDescent="0.2">
      <c r="A45" s="144"/>
      <c r="B45" s="145"/>
      <c r="C45" s="149"/>
      <c r="D45" s="147"/>
      <c r="E45" s="150"/>
      <c r="F45" s="139"/>
      <c r="G45" s="139"/>
      <c r="H45" s="139"/>
      <c r="I45" s="139">
        <v>100000</v>
      </c>
      <c r="J45" s="139" t="s">
        <v>1296</v>
      </c>
      <c r="K45" s="139"/>
      <c r="L45" s="139"/>
    </row>
    <row r="46" spans="1:12" s="156" customFormat="1" ht="19" x14ac:dyDescent="0.2">
      <c r="A46" s="143">
        <v>1664000</v>
      </c>
      <c r="B46" s="153">
        <v>45022</v>
      </c>
      <c r="C46" s="171" t="s">
        <v>1228</v>
      </c>
      <c r="D46" s="155" t="s">
        <v>405</v>
      </c>
      <c r="E46" s="164">
        <v>1326000</v>
      </c>
      <c r="F46" s="119">
        <v>338000</v>
      </c>
      <c r="G46" s="119"/>
      <c r="H46" s="119"/>
      <c r="I46" s="119">
        <v>10000</v>
      </c>
      <c r="J46" s="119" t="s">
        <v>1375</v>
      </c>
      <c r="K46" s="119"/>
      <c r="L46" s="119"/>
    </row>
    <row r="47" spans="1:12" ht="19" x14ac:dyDescent="0.2">
      <c r="A47" s="144"/>
      <c r="B47" s="145"/>
      <c r="C47" s="149"/>
      <c r="D47" s="147"/>
      <c r="E47" s="150"/>
      <c r="F47" s="139"/>
      <c r="G47" s="139"/>
      <c r="H47" s="139"/>
      <c r="I47" s="139"/>
      <c r="J47" s="139"/>
      <c r="K47" s="139"/>
      <c r="L47" s="139"/>
    </row>
    <row r="48" spans="1:12" ht="19" x14ac:dyDescent="0.2">
      <c r="A48" s="143">
        <v>1872000</v>
      </c>
      <c r="B48" s="32"/>
      <c r="C48" s="49" t="s">
        <v>10</v>
      </c>
      <c r="D48" s="13" t="s">
        <v>685</v>
      </c>
      <c r="E48" s="15">
        <v>1378000</v>
      </c>
      <c r="F48" s="9">
        <v>494000</v>
      </c>
      <c r="G48" s="9"/>
      <c r="H48" s="9"/>
      <c r="I48" s="9">
        <v>50000</v>
      </c>
      <c r="J48" s="9" t="s">
        <v>123</v>
      </c>
      <c r="K48" s="9"/>
      <c r="L48" s="9"/>
    </row>
    <row r="49" spans="1:12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112000</v>
      </c>
      <c r="J49" s="139" t="s">
        <v>1553</v>
      </c>
      <c r="K49" s="139"/>
      <c r="L49" s="139"/>
    </row>
    <row r="50" spans="1:12" s="156" customFormat="1" ht="19" x14ac:dyDescent="0.2">
      <c r="A50" s="143"/>
      <c r="B50" s="153">
        <v>45023</v>
      </c>
      <c r="C50" s="163"/>
      <c r="D50" s="155"/>
      <c r="E50" s="164"/>
      <c r="F50" s="119"/>
      <c r="G50" s="173" t="s">
        <v>1721</v>
      </c>
      <c r="H50" s="119"/>
      <c r="I50" s="119"/>
      <c r="J50" s="119"/>
      <c r="K50" s="119"/>
      <c r="L50" s="119"/>
    </row>
    <row r="51" spans="1:12" ht="19" x14ac:dyDescent="0.2">
      <c r="A51" s="144"/>
      <c r="B51" s="145"/>
      <c r="C51" s="149"/>
      <c r="D51" s="147"/>
      <c r="E51" s="150"/>
      <c r="F51" s="139"/>
      <c r="G51" s="139"/>
      <c r="H51" s="139"/>
      <c r="I51" s="139"/>
      <c r="J51" s="139"/>
      <c r="K51" s="139"/>
      <c r="L51" s="139"/>
    </row>
    <row r="52" spans="1:12" s="156" customFormat="1" ht="19" x14ac:dyDescent="0.2">
      <c r="A52" s="143">
        <v>1998000</v>
      </c>
      <c r="B52" s="153">
        <v>45024</v>
      </c>
      <c r="C52" s="171" t="s">
        <v>1228</v>
      </c>
      <c r="D52" s="155" t="s">
        <v>405</v>
      </c>
      <c r="E52" s="164">
        <v>1709000</v>
      </c>
      <c r="F52" s="119">
        <v>289000</v>
      </c>
      <c r="G52" s="119"/>
      <c r="H52" s="119"/>
      <c r="I52" s="119"/>
      <c r="J52" s="119"/>
      <c r="K52" s="119"/>
      <c r="L52" s="119"/>
    </row>
    <row r="53" spans="1:12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/>
      <c r="K53" s="139"/>
      <c r="L53" s="139"/>
    </row>
    <row r="54" spans="1:12" s="156" customFormat="1" ht="19" x14ac:dyDescent="0.2">
      <c r="A54" s="143">
        <v>1932000</v>
      </c>
      <c r="B54" s="153"/>
      <c r="C54" s="171" t="s">
        <v>10</v>
      </c>
      <c r="D54" s="155" t="s">
        <v>685</v>
      </c>
      <c r="E54" s="164">
        <v>1530000</v>
      </c>
      <c r="F54" s="119">
        <v>402000</v>
      </c>
      <c r="G54" s="119"/>
      <c r="H54" s="119"/>
      <c r="I54" s="119">
        <v>200000</v>
      </c>
      <c r="J54" s="119" t="s">
        <v>1543</v>
      </c>
      <c r="K54" s="119"/>
      <c r="L54" s="119"/>
    </row>
    <row r="55" spans="1:12" ht="19" x14ac:dyDescent="0.2">
      <c r="A55" s="144"/>
      <c r="B55" s="145"/>
      <c r="C55" s="149"/>
      <c r="D55" s="147"/>
      <c r="E55" s="150"/>
      <c r="F55" s="139"/>
      <c r="G55" s="139"/>
      <c r="H55" s="139"/>
      <c r="I55" s="139">
        <v>100000</v>
      </c>
      <c r="J55" s="139" t="s">
        <v>1710</v>
      </c>
      <c r="K55" s="139"/>
      <c r="L55" s="139"/>
    </row>
    <row r="56" spans="1:12" ht="19" x14ac:dyDescent="0.2">
      <c r="A56" s="143"/>
      <c r="B56" s="32"/>
      <c r="C56" s="49"/>
      <c r="D56" s="13"/>
      <c r="E56" s="15"/>
      <c r="F56" s="9"/>
      <c r="G56" s="9"/>
      <c r="H56" s="9"/>
      <c r="I56" s="9">
        <v>200000</v>
      </c>
      <c r="J56" s="9" t="s">
        <v>1614</v>
      </c>
      <c r="K56" s="9"/>
      <c r="L56" s="9"/>
    </row>
    <row r="57" spans="1:12" ht="19" x14ac:dyDescent="0.2">
      <c r="A57" s="144"/>
      <c r="B57" s="145"/>
      <c r="C57" s="149"/>
      <c r="D57" s="147"/>
      <c r="E57" s="150"/>
      <c r="F57" s="139"/>
      <c r="G57" s="139"/>
      <c r="H57" s="139"/>
      <c r="I57" s="139">
        <v>35000</v>
      </c>
      <c r="J57" s="139" t="s">
        <v>1722</v>
      </c>
      <c r="K57" s="139"/>
      <c r="L57" s="139"/>
    </row>
    <row r="58" spans="1:12" ht="19" x14ac:dyDescent="0.2">
      <c r="A58" s="143"/>
      <c r="B58" s="32"/>
      <c r="C58" s="2"/>
      <c r="D58" s="13"/>
      <c r="E58" s="9"/>
      <c r="F58" s="9"/>
      <c r="G58" s="9"/>
      <c r="H58" s="9"/>
      <c r="I58" s="9">
        <v>75000</v>
      </c>
      <c r="J58" s="9" t="s">
        <v>1723</v>
      </c>
      <c r="K58" s="9"/>
      <c r="L58" s="9"/>
    </row>
    <row r="59" spans="1:12" ht="19" x14ac:dyDescent="0.2">
      <c r="A59" s="144"/>
      <c r="B59" s="145"/>
      <c r="C59" s="151"/>
      <c r="D59" s="147"/>
      <c r="E59" s="150"/>
      <c r="F59" s="139"/>
      <c r="G59" s="139"/>
      <c r="H59" s="139"/>
      <c r="I59" s="139"/>
      <c r="J59" s="139"/>
      <c r="K59" s="139"/>
      <c r="L59" s="139"/>
    </row>
    <row r="60" spans="1:12" s="156" customFormat="1" ht="19" x14ac:dyDescent="0.2">
      <c r="A60" s="143">
        <v>1426000</v>
      </c>
      <c r="B60" s="153">
        <v>45055</v>
      </c>
      <c r="C60" s="171" t="s">
        <v>1228</v>
      </c>
      <c r="D60" s="155" t="s">
        <v>405</v>
      </c>
      <c r="E60" s="164">
        <v>1039000</v>
      </c>
      <c r="F60" s="119">
        <v>387000</v>
      </c>
      <c r="G60" s="119">
        <v>640000</v>
      </c>
      <c r="H60" s="119" t="s">
        <v>1796</v>
      </c>
      <c r="I60" s="119"/>
      <c r="J60" s="119"/>
      <c r="K60" s="119"/>
      <c r="L60" s="119"/>
    </row>
    <row r="61" spans="1:12" ht="19" x14ac:dyDescent="0.2">
      <c r="A61" s="144"/>
      <c r="B61" s="145"/>
      <c r="C61" s="149"/>
      <c r="D61" s="147"/>
      <c r="E61" s="150"/>
      <c r="F61" s="139"/>
      <c r="G61" s="157"/>
      <c r="H61" s="157"/>
      <c r="I61" s="139"/>
      <c r="J61" s="139"/>
      <c r="K61" s="139"/>
      <c r="L61" s="139"/>
    </row>
    <row r="62" spans="1:12" ht="19" x14ac:dyDescent="0.2">
      <c r="A62" s="143">
        <v>2030000</v>
      </c>
      <c r="B62" s="32"/>
      <c r="C62" s="49" t="s">
        <v>10</v>
      </c>
      <c r="D62" s="13" t="s">
        <v>685</v>
      </c>
      <c r="E62" s="15">
        <v>1491000</v>
      </c>
      <c r="F62" s="9">
        <v>539000</v>
      </c>
      <c r="G62" s="135"/>
      <c r="H62" s="135"/>
      <c r="I62" s="9">
        <v>140000</v>
      </c>
      <c r="J62" s="9" t="s">
        <v>1724</v>
      </c>
      <c r="K62" s="9"/>
      <c r="L62" s="9"/>
    </row>
    <row r="63" spans="1:12" ht="19" x14ac:dyDescent="0.2">
      <c r="A63" s="144"/>
      <c r="B63" s="145"/>
      <c r="C63" s="149"/>
      <c r="D63" s="147"/>
      <c r="E63" s="150"/>
      <c r="F63" s="139"/>
      <c r="G63" s="139"/>
      <c r="H63" s="139"/>
      <c r="I63" s="139">
        <v>140000</v>
      </c>
      <c r="J63" s="139" t="s">
        <v>1725</v>
      </c>
      <c r="K63" s="139"/>
      <c r="L63" s="139"/>
    </row>
    <row r="64" spans="1:12" ht="19" x14ac:dyDescent="0.2">
      <c r="A64" s="143"/>
      <c r="B64" s="32"/>
      <c r="C64" s="49"/>
      <c r="D64" s="13"/>
      <c r="E64" s="15"/>
      <c r="F64" s="9"/>
      <c r="G64" s="9"/>
      <c r="H64" s="9"/>
      <c r="I64" s="9">
        <v>140000</v>
      </c>
      <c r="J64" s="9" t="s">
        <v>1726</v>
      </c>
      <c r="K64" s="9"/>
      <c r="L64" s="9"/>
    </row>
    <row r="65" spans="1:12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407000</v>
      </c>
      <c r="J65" s="139" t="s">
        <v>1727</v>
      </c>
      <c r="K65" s="139"/>
      <c r="L65" s="139"/>
    </row>
    <row r="66" spans="1:12" ht="19" x14ac:dyDescent="0.2">
      <c r="A66" s="143"/>
      <c r="B66" s="32"/>
      <c r="C66" s="49"/>
      <c r="D66" s="13"/>
      <c r="E66" s="15"/>
      <c r="F66" s="9"/>
      <c r="G66" s="9"/>
      <c r="H66" s="9"/>
      <c r="I66" s="9">
        <v>22000</v>
      </c>
      <c r="J66" s="9" t="s">
        <v>1728</v>
      </c>
      <c r="K66" s="9"/>
      <c r="L66" s="9"/>
    </row>
    <row r="67" spans="1:12" ht="19" x14ac:dyDescent="0.2">
      <c r="A67" s="144"/>
      <c r="B67" s="145"/>
      <c r="C67" s="149"/>
      <c r="D67" s="147"/>
      <c r="E67" s="150"/>
      <c r="F67" s="139"/>
      <c r="G67" s="139"/>
      <c r="H67" s="139"/>
      <c r="I67" s="139">
        <v>50500</v>
      </c>
      <c r="J67" s="139" t="s">
        <v>1729</v>
      </c>
      <c r="K67" s="139"/>
      <c r="L67" s="139"/>
    </row>
    <row r="68" spans="1:12" ht="19" x14ac:dyDescent="0.2">
      <c r="A68" s="143"/>
      <c r="B68" s="32"/>
      <c r="C68" s="49"/>
      <c r="D68" s="13"/>
      <c r="E68" s="15"/>
      <c r="F68" s="9"/>
      <c r="G68" s="9"/>
      <c r="H68" s="9"/>
      <c r="I68" s="9">
        <v>1500</v>
      </c>
      <c r="J68" s="9" t="s">
        <v>1730</v>
      </c>
      <c r="K68" s="9"/>
      <c r="L68" s="9"/>
    </row>
    <row r="69" spans="1:12" ht="19" x14ac:dyDescent="0.2">
      <c r="A69" s="144"/>
      <c r="B69" s="145"/>
      <c r="C69" s="149"/>
      <c r="D69" s="147"/>
      <c r="E69" s="150"/>
      <c r="F69" s="139"/>
      <c r="G69" s="139"/>
      <c r="H69" s="139"/>
      <c r="I69" s="139">
        <v>34500</v>
      </c>
      <c r="J69" s="139" t="s">
        <v>1493</v>
      </c>
      <c r="K69" s="139"/>
      <c r="L69" s="139"/>
    </row>
    <row r="70" spans="1:12" ht="19" x14ac:dyDescent="0.2">
      <c r="A70" s="143"/>
      <c r="B70" s="33"/>
      <c r="C70" s="2"/>
      <c r="D70" s="13"/>
      <c r="E70" s="15"/>
      <c r="F70" s="9"/>
      <c r="G70" s="9"/>
      <c r="H70" s="9"/>
      <c r="I70" s="9"/>
      <c r="J70" s="9"/>
      <c r="K70" s="9"/>
      <c r="L70" s="9"/>
    </row>
    <row r="71" spans="1:12" ht="19" x14ac:dyDescent="0.2">
      <c r="A71" s="148"/>
      <c r="B71" s="158"/>
      <c r="C71" s="151"/>
      <c r="D71" s="147"/>
      <c r="E71" s="150"/>
      <c r="F71" s="139"/>
      <c r="G71" s="139"/>
      <c r="H71" s="139"/>
      <c r="I71" s="139"/>
      <c r="J71" s="139"/>
      <c r="K71" s="139"/>
      <c r="L71" s="139"/>
    </row>
    <row r="72" spans="1:12" s="156" customFormat="1" ht="19" x14ac:dyDescent="0.2">
      <c r="A72" s="142">
        <v>1686000</v>
      </c>
      <c r="B72" s="153">
        <v>45056</v>
      </c>
      <c r="C72" s="163" t="s">
        <v>1228</v>
      </c>
      <c r="D72" s="155" t="s">
        <v>405</v>
      </c>
      <c r="E72" s="164">
        <v>1178000</v>
      </c>
      <c r="F72" s="119">
        <v>508000</v>
      </c>
      <c r="G72" s="119"/>
      <c r="H72" s="119"/>
      <c r="I72" s="119">
        <v>70000</v>
      </c>
      <c r="J72" s="119" t="s">
        <v>1307</v>
      </c>
      <c r="K72" s="119"/>
      <c r="L72" s="119"/>
    </row>
    <row r="73" spans="1:12" ht="19" x14ac:dyDescent="0.2">
      <c r="A73" s="144"/>
      <c r="B73" s="145"/>
      <c r="C73" s="151"/>
      <c r="D73" s="147"/>
      <c r="E73" s="150"/>
      <c r="F73" s="139"/>
      <c r="G73" s="139"/>
      <c r="H73" s="139"/>
      <c r="I73" s="139">
        <v>144000</v>
      </c>
      <c r="J73" s="139" t="s">
        <v>1245</v>
      </c>
      <c r="K73" s="139"/>
      <c r="L73" s="139"/>
    </row>
    <row r="74" spans="1:12" ht="19" x14ac:dyDescent="0.2">
      <c r="A74" s="143"/>
      <c r="B74" s="32"/>
      <c r="C74" s="49"/>
      <c r="D74" s="13"/>
      <c r="E74" s="15"/>
      <c r="F74" s="9"/>
      <c r="G74" s="60"/>
      <c r="H74" s="60"/>
      <c r="I74" s="9">
        <v>80000</v>
      </c>
      <c r="J74" s="9" t="s">
        <v>1597</v>
      </c>
      <c r="K74" s="9"/>
      <c r="L74" s="9"/>
    </row>
    <row r="75" spans="1:12" ht="19" x14ac:dyDescent="0.2">
      <c r="A75" s="144">
        <v>1860000</v>
      </c>
      <c r="B75" s="145"/>
      <c r="C75" s="149" t="s">
        <v>10</v>
      </c>
      <c r="D75" s="147" t="s">
        <v>685</v>
      </c>
      <c r="E75" s="150">
        <v>1136000</v>
      </c>
      <c r="F75" s="139">
        <v>724000</v>
      </c>
      <c r="G75" s="152"/>
      <c r="H75" s="152"/>
      <c r="I75" s="139"/>
      <c r="J75" s="139"/>
      <c r="K75" s="139"/>
      <c r="L75" s="139"/>
    </row>
    <row r="76" spans="1:12" ht="19" x14ac:dyDescent="0.2">
      <c r="A76" s="143"/>
      <c r="B76" s="32"/>
      <c r="C76" s="49"/>
      <c r="D76" s="13"/>
      <c r="E76" s="15"/>
      <c r="F76" s="9"/>
      <c r="G76" s="60"/>
      <c r="H76" s="60"/>
      <c r="I76" s="9"/>
      <c r="J76" s="9"/>
      <c r="K76" s="9"/>
      <c r="L76" s="9"/>
    </row>
    <row r="77" spans="1:12" ht="19" x14ac:dyDescent="0.2">
      <c r="A77" s="144"/>
      <c r="B77" s="145"/>
      <c r="C77" s="149"/>
      <c r="D77" s="147"/>
      <c r="E77" s="150"/>
      <c r="F77" s="139"/>
      <c r="G77" s="152"/>
      <c r="H77" s="152"/>
      <c r="I77" s="139"/>
      <c r="J77" s="139"/>
      <c r="K77" s="139"/>
      <c r="L77" s="139"/>
    </row>
    <row r="78" spans="1:12" s="156" customFormat="1" ht="19" x14ac:dyDescent="0.2">
      <c r="A78" s="143">
        <v>1381000</v>
      </c>
      <c r="B78" s="153">
        <v>45057</v>
      </c>
      <c r="C78" s="171" t="s">
        <v>1228</v>
      </c>
      <c r="D78" s="155" t="s">
        <v>405</v>
      </c>
      <c r="E78" s="164">
        <v>1169000</v>
      </c>
      <c r="F78" s="119">
        <v>212000</v>
      </c>
      <c r="G78" s="175"/>
      <c r="H78" s="175"/>
      <c r="I78" s="119">
        <v>355000</v>
      </c>
      <c r="J78" s="119" t="s">
        <v>1731</v>
      </c>
      <c r="K78" s="119"/>
      <c r="L78" s="119"/>
    </row>
    <row r="79" spans="1:12" ht="19" x14ac:dyDescent="0.2">
      <c r="A79" s="144"/>
      <c r="B79" s="145"/>
      <c r="C79" s="149"/>
      <c r="D79" s="147"/>
      <c r="E79" s="150"/>
      <c r="F79" s="139"/>
      <c r="G79" s="152"/>
      <c r="H79" s="152"/>
      <c r="I79" s="139"/>
      <c r="J79" s="139"/>
      <c r="K79" s="139"/>
      <c r="L79" s="139"/>
    </row>
    <row r="80" spans="1:12" ht="19" x14ac:dyDescent="0.2">
      <c r="A80" s="143">
        <v>2635000</v>
      </c>
      <c r="B80" s="32"/>
      <c r="C80" s="49" t="s">
        <v>10</v>
      </c>
      <c r="D80" s="13" t="s">
        <v>685</v>
      </c>
      <c r="E80" s="15">
        <v>1805000</v>
      </c>
      <c r="F80" s="9">
        <v>830000</v>
      </c>
      <c r="G80" s="9">
        <v>2752000</v>
      </c>
      <c r="H80" s="9" t="s">
        <v>812</v>
      </c>
      <c r="I80" s="9">
        <v>100000</v>
      </c>
      <c r="J80" s="9" t="s">
        <v>1710</v>
      </c>
      <c r="K80" s="9"/>
      <c r="L80" s="9"/>
    </row>
    <row r="81" spans="1:12" ht="19" x14ac:dyDescent="0.2">
      <c r="A81" s="144"/>
      <c r="B81" s="145"/>
      <c r="C81" s="149"/>
      <c r="D81" s="147"/>
      <c r="E81" s="150"/>
      <c r="F81" s="139"/>
      <c r="G81" s="152"/>
      <c r="H81" s="152"/>
      <c r="I81" s="139">
        <v>200000</v>
      </c>
      <c r="J81" s="139" t="s">
        <v>1614</v>
      </c>
      <c r="K81" s="139"/>
      <c r="L81" s="139"/>
    </row>
    <row r="82" spans="1:12" ht="19" x14ac:dyDescent="0.2">
      <c r="A82" s="143"/>
      <c r="B82" s="32"/>
      <c r="C82" s="49"/>
      <c r="D82" s="13"/>
      <c r="E82" s="15"/>
      <c r="F82" s="9"/>
      <c r="G82" s="60"/>
      <c r="H82" s="60"/>
      <c r="I82" s="9">
        <v>75000</v>
      </c>
      <c r="J82" s="9" t="s">
        <v>1732</v>
      </c>
      <c r="K82" s="9"/>
      <c r="L82" s="9"/>
    </row>
    <row r="83" spans="1:12" ht="19" x14ac:dyDescent="0.2">
      <c r="A83" s="144"/>
      <c r="B83" s="145"/>
      <c r="C83" s="149"/>
      <c r="D83" s="147"/>
      <c r="E83" s="150"/>
      <c r="F83" s="139"/>
      <c r="G83" s="152"/>
      <c r="H83" s="152"/>
      <c r="I83" s="139">
        <v>144000</v>
      </c>
      <c r="J83" s="139" t="s">
        <v>1245</v>
      </c>
      <c r="K83" s="139"/>
      <c r="L83" s="139"/>
    </row>
    <row r="84" spans="1:12" s="156" customFormat="1" ht="19" x14ac:dyDescent="0.2">
      <c r="A84" s="143">
        <v>770000</v>
      </c>
      <c r="B84" s="153">
        <v>45058</v>
      </c>
      <c r="C84" s="171" t="s">
        <v>1228</v>
      </c>
      <c r="D84" s="155" t="s">
        <v>405</v>
      </c>
      <c r="E84" s="164">
        <v>569000</v>
      </c>
      <c r="F84" s="119">
        <v>201000</v>
      </c>
      <c r="G84" s="175"/>
      <c r="H84" s="175"/>
      <c r="I84" s="119">
        <v>80000</v>
      </c>
      <c r="J84" s="119" t="s">
        <v>1597</v>
      </c>
      <c r="K84" s="119"/>
      <c r="L84" s="119"/>
    </row>
    <row r="85" spans="1:12" ht="19" x14ac:dyDescent="0.2">
      <c r="A85" s="144"/>
      <c r="B85" s="145"/>
      <c r="C85" s="149"/>
      <c r="D85" s="147"/>
      <c r="E85" s="150"/>
      <c r="F85" s="139"/>
      <c r="G85" s="152"/>
      <c r="H85" s="152"/>
      <c r="I85" s="139">
        <v>56000</v>
      </c>
      <c r="J85" s="139" t="s">
        <v>1448</v>
      </c>
      <c r="K85" s="139"/>
      <c r="L85" s="139"/>
    </row>
    <row r="86" spans="1:12" ht="19" x14ac:dyDescent="0.2">
      <c r="A86" s="143"/>
      <c r="B86" s="32"/>
      <c r="C86" s="49"/>
      <c r="D86" s="13"/>
      <c r="E86" s="15"/>
      <c r="F86" s="9"/>
      <c r="G86" s="60"/>
      <c r="H86" s="60"/>
      <c r="I86" s="9">
        <v>520000</v>
      </c>
      <c r="J86" s="9" t="s">
        <v>1517</v>
      </c>
      <c r="K86" s="9"/>
      <c r="L86" s="9"/>
    </row>
    <row r="87" spans="1:12" ht="19" x14ac:dyDescent="0.2">
      <c r="A87" s="144">
        <v>2293000</v>
      </c>
      <c r="B87" s="145"/>
      <c r="C87" s="149" t="s">
        <v>10</v>
      </c>
      <c r="D87" s="147" t="s">
        <v>685</v>
      </c>
      <c r="E87" s="150">
        <v>1746000</v>
      </c>
      <c r="F87" s="139">
        <v>547000</v>
      </c>
      <c r="G87" s="152"/>
      <c r="H87" s="152"/>
      <c r="I87" s="139">
        <v>69000</v>
      </c>
      <c r="J87" s="139" t="s">
        <v>1733</v>
      </c>
      <c r="K87" s="139"/>
      <c r="L87" s="139"/>
    </row>
    <row r="88" spans="1:12" ht="19" x14ac:dyDescent="0.2">
      <c r="A88" s="143"/>
      <c r="B88" s="32"/>
      <c r="C88" s="49"/>
      <c r="D88" s="13"/>
      <c r="E88" s="15"/>
      <c r="F88" s="9"/>
      <c r="G88" s="60"/>
      <c r="H88" s="60"/>
      <c r="I88" s="9">
        <v>54000</v>
      </c>
      <c r="J88" s="9" t="s">
        <v>1449</v>
      </c>
      <c r="K88" s="9"/>
      <c r="L88" s="9"/>
    </row>
    <row r="89" spans="1:12" ht="19" x14ac:dyDescent="0.2">
      <c r="A89" s="144"/>
      <c r="B89" s="145"/>
      <c r="C89" s="149"/>
      <c r="D89" s="147"/>
      <c r="E89" s="150"/>
      <c r="F89" s="139"/>
      <c r="G89" s="152"/>
      <c r="H89" s="152"/>
      <c r="I89" s="139">
        <v>5000</v>
      </c>
      <c r="J89" s="139" t="s">
        <v>1734</v>
      </c>
      <c r="K89" s="139"/>
      <c r="L89" s="139"/>
    </row>
    <row r="90" spans="1:12" ht="19" x14ac:dyDescent="0.2">
      <c r="A90" s="143"/>
      <c r="B90" s="32"/>
      <c r="C90" s="49"/>
      <c r="D90" s="13"/>
      <c r="E90" s="15"/>
      <c r="F90" s="9"/>
      <c r="G90" s="60"/>
      <c r="H90" s="60"/>
      <c r="I90" s="9">
        <v>78000</v>
      </c>
      <c r="J90" s="9" t="s">
        <v>1641</v>
      </c>
      <c r="K90" s="9"/>
      <c r="L90" s="9"/>
    </row>
    <row r="91" spans="1:12" ht="19" x14ac:dyDescent="0.2">
      <c r="A91" s="144"/>
      <c r="B91" s="145"/>
      <c r="C91" s="159"/>
      <c r="D91" s="147"/>
      <c r="E91" s="150"/>
      <c r="F91" s="139"/>
      <c r="G91" s="139"/>
      <c r="H91" s="139"/>
      <c r="I91" s="139">
        <v>19500</v>
      </c>
      <c r="J91" s="139" t="s">
        <v>1735</v>
      </c>
      <c r="K91" s="139"/>
      <c r="L91" s="139"/>
    </row>
    <row r="92" spans="1:12" ht="19" x14ac:dyDescent="0.2">
      <c r="A92" s="143"/>
      <c r="B92" s="32"/>
      <c r="C92" s="49"/>
      <c r="D92" s="13"/>
      <c r="E92" s="15"/>
      <c r="F92" s="9"/>
      <c r="G92" s="9"/>
      <c r="H92" s="9"/>
      <c r="I92" s="9"/>
      <c r="J92" s="9"/>
      <c r="K92" s="9"/>
      <c r="L92" s="9"/>
    </row>
    <row r="93" spans="1:12" ht="19" x14ac:dyDescent="0.2">
      <c r="A93" s="144">
        <v>1960000</v>
      </c>
      <c r="B93" s="145">
        <v>45059</v>
      </c>
      <c r="C93" s="149" t="s">
        <v>1228</v>
      </c>
      <c r="D93" s="147" t="s">
        <v>405</v>
      </c>
      <c r="E93" s="150">
        <v>1606000</v>
      </c>
      <c r="F93" s="139">
        <v>354000</v>
      </c>
      <c r="G93" s="139">
        <v>3420000</v>
      </c>
      <c r="H93" s="139" t="s">
        <v>1799</v>
      </c>
      <c r="I93" s="139"/>
      <c r="J93" s="139"/>
      <c r="K93" s="139"/>
      <c r="L93" s="139"/>
    </row>
    <row r="94" spans="1:12" ht="19" x14ac:dyDescent="0.2">
      <c r="A94" s="143"/>
      <c r="B94" s="32"/>
      <c r="C94" s="49"/>
      <c r="D94" s="13"/>
      <c r="E94" s="15"/>
      <c r="F94" s="9"/>
      <c r="G94" s="9"/>
      <c r="H94" s="9"/>
      <c r="I94" s="9"/>
      <c r="J94" s="9"/>
      <c r="K94" s="9"/>
      <c r="L94" s="9"/>
    </row>
    <row r="95" spans="1:12" ht="19" x14ac:dyDescent="0.2">
      <c r="A95" s="144">
        <v>1382000</v>
      </c>
      <c r="B95" s="145"/>
      <c r="C95" s="149" t="s">
        <v>10</v>
      </c>
      <c r="D95" s="147" t="s">
        <v>685</v>
      </c>
      <c r="E95" s="150">
        <v>1252000</v>
      </c>
      <c r="F95" s="139">
        <v>130000</v>
      </c>
      <c r="G95" s="139"/>
      <c r="H95" s="139"/>
      <c r="I95" s="139">
        <v>50000</v>
      </c>
      <c r="J95" s="139" t="s">
        <v>123</v>
      </c>
      <c r="K95" s="139"/>
      <c r="L95" s="139"/>
    </row>
    <row r="96" spans="1:12" ht="19" x14ac:dyDescent="0.2">
      <c r="A96" s="143"/>
      <c r="B96" s="32"/>
      <c r="C96" s="49"/>
      <c r="D96" s="13"/>
      <c r="E96" s="15"/>
      <c r="F96" s="9"/>
      <c r="G96" s="9"/>
      <c r="H96" s="9"/>
      <c r="I96" s="9">
        <v>200000</v>
      </c>
      <c r="J96" s="9" t="s">
        <v>1543</v>
      </c>
      <c r="K96" s="9"/>
      <c r="L96" s="9"/>
    </row>
    <row r="97" spans="1:12" ht="19" x14ac:dyDescent="0.2">
      <c r="A97" s="144"/>
      <c r="B97" s="145"/>
      <c r="C97" s="149"/>
      <c r="D97" s="147"/>
      <c r="E97" s="150"/>
      <c r="F97" s="139"/>
      <c r="G97" s="139"/>
      <c r="H97" s="139"/>
      <c r="I97" s="139"/>
      <c r="J97" s="139"/>
      <c r="K97" s="139"/>
      <c r="L97" s="139"/>
    </row>
    <row r="98" spans="1:12" ht="19" x14ac:dyDescent="0.2">
      <c r="A98" s="143"/>
      <c r="B98" s="32"/>
      <c r="C98" s="49"/>
      <c r="D98" s="13"/>
      <c r="E98" s="15"/>
      <c r="F98" s="9"/>
      <c r="G98" s="9"/>
      <c r="H98" s="9"/>
      <c r="I98" s="9"/>
      <c r="J98" s="9"/>
      <c r="K98" s="9"/>
      <c r="L98" s="9"/>
    </row>
    <row r="99" spans="1:12" ht="19" x14ac:dyDescent="0.2">
      <c r="A99" s="148">
        <v>1181000</v>
      </c>
      <c r="B99" s="145">
        <v>45060</v>
      </c>
      <c r="C99" s="149" t="s">
        <v>1228</v>
      </c>
      <c r="D99" s="160" t="s">
        <v>405</v>
      </c>
      <c r="E99" s="150">
        <v>919000</v>
      </c>
      <c r="F99" s="139">
        <v>262000</v>
      </c>
      <c r="G99" s="139"/>
      <c r="H99" s="139"/>
      <c r="I99" s="139">
        <v>62000</v>
      </c>
      <c r="J99" s="139" t="s">
        <v>1533</v>
      </c>
      <c r="K99" s="139"/>
      <c r="L99" s="139"/>
    </row>
    <row r="100" spans="1:12" ht="19" x14ac:dyDescent="0.2">
      <c r="A100" s="143"/>
      <c r="B100" s="32"/>
      <c r="C100" s="49"/>
      <c r="D100" s="13"/>
      <c r="E100" s="15"/>
      <c r="F100" s="9"/>
      <c r="G100" s="9"/>
      <c r="H100" s="9"/>
      <c r="I100" s="9">
        <v>54000</v>
      </c>
      <c r="J100" s="9" t="s">
        <v>1449</v>
      </c>
      <c r="K100" s="9"/>
      <c r="L100" s="9"/>
    </row>
    <row r="101" spans="1:12" ht="19" x14ac:dyDescent="0.2">
      <c r="A101" s="144"/>
      <c r="B101" s="145"/>
      <c r="C101" s="149"/>
      <c r="D101" s="147"/>
      <c r="E101" s="150"/>
      <c r="F101" s="139"/>
      <c r="G101" s="139"/>
      <c r="H101" s="139"/>
      <c r="I101" s="139">
        <v>31000</v>
      </c>
      <c r="J101" s="139" t="s">
        <v>1736</v>
      </c>
      <c r="K101" s="139"/>
      <c r="L101" s="139"/>
    </row>
    <row r="102" spans="1:12" ht="19" x14ac:dyDescent="0.2">
      <c r="A102" s="143"/>
      <c r="B102" s="32"/>
      <c r="C102" s="49"/>
      <c r="D102" s="13"/>
      <c r="E102" s="15"/>
      <c r="F102" s="9"/>
      <c r="G102" s="9"/>
      <c r="H102" s="9"/>
      <c r="I102" s="9">
        <v>26500</v>
      </c>
      <c r="J102" s="9" t="s">
        <v>1737</v>
      </c>
      <c r="K102" s="9"/>
      <c r="L102" s="9"/>
    </row>
    <row r="103" spans="1:12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>
        <v>67000</v>
      </c>
      <c r="J103" s="139" t="s">
        <v>1738</v>
      </c>
      <c r="K103" s="139"/>
      <c r="L103" s="139"/>
    </row>
    <row r="104" spans="1:12" ht="19" x14ac:dyDescent="0.2">
      <c r="A104" s="143"/>
      <c r="B104" s="32"/>
      <c r="C104" s="49"/>
      <c r="D104" s="13"/>
      <c r="E104" s="15"/>
      <c r="F104" s="9"/>
      <c r="G104" s="9"/>
      <c r="H104" s="9"/>
      <c r="I104" s="9">
        <v>116500</v>
      </c>
      <c r="J104" s="9" t="s">
        <v>1739</v>
      </c>
      <c r="K104" s="9"/>
      <c r="L104" s="9"/>
    </row>
    <row r="105" spans="1:12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>
        <v>90500</v>
      </c>
      <c r="J105" s="139" t="s">
        <v>1740</v>
      </c>
      <c r="K105" s="139"/>
      <c r="L105" s="139"/>
    </row>
    <row r="106" spans="1:12" ht="19" x14ac:dyDescent="0.2">
      <c r="A106" s="143"/>
      <c r="B106" s="32"/>
      <c r="C106" s="49"/>
      <c r="D106" s="13"/>
      <c r="E106" s="15"/>
      <c r="F106" s="9"/>
      <c r="G106" s="9"/>
      <c r="H106" s="9"/>
      <c r="I106" s="9">
        <v>20500</v>
      </c>
      <c r="J106" s="9" t="s">
        <v>1741</v>
      </c>
      <c r="K106" s="9"/>
      <c r="L106" s="9"/>
    </row>
    <row r="107" spans="1:12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>
        <v>104000</v>
      </c>
      <c r="J107" s="139" t="s">
        <v>1742</v>
      </c>
      <c r="K107" s="139"/>
      <c r="L107" s="139"/>
    </row>
    <row r="108" spans="1:12" ht="19" x14ac:dyDescent="0.2">
      <c r="A108" s="143"/>
      <c r="B108" s="32"/>
      <c r="C108" s="49"/>
      <c r="D108" s="13"/>
      <c r="E108" s="15"/>
      <c r="F108" s="9"/>
      <c r="G108" s="9"/>
      <c r="H108" s="9"/>
      <c r="I108" s="9"/>
      <c r="J108" s="9"/>
      <c r="K108" s="9"/>
      <c r="L108" s="9"/>
    </row>
    <row r="109" spans="1:12" ht="19" x14ac:dyDescent="0.2">
      <c r="A109" s="144">
        <v>1115000</v>
      </c>
      <c r="B109" s="145"/>
      <c r="C109" s="149" t="s">
        <v>10</v>
      </c>
      <c r="D109" s="147" t="s">
        <v>565</v>
      </c>
      <c r="E109" s="150">
        <v>908000</v>
      </c>
      <c r="F109" s="139">
        <v>207000</v>
      </c>
      <c r="G109" s="139"/>
      <c r="H109" s="139"/>
      <c r="I109" s="139"/>
      <c r="J109" s="139"/>
      <c r="K109" s="139"/>
      <c r="L109" s="139"/>
    </row>
    <row r="110" spans="1:12" ht="19" x14ac:dyDescent="0.2">
      <c r="A110" s="143"/>
      <c r="B110" s="32"/>
      <c r="C110" s="49"/>
      <c r="D110" s="13"/>
      <c r="E110" s="15"/>
      <c r="F110" s="9"/>
      <c r="G110" s="9"/>
      <c r="H110" s="9"/>
      <c r="I110" s="9"/>
      <c r="J110" s="9"/>
      <c r="K110" s="9"/>
      <c r="L110" s="9"/>
    </row>
    <row r="111" spans="1:12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/>
      <c r="J111" s="139"/>
      <c r="K111" s="139"/>
      <c r="L111" s="139"/>
    </row>
    <row r="112" spans="1:12" s="156" customFormat="1" ht="48" x14ac:dyDescent="0.2">
      <c r="A112" s="143">
        <v>1825000</v>
      </c>
      <c r="B112" s="153">
        <v>45061</v>
      </c>
      <c r="C112" s="171" t="s">
        <v>1228</v>
      </c>
      <c r="D112" s="155" t="s">
        <v>405</v>
      </c>
      <c r="E112" s="164">
        <v>1388000</v>
      </c>
      <c r="F112" s="119">
        <v>437000</v>
      </c>
      <c r="G112" s="119">
        <v>982000</v>
      </c>
      <c r="H112" s="176" t="s">
        <v>1743</v>
      </c>
      <c r="I112" s="119">
        <v>180000</v>
      </c>
      <c r="J112" s="119" t="s">
        <v>1744</v>
      </c>
      <c r="K112" s="119"/>
      <c r="L112" s="119"/>
    </row>
    <row r="113" spans="1:12" ht="19" x14ac:dyDescent="0.2">
      <c r="A113" s="144"/>
      <c r="B113" s="145"/>
      <c r="C113" s="149"/>
      <c r="D113" s="147"/>
      <c r="E113" s="150"/>
      <c r="F113" s="139"/>
      <c r="G113" s="139">
        <v>1900000</v>
      </c>
      <c r="H113" s="161" t="s">
        <v>1431</v>
      </c>
      <c r="I113" s="139">
        <v>140000</v>
      </c>
      <c r="J113" s="139" t="s">
        <v>1745</v>
      </c>
      <c r="K113" s="139"/>
      <c r="L113" s="139"/>
    </row>
    <row r="114" spans="1:12" ht="19" x14ac:dyDescent="0.2">
      <c r="A114" s="143">
        <v>1806000</v>
      </c>
      <c r="B114" s="32"/>
      <c r="C114" s="49" t="s">
        <v>10</v>
      </c>
      <c r="D114" s="13" t="s">
        <v>685</v>
      </c>
      <c r="E114" s="15">
        <v>1318000</v>
      </c>
      <c r="F114" s="9">
        <v>488000</v>
      </c>
      <c r="G114" s="9">
        <v>300000</v>
      </c>
      <c r="H114" s="47" t="s">
        <v>1746</v>
      </c>
      <c r="I114" s="9">
        <v>140000</v>
      </c>
      <c r="J114" s="9" t="s">
        <v>1747</v>
      </c>
      <c r="K114" s="9"/>
      <c r="L114" s="9"/>
    </row>
    <row r="115" spans="1:12" ht="19" x14ac:dyDescent="0.2">
      <c r="A115" s="144"/>
      <c r="B115" s="145"/>
      <c r="C115" s="149"/>
      <c r="D115" s="147"/>
      <c r="E115" s="150"/>
      <c r="F115" s="139"/>
      <c r="G115" s="139"/>
      <c r="H115" s="139"/>
      <c r="I115" s="139">
        <v>140000</v>
      </c>
      <c r="J115" s="139" t="s">
        <v>1748</v>
      </c>
      <c r="K115" s="139"/>
      <c r="L115" s="139"/>
    </row>
    <row r="116" spans="1:12" ht="19" x14ac:dyDescent="0.2">
      <c r="A116" s="143"/>
      <c r="B116" s="32"/>
      <c r="C116" s="49"/>
      <c r="D116" s="13"/>
      <c r="E116" s="15"/>
      <c r="F116" s="9"/>
      <c r="G116" s="9"/>
      <c r="H116" s="9"/>
      <c r="I116" s="9">
        <v>140000</v>
      </c>
      <c r="J116" s="9" t="s">
        <v>1749</v>
      </c>
      <c r="K116" s="9"/>
      <c r="L116" s="9"/>
    </row>
    <row r="117" spans="1:12" ht="19" x14ac:dyDescent="0.2">
      <c r="A117" s="144"/>
      <c r="B117" s="145"/>
      <c r="C117" s="149"/>
      <c r="D117" s="147"/>
      <c r="E117" s="150"/>
      <c r="F117" s="139"/>
      <c r="G117" s="139"/>
      <c r="H117" s="139"/>
      <c r="I117" s="139">
        <v>140000</v>
      </c>
      <c r="J117" s="139" t="s">
        <v>1750</v>
      </c>
      <c r="K117" s="139"/>
      <c r="L117" s="139"/>
    </row>
    <row r="118" spans="1:12" ht="19" x14ac:dyDescent="0.2">
      <c r="A118" s="143"/>
      <c r="B118" s="33"/>
      <c r="C118" s="35"/>
      <c r="D118" s="13"/>
      <c r="E118" s="15"/>
      <c r="F118" s="9"/>
      <c r="G118" s="9"/>
      <c r="H118" s="9"/>
      <c r="I118" s="9">
        <v>140000</v>
      </c>
      <c r="J118" s="9" t="s">
        <v>1751</v>
      </c>
      <c r="K118" s="9"/>
      <c r="L118" s="9"/>
    </row>
    <row r="119" spans="1:12" ht="19" x14ac:dyDescent="0.2">
      <c r="A119" s="148"/>
      <c r="B119" s="145"/>
      <c r="C119" s="151"/>
      <c r="D119" s="160"/>
      <c r="E119" s="150"/>
      <c r="F119" s="139"/>
      <c r="G119" s="139"/>
      <c r="H119" s="161"/>
      <c r="I119" s="139">
        <v>300000</v>
      </c>
      <c r="J119" s="139" t="s">
        <v>1752</v>
      </c>
      <c r="K119" s="139"/>
      <c r="L119" s="139"/>
    </row>
    <row r="120" spans="1:12" ht="19" x14ac:dyDescent="0.2">
      <c r="A120" s="142"/>
      <c r="B120" s="33"/>
      <c r="C120" s="35"/>
      <c r="D120" s="102"/>
      <c r="E120" s="15"/>
      <c r="F120" s="9"/>
      <c r="G120" s="9"/>
      <c r="H120" s="9"/>
      <c r="I120" s="9">
        <v>75000</v>
      </c>
      <c r="J120" s="9" t="s">
        <v>1753</v>
      </c>
      <c r="K120" s="9"/>
      <c r="L120" s="9"/>
    </row>
    <row r="121" spans="1:12" ht="19" x14ac:dyDescent="0.2">
      <c r="A121" s="148"/>
      <c r="B121" s="145"/>
      <c r="C121" s="151"/>
      <c r="D121" s="160"/>
      <c r="E121" s="150"/>
      <c r="F121" s="139"/>
      <c r="G121" s="139"/>
      <c r="H121" s="139"/>
      <c r="I121" s="139">
        <v>75000</v>
      </c>
      <c r="J121" s="139" t="s">
        <v>1754</v>
      </c>
      <c r="K121" s="139"/>
      <c r="L121" s="139"/>
    </row>
    <row r="122" spans="1:12" ht="19" x14ac:dyDescent="0.2">
      <c r="A122" s="142"/>
      <c r="B122" s="33"/>
      <c r="C122" s="35"/>
      <c r="D122" s="102"/>
      <c r="E122" s="15"/>
      <c r="F122" s="9"/>
      <c r="G122" s="9"/>
      <c r="H122" s="9"/>
      <c r="I122" s="9">
        <v>70000</v>
      </c>
      <c r="J122" s="9" t="s">
        <v>1307</v>
      </c>
      <c r="K122" s="9"/>
      <c r="L122" s="9"/>
    </row>
    <row r="123" spans="1:12" ht="19" x14ac:dyDescent="0.2">
      <c r="A123" s="148"/>
      <c r="B123" s="158"/>
      <c r="C123" s="151"/>
      <c r="D123" s="160"/>
      <c r="E123" s="150"/>
      <c r="F123" s="139"/>
      <c r="G123" s="139"/>
      <c r="H123" s="139"/>
      <c r="I123" s="139"/>
      <c r="J123" s="139"/>
      <c r="K123" s="139"/>
      <c r="L123" s="139"/>
    </row>
    <row r="124" spans="1:12" s="156" customFormat="1" ht="19" x14ac:dyDescent="0.2">
      <c r="A124" s="143">
        <v>1485000</v>
      </c>
      <c r="B124" s="153">
        <v>45062</v>
      </c>
      <c r="C124" s="163" t="s">
        <v>1228</v>
      </c>
      <c r="D124" s="155" t="s">
        <v>405</v>
      </c>
      <c r="E124" s="164">
        <v>1058000</v>
      </c>
      <c r="F124" s="119">
        <v>427000</v>
      </c>
      <c r="G124" s="119">
        <v>2744000</v>
      </c>
      <c r="H124" s="119" t="s">
        <v>812</v>
      </c>
      <c r="I124" s="174"/>
      <c r="J124" s="174"/>
      <c r="K124" s="119"/>
      <c r="L124" s="119"/>
    </row>
    <row r="125" spans="1:12" ht="19" x14ac:dyDescent="0.2">
      <c r="A125" s="144"/>
      <c r="B125" s="158"/>
      <c r="C125" s="151"/>
      <c r="D125" s="147"/>
      <c r="E125" s="150"/>
      <c r="F125" s="139"/>
      <c r="G125" s="139"/>
      <c r="H125" s="139"/>
      <c r="I125" s="162"/>
      <c r="J125" s="162"/>
      <c r="K125" s="139"/>
      <c r="L125" s="139"/>
    </row>
    <row r="126" spans="1:12" ht="19" x14ac:dyDescent="0.2">
      <c r="A126" s="143">
        <v>2027000</v>
      </c>
      <c r="B126" s="32"/>
      <c r="C126" s="35" t="s">
        <v>10</v>
      </c>
      <c r="D126" s="13" t="s">
        <v>685</v>
      </c>
      <c r="E126" s="15">
        <v>1176000</v>
      </c>
      <c r="F126" s="9">
        <v>851000</v>
      </c>
      <c r="G126" s="9"/>
      <c r="H126" s="9"/>
      <c r="I126" s="106"/>
      <c r="J126" s="106"/>
      <c r="K126" s="9"/>
      <c r="L126" s="9"/>
    </row>
    <row r="127" spans="1:12" ht="20" customHeight="1" x14ac:dyDescent="0.2">
      <c r="A127" s="144"/>
      <c r="B127" s="145"/>
      <c r="C127" s="151"/>
      <c r="D127" s="147"/>
      <c r="E127" s="150"/>
      <c r="F127" s="139"/>
      <c r="G127" s="139"/>
      <c r="H127" s="139"/>
      <c r="I127" s="162"/>
      <c r="J127" s="162"/>
      <c r="K127" s="139"/>
      <c r="L127" s="139"/>
    </row>
    <row r="128" spans="1:12" s="156" customFormat="1" ht="19" x14ac:dyDescent="0.2">
      <c r="A128" s="143">
        <v>1749000</v>
      </c>
      <c r="B128" s="153">
        <v>45033</v>
      </c>
      <c r="C128" s="163" t="s">
        <v>1228</v>
      </c>
      <c r="D128" s="155" t="s">
        <v>405</v>
      </c>
      <c r="E128" s="164">
        <v>1494000</v>
      </c>
      <c r="F128" s="119">
        <v>255000</v>
      </c>
      <c r="G128" s="119"/>
      <c r="H128" s="119"/>
      <c r="I128" s="174">
        <v>54000</v>
      </c>
      <c r="J128" s="174" t="s">
        <v>1449</v>
      </c>
      <c r="K128" s="119"/>
      <c r="L128" s="119"/>
    </row>
    <row r="129" spans="1:12" ht="19" x14ac:dyDescent="0.2">
      <c r="A129" s="144"/>
      <c r="B129" s="158"/>
      <c r="C129" s="151"/>
      <c r="D129" s="147"/>
      <c r="E129" s="150"/>
      <c r="F129" s="139"/>
      <c r="G129" s="139"/>
      <c r="H129" s="139"/>
      <c r="I129" s="162">
        <v>34000</v>
      </c>
      <c r="J129" s="162" t="s">
        <v>1755</v>
      </c>
      <c r="K129" s="139"/>
      <c r="L129" s="139"/>
    </row>
    <row r="130" spans="1:12" ht="19" x14ac:dyDescent="0.2">
      <c r="A130" s="143"/>
      <c r="B130" s="33"/>
      <c r="C130" s="2"/>
      <c r="D130" s="13"/>
      <c r="E130" s="15"/>
      <c r="F130" s="9"/>
      <c r="G130" s="9"/>
      <c r="H130" s="9"/>
      <c r="I130" s="106">
        <v>5000</v>
      </c>
      <c r="J130" s="106" t="s">
        <v>1756</v>
      </c>
      <c r="K130" s="9"/>
      <c r="L130" s="9"/>
    </row>
    <row r="131" spans="1:12" ht="19" x14ac:dyDescent="0.2">
      <c r="A131" s="144"/>
      <c r="B131" s="145"/>
      <c r="C131" s="146"/>
      <c r="D131" s="147"/>
      <c r="E131" s="150"/>
      <c r="F131" s="139"/>
      <c r="G131" s="139"/>
      <c r="H131" s="139"/>
      <c r="I131" s="162">
        <v>28000</v>
      </c>
      <c r="J131" s="162" t="s">
        <v>1757</v>
      </c>
      <c r="K131" s="139"/>
      <c r="L131" s="139"/>
    </row>
    <row r="132" spans="1:12" ht="19" x14ac:dyDescent="0.2">
      <c r="A132" s="143"/>
      <c r="B132" s="32"/>
      <c r="C132" s="2"/>
      <c r="D132" s="13"/>
      <c r="E132" s="15"/>
      <c r="F132" s="9"/>
      <c r="G132" s="9"/>
      <c r="H132" s="9"/>
      <c r="I132" s="9">
        <v>13500</v>
      </c>
      <c r="J132" s="9" t="s">
        <v>1758</v>
      </c>
      <c r="K132" s="9"/>
      <c r="L132" s="9"/>
    </row>
    <row r="133" spans="1:12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>
        <v>32000</v>
      </c>
      <c r="J133" s="139" t="s">
        <v>1759</v>
      </c>
      <c r="K133" s="139"/>
      <c r="L133" s="139"/>
    </row>
    <row r="134" spans="1:12" ht="19" x14ac:dyDescent="0.2">
      <c r="A134" s="143"/>
      <c r="B134" s="32"/>
      <c r="C134" s="2"/>
      <c r="D134" s="13"/>
      <c r="E134" s="15"/>
      <c r="F134" s="9"/>
      <c r="G134" s="9"/>
      <c r="H134" s="9"/>
      <c r="I134" s="9">
        <v>40500</v>
      </c>
      <c r="J134" s="9" t="s">
        <v>1760</v>
      </c>
      <c r="K134" s="9"/>
      <c r="L134" s="9"/>
    </row>
    <row r="135" spans="1:12" ht="19" x14ac:dyDescent="0.2">
      <c r="A135" s="144"/>
      <c r="B135" s="145"/>
      <c r="C135" s="151"/>
      <c r="D135" s="147"/>
      <c r="E135" s="150"/>
      <c r="F135" s="139"/>
      <c r="G135" s="139"/>
      <c r="H135" s="139"/>
      <c r="I135" s="139">
        <v>75000</v>
      </c>
      <c r="J135" s="139" t="s">
        <v>1761</v>
      </c>
      <c r="K135" s="139"/>
      <c r="L135" s="139"/>
    </row>
    <row r="136" spans="1:12" ht="19" x14ac:dyDescent="0.2">
      <c r="A136" s="143"/>
      <c r="B136" s="32"/>
      <c r="C136" s="3"/>
      <c r="D136" s="13"/>
      <c r="E136" s="15"/>
      <c r="F136" s="9"/>
      <c r="G136" s="9"/>
      <c r="H136" s="47"/>
      <c r="I136" s="9">
        <v>80000</v>
      </c>
      <c r="J136" s="9" t="s">
        <v>1597</v>
      </c>
      <c r="K136" s="9"/>
      <c r="L136" s="9"/>
    </row>
    <row r="137" spans="1:12" ht="19" x14ac:dyDescent="0.2">
      <c r="A137" s="144"/>
      <c r="B137" s="145"/>
      <c r="C137" s="149"/>
      <c r="D137" s="147"/>
      <c r="E137" s="150"/>
      <c r="F137" s="139"/>
      <c r="G137" s="139"/>
      <c r="H137" s="139"/>
      <c r="I137" s="139">
        <v>35000</v>
      </c>
      <c r="J137" s="139" t="s">
        <v>1598</v>
      </c>
      <c r="K137" s="139"/>
      <c r="L137" s="139"/>
    </row>
    <row r="138" spans="1:12" ht="19" x14ac:dyDescent="0.2">
      <c r="A138" s="143"/>
      <c r="B138" s="33"/>
      <c r="C138" s="2"/>
      <c r="D138" s="13"/>
      <c r="E138" s="15"/>
      <c r="F138" s="9"/>
      <c r="G138" s="9"/>
      <c r="H138" s="9"/>
      <c r="I138" s="9">
        <v>144000</v>
      </c>
      <c r="J138" s="9" t="s">
        <v>1245</v>
      </c>
      <c r="K138" s="9"/>
      <c r="L138" s="9"/>
    </row>
    <row r="139" spans="1:12" ht="19" x14ac:dyDescent="0.2">
      <c r="A139" s="144"/>
      <c r="B139" s="145"/>
      <c r="C139" s="151"/>
      <c r="D139" s="147"/>
      <c r="E139" s="150"/>
      <c r="F139" s="139"/>
      <c r="G139" s="139"/>
      <c r="H139" s="139"/>
      <c r="I139" s="139">
        <v>200000</v>
      </c>
      <c r="J139" s="139" t="s">
        <v>1614</v>
      </c>
      <c r="K139" s="139"/>
      <c r="L139" s="139"/>
    </row>
    <row r="140" spans="1:12" ht="19" x14ac:dyDescent="0.2">
      <c r="A140" s="143"/>
      <c r="B140" s="33"/>
      <c r="C140" s="35"/>
      <c r="D140" s="13"/>
      <c r="E140" s="15"/>
      <c r="F140" s="9"/>
      <c r="G140" s="9"/>
      <c r="H140" s="9"/>
      <c r="I140" s="9">
        <v>100000</v>
      </c>
      <c r="J140" s="9" t="s">
        <v>1710</v>
      </c>
      <c r="K140" s="9"/>
      <c r="L140" s="9"/>
    </row>
    <row r="141" spans="1:12" ht="19" x14ac:dyDescent="0.2">
      <c r="A141" s="148"/>
      <c r="B141" s="158"/>
      <c r="C141" s="159"/>
      <c r="D141" s="147"/>
      <c r="E141" s="150"/>
      <c r="F141" s="139"/>
      <c r="G141" s="139"/>
      <c r="H141" s="139"/>
      <c r="I141" s="139">
        <v>35000</v>
      </c>
      <c r="J141" s="139" t="s">
        <v>1467</v>
      </c>
      <c r="K141" s="139"/>
      <c r="L141" s="139"/>
    </row>
    <row r="142" spans="1:12" ht="19" x14ac:dyDescent="0.2">
      <c r="A142" s="142"/>
      <c r="B142" s="33"/>
      <c r="C142" s="35"/>
      <c r="D142" s="102"/>
      <c r="E142" s="15"/>
      <c r="F142" s="9"/>
      <c r="G142" s="9"/>
      <c r="H142" s="9"/>
      <c r="I142" s="9">
        <v>240000</v>
      </c>
      <c r="J142" s="9" t="s">
        <v>1509</v>
      </c>
      <c r="K142" s="9"/>
      <c r="L142" s="9"/>
    </row>
    <row r="143" spans="1:12" ht="19" x14ac:dyDescent="0.2">
      <c r="A143" s="148"/>
      <c r="B143" s="145"/>
      <c r="C143" s="159"/>
      <c r="D143" s="147"/>
      <c r="E143" s="150"/>
      <c r="F143" s="139"/>
      <c r="G143" s="139"/>
      <c r="H143" s="139"/>
      <c r="I143" s="139"/>
      <c r="J143" s="139"/>
      <c r="K143" s="139"/>
      <c r="L143" s="139"/>
    </row>
    <row r="144" spans="1:12" ht="19" x14ac:dyDescent="0.2">
      <c r="A144" s="142">
        <v>1061000</v>
      </c>
      <c r="B144" s="33"/>
      <c r="C144" s="2" t="s">
        <v>10</v>
      </c>
      <c r="D144" s="102" t="s">
        <v>685</v>
      </c>
      <c r="E144" s="15">
        <v>847000</v>
      </c>
      <c r="F144" s="9">
        <v>214000</v>
      </c>
      <c r="G144" s="9"/>
      <c r="H144" s="9"/>
      <c r="I144" s="9"/>
      <c r="J144" s="9"/>
      <c r="K144" s="9"/>
      <c r="L144" s="9"/>
    </row>
    <row r="145" spans="1:12" ht="19" x14ac:dyDescent="0.2">
      <c r="A145" s="144"/>
      <c r="B145" s="145"/>
      <c r="C145" s="151"/>
      <c r="D145" s="147"/>
      <c r="E145" s="150"/>
      <c r="F145" s="139"/>
      <c r="G145" s="139"/>
      <c r="H145" s="139"/>
      <c r="I145" s="139"/>
      <c r="J145" s="139"/>
      <c r="K145" s="139"/>
      <c r="L145" s="139"/>
    </row>
    <row r="146" spans="1:12" s="156" customFormat="1" ht="19" x14ac:dyDescent="0.2">
      <c r="A146" s="143">
        <v>1952000</v>
      </c>
      <c r="B146" s="153">
        <v>45064</v>
      </c>
      <c r="C146" s="163" t="s">
        <v>1228</v>
      </c>
      <c r="D146" s="155" t="s">
        <v>565</v>
      </c>
      <c r="E146" s="119">
        <v>1441000</v>
      </c>
      <c r="F146" s="119">
        <v>511000</v>
      </c>
      <c r="G146" s="119"/>
      <c r="H146" s="119"/>
      <c r="I146" s="119"/>
      <c r="J146" s="119"/>
      <c r="K146" s="119"/>
      <c r="L146" s="119"/>
    </row>
    <row r="147" spans="1:12" ht="19" x14ac:dyDescent="0.2">
      <c r="A147" s="144"/>
      <c r="B147" s="158"/>
      <c r="C147" s="151"/>
      <c r="D147" s="147"/>
      <c r="E147" s="150"/>
      <c r="F147" s="139"/>
      <c r="G147" s="139"/>
      <c r="H147" s="139"/>
      <c r="I147" s="139"/>
      <c r="J147" s="139"/>
      <c r="K147" s="139"/>
      <c r="L147" s="139"/>
    </row>
    <row r="148" spans="1:12" ht="19" x14ac:dyDescent="0.2">
      <c r="A148" s="143">
        <v>2211000</v>
      </c>
      <c r="B148" s="33"/>
      <c r="C148" s="35" t="s">
        <v>10</v>
      </c>
      <c r="D148" s="13" t="s">
        <v>685</v>
      </c>
      <c r="E148" s="15">
        <v>1698000</v>
      </c>
      <c r="F148" s="9">
        <v>513000</v>
      </c>
      <c r="G148" s="9"/>
      <c r="H148" s="9"/>
      <c r="I148" s="9"/>
      <c r="J148" s="9"/>
      <c r="K148" s="9"/>
      <c r="L148" s="9"/>
    </row>
    <row r="149" spans="1:12" ht="19" x14ac:dyDescent="0.2">
      <c r="A149" s="144"/>
      <c r="B149" s="158"/>
      <c r="C149" s="151"/>
      <c r="D149" s="147"/>
      <c r="E149" s="150"/>
      <c r="F149" s="139"/>
      <c r="G149" s="139"/>
      <c r="H149" s="139"/>
      <c r="I149" s="139"/>
      <c r="J149" s="139"/>
      <c r="K149" s="139"/>
      <c r="L149" s="139"/>
    </row>
    <row r="150" spans="1:12" ht="19" x14ac:dyDescent="0.2">
      <c r="A150" s="143"/>
      <c r="B150" s="33"/>
      <c r="C150" s="35"/>
      <c r="D150" s="13"/>
      <c r="E150" s="15"/>
      <c r="F150" s="9"/>
      <c r="G150" s="9"/>
      <c r="H150" s="9"/>
      <c r="I150" s="9"/>
      <c r="J150" s="9"/>
      <c r="K150" s="9"/>
      <c r="L150" s="9"/>
    </row>
    <row r="151" spans="1:12" ht="19" x14ac:dyDescent="0.2">
      <c r="A151" s="144">
        <v>1467000</v>
      </c>
      <c r="B151" s="145">
        <v>45065</v>
      </c>
      <c r="C151" s="151" t="s">
        <v>1228</v>
      </c>
      <c r="D151" s="147" t="s">
        <v>405</v>
      </c>
      <c r="E151" s="150">
        <v>1087000</v>
      </c>
      <c r="F151" s="139">
        <v>380000</v>
      </c>
      <c r="G151" s="139"/>
      <c r="H151" s="139"/>
      <c r="I151" s="139">
        <v>50000</v>
      </c>
      <c r="J151" s="139" t="s">
        <v>1762</v>
      </c>
      <c r="K151" s="139"/>
      <c r="L151" s="139"/>
    </row>
    <row r="152" spans="1:12" ht="19" x14ac:dyDescent="0.2">
      <c r="A152" s="143"/>
      <c r="B152" s="33"/>
      <c r="C152" s="35"/>
      <c r="D152" s="13"/>
      <c r="E152" s="15"/>
      <c r="F152" s="9"/>
      <c r="G152" s="9"/>
      <c r="H152" s="9"/>
      <c r="I152" s="9">
        <v>120000</v>
      </c>
      <c r="J152" s="9" t="s">
        <v>1668</v>
      </c>
      <c r="K152" s="9"/>
      <c r="L152" s="9"/>
    </row>
    <row r="153" spans="1:12" ht="19" x14ac:dyDescent="0.2">
      <c r="A153" s="144">
        <v>1821000</v>
      </c>
      <c r="B153" s="158"/>
      <c r="C153" s="159" t="s">
        <v>10</v>
      </c>
      <c r="D153" s="147" t="s">
        <v>685</v>
      </c>
      <c r="E153" s="150">
        <v>1382000</v>
      </c>
      <c r="F153" s="139">
        <v>439000</v>
      </c>
      <c r="G153" s="139"/>
      <c r="H153" s="139"/>
      <c r="I153" s="139">
        <v>29000</v>
      </c>
      <c r="J153" s="139" t="s">
        <v>1713</v>
      </c>
      <c r="K153" s="139"/>
      <c r="L153" s="139"/>
    </row>
    <row r="154" spans="1:12" ht="19" x14ac:dyDescent="0.2">
      <c r="A154" s="143"/>
      <c r="B154" s="33"/>
      <c r="C154" s="35"/>
      <c r="D154" s="13"/>
      <c r="E154" s="15"/>
      <c r="F154" s="9"/>
      <c r="G154" s="9"/>
      <c r="H154" s="9"/>
      <c r="I154" s="9">
        <v>26000</v>
      </c>
      <c r="J154" s="9" t="s">
        <v>1763</v>
      </c>
      <c r="K154" s="9"/>
      <c r="L154" s="9"/>
    </row>
    <row r="155" spans="1:12" ht="19" x14ac:dyDescent="0.2">
      <c r="A155" s="144"/>
      <c r="B155" s="145"/>
      <c r="C155" s="159"/>
      <c r="D155" s="147"/>
      <c r="E155" s="150"/>
      <c r="F155" s="139"/>
      <c r="G155" s="139"/>
      <c r="H155" s="139"/>
      <c r="I155" s="139">
        <v>165000</v>
      </c>
      <c r="J155" s="139" t="s">
        <v>1764</v>
      </c>
      <c r="K155" s="139"/>
      <c r="L155" s="139"/>
    </row>
    <row r="156" spans="1:12" ht="19" x14ac:dyDescent="0.2">
      <c r="A156" s="143"/>
      <c r="B156" s="33"/>
      <c r="C156" s="35"/>
      <c r="D156" s="13"/>
      <c r="E156" s="15"/>
      <c r="F156" s="9"/>
      <c r="G156" s="9"/>
      <c r="H156" s="9"/>
      <c r="I156" s="9">
        <v>140000</v>
      </c>
      <c r="J156" s="9" t="s">
        <v>1518</v>
      </c>
      <c r="K156" s="9"/>
      <c r="L156" s="9"/>
    </row>
    <row r="157" spans="1:12" ht="19" x14ac:dyDescent="0.2">
      <c r="A157" s="148"/>
      <c r="B157" s="145"/>
      <c r="C157" s="146"/>
      <c r="D157" s="147"/>
      <c r="E157" s="150"/>
      <c r="F157" s="139"/>
      <c r="G157" s="139"/>
      <c r="H157" s="139"/>
      <c r="I157" s="139"/>
      <c r="J157" s="139"/>
      <c r="K157" s="139"/>
      <c r="L157" s="139"/>
    </row>
    <row r="158" spans="1:12" s="156" customFormat="1" ht="19" x14ac:dyDescent="0.2">
      <c r="A158" s="142">
        <v>1925000</v>
      </c>
      <c r="B158" s="153">
        <v>45066</v>
      </c>
      <c r="C158" s="163" t="s">
        <v>9</v>
      </c>
      <c r="D158" s="172" t="s">
        <v>405</v>
      </c>
      <c r="E158" s="164">
        <v>1490000</v>
      </c>
      <c r="F158" s="119">
        <v>435000</v>
      </c>
      <c r="G158" s="119"/>
      <c r="H158" s="119"/>
      <c r="I158" s="119">
        <v>240000</v>
      </c>
      <c r="J158" s="119" t="s">
        <v>1509</v>
      </c>
      <c r="K158" s="119"/>
      <c r="L158" s="119"/>
    </row>
    <row r="159" spans="1:12" ht="19" x14ac:dyDescent="0.2">
      <c r="A159" s="148"/>
      <c r="B159" s="158"/>
      <c r="C159" s="151"/>
      <c r="D159" s="160"/>
      <c r="E159" s="150"/>
      <c r="F159" s="139"/>
      <c r="G159" s="139"/>
      <c r="H159" s="139"/>
      <c r="I159" s="139"/>
      <c r="J159" s="139"/>
      <c r="K159" s="139"/>
      <c r="L159" s="139"/>
    </row>
    <row r="160" spans="1:12" ht="19" x14ac:dyDescent="0.2">
      <c r="A160" s="142">
        <v>1708000</v>
      </c>
      <c r="B160" s="33"/>
      <c r="C160" s="35" t="s">
        <v>10</v>
      </c>
      <c r="D160" s="102" t="s">
        <v>685</v>
      </c>
      <c r="E160" s="15">
        <v>1283000</v>
      </c>
      <c r="F160" s="9">
        <v>425000</v>
      </c>
      <c r="G160" s="9"/>
      <c r="H160" s="9"/>
      <c r="I160" s="9">
        <v>50000</v>
      </c>
      <c r="J160" s="9" t="s">
        <v>123</v>
      </c>
      <c r="K160" s="9"/>
      <c r="L160" s="9"/>
    </row>
    <row r="161" spans="1:12" ht="19" x14ac:dyDescent="0.2">
      <c r="A161" s="148"/>
      <c r="B161" s="158"/>
      <c r="C161" s="151"/>
      <c r="D161" s="160"/>
      <c r="E161" s="150"/>
      <c r="F161" s="139"/>
      <c r="G161" s="139"/>
      <c r="H161" s="139"/>
      <c r="I161" s="139"/>
      <c r="J161" s="139"/>
      <c r="K161" s="139"/>
      <c r="L161" s="139"/>
    </row>
    <row r="162" spans="1:12" s="156" customFormat="1" ht="19" x14ac:dyDescent="0.2">
      <c r="A162" s="142">
        <v>1214000</v>
      </c>
      <c r="B162" s="153">
        <v>45067</v>
      </c>
      <c r="C162" s="163" t="s">
        <v>9</v>
      </c>
      <c r="D162" s="172" t="s">
        <v>405</v>
      </c>
      <c r="E162" s="164">
        <v>1044000</v>
      </c>
      <c r="F162" s="119">
        <v>170000</v>
      </c>
      <c r="G162" s="119"/>
      <c r="H162" s="119"/>
      <c r="I162" s="119">
        <v>54000</v>
      </c>
      <c r="J162" s="119" t="s">
        <v>1449</v>
      </c>
      <c r="K162" s="119"/>
      <c r="L162" s="119"/>
    </row>
    <row r="163" spans="1:12" ht="19" x14ac:dyDescent="0.2">
      <c r="A163" s="148"/>
      <c r="B163" s="158"/>
      <c r="C163" s="151"/>
      <c r="D163" s="160"/>
      <c r="E163" s="150"/>
      <c r="F163" s="139"/>
      <c r="G163" s="139">
        <v>250000</v>
      </c>
      <c r="H163" s="139" t="s">
        <v>1800</v>
      </c>
      <c r="I163" s="139">
        <v>78000</v>
      </c>
      <c r="J163" s="139" t="s">
        <v>1641</v>
      </c>
      <c r="K163" s="139"/>
      <c r="L163" s="139"/>
    </row>
    <row r="164" spans="1:12" ht="19" x14ac:dyDescent="0.2">
      <c r="A164" s="142">
        <v>1474000</v>
      </c>
      <c r="B164" s="33"/>
      <c r="C164" s="35" t="s">
        <v>10</v>
      </c>
      <c r="D164" s="102" t="s">
        <v>685</v>
      </c>
      <c r="E164" s="15">
        <v>1108000</v>
      </c>
      <c r="F164" s="9">
        <v>366000</v>
      </c>
      <c r="G164" s="9"/>
      <c r="H164" s="9"/>
      <c r="I164" s="9">
        <v>200000</v>
      </c>
      <c r="J164" s="9" t="s">
        <v>1614</v>
      </c>
      <c r="K164" s="9"/>
      <c r="L164" s="9"/>
    </row>
    <row r="165" spans="1:12" ht="19" x14ac:dyDescent="0.2">
      <c r="A165" s="148"/>
      <c r="B165" s="145"/>
      <c r="C165" s="151"/>
      <c r="D165" s="160"/>
      <c r="E165" s="150"/>
      <c r="F165" s="139"/>
      <c r="G165" s="139"/>
      <c r="H165" s="139"/>
      <c r="I165" s="139">
        <v>100000</v>
      </c>
      <c r="J165" s="139" t="s">
        <v>1710</v>
      </c>
      <c r="K165" s="139"/>
      <c r="L165" s="139"/>
    </row>
    <row r="166" spans="1:12" ht="19" x14ac:dyDescent="0.2">
      <c r="A166" s="142"/>
      <c r="B166" s="32"/>
      <c r="C166" s="35"/>
      <c r="D166" s="102"/>
      <c r="E166" s="15"/>
      <c r="F166" s="9"/>
      <c r="G166" s="9"/>
      <c r="H166" s="9"/>
      <c r="I166" s="9">
        <v>35000</v>
      </c>
      <c r="J166" s="9" t="s">
        <v>1467</v>
      </c>
      <c r="K166" s="9"/>
      <c r="L166" s="9"/>
    </row>
    <row r="167" spans="1:12" ht="19" x14ac:dyDescent="0.2">
      <c r="A167" s="148"/>
      <c r="B167" s="158"/>
      <c r="C167" s="151"/>
      <c r="D167" s="160"/>
      <c r="E167" s="150"/>
      <c r="F167" s="139"/>
      <c r="G167" s="139"/>
      <c r="H167" s="139"/>
      <c r="I167" s="139"/>
      <c r="J167" s="139"/>
      <c r="K167" s="139"/>
      <c r="L167" s="139"/>
    </row>
    <row r="168" spans="1:12" s="156" customFormat="1" ht="19" x14ac:dyDescent="0.2">
      <c r="A168" s="142">
        <v>2133000</v>
      </c>
      <c r="B168" s="153">
        <v>45068</v>
      </c>
      <c r="C168" s="163" t="s">
        <v>9</v>
      </c>
      <c r="D168" s="172" t="s">
        <v>405</v>
      </c>
      <c r="E168" s="164">
        <v>1455000</v>
      </c>
      <c r="F168" s="119">
        <v>678000</v>
      </c>
      <c r="G168" s="119">
        <v>2533000</v>
      </c>
      <c r="H168" s="119" t="s">
        <v>1475</v>
      </c>
      <c r="I168" s="119">
        <v>67000</v>
      </c>
      <c r="J168" s="119" t="s">
        <v>1765</v>
      </c>
      <c r="K168" s="119"/>
      <c r="L168" s="119"/>
    </row>
    <row r="169" spans="1:12" ht="19" x14ac:dyDescent="0.2">
      <c r="A169" s="144"/>
      <c r="B169" s="158"/>
      <c r="C169" s="151"/>
      <c r="D169" s="147"/>
      <c r="E169" s="150"/>
      <c r="F169" s="139"/>
      <c r="G169" s="139"/>
      <c r="H169" s="139"/>
      <c r="I169" s="139">
        <v>24000</v>
      </c>
      <c r="J169" s="139" t="s">
        <v>1766</v>
      </c>
      <c r="K169" s="139"/>
      <c r="L169" s="139"/>
    </row>
    <row r="170" spans="1:12" ht="19" x14ac:dyDescent="0.2">
      <c r="A170" s="143"/>
      <c r="B170" s="33"/>
      <c r="C170" s="35"/>
      <c r="D170" s="13"/>
      <c r="E170" s="15"/>
      <c r="F170" s="9"/>
      <c r="G170" s="9"/>
      <c r="H170" s="9"/>
      <c r="I170" s="9">
        <v>51500</v>
      </c>
      <c r="J170" s="9" t="s">
        <v>1767</v>
      </c>
      <c r="K170" s="9"/>
      <c r="L170" s="9"/>
    </row>
    <row r="171" spans="1:12" ht="19" x14ac:dyDescent="0.2">
      <c r="A171" s="144"/>
      <c r="B171" s="158"/>
      <c r="C171" s="151"/>
      <c r="D171" s="147"/>
      <c r="E171" s="150"/>
      <c r="F171" s="139"/>
      <c r="G171" s="139"/>
      <c r="H171" s="139"/>
      <c r="I171" s="139">
        <v>45000</v>
      </c>
      <c r="J171" s="139" t="s">
        <v>1768</v>
      </c>
      <c r="K171" s="139"/>
      <c r="L171" s="139"/>
    </row>
    <row r="172" spans="1:12" ht="19" x14ac:dyDescent="0.2">
      <c r="A172" s="143"/>
      <c r="B172" s="32"/>
      <c r="C172" s="3"/>
      <c r="D172" s="13"/>
      <c r="E172" s="15"/>
      <c r="F172" s="9"/>
      <c r="G172" s="9"/>
      <c r="H172" s="9"/>
      <c r="I172" s="9">
        <v>6000</v>
      </c>
      <c r="J172" s="9" t="s">
        <v>1769</v>
      </c>
      <c r="K172" s="9"/>
      <c r="L172" s="9"/>
    </row>
    <row r="173" spans="1:12" ht="19" x14ac:dyDescent="0.2">
      <c r="A173" s="144"/>
      <c r="B173" s="145"/>
      <c r="C173" s="151"/>
      <c r="D173" s="147"/>
      <c r="E173" s="150"/>
      <c r="F173" s="139"/>
      <c r="G173" s="139"/>
      <c r="H173" s="139"/>
      <c r="I173" s="139">
        <v>87000</v>
      </c>
      <c r="J173" s="139" t="s">
        <v>1491</v>
      </c>
      <c r="K173" s="139"/>
      <c r="L173" s="139"/>
    </row>
    <row r="174" spans="1:12" ht="19" x14ac:dyDescent="0.2">
      <c r="A174" s="143"/>
      <c r="B174" s="153"/>
      <c r="C174" s="163"/>
      <c r="D174" s="155"/>
      <c r="E174" s="164"/>
      <c r="F174" s="119"/>
      <c r="G174" s="119"/>
      <c r="H174" s="119"/>
      <c r="I174" s="119">
        <v>200000</v>
      </c>
      <c r="J174" s="119" t="s">
        <v>1284</v>
      </c>
      <c r="K174" s="119"/>
      <c r="L174" s="119"/>
    </row>
    <row r="175" spans="1:12" ht="19" x14ac:dyDescent="0.2">
      <c r="A175" s="144"/>
      <c r="B175" s="145"/>
      <c r="C175" s="151"/>
      <c r="D175" s="147"/>
      <c r="E175" s="150"/>
      <c r="F175" s="139"/>
      <c r="G175" s="139"/>
      <c r="H175" s="139"/>
      <c r="I175" s="139"/>
      <c r="J175" s="139"/>
      <c r="K175" s="139"/>
      <c r="L175" s="139"/>
    </row>
    <row r="176" spans="1:12" ht="19" x14ac:dyDescent="0.2">
      <c r="A176" s="143">
        <v>1539000</v>
      </c>
      <c r="B176" s="32"/>
      <c r="C176" s="35" t="s">
        <v>10</v>
      </c>
      <c r="D176" s="13" t="s">
        <v>565</v>
      </c>
      <c r="E176" s="15">
        <v>1289000</v>
      </c>
      <c r="F176" s="9">
        <v>250000</v>
      </c>
      <c r="G176" s="9"/>
      <c r="H176" s="9"/>
      <c r="I176" s="9"/>
      <c r="J176" s="9"/>
      <c r="K176" s="9"/>
      <c r="L176" s="9"/>
    </row>
    <row r="177" spans="1:12" ht="19" x14ac:dyDescent="0.2">
      <c r="A177" s="144"/>
      <c r="B177" s="145"/>
      <c r="C177" s="151"/>
      <c r="D177" s="147"/>
      <c r="E177" s="139"/>
      <c r="F177" s="139"/>
      <c r="G177" s="139"/>
      <c r="H177" s="139"/>
      <c r="I177" s="139"/>
      <c r="J177" s="139"/>
      <c r="K177" s="139"/>
      <c r="L177" s="139"/>
    </row>
    <row r="178" spans="1:12" s="156" customFormat="1" ht="19" x14ac:dyDescent="0.2">
      <c r="A178" s="143">
        <v>1707000</v>
      </c>
      <c r="B178" s="153">
        <v>45069</v>
      </c>
      <c r="C178" s="171" t="s">
        <v>9</v>
      </c>
      <c r="D178" s="155" t="s">
        <v>405</v>
      </c>
      <c r="E178" s="164">
        <v>1210000</v>
      </c>
      <c r="F178" s="119">
        <v>497000</v>
      </c>
      <c r="G178" s="119"/>
      <c r="H178" s="119"/>
      <c r="I178" s="119">
        <v>65000</v>
      </c>
      <c r="J178" s="119" t="s">
        <v>1770</v>
      </c>
      <c r="K178" s="119"/>
      <c r="L178" s="119"/>
    </row>
    <row r="179" spans="1:12" ht="19" x14ac:dyDescent="0.2">
      <c r="A179" s="144"/>
      <c r="B179" s="145"/>
      <c r="C179" s="149"/>
      <c r="D179" s="147"/>
      <c r="E179" s="150"/>
      <c r="F179" s="139"/>
      <c r="G179" s="139"/>
      <c r="H179" s="139"/>
      <c r="I179" s="139">
        <v>260000</v>
      </c>
      <c r="J179" s="139" t="s">
        <v>1696</v>
      </c>
      <c r="K179" s="139"/>
      <c r="L179" s="139"/>
    </row>
    <row r="180" spans="1:12" ht="19" x14ac:dyDescent="0.2">
      <c r="A180" s="143"/>
      <c r="B180" s="32"/>
      <c r="C180" s="49"/>
      <c r="D180" s="13"/>
      <c r="E180" s="15"/>
      <c r="F180" s="9"/>
      <c r="G180" s="9"/>
      <c r="H180" s="9"/>
      <c r="I180" s="9">
        <v>98000</v>
      </c>
      <c r="J180" s="9" t="s">
        <v>1771</v>
      </c>
      <c r="K180" s="9"/>
      <c r="L180" s="9"/>
    </row>
    <row r="181" spans="1:12" ht="19" x14ac:dyDescent="0.2">
      <c r="A181" s="144"/>
      <c r="B181" s="145"/>
      <c r="C181" s="159"/>
      <c r="D181" s="147"/>
      <c r="E181" s="150"/>
      <c r="F181" s="139"/>
      <c r="G181" s="139"/>
      <c r="H181" s="139"/>
      <c r="I181" s="139">
        <v>308000</v>
      </c>
      <c r="J181" s="139" t="s">
        <v>1772</v>
      </c>
      <c r="K181" s="139"/>
      <c r="L181" s="139"/>
    </row>
    <row r="182" spans="1:12" ht="19" x14ac:dyDescent="0.2">
      <c r="A182" s="143"/>
      <c r="B182" s="32"/>
      <c r="C182" s="35"/>
      <c r="D182" s="13"/>
      <c r="E182" s="15"/>
      <c r="F182" s="9"/>
      <c r="G182" s="9"/>
      <c r="H182" s="9"/>
      <c r="I182" s="9">
        <v>29500</v>
      </c>
      <c r="J182" s="9" t="s">
        <v>1773</v>
      </c>
      <c r="K182" s="9"/>
      <c r="L182" s="9"/>
    </row>
    <row r="183" spans="1:12" ht="19" x14ac:dyDescent="0.2">
      <c r="A183" s="144"/>
      <c r="B183" s="145"/>
      <c r="C183" s="149"/>
      <c r="D183" s="147"/>
      <c r="E183" s="150"/>
      <c r="F183" s="139"/>
      <c r="G183" s="139"/>
      <c r="H183" s="139"/>
      <c r="I183" s="165">
        <v>7000</v>
      </c>
      <c r="J183" s="165" t="s">
        <v>1774</v>
      </c>
      <c r="K183" s="139"/>
      <c r="L183" s="139"/>
    </row>
    <row r="184" spans="1:12" ht="19" x14ac:dyDescent="0.2">
      <c r="A184" s="143"/>
      <c r="B184" s="32"/>
      <c r="C184" s="49"/>
      <c r="D184" s="13"/>
      <c r="E184" s="15"/>
      <c r="F184" s="9"/>
      <c r="G184" s="9"/>
      <c r="H184" s="9"/>
      <c r="I184" s="77">
        <v>50500</v>
      </c>
      <c r="J184" s="77" t="s">
        <v>1775</v>
      </c>
      <c r="K184" s="9"/>
      <c r="L184" s="9"/>
    </row>
    <row r="185" spans="1:12" ht="19" x14ac:dyDescent="0.2">
      <c r="A185" s="144"/>
      <c r="B185" s="145"/>
      <c r="C185" s="149"/>
      <c r="D185" s="147"/>
      <c r="E185" s="150"/>
      <c r="F185" s="139"/>
      <c r="G185" s="139"/>
      <c r="H185" s="166"/>
      <c r="I185" s="165">
        <v>15000</v>
      </c>
      <c r="J185" s="165" t="s">
        <v>1776</v>
      </c>
      <c r="K185" s="139"/>
      <c r="L185" s="139"/>
    </row>
    <row r="186" spans="1:12" ht="19" x14ac:dyDescent="0.2">
      <c r="A186" s="142"/>
      <c r="B186" s="32"/>
      <c r="C186" s="49"/>
      <c r="D186" s="102"/>
      <c r="E186" s="15"/>
      <c r="F186" s="9"/>
      <c r="G186" s="9"/>
      <c r="H186" s="103"/>
      <c r="I186" s="77">
        <v>180000</v>
      </c>
      <c r="J186" s="77" t="s">
        <v>1777</v>
      </c>
      <c r="K186" s="9"/>
      <c r="L186" s="9"/>
    </row>
    <row r="187" spans="1:12" ht="19" x14ac:dyDescent="0.2">
      <c r="A187" s="148"/>
      <c r="B187" s="145"/>
      <c r="C187" s="149"/>
      <c r="D187" s="147"/>
      <c r="E187" s="150"/>
      <c r="F187" s="139"/>
      <c r="G187" s="139"/>
      <c r="H187" s="166"/>
      <c r="I187" s="165">
        <v>26000</v>
      </c>
      <c r="J187" s="165" t="s">
        <v>1375</v>
      </c>
      <c r="K187" s="139"/>
      <c r="L187" s="139"/>
    </row>
    <row r="188" spans="1:12" ht="19" x14ac:dyDescent="0.2">
      <c r="A188" s="143"/>
      <c r="B188" s="32"/>
      <c r="C188" s="49"/>
      <c r="D188" s="13"/>
      <c r="E188" s="15"/>
      <c r="F188" s="9"/>
      <c r="G188" s="9"/>
      <c r="H188" s="9"/>
      <c r="I188" s="9">
        <v>96000</v>
      </c>
      <c r="J188" s="9" t="s">
        <v>1778</v>
      </c>
      <c r="K188" s="9"/>
      <c r="L188" s="9"/>
    </row>
    <row r="189" spans="1:12" ht="19" x14ac:dyDescent="0.2">
      <c r="A189" s="144"/>
      <c r="B189" s="145"/>
      <c r="C189" s="159"/>
      <c r="D189" s="147"/>
      <c r="E189" s="150"/>
      <c r="F189" s="139"/>
      <c r="G189" s="139"/>
      <c r="H189" s="139"/>
      <c r="I189" s="139">
        <v>200000</v>
      </c>
      <c r="J189" s="139" t="s">
        <v>1779</v>
      </c>
      <c r="K189" s="139"/>
      <c r="L189" s="139"/>
    </row>
    <row r="190" spans="1:12" ht="19" x14ac:dyDescent="0.2">
      <c r="A190" s="143">
        <v>2533000</v>
      </c>
      <c r="B190" s="32"/>
      <c r="C190" s="49" t="s">
        <v>10</v>
      </c>
      <c r="D190" s="13" t="s">
        <v>565</v>
      </c>
      <c r="E190" s="15">
        <v>2078000</v>
      </c>
      <c r="F190" s="9">
        <v>455000</v>
      </c>
      <c r="G190" s="9"/>
      <c r="H190" s="9"/>
      <c r="I190" s="9">
        <v>144000</v>
      </c>
      <c r="J190" s="9" t="s">
        <v>1245</v>
      </c>
      <c r="K190" s="9"/>
      <c r="L190" s="9"/>
    </row>
    <row r="191" spans="1:12" ht="19" x14ac:dyDescent="0.2">
      <c r="A191" s="144"/>
      <c r="B191" s="145"/>
      <c r="C191" s="149"/>
      <c r="D191" s="147"/>
      <c r="E191" s="150"/>
      <c r="F191" s="139"/>
      <c r="G191" s="139"/>
      <c r="H191" s="139"/>
      <c r="I191" s="139">
        <v>80000</v>
      </c>
      <c r="J191" s="139" t="s">
        <v>1597</v>
      </c>
      <c r="K191" s="139"/>
      <c r="L191" s="139"/>
    </row>
    <row r="192" spans="1:12" ht="19" x14ac:dyDescent="0.2">
      <c r="A192" s="143"/>
      <c r="B192" s="32"/>
      <c r="C192" s="49"/>
      <c r="D192" s="13"/>
      <c r="E192" s="15"/>
      <c r="F192" s="9"/>
      <c r="G192" s="9"/>
      <c r="H192" s="9"/>
      <c r="I192" s="9">
        <v>35000</v>
      </c>
      <c r="J192" s="9" t="s">
        <v>1598</v>
      </c>
      <c r="K192" s="9"/>
      <c r="L192" s="9"/>
    </row>
    <row r="193" spans="1:12" ht="19" x14ac:dyDescent="0.2">
      <c r="A193" s="144"/>
      <c r="B193" s="145"/>
      <c r="C193" s="159"/>
      <c r="D193" s="147"/>
      <c r="E193" s="150"/>
      <c r="F193" s="139"/>
      <c r="G193" s="139"/>
      <c r="H193" s="139"/>
      <c r="I193" s="139"/>
      <c r="J193" s="139"/>
      <c r="K193" s="139"/>
      <c r="L193" s="139"/>
    </row>
    <row r="194" spans="1:12" s="156" customFormat="1" ht="19" x14ac:dyDescent="0.2">
      <c r="A194" s="143">
        <v>1332000</v>
      </c>
      <c r="B194" s="153">
        <v>45070</v>
      </c>
      <c r="C194" s="163" t="s">
        <v>9</v>
      </c>
      <c r="D194" s="155" t="s">
        <v>405</v>
      </c>
      <c r="E194" s="164">
        <v>950000</v>
      </c>
      <c r="F194" s="119">
        <v>382000</v>
      </c>
      <c r="G194" s="119"/>
      <c r="H194" s="119"/>
      <c r="I194" s="119">
        <v>35000</v>
      </c>
      <c r="J194" s="119" t="s">
        <v>1493</v>
      </c>
      <c r="K194" s="119"/>
      <c r="L194" s="119"/>
    </row>
    <row r="195" spans="1:12" ht="19" x14ac:dyDescent="0.2">
      <c r="A195" s="144"/>
      <c r="B195" s="145"/>
      <c r="C195" s="146"/>
      <c r="D195" s="147"/>
      <c r="E195" s="150"/>
      <c r="F195" s="139"/>
      <c r="G195" s="139"/>
      <c r="H195" s="165"/>
      <c r="I195" s="139"/>
      <c r="J195" s="139"/>
      <c r="K195" s="139"/>
      <c r="L195" s="139"/>
    </row>
    <row r="196" spans="1:12" ht="19" x14ac:dyDescent="0.2">
      <c r="A196" s="143">
        <v>1948000</v>
      </c>
      <c r="B196" s="32"/>
      <c r="C196" s="35" t="s">
        <v>10</v>
      </c>
      <c r="D196" s="13" t="s">
        <v>565</v>
      </c>
      <c r="E196" s="15">
        <v>1722000</v>
      </c>
      <c r="F196" s="9">
        <v>226000</v>
      </c>
      <c r="G196" s="9"/>
      <c r="H196" s="77"/>
      <c r="I196" s="9">
        <v>35000</v>
      </c>
      <c r="J196" s="9" t="s">
        <v>1493</v>
      </c>
      <c r="K196" s="9"/>
      <c r="L196" s="9"/>
    </row>
    <row r="197" spans="1:12" ht="19" x14ac:dyDescent="0.2">
      <c r="A197" s="144"/>
      <c r="B197" s="145"/>
      <c r="C197" s="146"/>
      <c r="D197" s="147"/>
      <c r="E197" s="150"/>
      <c r="F197" s="139"/>
      <c r="G197" s="139"/>
      <c r="H197" s="165"/>
      <c r="I197" s="139">
        <v>112000</v>
      </c>
      <c r="J197" s="139" t="s">
        <v>1553</v>
      </c>
      <c r="K197" s="139"/>
      <c r="L197" s="139"/>
    </row>
    <row r="198" spans="1:12" ht="19" x14ac:dyDescent="0.2">
      <c r="A198" s="143"/>
      <c r="B198" s="32"/>
      <c r="C198" s="3"/>
      <c r="D198" s="13"/>
      <c r="E198" s="15"/>
      <c r="F198" s="9"/>
      <c r="G198" s="9"/>
      <c r="H198" s="77"/>
      <c r="I198" s="9"/>
      <c r="J198" s="9"/>
      <c r="K198" s="9"/>
      <c r="L198" s="9"/>
    </row>
    <row r="199" spans="1:12" ht="19" x14ac:dyDescent="0.2">
      <c r="A199" s="144">
        <v>1639000</v>
      </c>
      <c r="B199" s="145">
        <v>45071</v>
      </c>
      <c r="C199" s="151" t="s">
        <v>1228</v>
      </c>
      <c r="D199" s="147" t="s">
        <v>405</v>
      </c>
      <c r="E199" s="150">
        <v>1411000</v>
      </c>
      <c r="F199" s="139">
        <v>228000</v>
      </c>
      <c r="G199" s="139"/>
      <c r="H199" s="165"/>
      <c r="I199" s="139">
        <v>355000</v>
      </c>
      <c r="J199" s="139" t="s">
        <v>1780</v>
      </c>
      <c r="K199" s="139"/>
      <c r="L199" s="139"/>
    </row>
    <row r="200" spans="1:12" ht="19" x14ac:dyDescent="0.2">
      <c r="A200" s="143"/>
      <c r="B200" s="32"/>
      <c r="C200" s="35"/>
      <c r="D200" s="13"/>
      <c r="E200" s="15"/>
      <c r="F200" s="9"/>
      <c r="G200" s="9"/>
      <c r="H200" s="77"/>
      <c r="I200" s="9"/>
      <c r="J200" s="9"/>
      <c r="K200" s="9"/>
      <c r="L200" s="9"/>
    </row>
    <row r="201" spans="1:12" ht="19" x14ac:dyDescent="0.2">
      <c r="A201" s="148">
        <v>2860000</v>
      </c>
      <c r="B201" s="145"/>
      <c r="C201" s="151" t="s">
        <v>10</v>
      </c>
      <c r="D201" s="160" t="s">
        <v>565</v>
      </c>
      <c r="E201" s="150">
        <v>2424000</v>
      </c>
      <c r="F201" s="139">
        <v>436000</v>
      </c>
      <c r="G201" s="139"/>
      <c r="H201" s="165"/>
      <c r="I201" s="139">
        <v>280000</v>
      </c>
      <c r="J201" s="139" t="s">
        <v>1781</v>
      </c>
      <c r="K201" s="139"/>
      <c r="L201" s="139"/>
    </row>
    <row r="202" spans="1:12" ht="19" x14ac:dyDescent="0.2">
      <c r="A202" s="142"/>
      <c r="B202" s="32"/>
      <c r="C202" s="35"/>
      <c r="D202" s="102"/>
      <c r="E202" s="15"/>
      <c r="F202" s="9"/>
      <c r="G202" s="9"/>
      <c r="H202" s="77"/>
      <c r="I202" s="9">
        <v>37500</v>
      </c>
      <c r="J202" s="9" t="s">
        <v>1782</v>
      </c>
      <c r="K202" s="9"/>
      <c r="L202" s="9"/>
    </row>
    <row r="203" spans="1:12" ht="19" x14ac:dyDescent="0.2">
      <c r="A203" s="144"/>
      <c r="B203" s="145"/>
      <c r="C203" s="159"/>
      <c r="D203" s="147"/>
      <c r="E203" s="150"/>
      <c r="F203" s="139"/>
      <c r="G203" s="139"/>
      <c r="H203" s="165"/>
      <c r="I203" s="139">
        <v>10000</v>
      </c>
      <c r="J203" s="139" t="s">
        <v>1783</v>
      </c>
      <c r="K203" s="139"/>
      <c r="L203" s="139"/>
    </row>
    <row r="204" spans="1:12" ht="19" x14ac:dyDescent="0.2">
      <c r="A204" s="143"/>
      <c r="B204" s="32"/>
      <c r="C204" s="49"/>
      <c r="D204" s="13"/>
      <c r="E204" s="15"/>
      <c r="F204" s="9"/>
      <c r="G204" s="9"/>
      <c r="H204" s="77"/>
      <c r="I204" s="9">
        <v>40000</v>
      </c>
      <c r="J204" s="9" t="s">
        <v>1784</v>
      </c>
      <c r="K204" s="9"/>
      <c r="L204" s="9"/>
    </row>
    <row r="205" spans="1:12" ht="19" x14ac:dyDescent="0.2">
      <c r="A205" s="144"/>
      <c r="B205" s="145"/>
      <c r="C205" s="146"/>
      <c r="D205" s="147"/>
      <c r="E205" s="150"/>
      <c r="F205" s="139"/>
      <c r="G205" s="139"/>
      <c r="H205" s="165"/>
      <c r="I205" s="139"/>
      <c r="J205" s="139"/>
      <c r="K205" s="139"/>
      <c r="L205" s="139"/>
    </row>
    <row r="206" spans="1:12" s="156" customFormat="1" ht="19" x14ac:dyDescent="0.2">
      <c r="A206" s="143">
        <v>1555000</v>
      </c>
      <c r="B206" s="153">
        <v>45072</v>
      </c>
      <c r="C206" s="163" t="s">
        <v>1228</v>
      </c>
      <c r="D206" s="155" t="s">
        <v>405</v>
      </c>
      <c r="E206" s="164">
        <v>1234000</v>
      </c>
      <c r="F206" s="119">
        <v>321000</v>
      </c>
      <c r="G206" s="119"/>
      <c r="H206" s="168"/>
      <c r="I206" s="119">
        <v>200000</v>
      </c>
      <c r="J206" s="119" t="s">
        <v>1614</v>
      </c>
      <c r="K206" s="119"/>
      <c r="L206" s="119"/>
    </row>
    <row r="207" spans="1:12" ht="19" x14ac:dyDescent="0.2">
      <c r="A207" s="144"/>
      <c r="B207" s="145"/>
      <c r="C207" s="159"/>
      <c r="D207" s="147"/>
      <c r="E207" s="150"/>
      <c r="F207" s="139"/>
      <c r="G207" s="139"/>
      <c r="H207" s="139"/>
      <c r="I207" s="139">
        <v>35000</v>
      </c>
      <c r="J207" s="139" t="s">
        <v>1467</v>
      </c>
      <c r="K207" s="139"/>
      <c r="L207" s="139"/>
    </row>
    <row r="208" spans="1:12" ht="19" x14ac:dyDescent="0.2">
      <c r="A208" s="143"/>
      <c r="B208" s="32"/>
      <c r="C208" s="49"/>
      <c r="D208" s="13"/>
      <c r="E208" s="15"/>
      <c r="F208" s="9"/>
      <c r="G208" s="9"/>
      <c r="H208" s="77"/>
      <c r="I208" s="9">
        <v>100000</v>
      </c>
      <c r="J208" s="9" t="s">
        <v>1785</v>
      </c>
      <c r="K208" s="9"/>
      <c r="L208" s="9"/>
    </row>
    <row r="209" spans="1:12" ht="19" x14ac:dyDescent="0.2">
      <c r="A209" s="144"/>
      <c r="B209" s="145"/>
      <c r="C209" s="167"/>
      <c r="D209" s="147"/>
      <c r="E209" s="150"/>
      <c r="F209" s="139"/>
      <c r="G209" s="139"/>
      <c r="H209" s="139"/>
      <c r="I209" s="139">
        <v>144000</v>
      </c>
      <c r="J209" s="139" t="s">
        <v>1245</v>
      </c>
      <c r="K209" s="139"/>
      <c r="L209" s="139"/>
    </row>
    <row r="210" spans="1:12" ht="19" x14ac:dyDescent="0.2">
      <c r="A210" s="143"/>
      <c r="B210" s="153"/>
      <c r="C210" s="154"/>
      <c r="D210" s="155"/>
      <c r="E210" s="164"/>
      <c r="F210" s="119"/>
      <c r="G210" s="119"/>
      <c r="H210" s="119"/>
      <c r="I210" s="119">
        <v>80000</v>
      </c>
      <c r="J210" s="119" t="s">
        <v>1597</v>
      </c>
      <c r="K210" s="119"/>
      <c r="L210" s="119"/>
    </row>
    <row r="211" spans="1:12" ht="19" x14ac:dyDescent="0.2">
      <c r="A211" s="144"/>
      <c r="B211" s="158"/>
      <c r="C211" s="151"/>
      <c r="D211" s="147"/>
      <c r="E211" s="150"/>
      <c r="F211" s="139"/>
      <c r="G211" s="139"/>
      <c r="H211" s="165"/>
      <c r="I211" s="139"/>
      <c r="J211" s="139"/>
      <c r="K211" s="139"/>
      <c r="L211" s="139"/>
    </row>
    <row r="212" spans="1:12" ht="19" x14ac:dyDescent="0.2">
      <c r="A212" s="143">
        <v>1430000</v>
      </c>
      <c r="B212" s="32"/>
      <c r="C212" s="49" t="s">
        <v>10</v>
      </c>
      <c r="D212" s="13" t="s">
        <v>565</v>
      </c>
      <c r="E212" s="15">
        <v>1216000</v>
      </c>
      <c r="F212" s="9">
        <v>214000</v>
      </c>
      <c r="G212" s="9"/>
      <c r="H212" s="9"/>
      <c r="I212" s="9"/>
      <c r="J212" s="9"/>
      <c r="K212" s="9"/>
      <c r="L212" s="9"/>
    </row>
    <row r="213" spans="1:12" ht="19" x14ac:dyDescent="0.2">
      <c r="A213" s="144"/>
      <c r="B213" s="145"/>
      <c r="C213" s="149"/>
      <c r="D213" s="147"/>
      <c r="E213" s="150"/>
      <c r="F213" s="139"/>
      <c r="G213" s="139"/>
      <c r="H213" s="139"/>
      <c r="I213" s="165" t="s">
        <v>1786</v>
      </c>
      <c r="J213" s="165"/>
      <c r="K213" s="139"/>
      <c r="L213" s="139"/>
    </row>
    <row r="214" spans="1:12" s="156" customFormat="1" ht="19" x14ac:dyDescent="0.2">
      <c r="A214" s="143">
        <v>1542000</v>
      </c>
      <c r="B214" s="153">
        <v>45073</v>
      </c>
      <c r="C214" s="171" t="s">
        <v>1228</v>
      </c>
      <c r="D214" s="155" t="s">
        <v>405</v>
      </c>
      <c r="E214" s="164">
        <v>1124000</v>
      </c>
      <c r="F214" s="119">
        <v>418000</v>
      </c>
      <c r="G214" s="119"/>
      <c r="H214" s="119"/>
      <c r="I214" s="168">
        <v>520000</v>
      </c>
      <c r="J214" s="168" t="s">
        <v>1517</v>
      </c>
      <c r="K214" s="119"/>
      <c r="L214" s="119"/>
    </row>
    <row r="215" spans="1:12" ht="19" x14ac:dyDescent="0.2">
      <c r="A215" s="144"/>
      <c r="B215" s="145"/>
      <c r="C215" s="149"/>
      <c r="D215" s="147"/>
      <c r="E215" s="150"/>
      <c r="F215" s="139"/>
      <c r="G215" s="139"/>
      <c r="H215" s="139"/>
      <c r="I215" s="165"/>
      <c r="J215" s="165"/>
      <c r="K215" s="139"/>
      <c r="L215" s="139"/>
    </row>
    <row r="216" spans="1:12" ht="19" x14ac:dyDescent="0.2">
      <c r="A216" s="143">
        <v>1707000</v>
      </c>
      <c r="B216" s="32"/>
      <c r="C216" s="49" t="s">
        <v>1787</v>
      </c>
      <c r="D216" s="13" t="s">
        <v>685</v>
      </c>
      <c r="E216" s="15">
        <v>1506000</v>
      </c>
      <c r="F216" s="9">
        <v>201000</v>
      </c>
      <c r="G216" s="9"/>
      <c r="H216" s="9"/>
      <c r="I216" s="77">
        <v>50000</v>
      </c>
      <c r="J216" s="77" t="s">
        <v>123</v>
      </c>
      <c r="K216" s="9"/>
      <c r="L216" s="9"/>
    </row>
    <row r="217" spans="1:12" ht="19" x14ac:dyDescent="0.2">
      <c r="A217" s="144"/>
      <c r="B217" s="145"/>
      <c r="C217" s="149"/>
      <c r="D217" s="147"/>
      <c r="E217" s="150"/>
      <c r="F217" s="139"/>
      <c r="G217" s="139"/>
      <c r="H217" s="139"/>
      <c r="I217" s="165">
        <v>70000</v>
      </c>
      <c r="J217" s="165" t="s">
        <v>1285</v>
      </c>
      <c r="K217" s="139"/>
      <c r="L217" s="139"/>
    </row>
    <row r="218" spans="1:12" ht="19" x14ac:dyDescent="0.2">
      <c r="A218" s="143"/>
      <c r="B218" s="32"/>
      <c r="C218" s="49"/>
      <c r="D218" s="13"/>
      <c r="E218" s="15"/>
      <c r="F218" s="9"/>
      <c r="G218" s="9"/>
      <c r="H218" s="47"/>
      <c r="I218" s="77"/>
      <c r="J218" s="77"/>
      <c r="K218" s="9"/>
      <c r="L218" s="9"/>
    </row>
    <row r="219" spans="1:12" ht="19" x14ac:dyDescent="0.2">
      <c r="A219" s="144">
        <v>1108000</v>
      </c>
      <c r="B219" s="145">
        <v>45074</v>
      </c>
      <c r="C219" s="149" t="s">
        <v>9</v>
      </c>
      <c r="D219" s="147" t="s">
        <v>405</v>
      </c>
      <c r="E219" s="150">
        <v>685000</v>
      </c>
      <c r="F219" s="139">
        <v>423000</v>
      </c>
      <c r="G219" s="139">
        <v>2517000</v>
      </c>
      <c r="H219" s="139" t="s">
        <v>1475</v>
      </c>
      <c r="I219" s="165"/>
      <c r="J219" s="165"/>
      <c r="K219" s="139"/>
      <c r="L219" s="139"/>
    </row>
    <row r="220" spans="1:12" ht="19" x14ac:dyDescent="0.2">
      <c r="A220" s="143"/>
      <c r="B220" s="32"/>
      <c r="C220" s="49"/>
      <c r="D220" s="13"/>
      <c r="E220" s="15"/>
      <c r="F220" s="9"/>
      <c r="G220" s="9"/>
      <c r="H220" s="9"/>
      <c r="I220" s="77"/>
      <c r="J220" s="77"/>
      <c r="K220" s="9"/>
      <c r="L220" s="9"/>
    </row>
    <row r="221" spans="1:12" ht="19" x14ac:dyDescent="0.2">
      <c r="A221" s="144">
        <v>1081000</v>
      </c>
      <c r="B221" s="145"/>
      <c r="C221" s="149" t="s">
        <v>10</v>
      </c>
      <c r="D221" s="147" t="s">
        <v>685</v>
      </c>
      <c r="E221" s="150">
        <v>889000</v>
      </c>
      <c r="F221" s="139">
        <v>192000</v>
      </c>
      <c r="G221" s="139"/>
      <c r="H221" s="139"/>
      <c r="I221" s="165">
        <v>75000</v>
      </c>
      <c r="J221" s="165" t="s">
        <v>1250</v>
      </c>
      <c r="K221" s="139"/>
      <c r="L221" s="139"/>
    </row>
    <row r="222" spans="1:12" ht="19" x14ac:dyDescent="0.2">
      <c r="A222" s="143"/>
      <c r="B222" s="32"/>
      <c r="C222" s="2"/>
      <c r="D222" s="13"/>
      <c r="E222" s="15"/>
      <c r="F222" s="9"/>
      <c r="G222" s="9"/>
      <c r="H222" s="9"/>
      <c r="I222" s="77">
        <v>75000</v>
      </c>
      <c r="J222" s="77" t="s">
        <v>1788</v>
      </c>
      <c r="K222" s="9"/>
      <c r="L222" s="9"/>
    </row>
    <row r="223" spans="1:12" ht="19" x14ac:dyDescent="0.2">
      <c r="A223" s="144"/>
      <c r="B223" s="145"/>
      <c r="C223" s="149"/>
      <c r="D223" s="147"/>
      <c r="E223" s="150"/>
      <c r="F223" s="139"/>
      <c r="G223" s="139"/>
      <c r="H223" s="139"/>
      <c r="I223" s="165">
        <v>140000</v>
      </c>
      <c r="J223" s="165" t="s">
        <v>1518</v>
      </c>
      <c r="K223" s="139"/>
      <c r="L223" s="139"/>
    </row>
    <row r="224" spans="1:12" ht="19" x14ac:dyDescent="0.2">
      <c r="A224" s="143"/>
      <c r="B224" s="32"/>
      <c r="C224" s="3"/>
      <c r="D224" s="13"/>
      <c r="E224" s="15"/>
      <c r="F224" s="9"/>
      <c r="G224" s="9"/>
      <c r="H224" s="9"/>
      <c r="I224" s="77"/>
      <c r="J224" s="77"/>
      <c r="K224" s="9"/>
      <c r="L224" s="9"/>
    </row>
    <row r="225" spans="1:12" ht="19" x14ac:dyDescent="0.2">
      <c r="A225" s="144">
        <v>1672000</v>
      </c>
      <c r="B225" s="145">
        <v>45075</v>
      </c>
      <c r="C225" s="149" t="s">
        <v>1228</v>
      </c>
      <c r="D225" s="147" t="s">
        <v>405</v>
      </c>
      <c r="E225" s="150">
        <v>1064000</v>
      </c>
      <c r="F225" s="139">
        <v>608000</v>
      </c>
      <c r="G225" s="139"/>
      <c r="H225" s="139"/>
      <c r="I225" s="139">
        <v>75000</v>
      </c>
      <c r="J225" s="139" t="s">
        <v>1789</v>
      </c>
      <c r="K225" s="139"/>
      <c r="L225" s="139"/>
    </row>
    <row r="226" spans="1:12" ht="19" x14ac:dyDescent="0.2">
      <c r="A226" s="143"/>
      <c r="B226" s="32"/>
      <c r="C226" s="49"/>
      <c r="D226" s="13"/>
      <c r="E226" s="15"/>
      <c r="F226" s="9"/>
      <c r="G226" s="9"/>
      <c r="H226" s="9"/>
      <c r="I226" s="9">
        <v>45000</v>
      </c>
      <c r="J226" s="9" t="s">
        <v>1790</v>
      </c>
      <c r="K226" s="9"/>
      <c r="L226" s="9"/>
    </row>
    <row r="227" spans="1:12" ht="19" x14ac:dyDescent="0.2">
      <c r="A227" s="144"/>
      <c r="B227" s="145"/>
      <c r="C227" s="149"/>
      <c r="D227" s="147"/>
      <c r="E227" s="150"/>
      <c r="F227" s="139"/>
      <c r="G227" s="139"/>
      <c r="H227" s="139"/>
      <c r="I227" s="139">
        <v>23000</v>
      </c>
      <c r="J227" s="139" t="s">
        <v>1791</v>
      </c>
      <c r="K227" s="139"/>
      <c r="L227" s="139"/>
    </row>
    <row r="228" spans="1:12" ht="19" x14ac:dyDescent="0.2">
      <c r="A228" s="143"/>
      <c r="B228" s="32"/>
      <c r="C228" s="35"/>
      <c r="D228" s="13"/>
      <c r="E228" s="15"/>
      <c r="F228" s="9"/>
      <c r="G228" s="9"/>
      <c r="H228" s="9"/>
      <c r="I228" s="9">
        <v>140000</v>
      </c>
      <c r="J228" s="9" t="s">
        <v>1792</v>
      </c>
      <c r="K228" s="9"/>
      <c r="L228" s="9"/>
    </row>
    <row r="229" spans="1:12" ht="19" x14ac:dyDescent="0.2">
      <c r="A229" s="144"/>
      <c r="B229" s="145"/>
      <c r="C229" s="149"/>
      <c r="D229" s="147"/>
      <c r="E229" s="150"/>
      <c r="F229" s="139"/>
      <c r="G229" s="139"/>
      <c r="H229" s="139"/>
      <c r="I229" s="139">
        <v>140000</v>
      </c>
      <c r="J229" s="139" t="s">
        <v>1793</v>
      </c>
      <c r="K229" s="139"/>
      <c r="L229" s="139"/>
    </row>
    <row r="230" spans="1:12" ht="19" x14ac:dyDescent="0.2">
      <c r="A230" s="143"/>
      <c r="B230" s="32"/>
      <c r="C230" s="35"/>
      <c r="D230" s="13"/>
      <c r="E230" s="15"/>
      <c r="F230" s="9"/>
      <c r="G230" s="9"/>
      <c r="H230" s="9"/>
      <c r="I230" s="9"/>
      <c r="J230" s="9"/>
      <c r="K230" s="9"/>
      <c r="L230" s="9"/>
    </row>
    <row r="231" spans="1:12" ht="19" x14ac:dyDescent="0.2">
      <c r="A231" s="144">
        <v>1781000</v>
      </c>
      <c r="B231" s="158"/>
      <c r="C231" s="149" t="s">
        <v>10</v>
      </c>
      <c r="D231" s="147" t="s">
        <v>685</v>
      </c>
      <c r="E231" s="150">
        <v>1257000</v>
      </c>
      <c r="F231" s="139">
        <v>524000</v>
      </c>
      <c r="G231" s="139"/>
      <c r="H231" s="139"/>
      <c r="I231" s="139"/>
      <c r="J231" s="139"/>
      <c r="K231" s="139"/>
      <c r="L231" s="139"/>
    </row>
    <row r="232" spans="1:12" s="156" customFormat="1" ht="19" x14ac:dyDescent="0.2">
      <c r="A232" s="143">
        <v>1882000</v>
      </c>
      <c r="B232" s="153">
        <v>45076</v>
      </c>
      <c r="C232" s="171" t="s">
        <v>9</v>
      </c>
      <c r="D232" s="155" t="s">
        <v>405</v>
      </c>
      <c r="E232" s="164">
        <v>1295000</v>
      </c>
      <c r="F232" s="119">
        <v>587000</v>
      </c>
      <c r="G232" s="119"/>
      <c r="H232" s="119"/>
      <c r="I232" s="119">
        <v>20500</v>
      </c>
      <c r="J232" s="119" t="s">
        <v>1459</v>
      </c>
      <c r="K232" s="119"/>
      <c r="L232" s="119"/>
    </row>
    <row r="233" spans="1:12" ht="19" x14ac:dyDescent="0.2">
      <c r="A233" s="144"/>
      <c r="B233" s="145"/>
      <c r="C233" s="149"/>
      <c r="D233" s="147"/>
      <c r="E233" s="150"/>
      <c r="F233" s="139"/>
      <c r="G233" s="139"/>
      <c r="H233" s="161"/>
      <c r="I233" s="165">
        <v>54000</v>
      </c>
      <c r="J233" s="165" t="s">
        <v>1449</v>
      </c>
      <c r="K233" s="139"/>
      <c r="L233" s="139"/>
    </row>
    <row r="234" spans="1:12" ht="19" x14ac:dyDescent="0.2">
      <c r="A234" s="143">
        <v>2285000</v>
      </c>
      <c r="B234" s="32"/>
      <c r="C234" s="49" t="s">
        <v>10</v>
      </c>
      <c r="D234" s="13" t="s">
        <v>685</v>
      </c>
      <c r="E234" s="15">
        <v>1584000</v>
      </c>
      <c r="F234" s="9">
        <v>701000</v>
      </c>
      <c r="G234" s="9"/>
      <c r="H234" s="9"/>
      <c r="I234" s="9">
        <v>140000</v>
      </c>
      <c r="J234" s="9" t="s">
        <v>1518</v>
      </c>
      <c r="K234" s="9"/>
      <c r="L234" s="9"/>
    </row>
    <row r="235" spans="1:12" ht="19" x14ac:dyDescent="0.2">
      <c r="A235" s="144"/>
      <c r="B235" s="158"/>
      <c r="C235" s="159"/>
      <c r="D235" s="147"/>
      <c r="E235" s="150"/>
      <c r="F235" s="139"/>
      <c r="G235" s="139"/>
      <c r="H235" s="139"/>
      <c r="I235" s="139">
        <v>29500</v>
      </c>
      <c r="J235" s="139" t="s">
        <v>1794</v>
      </c>
      <c r="K235" s="139"/>
      <c r="L235" s="139"/>
    </row>
    <row r="236" spans="1:12" ht="19" x14ac:dyDescent="0.2">
      <c r="A236" s="143">
        <v>1819000</v>
      </c>
      <c r="B236" s="32">
        <v>45077</v>
      </c>
      <c r="C236" s="35" t="s">
        <v>440</v>
      </c>
      <c r="D236" s="13" t="s">
        <v>405</v>
      </c>
      <c r="E236" s="15">
        <v>1483000</v>
      </c>
      <c r="F236" s="9">
        <v>336000</v>
      </c>
      <c r="G236" s="9">
        <v>2250000</v>
      </c>
      <c r="H236" s="9" t="s">
        <v>1321</v>
      </c>
      <c r="I236" s="9">
        <v>5000</v>
      </c>
      <c r="J236" s="9" t="s">
        <v>642</v>
      </c>
      <c r="K236" s="9"/>
      <c r="L236" s="9"/>
    </row>
    <row r="237" spans="1:12" ht="32" x14ac:dyDescent="0.2">
      <c r="A237" s="144"/>
      <c r="B237" s="145"/>
      <c r="C237" s="146"/>
      <c r="D237" s="147"/>
      <c r="E237" s="139"/>
      <c r="F237" s="139"/>
      <c r="G237" s="139">
        <v>2232000</v>
      </c>
      <c r="H237" s="161" t="s">
        <v>1797</v>
      </c>
      <c r="I237" s="162">
        <v>78000</v>
      </c>
      <c r="J237" s="139" t="s">
        <v>1641</v>
      </c>
      <c r="K237" s="139"/>
      <c r="L237" s="139"/>
    </row>
    <row r="238" spans="1:12" ht="19" x14ac:dyDescent="0.2">
      <c r="A238" s="143">
        <v>1885000</v>
      </c>
      <c r="B238" s="32"/>
      <c r="C238" s="2" t="s">
        <v>363</v>
      </c>
      <c r="D238" s="13" t="s">
        <v>685</v>
      </c>
      <c r="E238" s="15">
        <v>1548000</v>
      </c>
      <c r="F238" s="9">
        <v>337000</v>
      </c>
      <c r="G238" s="9">
        <v>1650000</v>
      </c>
      <c r="H238" s="47" t="s">
        <v>1481</v>
      </c>
      <c r="I238" s="9">
        <v>240000</v>
      </c>
      <c r="J238" s="9" t="s">
        <v>1509</v>
      </c>
      <c r="K238" s="9"/>
      <c r="L238" s="9"/>
    </row>
    <row r="239" spans="1:12" ht="19" x14ac:dyDescent="0.2">
      <c r="A239" s="144"/>
      <c r="B239" s="145"/>
      <c r="C239" s="146"/>
      <c r="D239" s="147"/>
      <c r="E239" s="139"/>
      <c r="F239" s="139"/>
      <c r="G239" s="139">
        <v>1000000</v>
      </c>
      <c r="H239" s="139" t="s">
        <v>717</v>
      </c>
      <c r="I239" s="162">
        <v>144000</v>
      </c>
      <c r="J239" s="169" t="s">
        <v>615</v>
      </c>
      <c r="K239" s="139"/>
      <c r="L239" s="139"/>
    </row>
    <row r="240" spans="1:12" s="156" customFormat="1" ht="19" x14ac:dyDescent="0.2">
      <c r="A240" s="143"/>
      <c r="B240" s="153"/>
      <c r="C240" s="170"/>
      <c r="D240" s="155"/>
      <c r="E240" s="164"/>
      <c r="F240" s="119"/>
      <c r="G240" s="119"/>
      <c r="H240" s="119"/>
      <c r="I240" s="119">
        <v>56000</v>
      </c>
      <c r="J240" s="119" t="s">
        <v>859</v>
      </c>
      <c r="K240" s="119"/>
      <c r="L240" s="119"/>
    </row>
    <row r="241" spans="1:12" ht="19" x14ac:dyDescent="0.2">
      <c r="A241" s="144"/>
      <c r="B241" s="145"/>
      <c r="C241" s="159"/>
      <c r="D241" s="147"/>
      <c r="E241" s="150"/>
      <c r="F241" s="139"/>
      <c r="G241" s="139"/>
      <c r="H241" s="139"/>
      <c r="I241" s="139">
        <v>100000</v>
      </c>
      <c r="J241" s="139" t="s">
        <v>889</v>
      </c>
      <c r="K241" s="139"/>
      <c r="L241" s="139"/>
    </row>
    <row r="242" spans="1:12" s="156" customFormat="1" ht="19" x14ac:dyDescent="0.2">
      <c r="A242" s="143"/>
      <c r="B242" s="153"/>
      <c r="C242" s="170"/>
      <c r="D242" s="155"/>
      <c r="E242" s="164"/>
      <c r="F242" s="119"/>
      <c r="G242" s="119"/>
      <c r="H242" s="119"/>
      <c r="I242" s="119"/>
      <c r="J242" s="119"/>
      <c r="K242" s="119"/>
      <c r="L242" s="119"/>
    </row>
    <row r="243" spans="1:12" ht="19" x14ac:dyDescent="0.2">
      <c r="A243" s="144"/>
      <c r="B243" s="145"/>
      <c r="C243" s="159"/>
      <c r="D243" s="147"/>
      <c r="E243" s="150"/>
      <c r="F243" s="139"/>
      <c r="G243" s="139"/>
      <c r="H243" s="139"/>
      <c r="I243" s="139"/>
      <c r="J243" s="139"/>
      <c r="K243" s="139"/>
      <c r="L243" s="139"/>
    </row>
  </sheetData>
  <mergeCells count="1">
    <mergeCell ref="F4:G4"/>
  </mergeCells>
  <conditionalFormatting sqref="E2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{687A51FC-6F69-CB41-BBB7-B2E490C053A9}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7A51FC-6F69-CB41-BBB7-B2E490C053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M273"/>
  <sheetViews>
    <sheetView zoomScale="86" zoomScaleNormal="86" workbookViewId="0">
      <pane xSplit="1" topLeftCell="B1" activePane="topRight" state="frozen"/>
      <selection activeCell="A11" sqref="A11"/>
      <selection pane="topRight" activeCell="M26" sqref="M26"/>
    </sheetView>
  </sheetViews>
  <sheetFormatPr baseColWidth="10" defaultColWidth="11.5" defaultRowHeight="15" x14ac:dyDescent="0.2"/>
  <cols>
    <col min="1" max="1" width="21.83203125" bestFit="1" customWidth="1"/>
    <col min="3" max="3" width="13.5" customWidth="1"/>
    <col min="5" max="6" width="20.33203125" bestFit="1" customWidth="1"/>
    <col min="7" max="7" width="20.5" customWidth="1"/>
    <col min="8" max="8" width="27" bestFit="1" customWidth="1"/>
    <col min="9" max="9" width="20.33203125" bestFit="1" customWidth="1"/>
    <col min="10" max="10" width="25.6640625" bestFit="1" customWidth="1"/>
  </cols>
  <sheetData>
    <row r="3" spans="1:13" ht="21" x14ac:dyDescent="0.2">
      <c r="G3" s="73"/>
      <c r="H3" s="71" t="s">
        <v>174</v>
      </c>
      <c r="I3" s="71">
        <f>L10/A10</f>
        <v>0</v>
      </c>
    </row>
    <row r="4" spans="1:13" ht="21" x14ac:dyDescent="0.2">
      <c r="F4" s="306" t="s">
        <v>1923</v>
      </c>
      <c r="G4" s="307"/>
      <c r="H4" s="71" t="s">
        <v>175</v>
      </c>
      <c r="I4" s="71">
        <v>29864800</v>
      </c>
      <c r="J4" s="72">
        <f>I4/10820</f>
        <v>2760.1478743068392</v>
      </c>
    </row>
    <row r="5" spans="1:13" ht="24" x14ac:dyDescent="0.3">
      <c r="B5" s="99" t="s">
        <v>1922</v>
      </c>
      <c r="G5" s="73"/>
      <c r="H5" s="71" t="s">
        <v>176</v>
      </c>
      <c r="I5" s="71">
        <v>12799200</v>
      </c>
      <c r="J5" s="72">
        <f>I5/10820</f>
        <v>1182.9205175600739</v>
      </c>
    </row>
    <row r="6" spans="1:13" ht="24" x14ac:dyDescent="0.3">
      <c r="B6" s="99"/>
      <c r="G6" s="73"/>
      <c r="H6" s="71" t="s">
        <v>178</v>
      </c>
      <c r="I6" s="71">
        <v>26471826</v>
      </c>
      <c r="J6" s="72" t="s">
        <v>1924</v>
      </c>
      <c r="L6" s="85"/>
      <c r="M6" s="85"/>
    </row>
    <row r="7" spans="1:13" ht="26" x14ac:dyDescent="0.3">
      <c r="B7" s="100" t="s">
        <v>1925</v>
      </c>
    </row>
    <row r="9" spans="1:13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/>
      <c r="L9" s="114"/>
    </row>
    <row r="10" spans="1:13" ht="21" x14ac:dyDescent="0.2">
      <c r="A10" s="69">
        <f>SUM(A11:A291)</f>
        <v>103908000</v>
      </c>
      <c r="B10" s="65"/>
      <c r="C10" s="66" t="s">
        <v>13</v>
      </c>
      <c r="D10" s="67"/>
      <c r="E10" s="68">
        <f>SUM(E11:E291)</f>
        <v>75150000</v>
      </c>
      <c r="F10" s="69">
        <f>SUM(F11:F291)</f>
        <v>28758000</v>
      </c>
      <c r="G10" s="69">
        <f>SUM(G11:G291)</f>
        <v>25445000</v>
      </c>
      <c r="H10" s="69"/>
      <c r="I10" s="69">
        <f>SUM(I11:I291)</f>
        <v>19469000</v>
      </c>
      <c r="J10" s="69"/>
      <c r="K10" s="69"/>
      <c r="L10" s="69"/>
    </row>
    <row r="11" spans="1:13" ht="19" x14ac:dyDescent="0.2">
      <c r="A11" s="183">
        <v>1651000</v>
      </c>
      <c r="B11" s="184">
        <v>45078</v>
      </c>
      <c r="C11" s="178" t="s">
        <v>1228</v>
      </c>
      <c r="D11" s="186" t="s">
        <v>565</v>
      </c>
      <c r="E11" s="187">
        <v>1226000</v>
      </c>
      <c r="F11" s="187">
        <v>425000</v>
      </c>
      <c r="G11" s="187">
        <v>418000</v>
      </c>
      <c r="H11" s="139" t="s">
        <v>1919</v>
      </c>
      <c r="I11" s="187">
        <v>200000</v>
      </c>
      <c r="J11" s="187" t="s">
        <v>1614</v>
      </c>
      <c r="K11" s="177"/>
      <c r="L11" s="177"/>
    </row>
    <row r="12" spans="1:13" ht="19" x14ac:dyDescent="0.2">
      <c r="A12" s="190"/>
      <c r="B12" s="191"/>
      <c r="C12" s="192"/>
      <c r="D12" s="193"/>
      <c r="E12" s="194"/>
      <c r="F12" s="195"/>
      <c r="G12" s="195"/>
      <c r="H12" s="195"/>
      <c r="I12" s="195">
        <v>35000</v>
      </c>
      <c r="J12" s="195" t="s">
        <v>1467</v>
      </c>
      <c r="K12" s="196"/>
      <c r="L12" s="196"/>
    </row>
    <row r="13" spans="1:13" ht="19" x14ac:dyDescent="0.2">
      <c r="A13" s="183"/>
      <c r="B13" s="184"/>
      <c r="C13" s="180"/>
      <c r="D13" s="186"/>
      <c r="E13" s="188"/>
      <c r="F13" s="187"/>
      <c r="G13" s="187"/>
      <c r="H13" s="187"/>
      <c r="I13" s="187">
        <v>100000</v>
      </c>
      <c r="J13" s="187" t="s">
        <v>1805</v>
      </c>
      <c r="K13" s="177"/>
      <c r="L13" s="177"/>
    </row>
    <row r="14" spans="1:13" ht="19" x14ac:dyDescent="0.2">
      <c r="A14" s="190">
        <v>2474000</v>
      </c>
      <c r="B14" s="191"/>
      <c r="C14" s="192" t="s">
        <v>10</v>
      </c>
      <c r="D14" s="193" t="s">
        <v>685</v>
      </c>
      <c r="E14" s="194">
        <v>1876000</v>
      </c>
      <c r="F14" s="195">
        <v>598000</v>
      </c>
      <c r="G14" s="195"/>
      <c r="H14" s="195"/>
      <c r="I14" s="195">
        <v>78000</v>
      </c>
      <c r="J14" s="195" t="s">
        <v>1641</v>
      </c>
      <c r="K14" s="196"/>
      <c r="L14" s="196"/>
    </row>
    <row r="15" spans="1:13" ht="19" x14ac:dyDescent="0.2">
      <c r="A15" s="183"/>
      <c r="B15" s="184"/>
      <c r="C15" s="181"/>
      <c r="D15" s="186"/>
      <c r="E15" s="188"/>
      <c r="F15" s="187"/>
      <c r="G15" s="187"/>
      <c r="H15" s="187"/>
      <c r="I15" s="187">
        <v>38000</v>
      </c>
      <c r="J15" s="187" t="s">
        <v>1782</v>
      </c>
      <c r="K15" s="177"/>
      <c r="L15" s="177"/>
    </row>
    <row r="16" spans="1:13" ht="19" x14ac:dyDescent="0.2">
      <c r="A16" s="190">
        <v>1926000</v>
      </c>
      <c r="B16" s="191">
        <v>45079</v>
      </c>
      <c r="C16" s="197" t="s">
        <v>1228</v>
      </c>
      <c r="D16" s="193" t="s">
        <v>405</v>
      </c>
      <c r="E16" s="194">
        <v>1446000</v>
      </c>
      <c r="F16" s="195">
        <v>480000</v>
      </c>
      <c r="G16" s="195"/>
      <c r="H16" s="195"/>
      <c r="I16" s="195">
        <v>54000</v>
      </c>
      <c r="J16" s="195" t="s">
        <v>1449</v>
      </c>
      <c r="K16" s="196"/>
      <c r="L16" s="196"/>
    </row>
    <row r="17" spans="1:12" ht="19" x14ac:dyDescent="0.2">
      <c r="A17" s="183"/>
      <c r="B17" s="184"/>
      <c r="C17" s="181"/>
      <c r="D17" s="186"/>
      <c r="E17" s="188"/>
      <c r="F17" s="187"/>
      <c r="G17" s="187"/>
      <c r="H17" s="187"/>
      <c r="I17" s="187">
        <v>27000</v>
      </c>
      <c r="J17" s="187" t="s">
        <v>1766</v>
      </c>
      <c r="K17" s="177"/>
      <c r="L17" s="177"/>
    </row>
    <row r="18" spans="1:12" ht="19" x14ac:dyDescent="0.2">
      <c r="A18" s="190"/>
      <c r="B18" s="191"/>
      <c r="C18" s="197"/>
      <c r="D18" s="193"/>
      <c r="E18" s="194"/>
      <c r="F18" s="195"/>
      <c r="G18" s="195"/>
      <c r="H18" s="195"/>
      <c r="I18" s="195">
        <v>37000</v>
      </c>
      <c r="J18" s="195" t="s">
        <v>1806</v>
      </c>
      <c r="K18" s="196"/>
      <c r="L18" s="196"/>
    </row>
    <row r="19" spans="1:12" ht="19" x14ac:dyDescent="0.2">
      <c r="A19" s="183"/>
      <c r="B19" s="184"/>
      <c r="C19" s="181"/>
      <c r="D19" s="186"/>
      <c r="E19" s="188"/>
      <c r="F19" s="187"/>
      <c r="G19" s="187"/>
      <c r="H19" s="187"/>
      <c r="I19" s="187">
        <v>78000</v>
      </c>
      <c r="J19" s="187" t="s">
        <v>1641</v>
      </c>
      <c r="K19" s="177"/>
      <c r="L19" s="177"/>
    </row>
    <row r="20" spans="1:12" ht="19" x14ac:dyDescent="0.2">
      <c r="A20" s="190"/>
      <c r="B20" s="191"/>
      <c r="C20" s="197"/>
      <c r="D20" s="193"/>
      <c r="E20" s="194"/>
      <c r="F20" s="195"/>
      <c r="G20" s="195"/>
      <c r="H20" s="195"/>
      <c r="I20" s="195">
        <v>23500</v>
      </c>
      <c r="J20" s="195" t="s">
        <v>1807</v>
      </c>
      <c r="K20" s="196"/>
      <c r="L20" s="196"/>
    </row>
    <row r="21" spans="1:12" ht="19" x14ac:dyDescent="0.2">
      <c r="A21" s="183"/>
      <c r="B21" s="184"/>
      <c r="C21" s="181"/>
      <c r="D21" s="186"/>
      <c r="E21" s="188"/>
      <c r="F21" s="187"/>
      <c r="G21" s="187"/>
      <c r="H21" s="187"/>
      <c r="I21" s="187">
        <v>300000</v>
      </c>
      <c r="J21" s="187" t="s">
        <v>1808</v>
      </c>
      <c r="K21" s="177"/>
      <c r="L21" s="177"/>
    </row>
    <row r="22" spans="1:12" ht="19" x14ac:dyDescent="0.2">
      <c r="A22" s="190">
        <v>1145000</v>
      </c>
      <c r="B22" s="191"/>
      <c r="C22" s="197" t="s">
        <v>10</v>
      </c>
      <c r="D22" s="193" t="s">
        <v>685</v>
      </c>
      <c r="E22" s="194">
        <v>1005000</v>
      </c>
      <c r="F22" s="195">
        <v>140000</v>
      </c>
      <c r="G22" s="195"/>
      <c r="H22" s="195"/>
      <c r="I22" s="195">
        <v>140000</v>
      </c>
      <c r="J22" s="195" t="s">
        <v>1809</v>
      </c>
      <c r="K22" s="196"/>
      <c r="L22" s="196"/>
    </row>
    <row r="23" spans="1:12" ht="19" x14ac:dyDescent="0.2">
      <c r="A23" s="183"/>
      <c r="B23" s="184"/>
      <c r="C23" s="180"/>
      <c r="D23" s="186"/>
      <c r="E23" s="188"/>
      <c r="F23" s="187"/>
      <c r="G23" s="187"/>
      <c r="H23" s="187"/>
      <c r="I23" s="187">
        <v>140000</v>
      </c>
      <c r="J23" s="187" t="s">
        <v>1810</v>
      </c>
      <c r="K23" s="177"/>
      <c r="L23" s="177"/>
    </row>
    <row r="24" spans="1:12" ht="19" x14ac:dyDescent="0.2">
      <c r="A24" s="190"/>
      <c r="B24" s="191"/>
      <c r="C24" s="192"/>
      <c r="D24" s="193"/>
      <c r="E24" s="194"/>
      <c r="F24" s="195"/>
      <c r="G24" s="195"/>
      <c r="H24" s="195"/>
      <c r="I24" s="195">
        <v>140000</v>
      </c>
      <c r="J24" s="195" t="s">
        <v>1811</v>
      </c>
      <c r="K24" s="196"/>
      <c r="L24" s="196"/>
    </row>
    <row r="25" spans="1:12" ht="19" x14ac:dyDescent="0.2">
      <c r="A25" s="183"/>
      <c r="B25" s="184"/>
      <c r="C25" s="180"/>
      <c r="D25" s="186"/>
      <c r="E25" s="188"/>
      <c r="F25" s="187"/>
      <c r="G25" s="187"/>
      <c r="H25" s="187"/>
      <c r="I25" s="187">
        <v>140000</v>
      </c>
      <c r="J25" s="187" t="s">
        <v>1812</v>
      </c>
      <c r="K25" s="177"/>
      <c r="L25" s="177"/>
    </row>
    <row r="26" spans="1:12" ht="19" x14ac:dyDescent="0.2">
      <c r="A26" s="190"/>
      <c r="B26" s="191"/>
      <c r="C26" s="197"/>
      <c r="D26" s="193"/>
      <c r="E26" s="194"/>
      <c r="F26" s="195"/>
      <c r="G26" s="195"/>
      <c r="H26" s="195"/>
      <c r="I26" s="195">
        <v>140000</v>
      </c>
      <c r="J26" s="195" t="s">
        <v>1813</v>
      </c>
      <c r="K26" s="196"/>
      <c r="L26" s="196"/>
    </row>
    <row r="27" spans="1:12" ht="19" x14ac:dyDescent="0.2">
      <c r="A27" s="183"/>
      <c r="B27" s="184"/>
      <c r="C27" s="180"/>
      <c r="D27" s="186"/>
      <c r="E27" s="188"/>
      <c r="F27" s="187"/>
      <c r="G27" s="187"/>
      <c r="H27" s="187"/>
      <c r="I27" s="187">
        <v>126000</v>
      </c>
      <c r="J27" s="187" t="s">
        <v>1649</v>
      </c>
      <c r="K27" s="177"/>
      <c r="L27" s="177"/>
    </row>
    <row r="28" spans="1:12" ht="19" x14ac:dyDescent="0.2">
      <c r="A28" s="190"/>
      <c r="B28" s="191"/>
      <c r="C28" s="197"/>
      <c r="D28" s="193"/>
      <c r="E28" s="194"/>
      <c r="F28" s="195"/>
      <c r="G28" s="195"/>
      <c r="H28" s="195"/>
      <c r="I28" s="195">
        <v>140000</v>
      </c>
      <c r="J28" s="195" t="s">
        <v>1518</v>
      </c>
      <c r="K28" s="196"/>
      <c r="L28" s="196"/>
    </row>
    <row r="29" spans="1:12" ht="19" x14ac:dyDescent="0.2">
      <c r="A29" s="183"/>
      <c r="B29" s="184"/>
      <c r="C29" s="180"/>
      <c r="D29" s="186"/>
      <c r="E29" s="188"/>
      <c r="F29" s="187"/>
      <c r="G29" s="187"/>
      <c r="H29" s="187"/>
      <c r="I29" s="187"/>
      <c r="J29" s="187"/>
      <c r="K29" s="177"/>
      <c r="L29" s="177"/>
    </row>
    <row r="30" spans="1:12" ht="19" x14ac:dyDescent="0.2">
      <c r="A30" s="190">
        <v>2041000</v>
      </c>
      <c r="B30" s="191">
        <v>45080</v>
      </c>
      <c r="C30" s="197" t="s">
        <v>1228</v>
      </c>
      <c r="D30" s="193" t="s">
        <v>405</v>
      </c>
      <c r="E30" s="194">
        <v>1460000</v>
      </c>
      <c r="F30" s="195">
        <v>581000</v>
      </c>
      <c r="G30" s="195"/>
      <c r="H30" s="195"/>
      <c r="I30" s="195">
        <v>20000</v>
      </c>
      <c r="J30" s="195" t="s">
        <v>1524</v>
      </c>
      <c r="K30" s="196"/>
      <c r="L30" s="196"/>
    </row>
    <row r="31" spans="1:12" ht="19" x14ac:dyDescent="0.2">
      <c r="A31" s="183"/>
      <c r="B31" s="184"/>
      <c r="C31" s="180"/>
      <c r="D31" s="186"/>
      <c r="E31" s="188"/>
      <c r="F31" s="187"/>
      <c r="G31" s="187"/>
      <c r="H31" s="187"/>
      <c r="I31" s="187">
        <v>40000</v>
      </c>
      <c r="J31" s="187" t="s">
        <v>1814</v>
      </c>
      <c r="K31" s="177"/>
      <c r="L31" s="177"/>
    </row>
    <row r="32" spans="1:12" ht="19" x14ac:dyDescent="0.2">
      <c r="A32" s="190"/>
      <c r="B32" s="191"/>
      <c r="C32" s="192"/>
      <c r="D32" s="193"/>
      <c r="E32" s="194"/>
      <c r="F32" s="195"/>
      <c r="G32" s="195"/>
      <c r="H32" s="195"/>
      <c r="I32" s="195">
        <v>43000</v>
      </c>
      <c r="J32" s="195" t="s">
        <v>1815</v>
      </c>
      <c r="K32" s="196"/>
      <c r="L32" s="196"/>
    </row>
    <row r="33" spans="1:12" ht="19" x14ac:dyDescent="0.2">
      <c r="A33" s="183"/>
      <c r="B33" s="184"/>
      <c r="C33" s="180"/>
      <c r="D33" s="186"/>
      <c r="E33" s="188"/>
      <c r="F33" s="187"/>
      <c r="G33" s="187"/>
      <c r="H33" s="187"/>
      <c r="I33" s="187">
        <v>76000</v>
      </c>
      <c r="J33" s="187" t="s">
        <v>1816</v>
      </c>
      <c r="K33" s="177"/>
      <c r="L33" s="177"/>
    </row>
    <row r="34" spans="1:12" ht="19" x14ac:dyDescent="0.2">
      <c r="A34" s="190">
        <v>1631000</v>
      </c>
      <c r="B34" s="191"/>
      <c r="C34" s="192" t="s">
        <v>10</v>
      </c>
      <c r="D34" s="193" t="s">
        <v>685</v>
      </c>
      <c r="E34" s="194">
        <v>1061000</v>
      </c>
      <c r="F34" s="195">
        <v>570000</v>
      </c>
      <c r="G34" s="195"/>
      <c r="H34" s="195"/>
      <c r="I34" s="195">
        <v>51500</v>
      </c>
      <c r="J34" s="195" t="s">
        <v>1817</v>
      </c>
      <c r="K34" s="196"/>
      <c r="L34" s="196"/>
    </row>
    <row r="35" spans="1:12" ht="19" x14ac:dyDescent="0.2">
      <c r="A35" s="183"/>
      <c r="B35" s="184"/>
      <c r="C35" s="180"/>
      <c r="D35" s="186"/>
      <c r="E35" s="188"/>
      <c r="F35" s="187"/>
      <c r="G35" s="187"/>
      <c r="H35" s="187"/>
      <c r="I35" s="187">
        <v>45000</v>
      </c>
      <c r="J35" s="187" t="s">
        <v>1818</v>
      </c>
      <c r="K35" s="177"/>
      <c r="L35" s="177"/>
    </row>
    <row r="36" spans="1:12" ht="19" x14ac:dyDescent="0.2">
      <c r="A36" s="190">
        <v>1462000</v>
      </c>
      <c r="B36" s="191">
        <v>45081</v>
      </c>
      <c r="C36" s="192" t="s">
        <v>1228</v>
      </c>
      <c r="D36" s="193" t="s">
        <v>405</v>
      </c>
      <c r="E36" s="194">
        <v>1020000</v>
      </c>
      <c r="F36" s="195">
        <v>442000</v>
      </c>
      <c r="G36" s="195"/>
      <c r="H36" s="195"/>
      <c r="I36" s="195">
        <v>50000</v>
      </c>
      <c r="J36" s="195" t="s">
        <v>123</v>
      </c>
      <c r="K36" s="196"/>
      <c r="L36" s="196"/>
    </row>
    <row r="37" spans="1:12" ht="19" x14ac:dyDescent="0.2">
      <c r="A37" s="183"/>
      <c r="B37" s="184"/>
      <c r="C37" s="180"/>
      <c r="D37" s="186"/>
      <c r="E37" s="188"/>
      <c r="F37" s="187"/>
      <c r="G37" s="187"/>
      <c r="H37" s="187"/>
      <c r="I37" s="187">
        <v>54000</v>
      </c>
      <c r="J37" s="187" t="s">
        <v>1449</v>
      </c>
      <c r="K37" s="177"/>
      <c r="L37" s="177"/>
    </row>
    <row r="38" spans="1:12" ht="19" x14ac:dyDescent="0.2">
      <c r="A38" s="190">
        <v>1629000</v>
      </c>
      <c r="B38" s="191"/>
      <c r="C38" s="192" t="s">
        <v>10</v>
      </c>
      <c r="D38" s="193" t="s">
        <v>565</v>
      </c>
      <c r="E38" s="194">
        <v>1362000</v>
      </c>
      <c r="F38" s="195">
        <v>267000</v>
      </c>
      <c r="G38" s="195">
        <v>2518000</v>
      </c>
      <c r="H38" s="195" t="s">
        <v>812</v>
      </c>
      <c r="I38" s="195">
        <v>78000</v>
      </c>
      <c r="J38" s="195" t="s">
        <v>1641</v>
      </c>
      <c r="K38" s="196"/>
      <c r="L38" s="196"/>
    </row>
    <row r="39" spans="1:12" ht="19" x14ac:dyDescent="0.2">
      <c r="A39" s="183"/>
      <c r="B39" s="184"/>
      <c r="C39" s="180"/>
      <c r="D39" s="186"/>
      <c r="E39" s="188"/>
      <c r="F39" s="187"/>
      <c r="G39" s="187"/>
      <c r="H39" s="187"/>
      <c r="I39" s="187">
        <v>53000</v>
      </c>
      <c r="J39" s="187" t="s">
        <v>1819</v>
      </c>
      <c r="K39" s="177"/>
      <c r="L39" s="177"/>
    </row>
    <row r="40" spans="1:12" ht="19" x14ac:dyDescent="0.2">
      <c r="A40" s="190"/>
      <c r="B40" s="191"/>
      <c r="C40" s="192"/>
      <c r="D40" s="193"/>
      <c r="E40" s="194"/>
      <c r="F40" s="195"/>
      <c r="G40" s="195"/>
      <c r="H40" s="195"/>
      <c r="I40" s="195">
        <v>38000</v>
      </c>
      <c r="J40" s="195" t="s">
        <v>1820</v>
      </c>
      <c r="K40" s="196"/>
      <c r="L40" s="196"/>
    </row>
    <row r="41" spans="1:12" ht="19" x14ac:dyDescent="0.2">
      <c r="A41" s="183"/>
      <c r="B41" s="184"/>
      <c r="C41" s="180"/>
      <c r="D41" s="186"/>
      <c r="E41" s="188"/>
      <c r="F41" s="187"/>
      <c r="G41" s="187"/>
      <c r="H41" s="187"/>
      <c r="I41" s="187">
        <v>40000</v>
      </c>
      <c r="J41" s="187" t="s">
        <v>1821</v>
      </c>
      <c r="K41" s="177"/>
      <c r="L41" s="177"/>
    </row>
    <row r="42" spans="1:12" ht="19" x14ac:dyDescent="0.2">
      <c r="A42" s="190"/>
      <c r="B42" s="191"/>
      <c r="C42" s="192"/>
      <c r="D42" s="193"/>
      <c r="E42" s="194"/>
      <c r="F42" s="195"/>
      <c r="G42" s="195"/>
      <c r="H42" s="195"/>
      <c r="I42" s="195">
        <v>75000</v>
      </c>
      <c r="J42" s="195" t="s">
        <v>1822</v>
      </c>
      <c r="K42" s="196"/>
      <c r="L42" s="196"/>
    </row>
    <row r="43" spans="1:12" ht="19" x14ac:dyDescent="0.2">
      <c r="A43" s="183"/>
      <c r="B43" s="184"/>
      <c r="C43" s="180"/>
      <c r="D43" s="186"/>
      <c r="E43" s="188"/>
      <c r="F43" s="187"/>
      <c r="G43" s="187"/>
      <c r="H43" s="187"/>
      <c r="I43" s="187">
        <v>65000</v>
      </c>
      <c r="J43" s="187" t="s">
        <v>1823</v>
      </c>
      <c r="K43" s="177"/>
      <c r="L43" s="177"/>
    </row>
    <row r="44" spans="1:12" ht="19" x14ac:dyDescent="0.2">
      <c r="A44" s="190"/>
      <c r="B44" s="191"/>
      <c r="C44" s="192"/>
      <c r="D44" s="193"/>
      <c r="E44" s="194"/>
      <c r="F44" s="195"/>
      <c r="G44" s="195"/>
      <c r="H44" s="195"/>
      <c r="I44" s="195"/>
      <c r="J44" s="195"/>
      <c r="K44" s="196"/>
      <c r="L44" s="196"/>
    </row>
    <row r="45" spans="1:12" ht="19" x14ac:dyDescent="0.2">
      <c r="A45" s="183">
        <v>1632000</v>
      </c>
      <c r="B45" s="184">
        <v>45082</v>
      </c>
      <c r="C45" s="180" t="s">
        <v>9</v>
      </c>
      <c r="D45" s="186" t="s">
        <v>405</v>
      </c>
      <c r="E45" s="188">
        <v>1086000</v>
      </c>
      <c r="F45" s="187">
        <v>546000</v>
      </c>
      <c r="G45" s="187"/>
      <c r="H45" s="187"/>
      <c r="I45" s="187">
        <v>84000</v>
      </c>
      <c r="J45" s="187" t="s">
        <v>1310</v>
      </c>
      <c r="K45" s="177"/>
      <c r="L45" s="177"/>
    </row>
    <row r="46" spans="1:12" ht="19" x14ac:dyDescent="0.2">
      <c r="A46" s="190">
        <v>2067000</v>
      </c>
      <c r="B46" s="191"/>
      <c r="C46" s="192" t="s">
        <v>10</v>
      </c>
      <c r="D46" s="193" t="s">
        <v>685</v>
      </c>
      <c r="E46" s="194">
        <v>1759000</v>
      </c>
      <c r="F46" s="195">
        <v>308000</v>
      </c>
      <c r="G46" s="195"/>
      <c r="H46" s="195"/>
      <c r="I46" s="195">
        <v>240000</v>
      </c>
      <c r="J46" s="195" t="s">
        <v>1509</v>
      </c>
      <c r="K46" s="196"/>
      <c r="L46" s="196"/>
    </row>
    <row r="47" spans="1:12" ht="19" x14ac:dyDescent="0.2">
      <c r="A47" s="183"/>
      <c r="B47" s="184"/>
      <c r="C47" s="180"/>
      <c r="D47" s="186"/>
      <c r="E47" s="188"/>
      <c r="F47" s="187"/>
      <c r="G47" s="187"/>
      <c r="H47" s="187"/>
      <c r="I47" s="187">
        <v>144000</v>
      </c>
      <c r="J47" s="187" t="s">
        <v>1245</v>
      </c>
      <c r="K47" s="177"/>
      <c r="L47" s="177"/>
    </row>
    <row r="48" spans="1:12" ht="19" x14ac:dyDescent="0.2">
      <c r="A48" s="190"/>
      <c r="B48" s="191"/>
      <c r="C48" s="192"/>
      <c r="D48" s="193"/>
      <c r="E48" s="194"/>
      <c r="F48" s="195"/>
      <c r="G48" s="195"/>
      <c r="H48" s="195"/>
      <c r="I48" s="195">
        <v>80000</v>
      </c>
      <c r="J48" s="195" t="s">
        <v>1597</v>
      </c>
      <c r="K48" s="196"/>
      <c r="L48" s="196"/>
    </row>
    <row r="49" spans="1:12" ht="19" x14ac:dyDescent="0.2">
      <c r="A49" s="183"/>
      <c r="B49" s="184"/>
      <c r="C49" s="180"/>
      <c r="D49" s="186"/>
      <c r="E49" s="188"/>
      <c r="F49" s="187"/>
      <c r="G49" s="187"/>
      <c r="H49" s="187"/>
      <c r="I49" s="187">
        <v>51000</v>
      </c>
      <c r="J49" s="187" t="s">
        <v>1536</v>
      </c>
      <c r="K49" s="177"/>
      <c r="L49" s="177"/>
    </row>
    <row r="50" spans="1:12" ht="19" x14ac:dyDescent="0.2">
      <c r="A50" s="190"/>
      <c r="B50" s="191"/>
      <c r="C50" s="197"/>
      <c r="D50" s="193"/>
      <c r="E50" s="194"/>
      <c r="F50" s="195"/>
      <c r="G50" s="195"/>
      <c r="H50" s="195"/>
      <c r="I50" s="195"/>
      <c r="J50" s="195"/>
      <c r="K50" s="196"/>
      <c r="L50" s="196"/>
    </row>
    <row r="51" spans="1:12" ht="19" x14ac:dyDescent="0.2">
      <c r="A51" s="183">
        <v>2262000</v>
      </c>
      <c r="B51" s="184">
        <v>45083</v>
      </c>
      <c r="C51" s="180" t="s">
        <v>9</v>
      </c>
      <c r="D51" s="186" t="s">
        <v>405</v>
      </c>
      <c r="E51" s="188">
        <v>1798000</v>
      </c>
      <c r="F51" s="187">
        <v>464000</v>
      </c>
      <c r="G51" s="187"/>
      <c r="H51" s="187"/>
      <c r="I51" s="187">
        <v>10000</v>
      </c>
      <c r="J51" s="187" t="s">
        <v>1824</v>
      </c>
      <c r="K51" s="177"/>
      <c r="L51" s="177"/>
    </row>
    <row r="52" spans="1:12" ht="19" x14ac:dyDescent="0.2">
      <c r="A52" s="190"/>
      <c r="B52" s="191"/>
      <c r="C52" s="192"/>
      <c r="D52" s="193"/>
      <c r="E52" s="194"/>
      <c r="F52" s="195"/>
      <c r="G52" s="195"/>
      <c r="H52" s="195"/>
      <c r="I52" s="195">
        <v>340000</v>
      </c>
      <c r="J52" s="195" t="s">
        <v>1825</v>
      </c>
      <c r="K52" s="196"/>
      <c r="L52" s="196"/>
    </row>
    <row r="53" spans="1:12" ht="19" x14ac:dyDescent="0.2">
      <c r="A53" s="183"/>
      <c r="B53" s="184"/>
      <c r="C53" s="180"/>
      <c r="D53" s="186"/>
      <c r="E53" s="188"/>
      <c r="F53" s="187"/>
      <c r="G53" s="187"/>
      <c r="H53" s="187"/>
      <c r="I53" s="187">
        <v>67000</v>
      </c>
      <c r="J53" s="187" t="s">
        <v>1738</v>
      </c>
      <c r="K53" s="177"/>
      <c r="L53" s="177"/>
    </row>
    <row r="54" spans="1:12" ht="19" x14ac:dyDescent="0.2">
      <c r="A54" s="190"/>
      <c r="B54" s="191"/>
      <c r="C54" s="192"/>
      <c r="D54" s="193"/>
      <c r="E54" s="194"/>
      <c r="F54" s="195"/>
      <c r="G54" s="195"/>
      <c r="H54" s="195"/>
      <c r="I54" s="195">
        <v>5000</v>
      </c>
      <c r="J54" s="195" t="s">
        <v>1826</v>
      </c>
      <c r="K54" s="196"/>
      <c r="L54" s="196"/>
    </row>
    <row r="55" spans="1:12" ht="19" x14ac:dyDescent="0.2">
      <c r="A55" s="183"/>
      <c r="B55" s="184"/>
      <c r="C55" s="180"/>
      <c r="D55" s="186"/>
      <c r="E55" s="188"/>
      <c r="F55" s="187"/>
      <c r="G55" s="187"/>
      <c r="H55" s="187"/>
      <c r="I55" s="187">
        <v>28000</v>
      </c>
      <c r="J55" s="187" t="s">
        <v>1827</v>
      </c>
      <c r="K55" s="177"/>
      <c r="L55" s="177"/>
    </row>
    <row r="56" spans="1:12" ht="19" x14ac:dyDescent="0.2">
      <c r="A56" s="190"/>
      <c r="B56" s="191"/>
      <c r="C56" s="192"/>
      <c r="D56" s="193"/>
      <c r="E56" s="194"/>
      <c r="F56" s="195"/>
      <c r="G56" s="195"/>
      <c r="H56" s="195"/>
      <c r="I56" s="195">
        <v>355000</v>
      </c>
      <c r="J56" s="195" t="s">
        <v>1828</v>
      </c>
      <c r="K56" s="196"/>
      <c r="L56" s="196"/>
    </row>
    <row r="57" spans="1:12" ht="19" x14ac:dyDescent="0.2">
      <c r="A57" s="183"/>
      <c r="B57" s="184"/>
      <c r="C57" s="180"/>
      <c r="D57" s="186"/>
      <c r="E57" s="188"/>
      <c r="F57" s="187"/>
      <c r="G57" s="187"/>
      <c r="H57" s="187"/>
      <c r="I57" s="187">
        <v>200000</v>
      </c>
      <c r="J57" s="187" t="s">
        <v>1614</v>
      </c>
      <c r="K57" s="177"/>
      <c r="L57" s="177"/>
    </row>
    <row r="58" spans="1:12" ht="19" x14ac:dyDescent="0.2">
      <c r="A58" s="190"/>
      <c r="B58" s="191"/>
      <c r="C58" s="198"/>
      <c r="D58" s="193"/>
      <c r="E58" s="195"/>
      <c r="F58" s="195"/>
      <c r="G58" s="195"/>
      <c r="H58" s="195"/>
      <c r="I58" s="195">
        <v>35000</v>
      </c>
      <c r="J58" s="195" t="s">
        <v>1467</v>
      </c>
      <c r="K58" s="196"/>
      <c r="L58" s="196"/>
    </row>
    <row r="59" spans="1:12" ht="19" x14ac:dyDescent="0.2">
      <c r="A59" s="183"/>
      <c r="B59" s="184"/>
      <c r="C59" s="181"/>
      <c r="D59" s="186"/>
      <c r="E59" s="188"/>
      <c r="F59" s="187"/>
      <c r="G59" s="187"/>
      <c r="H59" s="187"/>
      <c r="I59" s="187">
        <v>100000</v>
      </c>
      <c r="J59" s="187" t="s">
        <v>1710</v>
      </c>
      <c r="K59" s="177"/>
      <c r="L59" s="177"/>
    </row>
    <row r="60" spans="1:12" ht="19" x14ac:dyDescent="0.2">
      <c r="A60" s="190"/>
      <c r="B60" s="191"/>
      <c r="C60" s="192"/>
      <c r="D60" s="193"/>
      <c r="E60" s="194"/>
      <c r="F60" s="195"/>
      <c r="G60" s="195"/>
      <c r="H60" s="195"/>
      <c r="I60" s="195"/>
      <c r="J60" s="195"/>
      <c r="K60" s="196"/>
      <c r="L60" s="196"/>
    </row>
    <row r="61" spans="1:12" ht="19" x14ac:dyDescent="0.2">
      <c r="A61" s="183">
        <v>2120000</v>
      </c>
      <c r="B61" s="184"/>
      <c r="C61" s="180" t="s">
        <v>10</v>
      </c>
      <c r="D61" s="186" t="s">
        <v>685</v>
      </c>
      <c r="E61" s="188">
        <v>1364000</v>
      </c>
      <c r="F61" s="187">
        <v>756000</v>
      </c>
      <c r="G61" s="187"/>
      <c r="H61" s="187"/>
      <c r="I61" s="187"/>
      <c r="J61" s="187"/>
      <c r="K61" s="177"/>
      <c r="L61" s="177"/>
    </row>
    <row r="62" spans="1:12" ht="19" x14ac:dyDescent="0.2">
      <c r="A62" s="190"/>
      <c r="B62" s="191"/>
      <c r="C62" s="192"/>
      <c r="D62" s="193"/>
      <c r="E62" s="194"/>
      <c r="F62" s="195"/>
      <c r="G62" s="195"/>
      <c r="H62" s="195"/>
      <c r="I62" s="195"/>
      <c r="J62" s="195"/>
      <c r="K62" s="196"/>
      <c r="L62" s="196"/>
    </row>
    <row r="63" spans="1:12" ht="19" x14ac:dyDescent="0.2">
      <c r="A63" s="183">
        <v>1840000</v>
      </c>
      <c r="B63" s="184">
        <v>45084</v>
      </c>
      <c r="C63" s="180" t="s">
        <v>9</v>
      </c>
      <c r="D63" s="186" t="s">
        <v>405</v>
      </c>
      <c r="E63" s="188">
        <v>1423000</v>
      </c>
      <c r="F63" s="187">
        <v>417000</v>
      </c>
      <c r="G63" s="187">
        <v>751000</v>
      </c>
      <c r="H63" s="187" t="s">
        <v>1916</v>
      </c>
      <c r="I63" s="187">
        <v>24000</v>
      </c>
      <c r="J63" s="187" t="s">
        <v>1829</v>
      </c>
      <c r="K63" s="177"/>
      <c r="L63" s="177"/>
    </row>
    <row r="64" spans="1:12" ht="19" x14ac:dyDescent="0.2">
      <c r="A64" s="190"/>
      <c r="B64" s="191"/>
      <c r="C64" s="192"/>
      <c r="D64" s="193"/>
      <c r="E64" s="194"/>
      <c r="F64" s="195"/>
      <c r="G64" s="195"/>
      <c r="H64" s="195"/>
      <c r="I64" s="195">
        <v>24000</v>
      </c>
      <c r="J64" s="195" t="s">
        <v>1830</v>
      </c>
      <c r="K64" s="196"/>
      <c r="L64" s="196"/>
    </row>
    <row r="65" spans="1:12" ht="19" x14ac:dyDescent="0.2">
      <c r="A65" s="183"/>
      <c r="B65" s="184"/>
      <c r="C65" s="180"/>
      <c r="D65" s="186"/>
      <c r="E65" s="188"/>
      <c r="F65" s="187"/>
      <c r="G65" s="187"/>
      <c r="H65" s="187"/>
      <c r="I65" s="187">
        <v>33500</v>
      </c>
      <c r="J65" s="187" t="s">
        <v>1831</v>
      </c>
      <c r="K65" s="177"/>
      <c r="L65" s="177"/>
    </row>
    <row r="66" spans="1:12" ht="19" x14ac:dyDescent="0.2">
      <c r="A66" s="190"/>
      <c r="B66" s="191"/>
      <c r="C66" s="192"/>
      <c r="D66" s="193"/>
      <c r="E66" s="194"/>
      <c r="F66" s="195"/>
      <c r="G66" s="195"/>
      <c r="H66" s="195"/>
      <c r="I66" s="195">
        <v>78000</v>
      </c>
      <c r="J66" s="195" t="s">
        <v>1641</v>
      </c>
      <c r="K66" s="196"/>
      <c r="L66" s="196"/>
    </row>
    <row r="67" spans="1:12" ht="19" x14ac:dyDescent="0.2">
      <c r="A67" s="183"/>
      <c r="B67" s="184"/>
      <c r="C67" s="180"/>
      <c r="D67" s="186"/>
      <c r="E67" s="188"/>
      <c r="F67" s="187"/>
      <c r="G67" s="187"/>
      <c r="H67" s="187"/>
      <c r="I67" s="187">
        <v>160000</v>
      </c>
      <c r="J67" s="187" t="s">
        <v>1832</v>
      </c>
      <c r="K67" s="177"/>
      <c r="L67" s="177"/>
    </row>
    <row r="68" spans="1:12" ht="19" x14ac:dyDescent="0.2">
      <c r="A68" s="190"/>
      <c r="B68" s="191"/>
      <c r="C68" s="192"/>
      <c r="D68" s="193"/>
      <c r="E68" s="194"/>
      <c r="F68" s="195"/>
      <c r="G68" s="195"/>
      <c r="H68" s="195"/>
      <c r="I68" s="195">
        <v>112000</v>
      </c>
      <c r="J68" s="195" t="s">
        <v>1553</v>
      </c>
      <c r="K68" s="196"/>
      <c r="L68" s="196"/>
    </row>
    <row r="69" spans="1:12" ht="19" x14ac:dyDescent="0.2">
      <c r="A69" s="183"/>
      <c r="B69" s="184"/>
      <c r="C69" s="180"/>
      <c r="D69" s="186"/>
      <c r="E69" s="188"/>
      <c r="F69" s="187"/>
      <c r="G69" s="187"/>
      <c r="H69" s="187"/>
      <c r="I69" s="187">
        <v>140000</v>
      </c>
      <c r="J69" s="187" t="s">
        <v>1833</v>
      </c>
      <c r="K69" s="177"/>
      <c r="L69" s="177"/>
    </row>
    <row r="70" spans="1:12" ht="19" x14ac:dyDescent="0.2">
      <c r="A70" s="190"/>
      <c r="B70" s="199"/>
      <c r="C70" s="198"/>
      <c r="D70" s="193"/>
      <c r="E70" s="194"/>
      <c r="F70" s="195"/>
      <c r="G70" s="195"/>
      <c r="H70" s="195"/>
      <c r="I70" s="195">
        <v>140000</v>
      </c>
      <c r="J70" s="195" t="s">
        <v>1834</v>
      </c>
      <c r="K70" s="196"/>
      <c r="L70" s="196"/>
    </row>
    <row r="71" spans="1:12" ht="19" x14ac:dyDescent="0.2">
      <c r="A71" s="183"/>
      <c r="B71" s="185"/>
      <c r="C71" s="181"/>
      <c r="D71" s="186"/>
      <c r="E71" s="188"/>
      <c r="F71" s="187"/>
      <c r="G71" s="187"/>
      <c r="H71" s="187"/>
      <c r="I71" s="187">
        <v>140000</v>
      </c>
      <c r="J71" s="187" t="s">
        <v>1835</v>
      </c>
      <c r="K71" s="177"/>
      <c r="L71" s="177"/>
    </row>
    <row r="72" spans="1:12" ht="19" x14ac:dyDescent="0.2">
      <c r="A72" s="190"/>
      <c r="B72" s="191"/>
      <c r="C72" s="197"/>
      <c r="D72" s="193"/>
      <c r="E72" s="194"/>
      <c r="F72" s="195"/>
      <c r="G72" s="195"/>
      <c r="H72" s="195"/>
      <c r="I72" s="195"/>
      <c r="J72" s="195"/>
      <c r="K72" s="196"/>
      <c r="L72" s="196"/>
    </row>
    <row r="73" spans="1:12" ht="19" x14ac:dyDescent="0.2">
      <c r="A73" s="183">
        <v>1940000</v>
      </c>
      <c r="B73" s="184"/>
      <c r="C73" s="181" t="s">
        <v>10</v>
      </c>
      <c r="D73" s="186" t="s">
        <v>685</v>
      </c>
      <c r="E73" s="188">
        <v>1457000</v>
      </c>
      <c r="F73" s="187">
        <v>483000</v>
      </c>
      <c r="G73" s="187"/>
      <c r="H73" s="187"/>
      <c r="I73" s="187"/>
      <c r="J73" s="187"/>
      <c r="K73" s="177"/>
      <c r="L73" s="177"/>
    </row>
    <row r="74" spans="1:12" ht="19" x14ac:dyDescent="0.2">
      <c r="A74" s="190"/>
      <c r="B74" s="191"/>
      <c r="C74" s="192"/>
      <c r="D74" s="193"/>
      <c r="E74" s="194"/>
      <c r="F74" s="195"/>
      <c r="G74" s="195"/>
      <c r="H74" s="195"/>
      <c r="I74" s="195"/>
      <c r="J74" s="195"/>
      <c r="K74" s="196"/>
      <c r="L74" s="196"/>
    </row>
    <row r="75" spans="1:12" ht="19" x14ac:dyDescent="0.2">
      <c r="A75" s="183">
        <v>2292000</v>
      </c>
      <c r="B75" s="184">
        <v>45085</v>
      </c>
      <c r="C75" s="180" t="s">
        <v>9</v>
      </c>
      <c r="D75" s="186" t="s">
        <v>565</v>
      </c>
      <c r="E75" s="188">
        <v>1524000</v>
      </c>
      <c r="F75" s="187">
        <v>768000</v>
      </c>
      <c r="G75" s="187">
        <v>300000</v>
      </c>
      <c r="H75" s="187" t="s">
        <v>1915</v>
      </c>
      <c r="I75" s="187">
        <v>75000</v>
      </c>
      <c r="J75" s="187" t="s">
        <v>1836</v>
      </c>
      <c r="K75" s="177"/>
      <c r="L75" s="177"/>
    </row>
    <row r="76" spans="1:12" ht="19" x14ac:dyDescent="0.2">
      <c r="A76" s="190"/>
      <c r="B76" s="191"/>
      <c r="C76" s="192"/>
      <c r="D76" s="193"/>
      <c r="E76" s="194"/>
      <c r="F76" s="195"/>
      <c r="G76" s="195"/>
      <c r="H76" s="195"/>
      <c r="I76" s="195">
        <v>75000</v>
      </c>
      <c r="J76" s="195" t="s">
        <v>1837</v>
      </c>
      <c r="K76" s="196"/>
      <c r="L76" s="196"/>
    </row>
    <row r="77" spans="1:12" ht="19" x14ac:dyDescent="0.2">
      <c r="A77" s="183"/>
      <c r="B77" s="184"/>
      <c r="C77" s="180"/>
      <c r="D77" s="186"/>
      <c r="E77" s="188"/>
      <c r="F77" s="187"/>
      <c r="G77" s="187"/>
      <c r="H77" s="187"/>
      <c r="I77" s="187">
        <v>260000</v>
      </c>
      <c r="J77" s="187" t="s">
        <v>1696</v>
      </c>
      <c r="K77" s="177"/>
      <c r="L77" s="177"/>
    </row>
    <row r="78" spans="1:12" ht="19" x14ac:dyDescent="0.2">
      <c r="A78" s="190"/>
      <c r="B78" s="191"/>
      <c r="C78" s="192"/>
      <c r="D78" s="193"/>
      <c r="E78" s="194"/>
      <c r="F78" s="195"/>
      <c r="G78" s="195"/>
      <c r="H78" s="195"/>
      <c r="I78" s="195">
        <v>168000</v>
      </c>
      <c r="J78" s="195" t="s">
        <v>1838</v>
      </c>
      <c r="K78" s="196"/>
      <c r="L78" s="196"/>
    </row>
    <row r="79" spans="1:12" ht="19" x14ac:dyDescent="0.2">
      <c r="A79" s="183"/>
      <c r="B79" s="184"/>
      <c r="C79" s="180"/>
      <c r="D79" s="186"/>
      <c r="E79" s="188"/>
      <c r="F79" s="187"/>
      <c r="G79" s="187"/>
      <c r="H79" s="187"/>
      <c r="I79" s="187"/>
      <c r="J79" s="187"/>
      <c r="K79" s="177"/>
      <c r="L79" s="177"/>
    </row>
    <row r="80" spans="1:12" ht="19" x14ac:dyDescent="0.2">
      <c r="A80" s="190">
        <v>1713000</v>
      </c>
      <c r="B80" s="191"/>
      <c r="C80" s="192" t="s">
        <v>10</v>
      </c>
      <c r="D80" s="193" t="s">
        <v>685</v>
      </c>
      <c r="E80" s="194">
        <v>1218000</v>
      </c>
      <c r="F80" s="195">
        <v>495000</v>
      </c>
      <c r="G80" s="195"/>
      <c r="H80" s="195"/>
      <c r="I80" s="195"/>
      <c r="J80" s="195"/>
      <c r="K80" s="196"/>
      <c r="L80" s="196"/>
    </row>
    <row r="81" spans="1:12" ht="19" x14ac:dyDescent="0.2">
      <c r="A81" s="183"/>
      <c r="B81" s="184"/>
      <c r="C81" s="180"/>
      <c r="D81" s="186"/>
      <c r="E81" s="188"/>
      <c r="F81" s="187"/>
      <c r="G81" s="187"/>
      <c r="H81" s="187"/>
      <c r="I81" s="187"/>
      <c r="J81" s="187"/>
      <c r="K81" s="177"/>
      <c r="L81" s="177"/>
    </row>
    <row r="82" spans="1:12" ht="19" x14ac:dyDescent="0.2">
      <c r="A82" s="190">
        <v>1530000</v>
      </c>
      <c r="B82" s="191">
        <v>45086</v>
      </c>
      <c r="C82" s="192" t="s">
        <v>9</v>
      </c>
      <c r="D82" s="193" t="s">
        <v>405</v>
      </c>
      <c r="E82" s="194">
        <v>983000</v>
      </c>
      <c r="F82" s="195">
        <v>547000</v>
      </c>
      <c r="G82" s="195"/>
      <c r="H82" s="195"/>
      <c r="I82" s="195">
        <v>57000</v>
      </c>
      <c r="J82" s="195" t="s">
        <v>1839</v>
      </c>
      <c r="K82" s="196"/>
      <c r="L82" s="196"/>
    </row>
    <row r="83" spans="1:12" ht="19" x14ac:dyDescent="0.2">
      <c r="A83" s="183"/>
      <c r="B83" s="184"/>
      <c r="C83" s="180"/>
      <c r="D83" s="186"/>
      <c r="E83" s="188"/>
      <c r="F83" s="187"/>
      <c r="G83" s="187"/>
      <c r="H83" s="187"/>
      <c r="I83" s="187">
        <v>5000</v>
      </c>
      <c r="J83" s="187" t="s">
        <v>1840</v>
      </c>
      <c r="K83" s="177"/>
      <c r="L83" s="177"/>
    </row>
    <row r="84" spans="1:12" ht="19" x14ac:dyDescent="0.2">
      <c r="A84" s="190"/>
      <c r="B84" s="191"/>
      <c r="C84" s="192"/>
      <c r="D84" s="193"/>
      <c r="E84" s="194"/>
      <c r="F84" s="195"/>
      <c r="G84" s="195"/>
      <c r="H84" s="195"/>
      <c r="I84" s="195">
        <v>54000</v>
      </c>
      <c r="J84" s="195" t="s">
        <v>1449</v>
      </c>
      <c r="K84" s="196"/>
      <c r="L84" s="196"/>
    </row>
    <row r="85" spans="1:12" ht="19" x14ac:dyDescent="0.2">
      <c r="A85" s="183"/>
      <c r="B85" s="184"/>
      <c r="C85" s="180"/>
      <c r="D85" s="186"/>
      <c r="E85" s="188"/>
      <c r="F85" s="187"/>
      <c r="G85" s="187"/>
      <c r="H85" s="187"/>
      <c r="I85" s="187"/>
      <c r="J85" s="187"/>
      <c r="K85" s="177"/>
      <c r="L85" s="177"/>
    </row>
    <row r="86" spans="1:12" ht="19" x14ac:dyDescent="0.2">
      <c r="A86" s="190">
        <v>1487000</v>
      </c>
      <c r="B86" s="191"/>
      <c r="C86" s="192" t="s">
        <v>10</v>
      </c>
      <c r="D86" s="193" t="s">
        <v>685</v>
      </c>
      <c r="E86" s="194">
        <v>1229000</v>
      </c>
      <c r="F86" s="195">
        <v>258000</v>
      </c>
      <c r="G86" s="195"/>
      <c r="H86" s="195"/>
      <c r="I86" s="195">
        <v>144000</v>
      </c>
      <c r="J86" s="195" t="s">
        <v>1245</v>
      </c>
      <c r="K86" s="196"/>
      <c r="L86" s="196"/>
    </row>
    <row r="87" spans="1:12" ht="19" x14ac:dyDescent="0.2">
      <c r="A87" s="183"/>
      <c r="B87" s="184"/>
      <c r="C87" s="180"/>
      <c r="D87" s="186"/>
      <c r="E87" s="188"/>
      <c r="F87" s="187"/>
      <c r="G87" s="187"/>
      <c r="H87" s="187"/>
      <c r="I87" s="187">
        <v>51000</v>
      </c>
      <c r="J87" s="187" t="s">
        <v>1448</v>
      </c>
      <c r="K87" s="177"/>
      <c r="L87" s="177"/>
    </row>
    <row r="88" spans="1:12" ht="19" x14ac:dyDescent="0.2">
      <c r="A88" s="190"/>
      <c r="B88" s="191"/>
      <c r="C88" s="192"/>
      <c r="D88" s="193"/>
      <c r="E88" s="194"/>
      <c r="F88" s="195"/>
      <c r="G88" s="195"/>
      <c r="H88" s="195"/>
      <c r="I88" s="195">
        <v>80000</v>
      </c>
      <c r="J88" s="195" t="s">
        <v>1597</v>
      </c>
      <c r="K88" s="196"/>
      <c r="L88" s="196"/>
    </row>
    <row r="89" spans="1:12" ht="19" x14ac:dyDescent="0.2">
      <c r="A89" s="183"/>
      <c r="B89" s="184"/>
      <c r="C89" s="180"/>
      <c r="D89" s="186"/>
      <c r="E89" s="188"/>
      <c r="F89" s="187"/>
      <c r="G89" s="187"/>
      <c r="H89" s="187"/>
      <c r="I89" s="187"/>
      <c r="J89" s="187"/>
      <c r="K89" s="177"/>
      <c r="L89" s="177"/>
    </row>
    <row r="90" spans="1:12" ht="19" x14ac:dyDescent="0.2">
      <c r="A90" s="190">
        <v>1878000</v>
      </c>
      <c r="B90" s="191">
        <v>45087</v>
      </c>
      <c r="C90" s="192" t="s">
        <v>9</v>
      </c>
      <c r="D90" s="193" t="s">
        <v>405</v>
      </c>
      <c r="E90" s="194">
        <v>1442000</v>
      </c>
      <c r="F90" s="195">
        <v>436000</v>
      </c>
      <c r="G90" s="195"/>
      <c r="H90" s="195"/>
      <c r="I90" s="195">
        <v>78000</v>
      </c>
      <c r="J90" s="195" t="s">
        <v>1641</v>
      </c>
      <c r="K90" s="196"/>
      <c r="L90" s="196"/>
    </row>
    <row r="91" spans="1:12" ht="19" x14ac:dyDescent="0.2">
      <c r="A91" s="183"/>
      <c r="B91" s="184"/>
      <c r="C91" s="179"/>
      <c r="D91" s="186"/>
      <c r="E91" s="188"/>
      <c r="F91" s="187"/>
      <c r="G91" s="187"/>
      <c r="H91" s="187"/>
      <c r="I91" s="187">
        <v>54000</v>
      </c>
      <c r="J91" s="187" t="s">
        <v>1449</v>
      </c>
      <c r="K91" s="177"/>
      <c r="L91" s="177"/>
    </row>
    <row r="92" spans="1:12" ht="19" x14ac:dyDescent="0.2">
      <c r="A92" s="190"/>
      <c r="B92" s="191"/>
      <c r="C92" s="192"/>
      <c r="D92" s="193"/>
      <c r="E92" s="194"/>
      <c r="F92" s="195"/>
      <c r="G92" s="195"/>
      <c r="H92" s="195"/>
      <c r="I92" s="195">
        <v>96000</v>
      </c>
      <c r="J92" s="195" t="s">
        <v>1595</v>
      </c>
      <c r="K92" s="196"/>
      <c r="L92" s="196"/>
    </row>
    <row r="93" spans="1:12" ht="19" x14ac:dyDescent="0.2">
      <c r="A93" s="183"/>
      <c r="B93" s="184"/>
      <c r="C93" s="180"/>
      <c r="D93" s="186"/>
      <c r="E93" s="188"/>
      <c r="F93" s="187"/>
      <c r="G93" s="187"/>
      <c r="H93" s="187"/>
      <c r="I93" s="187">
        <v>34000</v>
      </c>
      <c r="J93" s="187" t="s">
        <v>1841</v>
      </c>
      <c r="K93" s="177"/>
      <c r="L93" s="177"/>
    </row>
    <row r="94" spans="1:12" ht="19" x14ac:dyDescent="0.2">
      <c r="A94" s="190"/>
      <c r="B94" s="191"/>
      <c r="C94" s="192"/>
      <c r="D94" s="193"/>
      <c r="E94" s="194"/>
      <c r="F94" s="195"/>
      <c r="G94" s="195"/>
      <c r="H94" s="195"/>
      <c r="I94" s="195">
        <v>21000</v>
      </c>
      <c r="J94" s="195" t="s">
        <v>1842</v>
      </c>
      <c r="K94" s="196"/>
      <c r="L94" s="196"/>
    </row>
    <row r="95" spans="1:12" ht="19" x14ac:dyDescent="0.2">
      <c r="A95" s="183"/>
      <c r="B95" s="184"/>
      <c r="C95" s="180"/>
      <c r="D95" s="186"/>
      <c r="E95" s="188"/>
      <c r="F95" s="187"/>
      <c r="G95" s="187"/>
      <c r="H95" s="187"/>
      <c r="I95" s="187">
        <v>17000</v>
      </c>
      <c r="J95" s="187" t="s">
        <v>1843</v>
      </c>
      <c r="K95" s="177"/>
      <c r="L95" s="177"/>
    </row>
    <row r="96" spans="1:12" ht="19" x14ac:dyDescent="0.2">
      <c r="A96" s="190"/>
      <c r="B96" s="191"/>
      <c r="C96" s="192"/>
      <c r="D96" s="193"/>
      <c r="E96" s="194"/>
      <c r="F96" s="195"/>
      <c r="G96" s="195"/>
      <c r="H96" s="195"/>
      <c r="I96" s="195"/>
      <c r="J96" s="195"/>
      <c r="K96" s="196"/>
      <c r="L96" s="196"/>
    </row>
    <row r="97" spans="1:12" ht="19" x14ac:dyDescent="0.2">
      <c r="A97" s="183">
        <v>1559000</v>
      </c>
      <c r="B97" s="184"/>
      <c r="C97" s="180" t="s">
        <v>10</v>
      </c>
      <c r="D97" s="186" t="s">
        <v>685</v>
      </c>
      <c r="E97" s="188">
        <v>1287000</v>
      </c>
      <c r="F97" s="187">
        <v>272000</v>
      </c>
      <c r="G97" s="187"/>
      <c r="H97" s="187"/>
      <c r="I97" s="187">
        <v>50000</v>
      </c>
      <c r="J97" s="187" t="s">
        <v>123</v>
      </c>
      <c r="K97" s="177"/>
      <c r="L97" s="177"/>
    </row>
    <row r="98" spans="1:12" ht="19" x14ac:dyDescent="0.2">
      <c r="A98" s="190"/>
      <c r="B98" s="191"/>
      <c r="C98" s="192"/>
      <c r="D98" s="193"/>
      <c r="E98" s="194"/>
      <c r="F98" s="195"/>
      <c r="G98" s="195"/>
      <c r="H98" s="195"/>
      <c r="I98" s="195"/>
      <c r="J98" s="195"/>
      <c r="K98" s="196"/>
      <c r="L98" s="196"/>
    </row>
    <row r="99" spans="1:12" ht="19" x14ac:dyDescent="0.2">
      <c r="A99" s="183">
        <v>1272000</v>
      </c>
      <c r="B99" s="184">
        <v>45088</v>
      </c>
      <c r="C99" s="180" t="s">
        <v>9</v>
      </c>
      <c r="D99" s="186" t="s">
        <v>405</v>
      </c>
      <c r="E99" s="188">
        <v>958000</v>
      </c>
      <c r="F99" s="187">
        <v>314000</v>
      </c>
      <c r="G99" s="187"/>
      <c r="H99" s="187"/>
      <c r="I99" s="187">
        <v>140000</v>
      </c>
      <c r="J99" s="187" t="s">
        <v>1844</v>
      </c>
      <c r="K99" s="177"/>
      <c r="L99" s="177"/>
    </row>
    <row r="100" spans="1:12" ht="19" x14ac:dyDescent="0.2">
      <c r="A100" s="190"/>
      <c r="B100" s="191"/>
      <c r="C100" s="192"/>
      <c r="D100" s="193"/>
      <c r="E100" s="194"/>
      <c r="F100" s="195"/>
      <c r="G100" s="195"/>
      <c r="H100" s="195"/>
      <c r="I100" s="195">
        <v>56000</v>
      </c>
      <c r="J100" s="195" t="s">
        <v>1845</v>
      </c>
      <c r="K100" s="196"/>
      <c r="L100" s="196"/>
    </row>
    <row r="101" spans="1:12" ht="19" x14ac:dyDescent="0.2">
      <c r="A101" s="183"/>
      <c r="B101" s="184"/>
      <c r="C101" s="180"/>
      <c r="D101" s="186"/>
      <c r="E101" s="188"/>
      <c r="F101" s="187"/>
      <c r="G101" s="187"/>
      <c r="H101" s="187"/>
      <c r="I101" s="187">
        <v>35500</v>
      </c>
      <c r="J101" s="187" t="s">
        <v>1846</v>
      </c>
      <c r="K101" s="177"/>
      <c r="L101" s="177"/>
    </row>
    <row r="102" spans="1:12" ht="19" x14ac:dyDescent="0.2">
      <c r="A102" s="190"/>
      <c r="B102" s="191"/>
      <c r="C102" s="192"/>
      <c r="D102" s="193"/>
      <c r="E102" s="194"/>
      <c r="F102" s="195"/>
      <c r="G102" s="195"/>
      <c r="H102" s="195"/>
      <c r="I102" s="195">
        <v>140000</v>
      </c>
      <c r="J102" s="195" t="s">
        <v>1847</v>
      </c>
      <c r="K102" s="196"/>
      <c r="L102" s="196"/>
    </row>
    <row r="103" spans="1:12" ht="19" x14ac:dyDescent="0.2">
      <c r="A103" s="183"/>
      <c r="B103" s="184"/>
      <c r="C103" s="180"/>
      <c r="D103" s="186"/>
      <c r="E103" s="188"/>
      <c r="F103" s="187"/>
      <c r="G103" s="187"/>
      <c r="H103" s="187"/>
      <c r="I103" s="187">
        <v>140000</v>
      </c>
      <c r="J103" s="187" t="s">
        <v>1848</v>
      </c>
      <c r="K103" s="177"/>
      <c r="L103" s="177"/>
    </row>
    <row r="104" spans="1:12" ht="19" x14ac:dyDescent="0.2">
      <c r="A104" s="190"/>
      <c r="B104" s="191"/>
      <c r="C104" s="192"/>
      <c r="D104" s="193"/>
      <c r="E104" s="194"/>
      <c r="F104" s="195"/>
      <c r="G104" s="195"/>
      <c r="H104" s="195"/>
      <c r="I104" s="195"/>
      <c r="J104" s="195"/>
      <c r="K104" s="196"/>
      <c r="L104" s="196"/>
    </row>
    <row r="105" spans="1:12" ht="19" x14ac:dyDescent="0.2">
      <c r="A105" s="183">
        <v>1264000</v>
      </c>
      <c r="B105" s="184"/>
      <c r="C105" s="180" t="s">
        <v>1787</v>
      </c>
      <c r="D105" s="186" t="s">
        <v>685</v>
      </c>
      <c r="E105" s="188">
        <v>969000</v>
      </c>
      <c r="F105" s="187">
        <v>295000</v>
      </c>
      <c r="G105" s="187"/>
      <c r="H105" s="187"/>
      <c r="I105" s="187">
        <v>75000</v>
      </c>
      <c r="J105" s="187" t="s">
        <v>1849</v>
      </c>
      <c r="K105" s="177"/>
      <c r="L105" s="177"/>
    </row>
    <row r="106" spans="1:12" ht="19" x14ac:dyDescent="0.2">
      <c r="A106" s="190"/>
      <c r="B106" s="191"/>
      <c r="C106" s="192"/>
      <c r="D106" s="193"/>
      <c r="E106" s="194"/>
      <c r="F106" s="195"/>
      <c r="G106" s="195"/>
      <c r="H106" s="195"/>
      <c r="I106" s="195">
        <v>65000</v>
      </c>
      <c r="J106" s="195" t="s">
        <v>1850</v>
      </c>
      <c r="K106" s="196"/>
      <c r="L106" s="196"/>
    </row>
    <row r="107" spans="1:12" ht="19" x14ac:dyDescent="0.2">
      <c r="A107" s="183"/>
      <c r="B107" s="184"/>
      <c r="C107" s="180"/>
      <c r="D107" s="186"/>
      <c r="E107" s="188"/>
      <c r="F107" s="187"/>
      <c r="G107" s="187"/>
      <c r="H107" s="187"/>
      <c r="I107" s="187"/>
      <c r="J107" s="187"/>
      <c r="K107" s="177"/>
      <c r="L107" s="177"/>
    </row>
    <row r="108" spans="1:12" ht="19" x14ac:dyDescent="0.2">
      <c r="A108" s="190">
        <v>1834000</v>
      </c>
      <c r="B108" s="191">
        <v>45089</v>
      </c>
      <c r="C108" s="192" t="s">
        <v>9</v>
      </c>
      <c r="D108" s="193" t="s">
        <v>405</v>
      </c>
      <c r="E108" s="194">
        <v>1171000</v>
      </c>
      <c r="F108" s="195">
        <v>663000</v>
      </c>
      <c r="G108" s="195"/>
      <c r="H108" s="195"/>
      <c r="I108" s="195">
        <v>520000</v>
      </c>
      <c r="J108" s="195" t="s">
        <v>1517</v>
      </c>
      <c r="K108" s="196"/>
      <c r="L108" s="196"/>
    </row>
    <row r="109" spans="1:12" ht="19" x14ac:dyDescent="0.2">
      <c r="A109" s="183"/>
      <c r="B109" s="184"/>
      <c r="C109" s="180"/>
      <c r="D109" s="186"/>
      <c r="E109" s="188"/>
      <c r="F109" s="187"/>
      <c r="G109" s="187"/>
      <c r="H109" s="187"/>
      <c r="I109" s="187">
        <v>58000</v>
      </c>
      <c r="J109" s="187" t="s">
        <v>1851</v>
      </c>
      <c r="K109" s="177"/>
      <c r="L109" s="177"/>
    </row>
    <row r="110" spans="1:12" ht="19" x14ac:dyDescent="0.2">
      <c r="A110" s="190"/>
      <c r="B110" s="191"/>
      <c r="C110" s="192"/>
      <c r="D110" s="193"/>
      <c r="E110" s="194"/>
      <c r="F110" s="195"/>
      <c r="G110" s="195"/>
      <c r="H110" s="195"/>
      <c r="I110" s="195">
        <v>120000</v>
      </c>
      <c r="J110" s="195" t="s">
        <v>1852</v>
      </c>
      <c r="K110" s="196"/>
      <c r="L110" s="196"/>
    </row>
    <row r="111" spans="1:12" ht="19" x14ac:dyDescent="0.2">
      <c r="A111" s="183"/>
      <c r="B111" s="184"/>
      <c r="C111" s="180"/>
      <c r="D111" s="186"/>
      <c r="E111" s="188"/>
      <c r="F111" s="187"/>
      <c r="G111" s="187"/>
      <c r="H111" s="187"/>
      <c r="I111" s="187">
        <v>140000</v>
      </c>
      <c r="J111" s="187" t="s">
        <v>1553</v>
      </c>
      <c r="K111" s="177"/>
      <c r="L111" s="177"/>
    </row>
    <row r="112" spans="1:12" ht="19" x14ac:dyDescent="0.2">
      <c r="A112" s="190"/>
      <c r="B112" s="191"/>
      <c r="C112" s="192"/>
      <c r="D112" s="193"/>
      <c r="E112" s="194"/>
      <c r="F112" s="195"/>
      <c r="G112" s="195"/>
      <c r="H112" s="200"/>
      <c r="I112" s="195">
        <v>200000</v>
      </c>
      <c r="J112" s="195" t="s">
        <v>1614</v>
      </c>
      <c r="K112" s="196"/>
      <c r="L112" s="196"/>
    </row>
    <row r="113" spans="1:12" ht="19" x14ac:dyDescent="0.2">
      <c r="A113" s="183"/>
      <c r="B113" s="184"/>
      <c r="C113" s="180"/>
      <c r="D113" s="186"/>
      <c r="E113" s="188"/>
      <c r="F113" s="187"/>
      <c r="G113" s="187"/>
      <c r="H113" s="189"/>
      <c r="I113" s="187">
        <v>14000</v>
      </c>
      <c r="J113" s="187" t="s">
        <v>1853</v>
      </c>
      <c r="K113" s="177"/>
      <c r="L113" s="177"/>
    </row>
    <row r="114" spans="1:12" ht="19" x14ac:dyDescent="0.2">
      <c r="A114" s="190"/>
      <c r="B114" s="191"/>
      <c r="C114" s="192"/>
      <c r="D114" s="193"/>
      <c r="E114" s="194"/>
      <c r="F114" s="195"/>
      <c r="G114" s="195"/>
      <c r="H114" s="200"/>
      <c r="I114" s="195">
        <v>100000</v>
      </c>
      <c r="J114" s="195" t="s">
        <v>1710</v>
      </c>
      <c r="K114" s="196"/>
      <c r="L114" s="196"/>
    </row>
    <row r="115" spans="1:12" ht="19" x14ac:dyDescent="0.2">
      <c r="A115" s="183"/>
      <c r="B115" s="184"/>
      <c r="C115" s="180"/>
      <c r="D115" s="186"/>
      <c r="E115" s="188"/>
      <c r="F115" s="187"/>
      <c r="G115" s="187"/>
      <c r="H115" s="187"/>
      <c r="I115" s="187">
        <v>144000</v>
      </c>
      <c r="J115" s="187" t="s">
        <v>1245</v>
      </c>
      <c r="K115" s="177"/>
      <c r="L115" s="177"/>
    </row>
    <row r="116" spans="1:12" ht="19" x14ac:dyDescent="0.2">
      <c r="A116" s="190"/>
      <c r="B116" s="191"/>
      <c r="C116" s="192"/>
      <c r="D116" s="193"/>
      <c r="E116" s="194"/>
      <c r="F116" s="195"/>
      <c r="G116" s="195"/>
      <c r="H116" s="195"/>
      <c r="I116" s="195">
        <v>35000</v>
      </c>
      <c r="J116" s="195" t="s">
        <v>1598</v>
      </c>
      <c r="K116" s="196"/>
      <c r="L116" s="196"/>
    </row>
    <row r="117" spans="1:12" ht="19" x14ac:dyDescent="0.2">
      <c r="A117" s="183"/>
      <c r="B117" s="184"/>
      <c r="C117" s="180"/>
      <c r="D117" s="186"/>
      <c r="E117" s="188"/>
      <c r="F117" s="187"/>
      <c r="G117" s="187"/>
      <c r="H117" s="187"/>
      <c r="I117" s="187">
        <v>60000</v>
      </c>
      <c r="J117" s="187" t="s">
        <v>1854</v>
      </c>
      <c r="K117" s="177"/>
      <c r="L117" s="177"/>
    </row>
    <row r="118" spans="1:12" ht="19" x14ac:dyDescent="0.2">
      <c r="A118" s="190"/>
      <c r="B118" s="199"/>
      <c r="C118" s="197"/>
      <c r="D118" s="193"/>
      <c r="E118" s="194"/>
      <c r="F118" s="195"/>
      <c r="G118" s="195"/>
      <c r="H118" s="195"/>
      <c r="I118" s="195"/>
      <c r="J118" s="195"/>
      <c r="K118" s="196"/>
      <c r="L118" s="196"/>
    </row>
    <row r="119" spans="1:12" ht="19" x14ac:dyDescent="0.2">
      <c r="A119" s="183">
        <v>1855000</v>
      </c>
      <c r="B119" s="184"/>
      <c r="C119" s="181" t="s">
        <v>10</v>
      </c>
      <c r="D119" s="186" t="s">
        <v>685</v>
      </c>
      <c r="E119" s="188">
        <v>1225000</v>
      </c>
      <c r="F119" s="187">
        <v>630000</v>
      </c>
      <c r="G119" s="187"/>
      <c r="H119" s="189"/>
      <c r="I119" s="187">
        <v>900000</v>
      </c>
      <c r="J119" s="187" t="s">
        <v>1921</v>
      </c>
      <c r="K119" s="177"/>
      <c r="L119" s="177"/>
    </row>
    <row r="120" spans="1:12" ht="19" x14ac:dyDescent="0.2">
      <c r="A120" s="190"/>
      <c r="B120" s="199"/>
      <c r="C120" s="197"/>
      <c r="D120" s="193"/>
      <c r="E120" s="194"/>
      <c r="F120" s="195"/>
      <c r="G120" s="195"/>
      <c r="H120" s="195"/>
      <c r="I120" s="195"/>
      <c r="J120" s="195"/>
      <c r="K120" s="196"/>
      <c r="L120" s="196"/>
    </row>
    <row r="121" spans="1:12" ht="19" x14ac:dyDescent="0.2">
      <c r="A121" s="183">
        <v>1507000</v>
      </c>
      <c r="B121" s="184">
        <v>45090</v>
      </c>
      <c r="C121" s="181" t="s">
        <v>9</v>
      </c>
      <c r="D121" s="186" t="s">
        <v>405</v>
      </c>
      <c r="E121" s="188">
        <v>1078000</v>
      </c>
      <c r="F121" s="187">
        <v>429000</v>
      </c>
      <c r="G121" s="187">
        <v>3480000</v>
      </c>
      <c r="H121" s="187" t="s">
        <v>1920</v>
      </c>
      <c r="I121" s="187">
        <v>37000</v>
      </c>
      <c r="J121" s="187" t="s">
        <v>1855</v>
      </c>
      <c r="K121" s="177"/>
      <c r="L121" s="177"/>
    </row>
    <row r="122" spans="1:12" ht="19" x14ac:dyDescent="0.2">
      <c r="A122" s="190"/>
      <c r="B122" s="199"/>
      <c r="C122" s="197"/>
      <c r="D122" s="193"/>
      <c r="E122" s="194"/>
      <c r="F122" s="195"/>
      <c r="G122" s="195"/>
      <c r="H122" s="195"/>
      <c r="I122" s="195">
        <v>117000</v>
      </c>
      <c r="J122" s="195" t="s">
        <v>1856</v>
      </c>
      <c r="K122" s="196"/>
      <c r="L122" s="196"/>
    </row>
    <row r="123" spans="1:12" ht="19" x14ac:dyDescent="0.2">
      <c r="A123" s="183"/>
      <c r="B123" s="185"/>
      <c r="C123" s="181"/>
      <c r="D123" s="186"/>
      <c r="E123" s="188"/>
      <c r="F123" s="187"/>
      <c r="G123" s="187"/>
      <c r="H123" s="187"/>
      <c r="I123" s="187">
        <v>67000</v>
      </c>
      <c r="J123" s="187" t="s">
        <v>1738</v>
      </c>
      <c r="K123" s="177"/>
      <c r="L123" s="177"/>
    </row>
    <row r="124" spans="1:12" ht="19" x14ac:dyDescent="0.2">
      <c r="A124" s="190"/>
      <c r="B124" s="191"/>
      <c r="C124" s="197"/>
      <c r="D124" s="193"/>
      <c r="E124" s="194"/>
      <c r="F124" s="195"/>
      <c r="G124" s="195"/>
      <c r="H124" s="195"/>
      <c r="I124" s="195">
        <v>23000</v>
      </c>
      <c r="J124" s="195" t="s">
        <v>1857</v>
      </c>
      <c r="K124" s="196"/>
      <c r="L124" s="196"/>
    </row>
    <row r="125" spans="1:12" ht="19" x14ac:dyDescent="0.2">
      <c r="A125" s="183"/>
      <c r="B125" s="185"/>
      <c r="C125" s="181"/>
      <c r="D125" s="186"/>
      <c r="E125" s="188"/>
      <c r="F125" s="187"/>
      <c r="G125" s="187"/>
      <c r="H125" s="187"/>
      <c r="I125" s="187">
        <v>38000</v>
      </c>
      <c r="J125" s="187" t="s">
        <v>1645</v>
      </c>
      <c r="K125" s="177"/>
      <c r="L125" s="177"/>
    </row>
    <row r="126" spans="1:12" ht="19" x14ac:dyDescent="0.2">
      <c r="A126" s="190"/>
      <c r="B126" s="191"/>
      <c r="C126" s="197"/>
      <c r="D126" s="193"/>
      <c r="E126" s="194"/>
      <c r="F126" s="195"/>
      <c r="G126" s="195"/>
      <c r="H126" s="195"/>
      <c r="I126" s="195">
        <v>30000</v>
      </c>
      <c r="J126" s="195" t="s">
        <v>1858</v>
      </c>
      <c r="K126" s="196"/>
      <c r="L126" s="196"/>
    </row>
    <row r="127" spans="1:12" ht="19" x14ac:dyDescent="0.2">
      <c r="A127" s="183"/>
      <c r="B127" s="184"/>
      <c r="C127" s="181"/>
      <c r="D127" s="186"/>
      <c r="E127" s="188"/>
      <c r="F127" s="187"/>
      <c r="G127" s="187"/>
      <c r="H127" s="187"/>
      <c r="I127" s="187">
        <v>240000</v>
      </c>
      <c r="J127" s="187" t="s">
        <v>1509</v>
      </c>
      <c r="K127" s="177"/>
      <c r="L127" s="177"/>
    </row>
    <row r="128" spans="1:12" ht="19" x14ac:dyDescent="0.2">
      <c r="A128" s="190"/>
      <c r="B128" s="191"/>
      <c r="C128" s="197"/>
      <c r="D128" s="193"/>
      <c r="E128" s="194"/>
      <c r="F128" s="195"/>
      <c r="G128" s="195"/>
      <c r="H128" s="195"/>
      <c r="I128" s="195"/>
      <c r="J128" s="195"/>
      <c r="K128" s="196"/>
      <c r="L128" s="196"/>
    </row>
    <row r="129" spans="1:12" ht="19" x14ac:dyDescent="0.2">
      <c r="A129" s="183">
        <v>1683000</v>
      </c>
      <c r="B129" s="185"/>
      <c r="C129" s="181" t="s">
        <v>10</v>
      </c>
      <c r="D129" s="186" t="s">
        <v>685</v>
      </c>
      <c r="E129" s="188">
        <v>939000</v>
      </c>
      <c r="F129" s="187">
        <v>744000</v>
      </c>
      <c r="G129" s="187"/>
      <c r="H129" s="187"/>
      <c r="I129" s="187">
        <v>126000</v>
      </c>
      <c r="J129" s="187" t="s">
        <v>1649</v>
      </c>
      <c r="K129" s="177"/>
      <c r="L129" s="177"/>
    </row>
    <row r="130" spans="1:12" ht="19" x14ac:dyDescent="0.2">
      <c r="A130" s="190"/>
      <c r="B130" s="199"/>
      <c r="C130" s="198"/>
      <c r="D130" s="193"/>
      <c r="E130" s="194"/>
      <c r="F130" s="195"/>
      <c r="G130" s="195"/>
      <c r="H130" s="195"/>
      <c r="I130" s="195"/>
      <c r="J130" s="195"/>
      <c r="K130" s="196"/>
      <c r="L130" s="196"/>
    </row>
    <row r="131" spans="1:12" ht="19" x14ac:dyDescent="0.2">
      <c r="A131" s="183">
        <v>1648000</v>
      </c>
      <c r="B131" s="184">
        <v>45091</v>
      </c>
      <c r="C131" s="178" t="s">
        <v>9</v>
      </c>
      <c r="D131" s="186" t="s">
        <v>405</v>
      </c>
      <c r="E131" s="188">
        <v>1315000</v>
      </c>
      <c r="F131" s="187">
        <v>333000</v>
      </c>
      <c r="G131" s="187">
        <v>2534000</v>
      </c>
      <c r="H131" s="187" t="s">
        <v>812</v>
      </c>
      <c r="I131" s="187">
        <v>27000</v>
      </c>
      <c r="J131" s="187" t="s">
        <v>1859</v>
      </c>
      <c r="K131" s="177"/>
      <c r="L131" s="177"/>
    </row>
    <row r="132" spans="1:12" ht="19" x14ac:dyDescent="0.2">
      <c r="A132" s="190"/>
      <c r="B132" s="191"/>
      <c r="C132" s="198"/>
      <c r="D132" s="193"/>
      <c r="E132" s="194"/>
      <c r="F132" s="195"/>
      <c r="G132" s="195"/>
      <c r="H132" s="195"/>
      <c r="I132" s="195">
        <v>60000</v>
      </c>
      <c r="J132" s="195" t="s">
        <v>1860</v>
      </c>
      <c r="K132" s="196"/>
      <c r="L132" s="196"/>
    </row>
    <row r="133" spans="1:12" ht="19" x14ac:dyDescent="0.2">
      <c r="A133" s="183"/>
      <c r="B133" s="184"/>
      <c r="C133" s="181"/>
      <c r="D133" s="186"/>
      <c r="E133" s="188"/>
      <c r="F133" s="187"/>
      <c r="G133" s="187"/>
      <c r="H133" s="187"/>
      <c r="I133" s="187">
        <v>80000</v>
      </c>
      <c r="J133" s="187" t="s">
        <v>1861</v>
      </c>
      <c r="K133" s="177"/>
      <c r="L133" s="177"/>
    </row>
    <row r="134" spans="1:12" ht="19" x14ac:dyDescent="0.2">
      <c r="A134" s="190"/>
      <c r="B134" s="191"/>
      <c r="C134" s="198"/>
      <c r="D134" s="193"/>
      <c r="E134" s="194"/>
      <c r="F134" s="195"/>
      <c r="G134" s="195"/>
      <c r="H134" s="195"/>
      <c r="I134" s="195">
        <v>40000</v>
      </c>
      <c r="J134" s="195" t="s">
        <v>1862</v>
      </c>
      <c r="K134" s="196"/>
      <c r="L134" s="196"/>
    </row>
    <row r="135" spans="1:12" ht="19" x14ac:dyDescent="0.2">
      <c r="A135" s="183"/>
      <c r="B135" s="184"/>
      <c r="C135" s="181"/>
      <c r="D135" s="186"/>
      <c r="E135" s="188"/>
      <c r="F135" s="187"/>
      <c r="G135" s="187"/>
      <c r="H135" s="187"/>
      <c r="I135" s="187">
        <v>5000</v>
      </c>
      <c r="J135" s="187" t="s">
        <v>1826</v>
      </c>
      <c r="K135" s="177"/>
      <c r="L135" s="177"/>
    </row>
    <row r="136" spans="1:12" ht="19" x14ac:dyDescent="0.2">
      <c r="A136" s="190"/>
      <c r="B136" s="191"/>
      <c r="C136" s="201"/>
      <c r="D136" s="193"/>
      <c r="E136" s="194"/>
      <c r="F136" s="195"/>
      <c r="G136" s="195"/>
      <c r="H136" s="200"/>
      <c r="I136" s="195">
        <v>280000</v>
      </c>
      <c r="J136" s="195" t="s">
        <v>1863</v>
      </c>
      <c r="K136" s="196"/>
      <c r="L136" s="196"/>
    </row>
    <row r="137" spans="1:12" ht="19" x14ac:dyDescent="0.2">
      <c r="A137" s="183"/>
      <c r="B137" s="184"/>
      <c r="C137" s="180"/>
      <c r="D137" s="186"/>
      <c r="E137" s="188"/>
      <c r="F137" s="187"/>
      <c r="G137" s="187"/>
      <c r="H137" s="187"/>
      <c r="I137" s="187">
        <v>55000</v>
      </c>
      <c r="J137" s="187" t="s">
        <v>1864</v>
      </c>
      <c r="K137" s="177"/>
      <c r="L137" s="177"/>
    </row>
    <row r="138" spans="1:12" ht="19" x14ac:dyDescent="0.2">
      <c r="A138" s="190"/>
      <c r="B138" s="199"/>
      <c r="C138" s="198"/>
      <c r="D138" s="193"/>
      <c r="E138" s="194"/>
      <c r="F138" s="195"/>
      <c r="G138" s="195"/>
      <c r="H138" s="195"/>
      <c r="I138" s="195">
        <v>90000</v>
      </c>
      <c r="J138" s="195" t="s">
        <v>1865</v>
      </c>
      <c r="K138" s="196"/>
      <c r="L138" s="196"/>
    </row>
    <row r="139" spans="1:12" ht="19" x14ac:dyDescent="0.2">
      <c r="A139" s="183"/>
      <c r="B139" s="184"/>
      <c r="C139" s="181"/>
      <c r="D139" s="186"/>
      <c r="E139" s="188"/>
      <c r="F139" s="187"/>
      <c r="G139" s="187"/>
      <c r="H139" s="187"/>
      <c r="I139" s="187">
        <v>90000</v>
      </c>
      <c r="J139" s="187" t="s">
        <v>1497</v>
      </c>
      <c r="K139" s="177"/>
      <c r="L139" s="177"/>
    </row>
    <row r="140" spans="1:12" ht="19" x14ac:dyDescent="0.2">
      <c r="A140" s="190"/>
      <c r="B140" s="199"/>
      <c r="C140" s="197"/>
      <c r="D140" s="193"/>
      <c r="E140" s="194"/>
      <c r="F140" s="195"/>
      <c r="G140" s="195"/>
      <c r="H140" s="195"/>
      <c r="I140" s="195"/>
      <c r="J140" s="195"/>
      <c r="K140" s="196"/>
      <c r="L140" s="196"/>
    </row>
    <row r="141" spans="1:12" ht="19" x14ac:dyDescent="0.2">
      <c r="A141" s="183">
        <v>2215000</v>
      </c>
      <c r="B141" s="185"/>
      <c r="C141" s="179" t="s">
        <v>10</v>
      </c>
      <c r="D141" s="186" t="s">
        <v>685</v>
      </c>
      <c r="E141" s="188">
        <v>1402000</v>
      </c>
      <c r="F141" s="187">
        <v>813000</v>
      </c>
      <c r="G141" s="187"/>
      <c r="H141" s="187"/>
      <c r="I141" s="187"/>
      <c r="J141" s="187"/>
      <c r="K141" s="177"/>
      <c r="L141" s="177"/>
    </row>
    <row r="142" spans="1:12" ht="19" x14ac:dyDescent="0.2">
      <c r="A142" s="190"/>
      <c r="B142" s="199"/>
      <c r="C142" s="197"/>
      <c r="D142" s="193"/>
      <c r="E142" s="194"/>
      <c r="F142" s="195"/>
      <c r="G142" s="195"/>
      <c r="H142" s="195"/>
      <c r="I142" s="195"/>
      <c r="J142" s="195"/>
      <c r="K142" s="196"/>
      <c r="L142" s="196"/>
    </row>
    <row r="143" spans="1:12" ht="48" x14ac:dyDescent="0.2">
      <c r="A143" s="183">
        <v>1291000</v>
      </c>
      <c r="B143" s="184">
        <v>45092</v>
      </c>
      <c r="C143" s="179" t="s">
        <v>9</v>
      </c>
      <c r="D143" s="186" t="s">
        <v>405</v>
      </c>
      <c r="E143" s="188">
        <v>838000</v>
      </c>
      <c r="F143" s="187">
        <v>453000</v>
      </c>
      <c r="G143" s="187">
        <v>982000</v>
      </c>
      <c r="H143" s="189" t="s">
        <v>1866</v>
      </c>
      <c r="I143" s="187"/>
      <c r="J143" s="187"/>
      <c r="K143" s="177"/>
      <c r="L143" s="177"/>
    </row>
    <row r="144" spans="1:12" ht="19" x14ac:dyDescent="0.2">
      <c r="A144" s="190"/>
      <c r="B144" s="199"/>
      <c r="C144" s="198"/>
      <c r="D144" s="193"/>
      <c r="E144" s="194"/>
      <c r="F144" s="195"/>
      <c r="G144" s="195">
        <v>450000</v>
      </c>
      <c r="H144" s="195" t="s">
        <v>1867</v>
      </c>
      <c r="I144" s="195"/>
      <c r="J144" s="195"/>
      <c r="K144" s="196"/>
      <c r="L144" s="196"/>
    </row>
    <row r="145" spans="1:12" ht="19" x14ac:dyDescent="0.2">
      <c r="A145" s="183">
        <v>2098000</v>
      </c>
      <c r="B145" s="184"/>
      <c r="C145" s="181" t="s">
        <v>1787</v>
      </c>
      <c r="D145" s="186" t="s">
        <v>685</v>
      </c>
      <c r="E145" s="188">
        <v>1473000</v>
      </c>
      <c r="F145" s="187">
        <v>625000</v>
      </c>
      <c r="G145" s="187">
        <v>2100000</v>
      </c>
      <c r="H145" s="187" t="s">
        <v>1868</v>
      </c>
      <c r="I145" s="187">
        <v>154000</v>
      </c>
      <c r="J145" s="187" t="s">
        <v>1869</v>
      </c>
      <c r="K145" s="177"/>
      <c r="L145" s="177"/>
    </row>
    <row r="146" spans="1:12" ht="19" x14ac:dyDescent="0.2">
      <c r="A146" s="190"/>
      <c r="B146" s="191"/>
      <c r="C146" s="197"/>
      <c r="D146" s="193"/>
      <c r="E146" s="195"/>
      <c r="F146" s="195"/>
      <c r="G146" s="195"/>
      <c r="H146" s="195"/>
      <c r="I146" s="195"/>
      <c r="J146" s="195"/>
      <c r="K146" s="196"/>
      <c r="L146" s="196"/>
    </row>
    <row r="147" spans="1:12" ht="19" x14ac:dyDescent="0.2">
      <c r="A147" s="183">
        <v>1609000</v>
      </c>
      <c r="B147" s="184">
        <v>45093</v>
      </c>
      <c r="C147" s="181" t="s">
        <v>9</v>
      </c>
      <c r="D147" s="186" t="s">
        <v>565</v>
      </c>
      <c r="E147" s="188">
        <v>1094000</v>
      </c>
      <c r="F147" s="187">
        <v>515000</v>
      </c>
      <c r="G147" s="187"/>
      <c r="H147" s="187"/>
      <c r="I147" s="187">
        <v>300000</v>
      </c>
      <c r="J147" s="187" t="s">
        <v>1648</v>
      </c>
      <c r="K147" s="177"/>
      <c r="L147" s="177"/>
    </row>
    <row r="148" spans="1:12" ht="19" x14ac:dyDescent="0.2">
      <c r="A148" s="190"/>
      <c r="B148" s="199"/>
      <c r="C148" s="197"/>
      <c r="D148" s="193"/>
      <c r="E148" s="194"/>
      <c r="F148" s="195"/>
      <c r="G148" s="195"/>
      <c r="H148" s="195"/>
      <c r="I148" s="195">
        <v>200000</v>
      </c>
      <c r="J148" s="195" t="s">
        <v>1614</v>
      </c>
      <c r="K148" s="196"/>
      <c r="L148" s="196"/>
    </row>
    <row r="149" spans="1:12" ht="19" x14ac:dyDescent="0.2">
      <c r="A149" s="183"/>
      <c r="B149" s="185"/>
      <c r="C149" s="181"/>
      <c r="D149" s="186"/>
      <c r="E149" s="188"/>
      <c r="F149" s="187"/>
      <c r="G149" s="187"/>
      <c r="H149" s="187"/>
      <c r="I149" s="187">
        <v>100000</v>
      </c>
      <c r="J149" s="187" t="s">
        <v>1710</v>
      </c>
      <c r="K149" s="177"/>
      <c r="L149" s="177"/>
    </row>
    <row r="150" spans="1:12" ht="19" x14ac:dyDescent="0.2">
      <c r="A150" s="190"/>
      <c r="B150" s="199"/>
      <c r="C150" s="197"/>
      <c r="D150" s="193"/>
      <c r="E150" s="194"/>
      <c r="F150" s="195"/>
      <c r="G150" s="195"/>
      <c r="H150" s="195"/>
      <c r="I150" s="195"/>
      <c r="J150" s="195"/>
      <c r="K150" s="196"/>
      <c r="L150" s="196"/>
    </row>
    <row r="151" spans="1:12" ht="19" x14ac:dyDescent="0.2">
      <c r="A151" s="183">
        <v>1581000</v>
      </c>
      <c r="B151" s="184"/>
      <c r="C151" s="181" t="s">
        <v>1787</v>
      </c>
      <c r="D151" s="186" t="s">
        <v>685</v>
      </c>
      <c r="E151" s="188">
        <v>869000</v>
      </c>
      <c r="F151" s="187">
        <v>712000</v>
      </c>
      <c r="G151" s="187"/>
      <c r="H151" s="187"/>
      <c r="I151" s="187">
        <v>40000</v>
      </c>
      <c r="J151" s="187" t="s">
        <v>1493</v>
      </c>
      <c r="K151" s="177"/>
      <c r="L151" s="177"/>
    </row>
    <row r="152" spans="1:12" ht="19" x14ac:dyDescent="0.2">
      <c r="A152" s="190"/>
      <c r="B152" s="199"/>
      <c r="C152" s="197"/>
      <c r="D152" s="193"/>
      <c r="E152" s="194"/>
      <c r="F152" s="195"/>
      <c r="G152" s="195"/>
      <c r="H152" s="195"/>
      <c r="I152" s="195"/>
      <c r="J152" s="195"/>
      <c r="K152" s="196"/>
      <c r="L152" s="196"/>
    </row>
    <row r="153" spans="1:12" ht="19" x14ac:dyDescent="0.2">
      <c r="A153" s="183">
        <v>1568000</v>
      </c>
      <c r="B153" s="184">
        <v>45094</v>
      </c>
      <c r="C153" s="179" t="s">
        <v>9</v>
      </c>
      <c r="D153" s="186" t="s">
        <v>405</v>
      </c>
      <c r="E153" s="188">
        <v>1057000</v>
      </c>
      <c r="F153" s="187">
        <v>511000</v>
      </c>
      <c r="G153" s="187"/>
      <c r="H153" s="187"/>
      <c r="I153" s="187">
        <v>59000</v>
      </c>
      <c r="J153" s="187" t="s">
        <v>1870</v>
      </c>
      <c r="K153" s="177"/>
      <c r="L153" s="177"/>
    </row>
    <row r="154" spans="1:12" ht="19" x14ac:dyDescent="0.2">
      <c r="A154" s="190"/>
      <c r="B154" s="199"/>
      <c r="C154" s="197"/>
      <c r="D154" s="193"/>
      <c r="E154" s="194"/>
      <c r="F154" s="195"/>
      <c r="G154" s="195"/>
      <c r="H154" s="195"/>
      <c r="I154" s="195">
        <v>20000</v>
      </c>
      <c r="J154" s="195" t="s">
        <v>1741</v>
      </c>
      <c r="K154" s="196"/>
      <c r="L154" s="196"/>
    </row>
    <row r="155" spans="1:12" ht="19" x14ac:dyDescent="0.2">
      <c r="A155" s="183"/>
      <c r="B155" s="184"/>
      <c r="C155" s="179"/>
      <c r="D155" s="186"/>
      <c r="E155" s="188"/>
      <c r="F155" s="187"/>
      <c r="G155" s="187"/>
      <c r="H155" s="187"/>
      <c r="I155" s="187">
        <v>123000</v>
      </c>
      <c r="J155" s="187" t="s">
        <v>1871</v>
      </c>
      <c r="K155" s="177"/>
      <c r="L155" s="177"/>
    </row>
    <row r="156" spans="1:12" ht="19" x14ac:dyDescent="0.2">
      <c r="A156" s="190"/>
      <c r="B156" s="199"/>
      <c r="C156" s="197"/>
      <c r="D156" s="193"/>
      <c r="E156" s="194"/>
      <c r="F156" s="195"/>
      <c r="G156" s="195"/>
      <c r="H156" s="195"/>
      <c r="I156" s="195">
        <v>45000</v>
      </c>
      <c r="J156" s="195" t="s">
        <v>1872</v>
      </c>
      <c r="K156" s="196"/>
      <c r="L156" s="196"/>
    </row>
    <row r="157" spans="1:12" ht="19" x14ac:dyDescent="0.2">
      <c r="A157" s="183"/>
      <c r="B157" s="184"/>
      <c r="C157" s="178"/>
      <c r="D157" s="186"/>
      <c r="E157" s="188"/>
      <c r="F157" s="187"/>
      <c r="G157" s="187"/>
      <c r="H157" s="187"/>
      <c r="I157" s="187">
        <v>67000</v>
      </c>
      <c r="J157" s="187" t="s">
        <v>1738</v>
      </c>
      <c r="K157" s="177"/>
      <c r="L157" s="177"/>
    </row>
    <row r="158" spans="1:12" ht="19" x14ac:dyDescent="0.2">
      <c r="A158" s="190"/>
      <c r="B158" s="191"/>
      <c r="C158" s="197"/>
      <c r="D158" s="193"/>
      <c r="E158" s="194"/>
      <c r="F158" s="195"/>
      <c r="G158" s="195"/>
      <c r="H158" s="195"/>
      <c r="I158" s="195">
        <v>9000</v>
      </c>
      <c r="J158" s="195" t="s">
        <v>1873</v>
      </c>
      <c r="K158" s="196"/>
      <c r="L158" s="196"/>
    </row>
    <row r="159" spans="1:12" ht="19" x14ac:dyDescent="0.2">
      <c r="A159" s="183"/>
      <c r="B159" s="185"/>
      <c r="C159" s="181"/>
      <c r="D159" s="186"/>
      <c r="E159" s="188"/>
      <c r="F159" s="187"/>
      <c r="G159" s="187"/>
      <c r="H159" s="187"/>
      <c r="I159" s="187">
        <v>54000</v>
      </c>
      <c r="J159" s="187" t="s">
        <v>1449</v>
      </c>
      <c r="K159" s="177"/>
      <c r="L159" s="177"/>
    </row>
    <row r="160" spans="1:12" ht="19" x14ac:dyDescent="0.2">
      <c r="A160" s="190"/>
      <c r="B160" s="199"/>
      <c r="C160" s="197"/>
      <c r="D160" s="193"/>
      <c r="E160" s="194"/>
      <c r="F160" s="195"/>
      <c r="G160" s="195"/>
      <c r="H160" s="195"/>
      <c r="I160" s="195">
        <v>156000</v>
      </c>
      <c r="J160" s="195" t="s">
        <v>1874</v>
      </c>
      <c r="K160" s="196"/>
      <c r="L160" s="196"/>
    </row>
    <row r="161" spans="1:12" ht="19" x14ac:dyDescent="0.2">
      <c r="A161" s="183"/>
      <c r="B161" s="185"/>
      <c r="C161" s="181"/>
      <c r="D161" s="186"/>
      <c r="E161" s="188"/>
      <c r="F161" s="187"/>
      <c r="G161" s="187"/>
      <c r="H161" s="187"/>
      <c r="I161" s="187">
        <v>105000</v>
      </c>
      <c r="J161" s="187" t="s">
        <v>1875</v>
      </c>
      <c r="K161" s="177"/>
      <c r="L161" s="177"/>
    </row>
    <row r="162" spans="1:12" ht="19" x14ac:dyDescent="0.2">
      <c r="A162" s="190"/>
      <c r="B162" s="191"/>
      <c r="C162" s="197"/>
      <c r="D162" s="193"/>
      <c r="E162" s="194"/>
      <c r="F162" s="195"/>
      <c r="G162" s="195"/>
      <c r="H162" s="195"/>
      <c r="I162" s="195"/>
      <c r="J162" s="195"/>
      <c r="K162" s="196"/>
      <c r="L162" s="196"/>
    </row>
    <row r="163" spans="1:12" ht="19" x14ac:dyDescent="0.2">
      <c r="A163" s="183">
        <v>1116000</v>
      </c>
      <c r="B163" s="185"/>
      <c r="C163" s="181" t="s">
        <v>10</v>
      </c>
      <c r="D163" s="186" t="s">
        <v>685</v>
      </c>
      <c r="E163" s="188">
        <v>763000</v>
      </c>
      <c r="F163" s="187">
        <v>353000</v>
      </c>
      <c r="G163" s="187"/>
      <c r="H163" s="187"/>
      <c r="I163" s="187">
        <v>50000</v>
      </c>
      <c r="J163" s="187" t="s">
        <v>123</v>
      </c>
      <c r="K163" s="177"/>
      <c r="L163" s="177"/>
    </row>
    <row r="164" spans="1:12" ht="19" x14ac:dyDescent="0.2">
      <c r="A164" s="190"/>
      <c r="B164" s="199"/>
      <c r="C164" s="197"/>
      <c r="D164" s="193"/>
      <c r="E164" s="194"/>
      <c r="F164" s="195"/>
      <c r="G164" s="195"/>
      <c r="H164" s="195"/>
      <c r="I164" s="195">
        <v>144000</v>
      </c>
      <c r="J164" s="195" t="s">
        <v>1245</v>
      </c>
      <c r="K164" s="196"/>
      <c r="L164" s="196"/>
    </row>
    <row r="165" spans="1:12" ht="19" x14ac:dyDescent="0.2">
      <c r="A165" s="183"/>
      <c r="B165" s="184"/>
      <c r="C165" s="181"/>
      <c r="D165" s="186"/>
      <c r="E165" s="188"/>
      <c r="F165" s="187"/>
      <c r="G165" s="187"/>
      <c r="H165" s="187"/>
      <c r="I165" s="187">
        <v>56000</v>
      </c>
      <c r="J165" s="187" t="s">
        <v>1876</v>
      </c>
      <c r="K165" s="177"/>
      <c r="L165" s="177"/>
    </row>
    <row r="166" spans="1:12" ht="19" x14ac:dyDescent="0.2">
      <c r="A166" s="190"/>
      <c r="B166" s="191"/>
      <c r="C166" s="197"/>
      <c r="D166" s="193"/>
      <c r="E166" s="194"/>
      <c r="F166" s="195"/>
      <c r="G166" s="195"/>
      <c r="H166" s="195"/>
      <c r="I166" s="195">
        <v>70000</v>
      </c>
      <c r="J166" s="195" t="s">
        <v>1597</v>
      </c>
      <c r="K166" s="196"/>
      <c r="L166" s="196"/>
    </row>
    <row r="167" spans="1:12" ht="19" x14ac:dyDescent="0.2">
      <c r="A167" s="183"/>
      <c r="B167" s="185"/>
      <c r="C167" s="181"/>
      <c r="D167" s="186"/>
      <c r="E167" s="188"/>
      <c r="F167" s="187"/>
      <c r="G167" s="187"/>
      <c r="H167" s="187"/>
      <c r="I167" s="187"/>
      <c r="J167" s="187"/>
      <c r="K167" s="177"/>
      <c r="L167" s="177"/>
    </row>
    <row r="168" spans="1:12" ht="19" x14ac:dyDescent="0.2">
      <c r="A168" s="190">
        <v>1762000</v>
      </c>
      <c r="B168" s="191">
        <v>45095</v>
      </c>
      <c r="C168" s="197" t="s">
        <v>9</v>
      </c>
      <c r="D168" s="193" t="s">
        <v>405</v>
      </c>
      <c r="E168" s="194">
        <v>1355000</v>
      </c>
      <c r="F168" s="195">
        <v>407000</v>
      </c>
      <c r="G168" s="195"/>
      <c r="H168" s="195"/>
      <c r="I168" s="195">
        <v>69000</v>
      </c>
      <c r="J168" s="195" t="s">
        <v>1877</v>
      </c>
      <c r="K168" s="196"/>
      <c r="L168" s="196"/>
    </row>
    <row r="169" spans="1:12" ht="19" x14ac:dyDescent="0.2">
      <c r="A169" s="183">
        <v>2215000</v>
      </c>
      <c r="B169" s="185"/>
      <c r="C169" s="181" t="s">
        <v>10</v>
      </c>
      <c r="D169" s="186" t="s">
        <v>565</v>
      </c>
      <c r="E169" s="188">
        <v>1598000</v>
      </c>
      <c r="F169" s="187">
        <v>617000</v>
      </c>
      <c r="G169" s="187"/>
      <c r="H169" s="187"/>
      <c r="I169" s="187">
        <v>75000</v>
      </c>
      <c r="J169" s="187" t="s">
        <v>1878</v>
      </c>
      <c r="K169" s="177"/>
      <c r="L169" s="177"/>
    </row>
    <row r="170" spans="1:12" ht="19" x14ac:dyDescent="0.2">
      <c r="A170" s="190"/>
      <c r="B170" s="199"/>
      <c r="C170" s="197"/>
      <c r="D170" s="193"/>
      <c r="E170" s="194"/>
      <c r="F170" s="195"/>
      <c r="G170" s="195"/>
      <c r="H170" s="195"/>
      <c r="I170" s="195">
        <v>65000</v>
      </c>
      <c r="J170" s="195" t="s">
        <v>1823</v>
      </c>
      <c r="K170" s="196"/>
      <c r="L170" s="196"/>
    </row>
    <row r="171" spans="1:12" ht="19" x14ac:dyDescent="0.2">
      <c r="A171" s="183"/>
      <c r="B171" s="185"/>
      <c r="C171" s="181"/>
      <c r="D171" s="186"/>
      <c r="E171" s="188"/>
      <c r="F171" s="187"/>
      <c r="G171" s="187"/>
      <c r="H171" s="187"/>
      <c r="I171" s="187">
        <v>75000</v>
      </c>
      <c r="J171" s="187" t="s">
        <v>1879</v>
      </c>
      <c r="K171" s="177"/>
      <c r="L171" s="177"/>
    </row>
    <row r="172" spans="1:12" ht="19" x14ac:dyDescent="0.2">
      <c r="A172" s="190">
        <v>1186000</v>
      </c>
      <c r="B172" s="191">
        <v>45096</v>
      </c>
      <c r="C172" s="201" t="s">
        <v>9</v>
      </c>
      <c r="D172" s="193" t="s">
        <v>405</v>
      </c>
      <c r="E172" s="194">
        <v>884000</v>
      </c>
      <c r="F172" s="195">
        <v>302000</v>
      </c>
      <c r="G172" s="195"/>
      <c r="H172" s="195"/>
      <c r="I172" s="195">
        <v>126000</v>
      </c>
      <c r="J172" s="195" t="s">
        <v>895</v>
      </c>
      <c r="K172" s="196"/>
      <c r="L172" s="196"/>
    </row>
    <row r="173" spans="1:12" ht="19" x14ac:dyDescent="0.2">
      <c r="A173" s="183"/>
      <c r="B173" s="184"/>
      <c r="C173" s="181"/>
      <c r="D173" s="186"/>
      <c r="E173" s="188"/>
      <c r="F173" s="187"/>
      <c r="G173" s="187"/>
      <c r="H173" s="187"/>
      <c r="I173" s="187"/>
      <c r="J173" s="187"/>
      <c r="K173" s="177"/>
      <c r="L173" s="177"/>
    </row>
    <row r="174" spans="1:12" ht="19" x14ac:dyDescent="0.2">
      <c r="A174" s="190">
        <v>1961000</v>
      </c>
      <c r="B174" s="191"/>
      <c r="C174" s="197" t="s">
        <v>363</v>
      </c>
      <c r="D174" s="193" t="s">
        <v>685</v>
      </c>
      <c r="E174" s="194">
        <v>1530000</v>
      </c>
      <c r="F174" s="195">
        <v>431000</v>
      </c>
      <c r="G174" s="195"/>
      <c r="H174" s="195"/>
      <c r="I174" s="195"/>
      <c r="J174" s="195"/>
      <c r="K174" s="196"/>
      <c r="L174" s="196"/>
    </row>
    <row r="175" spans="1:12" ht="19" x14ac:dyDescent="0.2">
      <c r="A175" s="183"/>
      <c r="B175" s="184"/>
      <c r="C175" s="181"/>
      <c r="D175" s="186"/>
      <c r="E175" s="188"/>
      <c r="F175" s="187"/>
      <c r="G175" s="187"/>
      <c r="H175" s="187"/>
      <c r="I175" s="187"/>
      <c r="J175" s="187"/>
      <c r="K175" s="177"/>
      <c r="L175" s="177"/>
    </row>
    <row r="176" spans="1:12" ht="19" x14ac:dyDescent="0.2">
      <c r="A176" s="190"/>
      <c r="B176" s="191"/>
      <c r="C176" s="197"/>
      <c r="D176" s="193"/>
      <c r="E176" s="194"/>
      <c r="F176" s="195"/>
      <c r="G176" s="195"/>
      <c r="H176" s="195"/>
      <c r="I176" s="195"/>
      <c r="J176" s="195"/>
      <c r="K176" s="196"/>
      <c r="L176" s="196"/>
    </row>
    <row r="177" spans="1:12" ht="19" x14ac:dyDescent="0.2">
      <c r="A177" s="183">
        <v>1651000</v>
      </c>
      <c r="B177" s="184">
        <v>45097</v>
      </c>
      <c r="C177" s="181" t="s">
        <v>9</v>
      </c>
      <c r="D177" s="186" t="s">
        <v>405</v>
      </c>
      <c r="E177" s="187">
        <v>1363000</v>
      </c>
      <c r="F177" s="187">
        <v>288000</v>
      </c>
      <c r="G177" s="187"/>
      <c r="H177" s="187"/>
      <c r="I177" s="187">
        <v>54000</v>
      </c>
      <c r="J177" s="187" t="s">
        <v>1449</v>
      </c>
      <c r="K177" s="177"/>
      <c r="L177" s="177"/>
    </row>
    <row r="178" spans="1:12" ht="19" x14ac:dyDescent="0.2">
      <c r="A178" s="190"/>
      <c r="B178" s="191"/>
      <c r="C178" s="192"/>
      <c r="D178" s="193"/>
      <c r="E178" s="194"/>
      <c r="F178" s="195"/>
      <c r="G178" s="195"/>
      <c r="H178" s="195"/>
      <c r="I178" s="195">
        <v>117000</v>
      </c>
      <c r="J178" s="195" t="s">
        <v>1856</v>
      </c>
      <c r="K178" s="196"/>
      <c r="L178" s="196"/>
    </row>
    <row r="179" spans="1:12" ht="19" x14ac:dyDescent="0.2">
      <c r="A179" s="183"/>
      <c r="B179" s="184"/>
      <c r="C179" s="180"/>
      <c r="D179" s="186"/>
      <c r="E179" s="188"/>
      <c r="F179" s="187"/>
      <c r="G179" s="187"/>
      <c r="H179" s="187"/>
      <c r="I179" s="187">
        <v>37000</v>
      </c>
      <c r="J179" s="187" t="s">
        <v>1880</v>
      </c>
      <c r="K179" s="177"/>
      <c r="L179" s="177"/>
    </row>
    <row r="180" spans="1:12" ht="19" x14ac:dyDescent="0.2">
      <c r="A180" s="190"/>
      <c r="B180" s="191"/>
      <c r="C180" s="192"/>
      <c r="D180" s="193"/>
      <c r="E180" s="194"/>
      <c r="F180" s="195"/>
      <c r="G180" s="195"/>
      <c r="H180" s="195"/>
      <c r="I180" s="195">
        <v>5000</v>
      </c>
      <c r="J180" s="195" t="s">
        <v>1734</v>
      </c>
      <c r="K180" s="196"/>
      <c r="L180" s="196"/>
    </row>
    <row r="181" spans="1:12" ht="19" x14ac:dyDescent="0.2">
      <c r="A181" s="183"/>
      <c r="B181" s="184"/>
      <c r="C181" s="179"/>
      <c r="D181" s="186"/>
      <c r="E181" s="188"/>
      <c r="F181" s="187"/>
      <c r="G181" s="187"/>
      <c r="H181" s="187"/>
      <c r="I181" s="187">
        <v>21000</v>
      </c>
      <c r="J181" s="187" t="s">
        <v>1881</v>
      </c>
      <c r="K181" s="177"/>
      <c r="L181" s="177"/>
    </row>
    <row r="182" spans="1:12" ht="19" x14ac:dyDescent="0.2">
      <c r="A182" s="190"/>
      <c r="B182" s="191"/>
      <c r="C182" s="197"/>
      <c r="D182" s="193"/>
      <c r="E182" s="194"/>
      <c r="F182" s="195"/>
      <c r="G182" s="195"/>
      <c r="H182" s="195"/>
      <c r="I182" s="195">
        <v>46000</v>
      </c>
      <c r="J182" s="195" t="s">
        <v>1882</v>
      </c>
      <c r="K182" s="196"/>
      <c r="L182" s="196"/>
    </row>
    <row r="183" spans="1:12" ht="19" x14ac:dyDescent="0.2">
      <c r="A183" s="183"/>
      <c r="B183" s="184"/>
      <c r="C183" s="180"/>
      <c r="D183" s="186"/>
      <c r="E183" s="188"/>
      <c r="F183" s="187"/>
      <c r="G183" s="187"/>
      <c r="H183" s="187"/>
      <c r="I183" s="187">
        <v>355000</v>
      </c>
      <c r="J183" s="187" t="s">
        <v>1883</v>
      </c>
      <c r="K183" s="177"/>
      <c r="L183" s="177"/>
    </row>
    <row r="184" spans="1:12" ht="19" x14ac:dyDescent="0.2">
      <c r="A184" s="190"/>
      <c r="B184" s="191"/>
      <c r="C184" s="192"/>
      <c r="D184" s="193"/>
      <c r="E184" s="194"/>
      <c r="F184" s="195"/>
      <c r="G184" s="195"/>
      <c r="H184" s="195"/>
      <c r="I184" s="195"/>
      <c r="J184" s="195"/>
      <c r="K184" s="196"/>
      <c r="L184" s="196"/>
    </row>
    <row r="185" spans="1:12" ht="19" x14ac:dyDescent="0.2">
      <c r="A185" s="183">
        <v>1593000</v>
      </c>
      <c r="B185" s="184"/>
      <c r="C185" s="180" t="s">
        <v>10</v>
      </c>
      <c r="D185" s="186" t="s">
        <v>685</v>
      </c>
      <c r="E185" s="188">
        <v>1151000</v>
      </c>
      <c r="F185" s="187">
        <v>442000</v>
      </c>
      <c r="G185" s="187"/>
      <c r="H185" s="187"/>
      <c r="I185" s="187">
        <v>98000</v>
      </c>
      <c r="J185" s="187" t="s">
        <v>1771</v>
      </c>
      <c r="K185" s="177"/>
      <c r="L185" s="177"/>
    </row>
    <row r="186" spans="1:12" ht="19" x14ac:dyDescent="0.2">
      <c r="A186" s="190"/>
      <c r="B186" s="191"/>
      <c r="C186" s="192"/>
      <c r="D186" s="193"/>
      <c r="E186" s="194"/>
      <c r="F186" s="195"/>
      <c r="G186" s="195"/>
      <c r="H186" s="195"/>
      <c r="I186" s="195"/>
      <c r="J186" s="195"/>
      <c r="K186" s="196"/>
      <c r="L186" s="196"/>
    </row>
    <row r="187" spans="1:12" ht="19" x14ac:dyDescent="0.2">
      <c r="A187" s="183">
        <v>1661000</v>
      </c>
      <c r="B187" s="184">
        <v>45098</v>
      </c>
      <c r="C187" s="180" t="s">
        <v>9</v>
      </c>
      <c r="D187" s="186" t="s">
        <v>405</v>
      </c>
      <c r="E187" s="188">
        <v>1381000</v>
      </c>
      <c r="F187" s="187">
        <v>280000</v>
      </c>
      <c r="G187" s="187"/>
      <c r="H187" s="187"/>
      <c r="I187" s="187">
        <v>27000</v>
      </c>
      <c r="J187" s="187" t="s">
        <v>1859</v>
      </c>
      <c r="K187" s="177"/>
      <c r="L187" s="177"/>
    </row>
    <row r="188" spans="1:12" ht="19" x14ac:dyDescent="0.2">
      <c r="A188" s="190"/>
      <c r="B188" s="191"/>
      <c r="C188" s="192"/>
      <c r="D188" s="193"/>
      <c r="E188" s="194"/>
      <c r="F188" s="195"/>
      <c r="G188" s="195"/>
      <c r="H188" s="195"/>
      <c r="I188" s="195">
        <v>47000</v>
      </c>
      <c r="J188" s="195" t="s">
        <v>1884</v>
      </c>
      <c r="K188" s="196"/>
      <c r="L188" s="196"/>
    </row>
    <row r="189" spans="1:12" ht="19" x14ac:dyDescent="0.2">
      <c r="A189" s="183"/>
      <c r="B189" s="184"/>
      <c r="C189" s="179"/>
      <c r="D189" s="186"/>
      <c r="E189" s="188"/>
      <c r="F189" s="187"/>
      <c r="G189" s="187"/>
      <c r="H189" s="187"/>
      <c r="I189" s="187">
        <v>35000</v>
      </c>
      <c r="J189" s="187" t="s">
        <v>1885</v>
      </c>
      <c r="K189" s="177"/>
      <c r="L189" s="177"/>
    </row>
    <row r="190" spans="1:12" ht="19" x14ac:dyDescent="0.2">
      <c r="A190" s="190"/>
      <c r="B190" s="191"/>
      <c r="C190" s="192"/>
      <c r="D190" s="193"/>
      <c r="E190" s="194"/>
      <c r="F190" s="195"/>
      <c r="G190" s="195"/>
      <c r="H190" s="195"/>
      <c r="I190" s="195">
        <v>140000</v>
      </c>
      <c r="J190" s="195" t="s">
        <v>1886</v>
      </c>
      <c r="K190" s="196"/>
      <c r="L190" s="196"/>
    </row>
    <row r="191" spans="1:12" ht="19" x14ac:dyDescent="0.2">
      <c r="A191" s="183"/>
      <c r="B191" s="184"/>
      <c r="C191" s="180"/>
      <c r="D191" s="186"/>
      <c r="E191" s="188"/>
      <c r="F191" s="187"/>
      <c r="G191" s="187"/>
      <c r="H191" s="187"/>
      <c r="I191" s="187"/>
      <c r="J191" s="187"/>
      <c r="K191" s="177"/>
      <c r="L191" s="177"/>
    </row>
    <row r="192" spans="1:12" ht="19" x14ac:dyDescent="0.2">
      <c r="A192" s="190">
        <v>1798000</v>
      </c>
      <c r="B192" s="191"/>
      <c r="C192" s="192" t="s">
        <v>10</v>
      </c>
      <c r="D192" s="193" t="s">
        <v>685</v>
      </c>
      <c r="E192" s="194">
        <v>1301000</v>
      </c>
      <c r="F192" s="195">
        <v>497000</v>
      </c>
      <c r="G192" s="195"/>
      <c r="H192" s="195"/>
      <c r="I192" s="195">
        <v>144000</v>
      </c>
      <c r="J192" s="195" t="s">
        <v>1245</v>
      </c>
      <c r="K192" s="196"/>
      <c r="L192" s="196"/>
    </row>
    <row r="193" spans="1:12" ht="19" x14ac:dyDescent="0.2">
      <c r="A193" s="183"/>
      <c r="B193" s="184"/>
      <c r="C193" s="179"/>
      <c r="D193" s="186"/>
      <c r="E193" s="188"/>
      <c r="F193" s="187"/>
      <c r="G193" s="187"/>
      <c r="H193" s="187"/>
      <c r="I193" s="187">
        <v>80000</v>
      </c>
      <c r="J193" s="187" t="s">
        <v>1597</v>
      </c>
      <c r="K193" s="177"/>
      <c r="L193" s="177"/>
    </row>
    <row r="194" spans="1:12" ht="19" x14ac:dyDescent="0.2">
      <c r="A194" s="190"/>
      <c r="B194" s="191"/>
      <c r="C194" s="197"/>
      <c r="D194" s="193"/>
      <c r="E194" s="194"/>
      <c r="F194" s="195"/>
      <c r="G194" s="195"/>
      <c r="H194" s="195"/>
      <c r="I194" s="195">
        <v>56000</v>
      </c>
      <c r="J194" s="195" t="s">
        <v>1448</v>
      </c>
      <c r="K194" s="196"/>
      <c r="L194" s="196"/>
    </row>
    <row r="195" spans="1:12" ht="19" x14ac:dyDescent="0.2">
      <c r="A195" s="183"/>
      <c r="B195" s="184"/>
      <c r="C195" s="178"/>
      <c r="D195" s="186"/>
      <c r="E195" s="188"/>
      <c r="F195" s="187"/>
      <c r="G195" s="187"/>
      <c r="H195" s="187"/>
      <c r="I195" s="187"/>
      <c r="J195" s="187"/>
      <c r="K195" s="177"/>
      <c r="L195" s="177"/>
    </row>
    <row r="196" spans="1:12" ht="19" x14ac:dyDescent="0.2">
      <c r="A196" s="190">
        <v>1644000</v>
      </c>
      <c r="B196" s="191">
        <v>45099</v>
      </c>
      <c r="C196" s="197" t="s">
        <v>9</v>
      </c>
      <c r="D196" s="193" t="s">
        <v>565</v>
      </c>
      <c r="E196" s="194">
        <v>1240000</v>
      </c>
      <c r="F196" s="195">
        <v>404000</v>
      </c>
      <c r="G196" s="195"/>
      <c r="H196" s="195"/>
      <c r="I196" s="195">
        <v>140000</v>
      </c>
      <c r="J196" s="195" t="s">
        <v>1887</v>
      </c>
      <c r="K196" s="196"/>
      <c r="L196" s="196"/>
    </row>
    <row r="197" spans="1:12" ht="19" x14ac:dyDescent="0.2">
      <c r="A197" s="183"/>
      <c r="B197" s="184"/>
      <c r="C197" s="178"/>
      <c r="D197" s="186"/>
      <c r="E197" s="188"/>
      <c r="F197" s="187"/>
      <c r="G197" s="187"/>
      <c r="H197" s="187"/>
      <c r="I197" s="187">
        <v>480000</v>
      </c>
      <c r="J197" s="187" t="s">
        <v>1888</v>
      </c>
      <c r="K197" s="177"/>
      <c r="L197" s="177"/>
    </row>
    <row r="198" spans="1:12" ht="19" x14ac:dyDescent="0.2">
      <c r="A198" s="190"/>
      <c r="B198" s="191"/>
      <c r="C198" s="201"/>
      <c r="D198" s="193"/>
      <c r="E198" s="194"/>
      <c r="F198" s="195"/>
      <c r="G198" s="195"/>
      <c r="H198" s="195"/>
      <c r="I198" s="195">
        <v>24000</v>
      </c>
      <c r="J198" s="195" t="s">
        <v>1889</v>
      </c>
      <c r="K198" s="196"/>
      <c r="L198" s="196"/>
    </row>
    <row r="199" spans="1:12" ht="19" x14ac:dyDescent="0.2">
      <c r="A199" s="183"/>
      <c r="B199" s="184"/>
      <c r="C199" s="181"/>
      <c r="D199" s="186"/>
      <c r="E199" s="188"/>
      <c r="F199" s="187"/>
      <c r="G199" s="187"/>
      <c r="H199" s="187"/>
      <c r="I199" s="187">
        <v>140000</v>
      </c>
      <c r="J199" s="187" t="s">
        <v>1890</v>
      </c>
      <c r="K199" s="177"/>
      <c r="L199" s="177"/>
    </row>
    <row r="200" spans="1:12" ht="19" x14ac:dyDescent="0.2">
      <c r="A200" s="190"/>
      <c r="B200" s="191"/>
      <c r="C200" s="197"/>
      <c r="D200" s="193"/>
      <c r="E200" s="194"/>
      <c r="F200" s="195"/>
      <c r="G200" s="195"/>
      <c r="H200" s="195"/>
      <c r="I200" s="195">
        <v>35000</v>
      </c>
      <c r="J200" s="195" t="s">
        <v>1467</v>
      </c>
      <c r="K200" s="196"/>
      <c r="L200" s="196"/>
    </row>
    <row r="201" spans="1:12" ht="19" x14ac:dyDescent="0.2">
      <c r="A201" s="183"/>
      <c r="B201" s="184"/>
      <c r="C201" s="181"/>
      <c r="D201" s="186"/>
      <c r="E201" s="188"/>
      <c r="F201" s="187"/>
      <c r="G201" s="187"/>
      <c r="H201" s="187"/>
      <c r="I201" s="187">
        <v>100000</v>
      </c>
      <c r="J201" s="187" t="s">
        <v>1710</v>
      </c>
      <c r="K201" s="177"/>
      <c r="L201" s="177"/>
    </row>
    <row r="202" spans="1:12" ht="19" x14ac:dyDescent="0.2">
      <c r="A202" s="190"/>
      <c r="B202" s="191"/>
      <c r="C202" s="197"/>
      <c r="D202" s="193"/>
      <c r="E202" s="194"/>
      <c r="F202" s="195"/>
      <c r="G202" s="195"/>
      <c r="H202" s="195"/>
      <c r="I202" s="195"/>
      <c r="J202" s="195"/>
      <c r="K202" s="196"/>
      <c r="L202" s="196"/>
    </row>
    <row r="203" spans="1:12" ht="19" x14ac:dyDescent="0.2">
      <c r="A203" s="183">
        <v>1455000</v>
      </c>
      <c r="B203" s="184"/>
      <c r="C203" s="179" t="s">
        <v>10</v>
      </c>
      <c r="D203" s="186" t="s">
        <v>1891</v>
      </c>
      <c r="E203" s="188">
        <v>1175000</v>
      </c>
      <c r="F203" s="187">
        <v>280000</v>
      </c>
      <c r="G203" s="187"/>
      <c r="H203" s="187"/>
      <c r="I203" s="187"/>
      <c r="J203" s="187"/>
      <c r="K203" s="177"/>
      <c r="L203" s="177"/>
    </row>
    <row r="204" spans="1:12" ht="19" x14ac:dyDescent="0.2">
      <c r="A204" s="190"/>
      <c r="B204" s="191"/>
      <c r="C204" s="192"/>
      <c r="D204" s="193"/>
      <c r="E204" s="194"/>
      <c r="F204" s="195"/>
      <c r="G204" s="195"/>
      <c r="H204" s="195"/>
      <c r="I204" s="195"/>
      <c r="J204" s="195"/>
      <c r="K204" s="196"/>
      <c r="L204" s="196"/>
    </row>
    <row r="205" spans="1:12" ht="19" x14ac:dyDescent="0.2">
      <c r="A205" s="183">
        <v>2104000</v>
      </c>
      <c r="B205" s="184">
        <v>45100</v>
      </c>
      <c r="C205" s="178" t="s">
        <v>9</v>
      </c>
      <c r="D205" s="186" t="s">
        <v>405</v>
      </c>
      <c r="E205" s="188">
        <v>1081000</v>
      </c>
      <c r="F205" s="187">
        <v>1023000</v>
      </c>
      <c r="G205" s="187">
        <v>2540000</v>
      </c>
      <c r="H205" s="187" t="s">
        <v>812</v>
      </c>
      <c r="I205" s="187">
        <v>56000</v>
      </c>
      <c r="J205" s="187" t="s">
        <v>1681</v>
      </c>
      <c r="K205" s="177"/>
      <c r="L205" s="177"/>
    </row>
    <row r="206" spans="1:12" ht="19" x14ac:dyDescent="0.2">
      <c r="A206" s="190"/>
      <c r="B206" s="191"/>
      <c r="C206" s="197"/>
      <c r="D206" s="193"/>
      <c r="E206" s="194"/>
      <c r="F206" s="195"/>
      <c r="G206" s="195"/>
      <c r="H206" s="195"/>
      <c r="I206" s="195">
        <v>140000</v>
      </c>
      <c r="J206" s="195" t="s">
        <v>1892</v>
      </c>
      <c r="K206" s="196"/>
      <c r="L206" s="196"/>
    </row>
    <row r="207" spans="1:12" ht="19" x14ac:dyDescent="0.2">
      <c r="A207" s="183"/>
      <c r="B207" s="184"/>
      <c r="C207" s="179"/>
      <c r="D207" s="186"/>
      <c r="E207" s="188"/>
      <c r="F207" s="187"/>
      <c r="G207" s="187"/>
      <c r="H207" s="187"/>
      <c r="I207" s="187">
        <v>140000</v>
      </c>
      <c r="J207" s="187" t="s">
        <v>1893</v>
      </c>
      <c r="K207" s="177"/>
      <c r="L207" s="177"/>
    </row>
    <row r="208" spans="1:12" ht="19" x14ac:dyDescent="0.2">
      <c r="A208" s="190"/>
      <c r="B208" s="191"/>
      <c r="C208" s="192"/>
      <c r="D208" s="193"/>
      <c r="E208" s="194"/>
      <c r="F208" s="195"/>
      <c r="G208" s="195"/>
      <c r="H208" s="195"/>
      <c r="I208" s="195">
        <v>140000</v>
      </c>
      <c r="J208" s="195" t="s">
        <v>1894</v>
      </c>
      <c r="K208" s="196"/>
      <c r="L208" s="196"/>
    </row>
    <row r="209" spans="1:12" ht="19" x14ac:dyDescent="0.2">
      <c r="A209" s="183"/>
      <c r="B209" s="184"/>
      <c r="C209" s="182"/>
      <c r="D209" s="186"/>
      <c r="E209" s="188"/>
      <c r="F209" s="187"/>
      <c r="G209" s="187"/>
      <c r="H209" s="187"/>
      <c r="I209" s="187">
        <v>180000</v>
      </c>
      <c r="J209" s="187" t="s">
        <v>1639</v>
      </c>
      <c r="K209" s="177"/>
      <c r="L209" s="177"/>
    </row>
    <row r="210" spans="1:12" ht="19" x14ac:dyDescent="0.2">
      <c r="A210" s="190"/>
      <c r="B210" s="191"/>
      <c r="C210" s="201"/>
      <c r="D210" s="193"/>
      <c r="E210" s="194"/>
      <c r="F210" s="195"/>
      <c r="G210" s="195"/>
      <c r="H210" s="195"/>
      <c r="I210" s="195"/>
      <c r="J210" s="195"/>
      <c r="K210" s="196"/>
      <c r="L210" s="196"/>
    </row>
    <row r="211" spans="1:12" ht="19" x14ac:dyDescent="0.2">
      <c r="A211" s="183">
        <v>1318000</v>
      </c>
      <c r="B211" s="185"/>
      <c r="C211" s="181" t="s">
        <v>10</v>
      </c>
      <c r="D211" s="186" t="s">
        <v>685</v>
      </c>
      <c r="E211" s="188">
        <v>874000</v>
      </c>
      <c r="F211" s="187">
        <v>444000</v>
      </c>
      <c r="G211" s="187"/>
      <c r="H211" s="187"/>
      <c r="I211" s="187"/>
      <c r="J211" s="187"/>
      <c r="K211" s="177"/>
      <c r="L211" s="177"/>
    </row>
    <row r="212" spans="1:12" ht="19" x14ac:dyDescent="0.2">
      <c r="A212" s="190"/>
      <c r="B212" s="191"/>
      <c r="C212" s="192"/>
      <c r="D212" s="193"/>
      <c r="E212" s="194"/>
      <c r="F212" s="195"/>
      <c r="G212" s="195"/>
      <c r="H212" s="195"/>
      <c r="I212" s="195"/>
      <c r="J212" s="195"/>
      <c r="K212" s="196"/>
      <c r="L212" s="196"/>
    </row>
    <row r="213" spans="1:12" ht="19" x14ac:dyDescent="0.2">
      <c r="A213" s="183">
        <v>1766000</v>
      </c>
      <c r="B213" s="184">
        <v>45101</v>
      </c>
      <c r="C213" s="180" t="s">
        <v>9</v>
      </c>
      <c r="D213" s="186" t="s">
        <v>405</v>
      </c>
      <c r="E213" s="188">
        <v>1406000</v>
      </c>
      <c r="F213" s="187">
        <v>360000</v>
      </c>
      <c r="G213" s="187"/>
      <c r="H213" s="187"/>
      <c r="I213" s="187">
        <v>130000</v>
      </c>
      <c r="J213" s="187" t="s">
        <v>1895</v>
      </c>
      <c r="K213" s="177"/>
      <c r="L213" s="177"/>
    </row>
    <row r="214" spans="1:12" ht="19" x14ac:dyDescent="0.2">
      <c r="A214" s="190"/>
      <c r="B214" s="191"/>
      <c r="C214" s="192"/>
      <c r="D214" s="193"/>
      <c r="E214" s="194"/>
      <c r="F214" s="195"/>
      <c r="G214" s="195"/>
      <c r="H214" s="195"/>
      <c r="I214" s="195">
        <v>94500</v>
      </c>
      <c r="J214" s="195" t="s">
        <v>1896</v>
      </c>
      <c r="K214" s="196"/>
      <c r="L214" s="196"/>
    </row>
    <row r="215" spans="1:12" ht="19" x14ac:dyDescent="0.2">
      <c r="A215" s="183"/>
      <c r="B215" s="184"/>
      <c r="C215" s="180"/>
      <c r="D215" s="186"/>
      <c r="E215" s="188"/>
      <c r="F215" s="187"/>
      <c r="G215" s="187"/>
      <c r="H215" s="187"/>
      <c r="I215" s="187">
        <v>12000</v>
      </c>
      <c r="J215" s="187" t="s">
        <v>1662</v>
      </c>
      <c r="K215" s="177"/>
      <c r="L215" s="177"/>
    </row>
    <row r="216" spans="1:12" ht="19" x14ac:dyDescent="0.2">
      <c r="A216" s="190"/>
      <c r="B216" s="191"/>
      <c r="C216" s="192"/>
      <c r="D216" s="193"/>
      <c r="E216" s="194"/>
      <c r="F216" s="195"/>
      <c r="G216" s="195"/>
      <c r="H216" s="195"/>
      <c r="I216" s="195">
        <v>116500</v>
      </c>
      <c r="J216" s="195" t="s">
        <v>1739</v>
      </c>
      <c r="K216" s="196"/>
      <c r="L216" s="196"/>
    </row>
    <row r="217" spans="1:12" ht="19" x14ac:dyDescent="0.2">
      <c r="A217" s="190"/>
      <c r="B217" s="191"/>
      <c r="C217" s="192"/>
      <c r="D217" s="193"/>
      <c r="E217" s="194"/>
      <c r="F217" s="195"/>
      <c r="G217" s="195"/>
      <c r="H217" s="195"/>
      <c r="I217" s="195">
        <v>45000</v>
      </c>
      <c r="J217" s="195" t="s">
        <v>1897</v>
      </c>
      <c r="K217" s="196"/>
      <c r="L217" s="196"/>
    </row>
    <row r="218" spans="1:12" ht="19" x14ac:dyDescent="0.2">
      <c r="A218" s="183"/>
      <c r="B218" s="184"/>
      <c r="C218" s="180"/>
      <c r="D218" s="186"/>
      <c r="E218" s="188"/>
      <c r="F218" s="187"/>
      <c r="G218" s="187"/>
      <c r="H218" s="189"/>
      <c r="I218" s="187">
        <v>44500</v>
      </c>
      <c r="J218" s="187" t="s">
        <v>1872</v>
      </c>
      <c r="K218" s="177"/>
      <c r="L218" s="177"/>
    </row>
    <row r="219" spans="1:12" ht="19" x14ac:dyDescent="0.2">
      <c r="A219" s="190"/>
      <c r="B219" s="191"/>
      <c r="C219" s="192"/>
      <c r="D219" s="193"/>
      <c r="E219" s="194"/>
      <c r="F219" s="195"/>
      <c r="G219" s="195"/>
      <c r="H219" s="195"/>
      <c r="I219" s="195">
        <v>67000</v>
      </c>
      <c r="J219" s="195" t="s">
        <v>1738</v>
      </c>
      <c r="K219" s="196"/>
      <c r="L219" s="196"/>
    </row>
    <row r="220" spans="1:12" ht="19" x14ac:dyDescent="0.2">
      <c r="A220" s="183"/>
      <c r="B220" s="184"/>
      <c r="C220" s="180"/>
      <c r="D220" s="186"/>
      <c r="E220" s="188"/>
      <c r="F220" s="187"/>
      <c r="G220" s="187"/>
      <c r="H220" s="187"/>
      <c r="I220" s="187"/>
      <c r="J220" s="187"/>
      <c r="K220" s="177"/>
      <c r="L220" s="177"/>
    </row>
    <row r="221" spans="1:12" ht="19" x14ac:dyDescent="0.2">
      <c r="A221" s="190">
        <v>2093000</v>
      </c>
      <c r="B221" s="191"/>
      <c r="C221" s="192" t="s">
        <v>10</v>
      </c>
      <c r="D221" s="193" t="s">
        <v>565</v>
      </c>
      <c r="E221" s="194">
        <v>1487000</v>
      </c>
      <c r="F221" s="195">
        <v>606000</v>
      </c>
      <c r="G221" s="195"/>
      <c r="H221" s="195"/>
      <c r="I221" s="195">
        <v>38500</v>
      </c>
      <c r="J221" s="195" t="s">
        <v>1898</v>
      </c>
      <c r="K221" s="196"/>
      <c r="L221" s="196"/>
    </row>
    <row r="222" spans="1:12" ht="19" x14ac:dyDescent="0.2">
      <c r="A222" s="183"/>
      <c r="B222" s="184"/>
      <c r="C222" s="179"/>
      <c r="D222" s="186"/>
      <c r="E222" s="188"/>
      <c r="F222" s="187"/>
      <c r="G222" s="187"/>
      <c r="H222" s="187"/>
      <c r="I222" s="187">
        <v>50500</v>
      </c>
      <c r="J222" s="187" t="s">
        <v>1899</v>
      </c>
      <c r="K222" s="177"/>
      <c r="L222" s="177"/>
    </row>
    <row r="223" spans="1:12" ht="19" x14ac:dyDescent="0.2">
      <c r="A223" s="190"/>
      <c r="B223" s="191"/>
      <c r="C223" s="192"/>
      <c r="D223" s="193"/>
      <c r="E223" s="194"/>
      <c r="F223" s="195"/>
      <c r="G223" s="195"/>
      <c r="H223" s="195"/>
      <c r="I223" s="195">
        <v>26500</v>
      </c>
      <c r="J223" s="195" t="s">
        <v>1900</v>
      </c>
      <c r="K223" s="196"/>
      <c r="L223" s="196"/>
    </row>
    <row r="224" spans="1:12" ht="19" x14ac:dyDescent="0.2">
      <c r="A224" s="183"/>
      <c r="B224" s="184"/>
      <c r="C224" s="178"/>
      <c r="D224" s="186"/>
      <c r="E224" s="188"/>
      <c r="F224" s="187"/>
      <c r="G224" s="187"/>
      <c r="H224" s="187"/>
      <c r="I224" s="187">
        <v>48000</v>
      </c>
      <c r="J224" s="187" t="s">
        <v>1901</v>
      </c>
      <c r="K224" s="177"/>
      <c r="L224" s="177"/>
    </row>
    <row r="225" spans="1:12" ht="19" x14ac:dyDescent="0.2">
      <c r="A225" s="190"/>
      <c r="B225" s="191"/>
      <c r="C225" s="192"/>
      <c r="D225" s="193"/>
      <c r="E225" s="194"/>
      <c r="F225" s="195"/>
      <c r="G225" s="195"/>
      <c r="H225" s="195"/>
      <c r="I225" s="195">
        <v>8500</v>
      </c>
      <c r="J225" s="195" t="s">
        <v>1873</v>
      </c>
      <c r="K225" s="196"/>
      <c r="L225" s="196"/>
    </row>
    <row r="226" spans="1:12" ht="19" x14ac:dyDescent="0.2">
      <c r="A226" s="183"/>
      <c r="B226" s="184"/>
      <c r="C226" s="180"/>
      <c r="D226" s="186"/>
      <c r="E226" s="188"/>
      <c r="F226" s="187"/>
      <c r="G226" s="187"/>
      <c r="H226" s="187"/>
      <c r="I226" s="187">
        <v>78000</v>
      </c>
      <c r="J226" s="187" t="s">
        <v>1641</v>
      </c>
      <c r="K226" s="177"/>
      <c r="L226" s="177"/>
    </row>
    <row r="227" spans="1:12" ht="19" x14ac:dyDescent="0.2">
      <c r="A227" s="190"/>
      <c r="B227" s="191"/>
      <c r="C227" s="192"/>
      <c r="D227" s="193"/>
      <c r="E227" s="194"/>
      <c r="F227" s="195"/>
      <c r="G227" s="195"/>
      <c r="H227" s="195"/>
      <c r="I227" s="195">
        <v>240000</v>
      </c>
      <c r="J227" s="195" t="s">
        <v>1509</v>
      </c>
      <c r="K227" s="196"/>
      <c r="L227" s="196"/>
    </row>
    <row r="228" spans="1:12" ht="19" x14ac:dyDescent="0.2">
      <c r="A228" s="183"/>
      <c r="B228" s="184"/>
      <c r="C228" s="181"/>
      <c r="D228" s="186"/>
      <c r="E228" s="188"/>
      <c r="F228" s="187"/>
      <c r="G228" s="187"/>
      <c r="H228" s="187"/>
      <c r="I228" s="187">
        <v>50000</v>
      </c>
      <c r="J228" s="187" t="s">
        <v>123</v>
      </c>
      <c r="K228" s="177"/>
      <c r="L228" s="177"/>
    </row>
    <row r="229" spans="1:12" ht="19" x14ac:dyDescent="0.2">
      <c r="A229" s="190"/>
      <c r="B229" s="191"/>
      <c r="C229" s="192"/>
      <c r="D229" s="193"/>
      <c r="E229" s="194"/>
      <c r="F229" s="195"/>
      <c r="G229" s="195"/>
      <c r="H229" s="195"/>
      <c r="I229" s="195"/>
      <c r="J229" s="195"/>
      <c r="K229" s="196"/>
      <c r="L229" s="196"/>
    </row>
    <row r="230" spans="1:12" ht="19" x14ac:dyDescent="0.2">
      <c r="A230" s="183">
        <v>2007000</v>
      </c>
      <c r="B230" s="184">
        <v>45102</v>
      </c>
      <c r="C230" s="181" t="s">
        <v>9</v>
      </c>
      <c r="D230" s="186" t="s">
        <v>405</v>
      </c>
      <c r="E230" s="188">
        <v>1578000</v>
      </c>
      <c r="F230" s="187">
        <v>429000</v>
      </c>
      <c r="G230" s="187"/>
      <c r="H230" s="187"/>
      <c r="I230" s="187"/>
      <c r="J230" s="187"/>
      <c r="K230" s="177"/>
      <c r="L230" s="177"/>
    </row>
    <row r="231" spans="1:12" ht="19" x14ac:dyDescent="0.2">
      <c r="A231" s="190"/>
      <c r="B231" s="199"/>
      <c r="C231" s="192"/>
      <c r="D231" s="193"/>
      <c r="E231" s="194"/>
      <c r="F231" s="195"/>
      <c r="G231" s="195"/>
      <c r="H231" s="195"/>
      <c r="I231" s="195"/>
      <c r="J231" s="195"/>
      <c r="K231" s="196"/>
      <c r="L231" s="196"/>
    </row>
    <row r="232" spans="1:12" ht="19" x14ac:dyDescent="0.2">
      <c r="A232" s="183">
        <v>1425000</v>
      </c>
      <c r="B232" s="184"/>
      <c r="C232" s="180" t="s">
        <v>10</v>
      </c>
      <c r="D232" s="186" t="s">
        <v>685</v>
      </c>
      <c r="E232" s="188">
        <v>1093000</v>
      </c>
      <c r="F232" s="187">
        <v>332000</v>
      </c>
      <c r="G232" s="187"/>
      <c r="H232" s="187"/>
      <c r="I232" s="187">
        <v>140000</v>
      </c>
      <c r="J232" s="187" t="s">
        <v>881</v>
      </c>
      <c r="K232" s="177"/>
      <c r="L232" s="177"/>
    </row>
    <row r="233" spans="1:12" ht="19" x14ac:dyDescent="0.2">
      <c r="A233" s="190"/>
      <c r="B233" s="191"/>
      <c r="C233" s="192"/>
      <c r="D233" s="193"/>
      <c r="E233" s="194"/>
      <c r="F233" s="195"/>
      <c r="G233" s="195"/>
      <c r="H233" s="200"/>
      <c r="I233" s="195">
        <v>75000</v>
      </c>
      <c r="J233" s="195" t="s">
        <v>1902</v>
      </c>
      <c r="K233" s="196"/>
      <c r="L233" s="196"/>
    </row>
    <row r="234" spans="1:12" ht="19" x14ac:dyDescent="0.2">
      <c r="A234" s="183"/>
      <c r="B234" s="184"/>
      <c r="C234" s="180"/>
      <c r="D234" s="186"/>
      <c r="E234" s="188"/>
      <c r="F234" s="187"/>
      <c r="G234" s="187"/>
      <c r="H234" s="187"/>
      <c r="I234" s="187">
        <v>75000</v>
      </c>
      <c r="J234" s="187" t="s">
        <v>1903</v>
      </c>
      <c r="K234" s="177"/>
      <c r="L234" s="177"/>
    </row>
    <row r="235" spans="1:12" ht="19" x14ac:dyDescent="0.2">
      <c r="A235" s="190"/>
      <c r="B235" s="199"/>
      <c r="C235" s="198"/>
      <c r="D235" s="193"/>
      <c r="E235" s="194"/>
      <c r="F235" s="195"/>
      <c r="G235" s="195"/>
      <c r="H235" s="195"/>
      <c r="I235" s="195">
        <v>75000</v>
      </c>
      <c r="J235" s="195" t="s">
        <v>1904</v>
      </c>
      <c r="K235" s="196"/>
      <c r="L235" s="196"/>
    </row>
    <row r="236" spans="1:12" ht="19" x14ac:dyDescent="0.2">
      <c r="A236" s="183"/>
      <c r="B236" s="184"/>
      <c r="C236" s="181"/>
      <c r="D236" s="186"/>
      <c r="E236" s="188"/>
      <c r="F236" s="187"/>
      <c r="G236" s="187"/>
      <c r="H236" s="187"/>
      <c r="I236" s="187">
        <v>65000</v>
      </c>
      <c r="J236" s="187" t="s">
        <v>1905</v>
      </c>
      <c r="K236" s="177"/>
      <c r="L236" s="177"/>
    </row>
    <row r="237" spans="1:12" ht="19" x14ac:dyDescent="0.2">
      <c r="A237" s="190"/>
      <c r="B237" s="191"/>
      <c r="C237" s="201"/>
      <c r="D237" s="193"/>
      <c r="E237" s="195"/>
      <c r="F237" s="195"/>
      <c r="G237" s="195"/>
      <c r="H237" s="200"/>
      <c r="I237" s="195"/>
      <c r="J237" s="195"/>
      <c r="K237" s="196"/>
      <c r="L237" s="196"/>
    </row>
    <row r="238" spans="1:12" ht="19" x14ac:dyDescent="0.2">
      <c r="A238" s="183"/>
      <c r="B238" s="184"/>
      <c r="C238" s="179"/>
      <c r="D238" s="186"/>
      <c r="E238" s="188"/>
      <c r="F238" s="187"/>
      <c r="G238" s="187"/>
      <c r="H238" s="189"/>
      <c r="I238" s="187"/>
      <c r="J238" s="187"/>
      <c r="K238" s="177"/>
      <c r="L238" s="177"/>
    </row>
    <row r="239" spans="1:12" ht="19" x14ac:dyDescent="0.2">
      <c r="A239" s="190">
        <v>1851000</v>
      </c>
      <c r="B239" s="191">
        <v>45103</v>
      </c>
      <c r="C239" s="201" t="s">
        <v>9</v>
      </c>
      <c r="D239" s="193" t="s">
        <v>405</v>
      </c>
      <c r="E239" s="195">
        <v>1359000</v>
      </c>
      <c r="F239" s="195">
        <v>492000</v>
      </c>
      <c r="G239" s="195"/>
      <c r="H239" s="195"/>
      <c r="I239" s="195">
        <v>55000</v>
      </c>
      <c r="J239" s="195" t="s">
        <v>1449</v>
      </c>
      <c r="K239" s="196"/>
      <c r="L239" s="196"/>
    </row>
    <row r="240" spans="1:12" ht="19" x14ac:dyDescent="0.2">
      <c r="A240" s="183"/>
      <c r="B240" s="184"/>
      <c r="C240" s="179"/>
      <c r="D240" s="186"/>
      <c r="E240" s="188"/>
      <c r="F240" s="187"/>
      <c r="G240" s="187"/>
      <c r="H240" s="187"/>
      <c r="I240" s="187">
        <v>144000</v>
      </c>
      <c r="J240" s="187" t="s">
        <v>1245</v>
      </c>
      <c r="K240" s="177"/>
      <c r="L240" s="177"/>
    </row>
    <row r="241" spans="1:12" ht="19" x14ac:dyDescent="0.2">
      <c r="A241" s="190"/>
      <c r="B241" s="191"/>
      <c r="C241" s="198"/>
      <c r="D241" s="193"/>
      <c r="E241" s="194"/>
      <c r="F241" s="195"/>
      <c r="G241" s="195"/>
      <c r="H241" s="195"/>
      <c r="I241" s="195">
        <v>56000</v>
      </c>
      <c r="J241" s="195" t="s">
        <v>1448</v>
      </c>
      <c r="K241" s="196"/>
      <c r="L241" s="196"/>
    </row>
    <row r="242" spans="1:12" ht="19" x14ac:dyDescent="0.2">
      <c r="A242" s="183"/>
      <c r="B242" s="184"/>
      <c r="C242" s="179"/>
      <c r="D242" s="186"/>
      <c r="E242" s="188"/>
      <c r="F242" s="187"/>
      <c r="G242" s="187"/>
      <c r="H242" s="187"/>
      <c r="I242" s="187">
        <v>80000</v>
      </c>
      <c r="J242" s="187" t="s">
        <v>1597</v>
      </c>
      <c r="K242" s="177"/>
      <c r="L242" s="177"/>
    </row>
    <row r="243" spans="1:12" ht="19" x14ac:dyDescent="0.2">
      <c r="A243" s="190"/>
      <c r="B243" s="191"/>
      <c r="C243" s="198"/>
      <c r="D243" s="193"/>
      <c r="E243" s="194"/>
      <c r="F243" s="195"/>
      <c r="G243" s="195"/>
      <c r="H243" s="195"/>
      <c r="I243" s="195"/>
      <c r="J243" s="195"/>
      <c r="K243" s="196"/>
      <c r="L243" s="196"/>
    </row>
    <row r="244" spans="1:12" ht="19" x14ac:dyDescent="0.2">
      <c r="A244" s="183">
        <v>2603000</v>
      </c>
      <c r="B244" s="184"/>
      <c r="C244" s="179" t="s">
        <v>10</v>
      </c>
      <c r="D244" s="186" t="s">
        <v>685</v>
      </c>
      <c r="E244" s="188">
        <v>1675000</v>
      </c>
      <c r="F244" s="187">
        <v>928000</v>
      </c>
      <c r="G244" s="187"/>
      <c r="H244" s="187"/>
      <c r="I244" s="187">
        <v>200000</v>
      </c>
      <c r="J244" s="187" t="s">
        <v>1614</v>
      </c>
      <c r="K244" s="177"/>
      <c r="L244" s="177"/>
    </row>
    <row r="245" spans="1:12" ht="19" x14ac:dyDescent="0.2">
      <c r="A245" s="190"/>
      <c r="B245" s="191"/>
      <c r="C245" s="198"/>
      <c r="D245" s="193"/>
      <c r="E245" s="194"/>
      <c r="F245" s="195"/>
      <c r="G245" s="195"/>
      <c r="H245" s="195"/>
      <c r="I245" s="195">
        <v>35000</v>
      </c>
      <c r="J245" s="195" t="s">
        <v>1467</v>
      </c>
      <c r="K245" s="196"/>
      <c r="L245" s="196"/>
    </row>
    <row r="246" spans="1:12" ht="19" x14ac:dyDescent="0.2">
      <c r="A246" s="183"/>
      <c r="B246" s="184"/>
      <c r="C246" s="179"/>
      <c r="D246" s="186"/>
      <c r="E246" s="188"/>
      <c r="F246" s="187"/>
      <c r="G246" s="187"/>
      <c r="H246" s="187"/>
      <c r="I246" s="187">
        <v>100000</v>
      </c>
      <c r="J246" s="187" t="s">
        <v>1710</v>
      </c>
      <c r="K246" s="177"/>
      <c r="L246" s="177"/>
    </row>
    <row r="247" spans="1:12" ht="19" x14ac:dyDescent="0.2">
      <c r="A247" s="190"/>
      <c r="B247" s="191"/>
      <c r="C247" s="198"/>
      <c r="D247" s="193"/>
      <c r="E247" s="194"/>
      <c r="F247" s="195"/>
      <c r="G247" s="195"/>
      <c r="H247" s="195"/>
      <c r="I247" s="195"/>
      <c r="J247" s="195"/>
      <c r="K247" s="196"/>
      <c r="L247" s="196"/>
    </row>
    <row r="248" spans="1:12" ht="19" x14ac:dyDescent="0.2">
      <c r="A248" s="183">
        <v>1600000</v>
      </c>
      <c r="B248" s="184">
        <v>45104</v>
      </c>
      <c r="C248" s="179" t="s">
        <v>9</v>
      </c>
      <c r="D248" s="186" t="s">
        <v>405</v>
      </c>
      <c r="E248" s="188">
        <v>1233000</v>
      </c>
      <c r="F248" s="187">
        <v>367000</v>
      </c>
      <c r="G248" s="187"/>
      <c r="H248" s="187"/>
      <c r="I248" s="187">
        <v>78000</v>
      </c>
      <c r="J248" s="187" t="s">
        <v>1641</v>
      </c>
      <c r="K248" s="177"/>
      <c r="L248" s="177"/>
    </row>
    <row r="249" spans="1:12" ht="19" x14ac:dyDescent="0.2">
      <c r="A249" s="190"/>
      <c r="B249" s="191"/>
      <c r="C249" s="198"/>
      <c r="D249" s="193"/>
      <c r="E249" s="194"/>
      <c r="F249" s="195"/>
      <c r="G249" s="195"/>
      <c r="H249" s="195"/>
      <c r="I249" s="195">
        <v>50000</v>
      </c>
      <c r="J249" s="195" t="s">
        <v>1449</v>
      </c>
      <c r="K249" s="196"/>
      <c r="L249" s="196"/>
    </row>
    <row r="250" spans="1:12" ht="19" x14ac:dyDescent="0.2">
      <c r="A250" s="183"/>
      <c r="B250" s="184"/>
      <c r="C250" s="179"/>
      <c r="D250" s="186"/>
      <c r="E250" s="188"/>
      <c r="F250" s="187"/>
      <c r="G250" s="187"/>
      <c r="H250" s="187"/>
      <c r="I250" s="187">
        <v>260000</v>
      </c>
      <c r="J250" s="187" t="s">
        <v>1696</v>
      </c>
      <c r="K250" s="177"/>
      <c r="L250" s="177"/>
    </row>
    <row r="251" spans="1:12" ht="19" x14ac:dyDescent="0.2">
      <c r="A251" s="190"/>
      <c r="B251" s="191"/>
      <c r="C251" s="198"/>
      <c r="D251" s="193"/>
      <c r="E251" s="194"/>
      <c r="F251" s="195"/>
      <c r="G251" s="195"/>
      <c r="H251" s="195"/>
      <c r="I251" s="195">
        <v>280000</v>
      </c>
      <c r="J251" s="195" t="s">
        <v>1906</v>
      </c>
      <c r="K251" s="196"/>
      <c r="L251" s="196"/>
    </row>
    <row r="252" spans="1:12" ht="19" x14ac:dyDescent="0.2">
      <c r="A252" s="183"/>
      <c r="B252" s="184"/>
      <c r="C252" s="179"/>
      <c r="D252" s="186"/>
      <c r="E252" s="188"/>
      <c r="F252" s="187"/>
      <c r="G252" s="187"/>
      <c r="H252" s="187"/>
      <c r="I252" s="187"/>
      <c r="J252" s="187"/>
      <c r="K252" s="177"/>
      <c r="L252" s="177"/>
    </row>
    <row r="253" spans="1:12" ht="19" x14ac:dyDescent="0.2">
      <c r="A253" s="190">
        <v>1596000</v>
      </c>
      <c r="B253" s="191"/>
      <c r="C253" s="198" t="s">
        <v>10</v>
      </c>
      <c r="D253" s="193" t="s">
        <v>685</v>
      </c>
      <c r="E253" s="194">
        <v>1167000</v>
      </c>
      <c r="F253" s="195">
        <v>429000</v>
      </c>
      <c r="G253" s="195">
        <v>1650000</v>
      </c>
      <c r="H253" s="195" t="s">
        <v>1917</v>
      </c>
      <c r="I253" s="195"/>
      <c r="J253" s="195"/>
      <c r="K253" s="196"/>
      <c r="L253" s="196"/>
    </row>
    <row r="254" spans="1:12" ht="19" x14ac:dyDescent="0.2">
      <c r="A254" s="183"/>
      <c r="B254" s="184"/>
      <c r="C254" s="179"/>
      <c r="D254" s="186"/>
      <c r="E254" s="188"/>
      <c r="F254" s="187"/>
      <c r="G254" s="187"/>
      <c r="H254" s="187"/>
      <c r="I254" s="187"/>
      <c r="J254" s="187"/>
      <c r="K254" s="177"/>
      <c r="L254" s="177"/>
    </row>
    <row r="255" spans="1:12" ht="19" x14ac:dyDescent="0.2">
      <c r="A255" s="190">
        <v>2306000</v>
      </c>
      <c r="B255" s="191">
        <v>45105</v>
      </c>
      <c r="C255" s="198" t="s">
        <v>9</v>
      </c>
      <c r="D255" s="193" t="s">
        <v>565</v>
      </c>
      <c r="E255" s="194">
        <v>1797000</v>
      </c>
      <c r="F255" s="195">
        <v>509000</v>
      </c>
      <c r="G255" s="195"/>
      <c r="H255" s="195"/>
      <c r="I255" s="195">
        <v>55500</v>
      </c>
      <c r="J255" s="195" t="s">
        <v>1907</v>
      </c>
      <c r="K255" s="196"/>
      <c r="L255" s="196"/>
    </row>
    <row r="256" spans="1:12" ht="19" x14ac:dyDescent="0.2">
      <c r="A256" s="183"/>
      <c r="B256" s="184"/>
      <c r="C256" s="179"/>
      <c r="D256" s="186"/>
      <c r="E256" s="188"/>
      <c r="F256" s="187"/>
      <c r="G256" s="187"/>
      <c r="H256" s="187"/>
      <c r="I256" s="187">
        <v>83000</v>
      </c>
      <c r="J256" s="187" t="s">
        <v>1908</v>
      </c>
      <c r="K256" s="177"/>
      <c r="L256" s="177"/>
    </row>
    <row r="257" spans="1:12" ht="19" x14ac:dyDescent="0.2">
      <c r="A257" s="190"/>
      <c r="B257" s="191"/>
      <c r="C257" s="198"/>
      <c r="D257" s="193"/>
      <c r="E257" s="194"/>
      <c r="F257" s="195"/>
      <c r="G257" s="195"/>
      <c r="H257" s="195"/>
      <c r="I257" s="195">
        <v>24000</v>
      </c>
      <c r="J257" s="195" t="s">
        <v>1909</v>
      </c>
      <c r="K257" s="196"/>
      <c r="L257" s="196"/>
    </row>
    <row r="258" spans="1:12" ht="19" x14ac:dyDescent="0.2">
      <c r="A258" s="183"/>
      <c r="B258" s="184"/>
      <c r="C258" s="179"/>
      <c r="D258" s="186"/>
      <c r="E258" s="188"/>
      <c r="F258" s="187"/>
      <c r="G258" s="187"/>
      <c r="H258" s="187"/>
      <c r="I258" s="187">
        <v>5000</v>
      </c>
      <c r="J258" s="187" t="s">
        <v>1840</v>
      </c>
      <c r="K258" s="177"/>
      <c r="L258" s="177"/>
    </row>
    <row r="259" spans="1:12" ht="19" x14ac:dyDescent="0.2">
      <c r="A259" s="190"/>
      <c r="B259" s="191"/>
      <c r="C259" s="198"/>
      <c r="D259" s="193"/>
      <c r="E259" s="194"/>
      <c r="F259" s="195"/>
      <c r="G259" s="195"/>
      <c r="H259" s="195"/>
      <c r="I259" s="195"/>
      <c r="J259" s="195"/>
      <c r="K259" s="196"/>
      <c r="L259" s="196"/>
    </row>
    <row r="260" spans="1:12" ht="19" x14ac:dyDescent="0.2">
      <c r="A260" s="183">
        <v>1645000</v>
      </c>
      <c r="B260" s="184"/>
      <c r="C260" s="179" t="s">
        <v>10</v>
      </c>
      <c r="D260" s="186" t="s">
        <v>685</v>
      </c>
      <c r="E260" s="188">
        <v>974000</v>
      </c>
      <c r="F260" s="187">
        <v>671000</v>
      </c>
      <c r="G260" s="187"/>
      <c r="H260" s="187"/>
      <c r="I260" s="187">
        <v>83000</v>
      </c>
      <c r="J260" s="187" t="s">
        <v>1910</v>
      </c>
      <c r="K260" s="177"/>
      <c r="L260" s="177"/>
    </row>
    <row r="261" spans="1:12" ht="19" x14ac:dyDescent="0.2">
      <c r="A261" s="190"/>
      <c r="B261" s="191"/>
      <c r="C261" s="198"/>
      <c r="D261" s="193"/>
      <c r="E261" s="194"/>
      <c r="F261" s="195"/>
      <c r="G261" s="195"/>
      <c r="H261" s="195"/>
      <c r="I261" s="195">
        <v>96000</v>
      </c>
      <c r="J261" s="195" t="s">
        <v>1595</v>
      </c>
      <c r="K261" s="196"/>
      <c r="L261" s="196"/>
    </row>
    <row r="262" spans="1:12" ht="19" x14ac:dyDescent="0.2">
      <c r="A262" s="183">
        <v>1267000</v>
      </c>
      <c r="B262" s="184">
        <v>45106</v>
      </c>
      <c r="C262" s="179" t="s">
        <v>9</v>
      </c>
      <c r="D262" s="186" t="s">
        <v>405</v>
      </c>
      <c r="E262" s="188">
        <v>1006000</v>
      </c>
      <c r="F262" s="187">
        <v>261000</v>
      </c>
      <c r="G262" s="187"/>
      <c r="H262" s="187"/>
      <c r="I262" s="187">
        <v>78000</v>
      </c>
      <c r="J262" s="187" t="s">
        <v>1641</v>
      </c>
      <c r="K262" s="177"/>
      <c r="L262" s="177"/>
    </row>
    <row r="263" spans="1:12" ht="19" x14ac:dyDescent="0.2">
      <c r="A263" s="190"/>
      <c r="B263" s="191"/>
      <c r="C263" s="198"/>
      <c r="D263" s="193"/>
      <c r="E263" s="194"/>
      <c r="F263" s="195"/>
      <c r="G263" s="195"/>
      <c r="H263" s="195"/>
      <c r="I263" s="195">
        <v>90000</v>
      </c>
      <c r="J263" s="195" t="s">
        <v>1911</v>
      </c>
      <c r="K263" s="196"/>
      <c r="L263" s="196"/>
    </row>
    <row r="264" spans="1:12" ht="19" x14ac:dyDescent="0.2">
      <c r="A264" s="183"/>
      <c r="B264" s="184"/>
      <c r="C264" s="179"/>
      <c r="D264" s="186"/>
      <c r="E264" s="188"/>
      <c r="F264" s="187"/>
      <c r="G264" s="187"/>
      <c r="H264" s="187"/>
      <c r="I264" s="187"/>
      <c r="J264" s="187"/>
      <c r="K264" s="177"/>
      <c r="L264" s="177"/>
    </row>
    <row r="265" spans="1:12" ht="19" x14ac:dyDescent="0.2">
      <c r="A265" s="190">
        <v>1688000</v>
      </c>
      <c r="B265" s="191"/>
      <c r="C265" s="198" t="s">
        <v>10</v>
      </c>
      <c r="D265" s="193" t="s">
        <v>565</v>
      </c>
      <c r="E265" s="194">
        <v>1147000</v>
      </c>
      <c r="F265" s="195">
        <v>541000</v>
      </c>
      <c r="G265" s="195">
        <v>250000</v>
      </c>
      <c r="H265" s="195" t="s">
        <v>1918</v>
      </c>
      <c r="I265" s="195">
        <v>50000</v>
      </c>
      <c r="J265" s="195" t="s">
        <v>1449</v>
      </c>
      <c r="K265" s="196"/>
      <c r="L265" s="196"/>
    </row>
    <row r="266" spans="1:12" ht="19" x14ac:dyDescent="0.2">
      <c r="A266" s="183"/>
      <c r="B266" s="184"/>
      <c r="C266" s="179"/>
      <c r="D266" s="186"/>
      <c r="E266" s="188"/>
      <c r="F266" s="187"/>
      <c r="G266" s="187">
        <v>2540000</v>
      </c>
      <c r="H266" s="187" t="s">
        <v>812</v>
      </c>
      <c r="I266" s="187">
        <v>132000</v>
      </c>
      <c r="J266" s="187" t="s">
        <v>1912</v>
      </c>
      <c r="K266" s="177"/>
      <c r="L266" s="177"/>
    </row>
    <row r="267" spans="1:12" ht="19" x14ac:dyDescent="0.2">
      <c r="A267" s="190"/>
      <c r="B267" s="191"/>
      <c r="C267" s="198"/>
      <c r="D267" s="193"/>
      <c r="E267" s="194"/>
      <c r="F267" s="195"/>
      <c r="G267" s="195"/>
      <c r="H267" s="195"/>
      <c r="I267" s="195"/>
      <c r="J267" s="195"/>
      <c r="K267" s="196"/>
      <c r="L267" s="196"/>
    </row>
    <row r="268" spans="1:12" ht="19" x14ac:dyDescent="0.2">
      <c r="A268" s="183">
        <v>1281000</v>
      </c>
      <c r="B268" s="184">
        <v>45107</v>
      </c>
      <c r="C268" s="179" t="s">
        <v>9</v>
      </c>
      <c r="D268" s="186" t="s">
        <v>405</v>
      </c>
      <c r="E268" s="188">
        <v>990000</v>
      </c>
      <c r="F268" s="187">
        <v>291000</v>
      </c>
      <c r="G268" s="187">
        <v>1800000</v>
      </c>
      <c r="H268" s="187" t="s">
        <v>1698</v>
      </c>
      <c r="I268" s="187">
        <v>29000</v>
      </c>
      <c r="J268" s="187" t="s">
        <v>1913</v>
      </c>
      <c r="K268" s="177"/>
      <c r="L268" s="177"/>
    </row>
    <row r="269" spans="1:12" ht="19" x14ac:dyDescent="0.2">
      <c r="A269" s="190"/>
      <c r="B269" s="191"/>
      <c r="C269" s="198"/>
      <c r="D269" s="193"/>
      <c r="E269" s="194"/>
      <c r="F269" s="195"/>
      <c r="G269" s="195"/>
      <c r="H269" s="195"/>
      <c r="I269" s="195">
        <v>5000</v>
      </c>
      <c r="J269" s="195" t="s">
        <v>1734</v>
      </c>
      <c r="K269" s="196"/>
      <c r="L269" s="196"/>
    </row>
    <row r="270" spans="1:12" ht="32" x14ac:dyDescent="0.2">
      <c r="A270" s="183">
        <v>1612000</v>
      </c>
      <c r="B270" s="184"/>
      <c r="C270" s="179" t="s">
        <v>10</v>
      </c>
      <c r="D270" s="186" t="s">
        <v>565</v>
      </c>
      <c r="E270" s="188">
        <v>1128000</v>
      </c>
      <c r="F270" s="187">
        <v>484000</v>
      </c>
      <c r="G270" s="187">
        <v>2132000</v>
      </c>
      <c r="H270" s="189" t="s">
        <v>1914</v>
      </c>
      <c r="I270" s="187"/>
      <c r="J270" s="187"/>
      <c r="K270" s="177"/>
      <c r="L270" s="177"/>
    </row>
    <row r="271" spans="1:12" ht="19" x14ac:dyDescent="0.2">
      <c r="A271" s="190"/>
      <c r="B271" s="191"/>
      <c r="C271" s="198"/>
      <c r="D271" s="193"/>
      <c r="E271" s="194"/>
      <c r="F271" s="195"/>
      <c r="G271" s="195">
        <v>1000000</v>
      </c>
      <c r="H271" s="195" t="s">
        <v>717</v>
      </c>
      <c r="I271" s="195"/>
      <c r="J271" s="195"/>
      <c r="K271" s="196"/>
      <c r="L271" s="196"/>
    </row>
    <row r="272" spans="1:12" ht="19" x14ac:dyDescent="0.2">
      <c r="A272" s="183"/>
      <c r="B272" s="184"/>
      <c r="C272" s="179"/>
      <c r="D272" s="186"/>
      <c r="E272" s="188"/>
      <c r="F272" s="187"/>
      <c r="G272" s="187"/>
      <c r="H272" s="187"/>
      <c r="I272" s="187"/>
      <c r="J272" s="187"/>
      <c r="K272" s="177"/>
      <c r="L272" s="177"/>
    </row>
    <row r="273" spans="1:12" ht="19" x14ac:dyDescent="0.2">
      <c r="A273" s="190"/>
      <c r="B273" s="191"/>
      <c r="C273" s="198"/>
      <c r="D273" s="193"/>
      <c r="E273" s="194"/>
      <c r="F273" s="195"/>
      <c r="G273" s="195"/>
      <c r="H273" s="195"/>
      <c r="I273" s="195"/>
      <c r="J273" s="195"/>
      <c r="K273" s="196"/>
      <c r="L273" s="196"/>
    </row>
  </sheetData>
  <mergeCells count="1">
    <mergeCell ref="F4:G4"/>
  </mergeCells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63"/>
  <sheetViews>
    <sheetView zoomScale="96" zoomScaleNormal="96" workbookViewId="0">
      <selection activeCell="M33" sqref="M33"/>
    </sheetView>
  </sheetViews>
  <sheetFormatPr baseColWidth="10" defaultColWidth="11.5" defaultRowHeight="15" x14ac:dyDescent="0.2"/>
  <cols>
    <col min="1" max="1" width="21.83203125" bestFit="1" customWidth="1"/>
    <col min="3" max="3" width="13.83203125" customWidth="1"/>
    <col min="5" max="7" width="20.33203125" bestFit="1" customWidth="1"/>
    <col min="8" max="8" width="33.1640625" customWidth="1"/>
    <col min="9" max="9" width="20.33203125" bestFit="1" customWidth="1"/>
    <col min="10" max="10" width="29" bestFit="1" customWidth="1"/>
  </cols>
  <sheetData>
    <row r="1" spans="1:13" x14ac:dyDescent="0.2">
      <c r="A1" t="s">
        <v>1926</v>
      </c>
    </row>
    <row r="3" spans="1:13" ht="21" x14ac:dyDescent="0.2">
      <c r="G3" s="73"/>
      <c r="H3" s="71" t="s">
        <v>174</v>
      </c>
      <c r="I3" s="71"/>
    </row>
    <row r="4" spans="1:13" ht="21" x14ac:dyDescent="0.2">
      <c r="F4" s="306" t="s">
        <v>1393</v>
      </c>
      <c r="G4" s="307"/>
      <c r="H4" s="71" t="s">
        <v>175</v>
      </c>
      <c r="I4" s="71">
        <v>29864800</v>
      </c>
      <c r="J4" s="72">
        <f>I4/10820</f>
        <v>2760.1478743068392</v>
      </c>
    </row>
    <row r="5" spans="1:13" ht="24" x14ac:dyDescent="0.3">
      <c r="B5" s="99" t="s">
        <v>2057</v>
      </c>
      <c r="G5" s="73"/>
      <c r="H5" s="71" t="s">
        <v>176</v>
      </c>
      <c r="I5" s="71">
        <v>12799200</v>
      </c>
      <c r="J5" s="72">
        <f>I5/10820</f>
        <v>1182.9205175600739</v>
      </c>
    </row>
    <row r="6" spans="1:13" ht="24" x14ac:dyDescent="0.3">
      <c r="B6" s="99"/>
      <c r="G6" s="73"/>
      <c r="H6" s="71" t="s">
        <v>178</v>
      </c>
      <c r="I6" s="71">
        <v>11292961</v>
      </c>
      <c r="J6" s="72" t="s">
        <v>2059</v>
      </c>
      <c r="L6" s="85"/>
      <c r="M6" s="85"/>
    </row>
    <row r="7" spans="1:13" ht="26" x14ac:dyDescent="0.3">
      <c r="B7" s="100" t="s">
        <v>2058</v>
      </c>
    </row>
    <row r="9" spans="1:13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3" ht="21" x14ac:dyDescent="0.2">
      <c r="A10" s="69">
        <f>SUM(A11:A281)</f>
        <v>104493000</v>
      </c>
      <c r="B10" s="65"/>
      <c r="C10" s="66" t="s">
        <v>13</v>
      </c>
      <c r="D10" s="67"/>
      <c r="E10" s="68">
        <f>SUM(E11:E281)</f>
        <v>76666000</v>
      </c>
      <c r="F10" s="69">
        <f>SUM(F11:F281)</f>
        <v>27827000</v>
      </c>
      <c r="G10" s="69">
        <f>SUM(G11:G281)</f>
        <v>26234000</v>
      </c>
      <c r="H10" s="69"/>
      <c r="I10" s="69">
        <f>SUM(I11:I281)</f>
        <v>19772000</v>
      </c>
      <c r="J10" s="69"/>
    </row>
    <row r="11" spans="1:13" ht="19" x14ac:dyDescent="0.2">
      <c r="A11" s="144">
        <v>1279000</v>
      </c>
      <c r="B11" s="145">
        <v>45108</v>
      </c>
      <c r="C11" s="146" t="s">
        <v>9</v>
      </c>
      <c r="D11" s="147" t="s">
        <v>405</v>
      </c>
      <c r="E11" s="139">
        <v>1027000</v>
      </c>
      <c r="F11" s="139">
        <v>252000</v>
      </c>
      <c r="G11" s="139">
        <v>417000</v>
      </c>
      <c r="H11" s="139" t="s">
        <v>2054</v>
      </c>
      <c r="I11" s="139">
        <v>144000</v>
      </c>
      <c r="J11" s="139" t="s">
        <v>1245</v>
      </c>
    </row>
    <row r="12" spans="1:13" ht="19" x14ac:dyDescent="0.2">
      <c r="A12" s="202"/>
      <c r="B12" s="32"/>
      <c r="C12" s="49"/>
      <c r="D12" s="13"/>
      <c r="E12" s="15"/>
      <c r="F12" s="9"/>
      <c r="G12" s="9"/>
      <c r="H12" s="9"/>
      <c r="I12" s="9">
        <v>52000</v>
      </c>
      <c r="J12" s="9" t="s">
        <v>1566</v>
      </c>
    </row>
    <row r="13" spans="1:13" ht="19" x14ac:dyDescent="0.2">
      <c r="A13" s="144"/>
      <c r="B13" s="145"/>
      <c r="C13" s="149"/>
      <c r="D13" s="147"/>
      <c r="E13" s="150"/>
      <c r="F13" s="139"/>
      <c r="G13" s="139"/>
      <c r="H13" s="139"/>
      <c r="I13" s="139">
        <v>80000</v>
      </c>
      <c r="J13" s="139" t="s">
        <v>1597</v>
      </c>
    </row>
    <row r="14" spans="1:13" ht="19" x14ac:dyDescent="0.2">
      <c r="A14" s="202"/>
      <c r="B14" s="32"/>
      <c r="C14" s="49"/>
      <c r="D14" s="13"/>
      <c r="E14" s="15"/>
      <c r="F14" s="9"/>
      <c r="G14" s="9"/>
      <c r="H14" s="9"/>
      <c r="I14" s="9">
        <v>100000</v>
      </c>
      <c r="J14" s="9" t="s">
        <v>1710</v>
      </c>
    </row>
    <row r="15" spans="1:13" ht="19" x14ac:dyDescent="0.2">
      <c r="A15" s="144"/>
      <c r="B15" s="145"/>
      <c r="C15" s="151"/>
      <c r="D15" s="147"/>
      <c r="E15" s="150"/>
      <c r="F15" s="139"/>
      <c r="G15" s="152"/>
      <c r="H15" s="152"/>
      <c r="I15" s="139">
        <v>200000</v>
      </c>
      <c r="J15" s="139" t="s">
        <v>1614</v>
      </c>
    </row>
    <row r="16" spans="1:13" ht="19" x14ac:dyDescent="0.2">
      <c r="A16" s="202"/>
      <c r="B16" s="32"/>
      <c r="C16" s="35"/>
      <c r="D16" s="13"/>
      <c r="E16" s="15"/>
      <c r="F16" s="9"/>
      <c r="G16" s="135"/>
      <c r="H16" s="135"/>
      <c r="I16" s="9">
        <v>14000</v>
      </c>
      <c r="J16" s="9" t="s">
        <v>1853</v>
      </c>
    </row>
    <row r="17" spans="1:10" ht="19" x14ac:dyDescent="0.2">
      <c r="A17" s="144"/>
      <c r="B17" s="145"/>
      <c r="C17" s="151"/>
      <c r="D17" s="147"/>
      <c r="E17" s="150"/>
      <c r="F17" s="139"/>
      <c r="G17" s="139"/>
      <c r="H17" s="139"/>
      <c r="I17" s="139"/>
      <c r="J17" s="139"/>
    </row>
    <row r="18" spans="1:10" ht="19" x14ac:dyDescent="0.2">
      <c r="A18" s="202">
        <v>958000</v>
      </c>
      <c r="B18" s="32"/>
      <c r="C18" s="35" t="s">
        <v>10</v>
      </c>
      <c r="D18" s="13" t="s">
        <v>565</v>
      </c>
      <c r="E18" s="15">
        <v>863000</v>
      </c>
      <c r="F18" s="9">
        <v>95000</v>
      </c>
      <c r="G18" s="9"/>
      <c r="H18" s="9"/>
      <c r="I18" s="9">
        <v>50000</v>
      </c>
      <c r="J18" s="9" t="s">
        <v>123</v>
      </c>
    </row>
    <row r="19" spans="1:10" ht="19" x14ac:dyDescent="0.2">
      <c r="A19" s="144"/>
      <c r="B19" s="145">
        <v>45109</v>
      </c>
      <c r="C19" s="151"/>
      <c r="D19" s="147"/>
      <c r="E19" s="150"/>
      <c r="F19" s="139"/>
      <c r="G19" s="157"/>
      <c r="H19" s="157" t="s">
        <v>1721</v>
      </c>
      <c r="I19" s="139"/>
      <c r="J19" s="139"/>
    </row>
    <row r="20" spans="1:10" ht="19" x14ac:dyDescent="0.2">
      <c r="A20" s="143">
        <v>2266000</v>
      </c>
      <c r="B20" s="153">
        <v>45110</v>
      </c>
      <c r="C20" s="163" t="s">
        <v>9</v>
      </c>
      <c r="D20" s="155" t="s">
        <v>405</v>
      </c>
      <c r="E20" s="164">
        <v>1575000</v>
      </c>
      <c r="F20" s="119">
        <v>691000</v>
      </c>
      <c r="G20" s="119"/>
      <c r="H20" s="119"/>
      <c r="I20" s="119">
        <v>260000</v>
      </c>
      <c r="J20" s="119" t="s">
        <v>1927</v>
      </c>
    </row>
    <row r="21" spans="1:10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168000</v>
      </c>
      <c r="J21" s="139" t="s">
        <v>1838</v>
      </c>
    </row>
    <row r="22" spans="1:10" ht="19" x14ac:dyDescent="0.2">
      <c r="A22" s="202"/>
      <c r="B22" s="32"/>
      <c r="C22" s="35"/>
      <c r="D22" s="13"/>
      <c r="E22" s="15"/>
      <c r="F22" s="9"/>
      <c r="G22" s="9"/>
      <c r="H22" s="9"/>
      <c r="I22" s="9">
        <v>275000</v>
      </c>
      <c r="J22" s="9" t="s">
        <v>1928</v>
      </c>
    </row>
    <row r="23" spans="1:10" ht="19" x14ac:dyDescent="0.2">
      <c r="A23" s="144">
        <v>1911000</v>
      </c>
      <c r="B23" s="145"/>
      <c r="C23" s="149" t="s">
        <v>10</v>
      </c>
      <c r="D23" s="147" t="s">
        <v>565</v>
      </c>
      <c r="E23" s="150">
        <v>1664000</v>
      </c>
      <c r="F23" s="139">
        <v>247000</v>
      </c>
      <c r="G23" s="139"/>
      <c r="H23" s="139"/>
      <c r="I23" s="139">
        <v>67000</v>
      </c>
      <c r="J23" s="139" t="s">
        <v>1738</v>
      </c>
    </row>
    <row r="24" spans="1:10" ht="19" x14ac:dyDescent="0.2">
      <c r="A24" s="202"/>
      <c r="B24" s="32"/>
      <c r="C24" s="49"/>
      <c r="D24" s="13"/>
      <c r="E24" s="15"/>
      <c r="F24" s="9"/>
      <c r="G24" s="9"/>
      <c r="H24" s="9"/>
      <c r="I24" s="9">
        <v>67000</v>
      </c>
      <c r="J24" s="9" t="s">
        <v>1929</v>
      </c>
    </row>
    <row r="25" spans="1:10" ht="19" x14ac:dyDescent="0.2">
      <c r="A25" s="144">
        <v>1240000</v>
      </c>
      <c r="B25" s="145">
        <v>45111</v>
      </c>
      <c r="C25" s="149" t="s">
        <v>9</v>
      </c>
      <c r="D25" s="147" t="s">
        <v>405</v>
      </c>
      <c r="E25" s="150">
        <v>983000</v>
      </c>
      <c r="F25" s="139">
        <v>257000</v>
      </c>
      <c r="G25" s="139"/>
      <c r="H25" s="139"/>
      <c r="I25" s="139">
        <v>250000</v>
      </c>
      <c r="J25" s="139" t="s">
        <v>1930</v>
      </c>
    </row>
    <row r="26" spans="1:10" ht="19" x14ac:dyDescent="0.2">
      <c r="A26" s="202">
        <v>1697000</v>
      </c>
      <c r="B26" s="32"/>
      <c r="C26" s="35" t="s">
        <v>10</v>
      </c>
      <c r="D26" s="13" t="s">
        <v>565</v>
      </c>
      <c r="E26" s="15">
        <v>1307000</v>
      </c>
      <c r="F26" s="9">
        <v>390000</v>
      </c>
      <c r="G26" s="9"/>
      <c r="H26" s="9"/>
      <c r="I26" s="9">
        <v>90000</v>
      </c>
      <c r="J26" s="9" t="s">
        <v>1931</v>
      </c>
    </row>
    <row r="27" spans="1:10" ht="19" x14ac:dyDescent="0.2">
      <c r="A27" s="144"/>
      <c r="B27" s="145"/>
      <c r="C27" s="149"/>
      <c r="D27" s="147"/>
      <c r="E27" s="150"/>
      <c r="F27" s="139"/>
      <c r="G27" s="139"/>
      <c r="H27" s="139"/>
      <c r="I27" s="139">
        <v>55000</v>
      </c>
      <c r="J27" s="139" t="s">
        <v>1932</v>
      </c>
    </row>
    <row r="28" spans="1:10" ht="19" x14ac:dyDescent="0.2">
      <c r="A28" s="202"/>
      <c r="B28" s="32"/>
      <c r="C28" s="35"/>
      <c r="D28" s="13"/>
      <c r="E28" s="15"/>
      <c r="F28" s="9"/>
      <c r="G28" s="9"/>
      <c r="H28" s="9"/>
      <c r="I28" s="9"/>
      <c r="J28" s="9"/>
    </row>
    <row r="29" spans="1:10" ht="19" x14ac:dyDescent="0.2">
      <c r="A29" s="144">
        <v>2584000</v>
      </c>
      <c r="B29" s="145">
        <v>45112</v>
      </c>
      <c r="C29" s="149" t="s">
        <v>9</v>
      </c>
      <c r="D29" s="147" t="s">
        <v>405</v>
      </c>
      <c r="E29" s="150">
        <v>1922000</v>
      </c>
      <c r="F29" s="139">
        <v>662000</v>
      </c>
      <c r="G29" s="139">
        <v>853000</v>
      </c>
      <c r="H29" s="139" t="s">
        <v>1933</v>
      </c>
      <c r="I29" s="139">
        <v>8000</v>
      </c>
      <c r="J29" s="139" t="s">
        <v>1934</v>
      </c>
    </row>
    <row r="30" spans="1:10" ht="19" x14ac:dyDescent="0.2">
      <c r="A30" s="202"/>
      <c r="B30" s="32"/>
      <c r="C30" s="35"/>
      <c r="D30" s="13"/>
      <c r="E30" s="15"/>
      <c r="F30" s="9"/>
      <c r="G30" s="9"/>
      <c r="H30" s="9"/>
      <c r="I30" s="9">
        <v>49000</v>
      </c>
      <c r="J30" s="9" t="s">
        <v>1935</v>
      </c>
    </row>
    <row r="31" spans="1:10" ht="19" x14ac:dyDescent="0.2">
      <c r="A31" s="144"/>
      <c r="B31" s="145"/>
      <c r="C31" s="149"/>
      <c r="D31" s="147"/>
      <c r="E31" s="150"/>
      <c r="F31" s="139"/>
      <c r="G31" s="139"/>
      <c r="H31" s="139"/>
      <c r="I31" s="139">
        <v>50000</v>
      </c>
      <c r="J31" s="139" t="s">
        <v>1449</v>
      </c>
    </row>
    <row r="32" spans="1:10" ht="19" x14ac:dyDescent="0.2">
      <c r="A32" s="202"/>
      <c r="B32" s="32"/>
      <c r="C32" s="49"/>
      <c r="D32" s="13"/>
      <c r="E32" s="15"/>
      <c r="F32" s="9"/>
      <c r="G32" s="9"/>
      <c r="H32" s="9"/>
      <c r="I32" s="9">
        <v>85000</v>
      </c>
      <c r="J32" s="9" t="s">
        <v>1936</v>
      </c>
    </row>
    <row r="33" spans="1:10" ht="19" x14ac:dyDescent="0.2">
      <c r="A33" s="144"/>
      <c r="B33" s="145"/>
      <c r="C33" s="149"/>
      <c r="D33" s="147"/>
      <c r="E33" s="150"/>
      <c r="F33" s="139"/>
      <c r="G33" s="139"/>
      <c r="H33" s="139"/>
      <c r="I33" s="139">
        <v>78000</v>
      </c>
      <c r="J33" s="139" t="s">
        <v>1641</v>
      </c>
    </row>
    <row r="34" spans="1:10" ht="19" x14ac:dyDescent="0.2">
      <c r="A34" s="202"/>
      <c r="B34" s="32"/>
      <c r="C34" s="49"/>
      <c r="D34" s="13"/>
      <c r="E34" s="15"/>
      <c r="F34" s="9"/>
      <c r="G34" s="9"/>
      <c r="H34" s="9"/>
      <c r="I34" s="9">
        <v>29000</v>
      </c>
      <c r="J34" s="9" t="s">
        <v>1937</v>
      </c>
    </row>
    <row r="35" spans="1:10" ht="19" x14ac:dyDescent="0.2">
      <c r="A35" s="144"/>
      <c r="B35" s="145"/>
      <c r="C35" s="149"/>
      <c r="D35" s="147"/>
      <c r="E35" s="150"/>
      <c r="F35" s="139"/>
      <c r="G35" s="139"/>
      <c r="H35" s="139"/>
      <c r="I35" s="139">
        <v>26000</v>
      </c>
      <c r="J35" s="139" t="s">
        <v>1938</v>
      </c>
    </row>
    <row r="36" spans="1:10" ht="19" x14ac:dyDescent="0.2">
      <c r="A36" s="202"/>
      <c r="B36" s="32"/>
      <c r="C36" s="49"/>
      <c r="D36" s="13"/>
      <c r="E36" s="15"/>
      <c r="F36" s="9"/>
      <c r="G36" s="9"/>
      <c r="H36" s="9"/>
      <c r="I36" s="9">
        <v>50000</v>
      </c>
      <c r="J36" s="9" t="s">
        <v>1762</v>
      </c>
    </row>
    <row r="37" spans="1:10" ht="19" x14ac:dyDescent="0.2">
      <c r="A37" s="144"/>
      <c r="B37" s="145"/>
      <c r="C37" s="149"/>
      <c r="D37" s="147"/>
      <c r="E37" s="150"/>
      <c r="F37" s="139"/>
      <c r="G37" s="139"/>
      <c r="H37" s="139"/>
      <c r="I37" s="139">
        <v>120000</v>
      </c>
      <c r="J37" s="139" t="s">
        <v>1668</v>
      </c>
    </row>
    <row r="38" spans="1:10" ht="19" x14ac:dyDescent="0.2">
      <c r="A38" s="202"/>
      <c r="B38" s="32"/>
      <c r="C38" s="49"/>
      <c r="D38" s="13"/>
      <c r="E38" s="15"/>
      <c r="F38" s="9"/>
      <c r="G38" s="9"/>
      <c r="H38" s="9"/>
      <c r="I38" s="9">
        <v>500000</v>
      </c>
      <c r="J38" s="9" t="s">
        <v>1517</v>
      </c>
    </row>
    <row r="39" spans="1:10" ht="19" x14ac:dyDescent="0.2">
      <c r="A39" s="144"/>
      <c r="B39" s="145"/>
      <c r="C39" s="149"/>
      <c r="D39" s="147"/>
      <c r="E39" s="150"/>
      <c r="F39" s="139"/>
      <c r="G39" s="139"/>
      <c r="H39" s="139"/>
      <c r="I39" s="139">
        <v>10000</v>
      </c>
      <c r="J39" s="139" t="s">
        <v>1939</v>
      </c>
    </row>
    <row r="40" spans="1:10" ht="19" x14ac:dyDescent="0.2">
      <c r="A40" s="202"/>
      <c r="B40" s="32"/>
      <c r="C40" s="49"/>
      <c r="D40" s="13"/>
      <c r="E40" s="15"/>
      <c r="F40" s="9"/>
      <c r="G40" s="9"/>
      <c r="H40" s="9"/>
      <c r="I40" s="9">
        <v>75000</v>
      </c>
      <c r="J40" s="9" t="s">
        <v>1940</v>
      </c>
    </row>
    <row r="41" spans="1:10" ht="19" x14ac:dyDescent="0.2">
      <c r="A41" s="144"/>
      <c r="B41" s="145"/>
      <c r="C41" s="149"/>
      <c r="D41" s="147"/>
      <c r="E41" s="150"/>
      <c r="F41" s="139"/>
      <c r="G41" s="139"/>
      <c r="H41" s="139"/>
      <c r="I41" s="139">
        <v>260000</v>
      </c>
      <c r="J41" s="139" t="s">
        <v>1696</v>
      </c>
    </row>
    <row r="42" spans="1:10" ht="19" x14ac:dyDescent="0.2">
      <c r="A42" s="202"/>
      <c r="B42" s="32"/>
      <c r="C42" s="49"/>
      <c r="D42" s="13"/>
      <c r="E42" s="15"/>
      <c r="F42" s="9"/>
      <c r="G42" s="9"/>
      <c r="H42" s="135"/>
      <c r="I42" s="9">
        <v>250000</v>
      </c>
      <c r="J42" s="9" t="s">
        <v>1941</v>
      </c>
    </row>
    <row r="43" spans="1:10" ht="19" x14ac:dyDescent="0.2">
      <c r="A43" s="144"/>
      <c r="B43" s="145"/>
      <c r="C43" s="149"/>
      <c r="D43" s="147"/>
      <c r="E43" s="150"/>
      <c r="F43" s="139"/>
      <c r="G43" s="139"/>
      <c r="H43" s="139"/>
      <c r="I43" s="139">
        <v>63000</v>
      </c>
      <c r="J43" s="139" t="s">
        <v>1942</v>
      </c>
    </row>
    <row r="44" spans="1:10" ht="19" x14ac:dyDescent="0.2">
      <c r="A44" s="202">
        <v>1816000</v>
      </c>
      <c r="B44" s="32"/>
      <c r="C44" s="49" t="s">
        <v>10</v>
      </c>
      <c r="D44" s="13" t="s">
        <v>685</v>
      </c>
      <c r="E44" s="15">
        <v>1411000</v>
      </c>
      <c r="F44" s="9">
        <v>405000</v>
      </c>
      <c r="G44" s="9"/>
      <c r="H44" s="9"/>
      <c r="I44" s="9"/>
      <c r="J44" s="9"/>
    </row>
    <row r="45" spans="1:10" ht="19" x14ac:dyDescent="0.2">
      <c r="A45" s="144">
        <v>2299000</v>
      </c>
      <c r="B45" s="145">
        <v>45113</v>
      </c>
      <c r="C45" s="149" t="s">
        <v>9</v>
      </c>
      <c r="D45" s="147" t="s">
        <v>565</v>
      </c>
      <c r="E45" s="150">
        <v>1747000</v>
      </c>
      <c r="F45" s="139">
        <v>552000</v>
      </c>
      <c r="G45" s="139">
        <v>2552000</v>
      </c>
      <c r="H45" s="139" t="s">
        <v>1475</v>
      </c>
      <c r="I45" s="139">
        <v>62500</v>
      </c>
      <c r="J45" s="139" t="s">
        <v>1943</v>
      </c>
    </row>
    <row r="46" spans="1:10" ht="19" x14ac:dyDescent="0.2">
      <c r="A46" s="202"/>
      <c r="B46" s="32"/>
      <c r="C46" s="49"/>
      <c r="D46" s="13"/>
      <c r="E46" s="15"/>
      <c r="F46" s="9"/>
      <c r="G46" s="9"/>
      <c r="H46" s="9"/>
      <c r="I46" s="9">
        <v>23000</v>
      </c>
      <c r="J46" s="9" t="s">
        <v>1944</v>
      </c>
    </row>
    <row r="47" spans="1:10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200000</v>
      </c>
      <c r="J47" s="139" t="s">
        <v>1945</v>
      </c>
    </row>
    <row r="48" spans="1:10" ht="19" x14ac:dyDescent="0.2">
      <c r="A48" s="202"/>
      <c r="B48" s="32"/>
      <c r="C48" s="49"/>
      <c r="D48" s="13"/>
      <c r="E48" s="15"/>
      <c r="F48" s="9"/>
      <c r="G48" s="9"/>
      <c r="H48" s="9"/>
      <c r="I48" s="9">
        <v>35000</v>
      </c>
      <c r="J48" s="9" t="s">
        <v>1467</v>
      </c>
    </row>
    <row r="49" spans="1:10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100000</v>
      </c>
      <c r="J49" s="139" t="s">
        <v>1710</v>
      </c>
    </row>
    <row r="50" spans="1:10" ht="19" x14ac:dyDescent="0.2">
      <c r="A50" s="202"/>
      <c r="B50" s="32"/>
      <c r="C50" s="35"/>
      <c r="D50" s="13"/>
      <c r="E50" s="15"/>
      <c r="F50" s="9"/>
      <c r="G50" s="135"/>
      <c r="H50" s="9"/>
      <c r="I50" s="9">
        <v>100000</v>
      </c>
      <c r="J50" s="9" t="s">
        <v>1296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56000</v>
      </c>
      <c r="J51" s="139" t="s">
        <v>1946</v>
      </c>
    </row>
    <row r="52" spans="1:10" ht="19" x14ac:dyDescent="0.2">
      <c r="A52" s="202"/>
      <c r="B52" s="32"/>
      <c r="C52" s="49"/>
      <c r="D52" s="13"/>
      <c r="E52" s="15"/>
      <c r="F52" s="9"/>
      <c r="G52" s="9"/>
      <c r="H52" s="9"/>
      <c r="I52" s="9">
        <v>144000</v>
      </c>
      <c r="J52" s="9" t="s">
        <v>1245</v>
      </c>
    </row>
    <row r="53" spans="1:10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/>
    </row>
    <row r="54" spans="1:10" ht="19" x14ac:dyDescent="0.2">
      <c r="A54" s="202">
        <v>1927000</v>
      </c>
      <c r="B54" s="32"/>
      <c r="C54" s="49" t="s">
        <v>10</v>
      </c>
      <c r="D54" s="13" t="s">
        <v>685</v>
      </c>
      <c r="E54" s="15">
        <v>1305000</v>
      </c>
      <c r="F54" s="9">
        <v>622000</v>
      </c>
      <c r="G54" s="9"/>
      <c r="H54" s="9"/>
      <c r="I54" s="9">
        <v>168000</v>
      </c>
      <c r="J54" s="9" t="s">
        <v>1838</v>
      </c>
    </row>
    <row r="55" spans="1:10" ht="19" x14ac:dyDescent="0.2">
      <c r="A55" s="144">
        <v>2170000</v>
      </c>
      <c r="B55" s="145">
        <v>45114</v>
      </c>
      <c r="C55" s="149" t="s">
        <v>9</v>
      </c>
      <c r="D55" s="147" t="s">
        <v>565</v>
      </c>
      <c r="E55" s="150">
        <v>1709000</v>
      </c>
      <c r="F55" s="139">
        <v>461000</v>
      </c>
      <c r="G55" s="139"/>
      <c r="H55" s="139"/>
      <c r="I55" s="139">
        <v>82000</v>
      </c>
      <c r="J55" s="139" t="s">
        <v>1947</v>
      </c>
    </row>
    <row r="56" spans="1:10" ht="19" x14ac:dyDescent="0.2">
      <c r="A56" s="202"/>
      <c r="B56" s="32"/>
      <c r="C56" s="49"/>
      <c r="D56" s="13"/>
      <c r="E56" s="15"/>
      <c r="F56" s="9"/>
      <c r="G56" s="9"/>
      <c r="H56" s="9"/>
      <c r="I56" s="9">
        <v>78000</v>
      </c>
      <c r="J56" s="9" t="s">
        <v>1641</v>
      </c>
    </row>
    <row r="57" spans="1:10" ht="19" x14ac:dyDescent="0.2">
      <c r="A57" s="144">
        <v>1552000</v>
      </c>
      <c r="B57" s="145"/>
      <c r="C57" s="159" t="s">
        <v>10</v>
      </c>
      <c r="D57" s="147" t="s">
        <v>685</v>
      </c>
      <c r="E57" s="139">
        <v>1029000</v>
      </c>
      <c r="F57" s="139">
        <v>523000</v>
      </c>
      <c r="G57" s="139"/>
      <c r="H57" s="139"/>
      <c r="I57" s="139"/>
      <c r="J57" s="139"/>
    </row>
    <row r="58" spans="1:10" ht="19" x14ac:dyDescent="0.2">
      <c r="A58" s="202"/>
      <c r="B58" s="32"/>
      <c r="C58" s="35"/>
      <c r="D58" s="13"/>
      <c r="E58" s="15"/>
      <c r="F58" s="9"/>
      <c r="G58" s="9"/>
      <c r="H58" s="9"/>
      <c r="I58" s="9"/>
      <c r="J58" s="9"/>
    </row>
    <row r="59" spans="1:10" ht="19" x14ac:dyDescent="0.2">
      <c r="A59" s="144">
        <v>1830000</v>
      </c>
      <c r="B59" s="145">
        <v>45115</v>
      </c>
      <c r="C59" s="149" t="s">
        <v>9</v>
      </c>
      <c r="D59" s="147" t="s">
        <v>405</v>
      </c>
      <c r="E59" s="150">
        <v>1524000</v>
      </c>
      <c r="F59" s="139">
        <v>306000</v>
      </c>
      <c r="G59" s="157"/>
      <c r="H59" s="157"/>
      <c r="I59" s="139">
        <v>110000</v>
      </c>
      <c r="J59" s="139" t="s">
        <v>1948</v>
      </c>
    </row>
    <row r="60" spans="1:10" ht="19" x14ac:dyDescent="0.2">
      <c r="A60" s="202"/>
      <c r="B60" s="32"/>
      <c r="C60" s="49"/>
      <c r="D60" s="13"/>
      <c r="E60" s="15"/>
      <c r="F60" s="9"/>
      <c r="G60" s="135"/>
      <c r="H60" s="135"/>
      <c r="I60" s="9">
        <v>29000</v>
      </c>
      <c r="J60" s="9" t="s">
        <v>1949</v>
      </c>
    </row>
    <row r="61" spans="1:10" ht="19" x14ac:dyDescent="0.2">
      <c r="A61" s="144"/>
      <c r="B61" s="145"/>
      <c r="C61" s="149"/>
      <c r="D61" s="147"/>
      <c r="E61" s="150"/>
      <c r="F61" s="139"/>
      <c r="G61" s="157"/>
      <c r="H61" s="157"/>
      <c r="I61" s="139">
        <v>50000</v>
      </c>
      <c r="J61" s="139" t="s">
        <v>1449</v>
      </c>
    </row>
    <row r="62" spans="1:10" ht="19" x14ac:dyDescent="0.2">
      <c r="A62" s="202"/>
      <c r="B62" s="32"/>
      <c r="C62" s="49"/>
      <c r="D62" s="13"/>
      <c r="E62" s="15"/>
      <c r="F62" s="9"/>
      <c r="G62" s="9"/>
      <c r="H62" s="9"/>
      <c r="I62" s="9">
        <v>43000</v>
      </c>
      <c r="J62" s="9" t="s">
        <v>1950</v>
      </c>
    </row>
    <row r="63" spans="1:10" ht="19" x14ac:dyDescent="0.2">
      <c r="A63" s="144"/>
      <c r="B63" s="145"/>
      <c r="C63" s="149"/>
      <c r="D63" s="147"/>
      <c r="E63" s="150"/>
      <c r="F63" s="139"/>
      <c r="G63" s="139"/>
      <c r="H63" s="139"/>
      <c r="I63" s="139">
        <v>6000</v>
      </c>
      <c r="J63" s="139" t="s">
        <v>1734</v>
      </c>
    </row>
    <row r="64" spans="1:10" ht="19" x14ac:dyDescent="0.2">
      <c r="A64" s="202"/>
      <c r="B64" s="32"/>
      <c r="C64" s="49"/>
      <c r="D64" s="13"/>
      <c r="E64" s="15"/>
      <c r="F64" s="9"/>
      <c r="G64" s="9"/>
      <c r="H64" s="9"/>
      <c r="I64" s="9">
        <v>63000</v>
      </c>
      <c r="J64" s="9" t="s">
        <v>1951</v>
      </c>
    </row>
    <row r="65" spans="1:10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280000</v>
      </c>
      <c r="J65" s="139" t="s">
        <v>1813</v>
      </c>
    </row>
    <row r="66" spans="1:10" ht="19" x14ac:dyDescent="0.2">
      <c r="A66" s="202"/>
      <c r="B66" s="32"/>
      <c r="C66" s="49"/>
      <c r="D66" s="13"/>
      <c r="E66" s="15"/>
      <c r="F66" s="9"/>
      <c r="G66" s="9"/>
      <c r="H66" s="9"/>
      <c r="I66" s="9">
        <v>140000</v>
      </c>
      <c r="J66" s="9" t="s">
        <v>1809</v>
      </c>
    </row>
    <row r="67" spans="1:10" ht="19" x14ac:dyDescent="0.2">
      <c r="A67" s="144"/>
      <c r="B67" s="145"/>
      <c r="C67" s="149"/>
      <c r="D67" s="147"/>
      <c r="E67" s="150"/>
      <c r="F67" s="139"/>
      <c r="G67" s="139"/>
      <c r="H67" s="139"/>
      <c r="I67" s="139">
        <v>140000</v>
      </c>
      <c r="J67" s="139" t="s">
        <v>1810</v>
      </c>
    </row>
    <row r="68" spans="1:10" ht="19" x14ac:dyDescent="0.2">
      <c r="A68" s="202"/>
      <c r="B68" s="32"/>
      <c r="C68" s="49"/>
      <c r="D68" s="13"/>
      <c r="E68" s="15"/>
      <c r="F68" s="9"/>
      <c r="G68" s="9"/>
      <c r="H68" s="9"/>
      <c r="I68" s="9">
        <v>200000</v>
      </c>
      <c r="J68" s="9" t="s">
        <v>1952</v>
      </c>
    </row>
    <row r="69" spans="1:10" ht="19" x14ac:dyDescent="0.2">
      <c r="A69" s="144"/>
      <c r="B69" s="158"/>
      <c r="C69" s="159"/>
      <c r="D69" s="147"/>
      <c r="E69" s="150"/>
      <c r="F69" s="139"/>
      <c r="G69" s="139"/>
      <c r="H69" s="139"/>
      <c r="I69" s="139"/>
      <c r="J69" s="139"/>
    </row>
    <row r="70" spans="1:10" ht="19" x14ac:dyDescent="0.2">
      <c r="A70" s="202">
        <v>1327000</v>
      </c>
      <c r="B70" s="33"/>
      <c r="C70" s="35" t="s">
        <v>10</v>
      </c>
      <c r="D70" s="13" t="s">
        <v>685</v>
      </c>
      <c r="E70" s="15">
        <v>799000</v>
      </c>
      <c r="F70" s="9">
        <v>528000</v>
      </c>
      <c r="G70" s="9"/>
      <c r="H70" s="9"/>
      <c r="I70" s="9">
        <v>50000</v>
      </c>
      <c r="J70" s="9" t="s">
        <v>123</v>
      </c>
    </row>
    <row r="71" spans="1:10" ht="19" x14ac:dyDescent="0.2">
      <c r="A71" s="144">
        <v>1502000</v>
      </c>
      <c r="B71" s="145">
        <v>45116</v>
      </c>
      <c r="C71" s="151" t="s">
        <v>9</v>
      </c>
      <c r="D71" s="147" t="s">
        <v>405</v>
      </c>
      <c r="E71" s="150">
        <v>1070000</v>
      </c>
      <c r="F71" s="139">
        <v>432000</v>
      </c>
      <c r="G71" s="139"/>
      <c r="H71" s="139"/>
      <c r="I71" s="139">
        <v>6000</v>
      </c>
      <c r="J71" s="139" t="s">
        <v>1840</v>
      </c>
    </row>
    <row r="72" spans="1:10" ht="19" x14ac:dyDescent="0.2">
      <c r="A72" s="202"/>
      <c r="B72" s="32"/>
      <c r="C72" s="35"/>
      <c r="D72" s="13"/>
      <c r="E72" s="15"/>
      <c r="F72" s="9"/>
      <c r="G72" s="9"/>
      <c r="H72" s="9"/>
      <c r="I72" s="9">
        <v>38000</v>
      </c>
      <c r="J72" s="9" t="s">
        <v>1953</v>
      </c>
    </row>
    <row r="73" spans="1:10" ht="19" x14ac:dyDescent="0.2">
      <c r="A73" s="144"/>
      <c r="B73" s="145"/>
      <c r="C73" s="149"/>
      <c r="D73" s="147"/>
      <c r="E73" s="150"/>
      <c r="F73" s="139"/>
      <c r="G73" s="152"/>
      <c r="H73" s="152"/>
      <c r="I73" s="139">
        <v>8000</v>
      </c>
      <c r="J73" s="139" t="s">
        <v>1954</v>
      </c>
    </row>
    <row r="74" spans="1:10" ht="19" x14ac:dyDescent="0.2">
      <c r="A74" s="202"/>
      <c r="B74" s="32"/>
      <c r="C74" s="49"/>
      <c r="D74" s="13"/>
      <c r="E74" s="15"/>
      <c r="F74" s="9"/>
      <c r="G74" s="60"/>
      <c r="H74" s="60"/>
      <c r="I74" s="9">
        <v>280000</v>
      </c>
      <c r="J74" s="9" t="s">
        <v>1781</v>
      </c>
    </row>
    <row r="75" spans="1:10" ht="19" x14ac:dyDescent="0.2">
      <c r="A75" s="144">
        <v>2036000</v>
      </c>
      <c r="B75" s="145"/>
      <c r="C75" s="149" t="s">
        <v>10</v>
      </c>
      <c r="D75" s="147" t="s">
        <v>685</v>
      </c>
      <c r="E75" s="150">
        <v>1785000</v>
      </c>
      <c r="F75" s="139">
        <v>251000</v>
      </c>
      <c r="G75" s="152"/>
      <c r="H75" s="152"/>
      <c r="I75" s="139">
        <v>168000</v>
      </c>
      <c r="J75" s="139" t="s">
        <v>1955</v>
      </c>
    </row>
    <row r="76" spans="1:10" ht="19" x14ac:dyDescent="0.2">
      <c r="A76" s="202"/>
      <c r="B76" s="32"/>
      <c r="C76" s="49"/>
      <c r="D76" s="13"/>
      <c r="E76" s="15"/>
      <c r="F76" s="9"/>
      <c r="G76" s="60"/>
      <c r="H76" s="60"/>
      <c r="I76" s="9"/>
      <c r="J76" s="9"/>
    </row>
    <row r="77" spans="1:10" ht="19" x14ac:dyDescent="0.2">
      <c r="A77" s="144">
        <v>1670000</v>
      </c>
      <c r="B77" s="145">
        <v>45117</v>
      </c>
      <c r="C77" s="149" t="s">
        <v>9</v>
      </c>
      <c r="D77" s="147" t="s">
        <v>405</v>
      </c>
      <c r="E77" s="150">
        <v>1247000</v>
      </c>
      <c r="F77" s="139">
        <v>423000</v>
      </c>
      <c r="G77" s="152"/>
      <c r="H77" s="152"/>
      <c r="I77" s="139">
        <v>200000</v>
      </c>
      <c r="J77" s="139" t="s">
        <v>1614</v>
      </c>
    </row>
    <row r="78" spans="1:10" ht="19" x14ac:dyDescent="0.2">
      <c r="A78" s="202"/>
      <c r="B78" s="32"/>
      <c r="C78" s="49"/>
      <c r="D78" s="13"/>
      <c r="E78" s="15"/>
      <c r="F78" s="9"/>
      <c r="G78" s="60"/>
      <c r="H78" s="60"/>
      <c r="I78" s="9">
        <v>35000</v>
      </c>
      <c r="J78" s="9" t="s">
        <v>1467</v>
      </c>
    </row>
    <row r="79" spans="1:10" ht="19" x14ac:dyDescent="0.2">
      <c r="A79" s="144"/>
      <c r="B79" s="145"/>
      <c r="C79" s="149"/>
      <c r="D79" s="147"/>
      <c r="E79" s="150"/>
      <c r="F79" s="139"/>
      <c r="G79" s="152"/>
      <c r="H79" s="152"/>
      <c r="I79" s="139">
        <v>100000</v>
      </c>
      <c r="J79" s="139" t="s">
        <v>1805</v>
      </c>
    </row>
    <row r="80" spans="1:10" ht="19" x14ac:dyDescent="0.2">
      <c r="A80" s="202"/>
      <c r="B80" s="32"/>
      <c r="C80" s="49"/>
      <c r="D80" s="13"/>
      <c r="E80" s="15"/>
      <c r="F80" s="9"/>
      <c r="G80" s="60"/>
      <c r="H80" s="60"/>
      <c r="I80" s="9">
        <v>263000</v>
      </c>
      <c r="J80" s="9" t="s">
        <v>1928</v>
      </c>
    </row>
    <row r="81" spans="1:10" ht="19" x14ac:dyDescent="0.2">
      <c r="A81" s="144"/>
      <c r="B81" s="145"/>
      <c r="C81" s="149"/>
      <c r="D81" s="147"/>
      <c r="E81" s="150"/>
      <c r="F81" s="139"/>
      <c r="G81" s="152"/>
      <c r="H81" s="152"/>
      <c r="I81" s="139">
        <v>67000</v>
      </c>
      <c r="J81" s="139" t="s">
        <v>1929</v>
      </c>
    </row>
    <row r="82" spans="1:10" ht="19" x14ac:dyDescent="0.2">
      <c r="A82" s="202"/>
      <c r="B82" s="32"/>
      <c r="C82" s="49"/>
      <c r="D82" s="13"/>
      <c r="E82" s="15"/>
      <c r="F82" s="9"/>
      <c r="G82" s="60"/>
      <c r="H82" s="60"/>
      <c r="I82" s="9">
        <v>67000</v>
      </c>
      <c r="J82" s="9" t="s">
        <v>1956</v>
      </c>
    </row>
    <row r="83" spans="1:10" ht="19" x14ac:dyDescent="0.2">
      <c r="A83" s="144"/>
      <c r="B83" s="145"/>
      <c r="C83" s="149"/>
      <c r="D83" s="147"/>
      <c r="E83" s="150"/>
      <c r="F83" s="139"/>
      <c r="G83" s="152"/>
      <c r="H83" s="152"/>
      <c r="I83" s="139">
        <v>31000</v>
      </c>
      <c r="J83" s="139" t="s">
        <v>1957</v>
      </c>
    </row>
    <row r="84" spans="1:10" ht="19" x14ac:dyDescent="0.2">
      <c r="A84" s="202"/>
      <c r="B84" s="32"/>
      <c r="C84" s="49"/>
      <c r="D84" s="13"/>
      <c r="E84" s="15"/>
      <c r="F84" s="9"/>
      <c r="G84" s="60"/>
      <c r="H84" s="60"/>
      <c r="I84" s="9">
        <v>407000</v>
      </c>
      <c r="J84" s="9" t="s">
        <v>1958</v>
      </c>
    </row>
    <row r="85" spans="1:10" ht="19" x14ac:dyDescent="0.2">
      <c r="A85" s="144"/>
      <c r="B85" s="145"/>
      <c r="C85" s="149"/>
      <c r="D85" s="147"/>
      <c r="E85" s="150"/>
      <c r="F85" s="139"/>
      <c r="G85" s="152"/>
      <c r="H85" s="152"/>
      <c r="I85" s="139">
        <v>17000</v>
      </c>
      <c r="J85" s="139" t="s">
        <v>1959</v>
      </c>
    </row>
    <row r="86" spans="1:10" ht="19" x14ac:dyDescent="0.2">
      <c r="A86" s="202"/>
      <c r="B86" s="32"/>
      <c r="C86" s="49"/>
      <c r="D86" s="13"/>
      <c r="E86" s="15"/>
      <c r="F86" s="9"/>
      <c r="G86" s="60"/>
      <c r="H86" s="60"/>
      <c r="I86" s="9">
        <v>116000</v>
      </c>
      <c r="J86" s="9" t="s">
        <v>1960</v>
      </c>
    </row>
    <row r="87" spans="1:10" ht="19" x14ac:dyDescent="0.2">
      <c r="A87" s="144"/>
      <c r="B87" s="145"/>
      <c r="C87" s="149"/>
      <c r="D87" s="147"/>
      <c r="E87" s="150"/>
      <c r="F87" s="139"/>
      <c r="G87" s="152"/>
      <c r="H87" s="152"/>
      <c r="I87" s="139">
        <v>42000</v>
      </c>
      <c r="J87" s="139" t="s">
        <v>1961</v>
      </c>
    </row>
    <row r="88" spans="1:10" ht="19" x14ac:dyDescent="0.2">
      <c r="A88" s="202"/>
      <c r="B88" s="32"/>
      <c r="C88" s="49"/>
      <c r="D88" s="13"/>
      <c r="E88" s="15"/>
      <c r="F88" s="9"/>
      <c r="G88" s="60"/>
      <c r="H88" s="60"/>
      <c r="I88" s="9">
        <v>28000</v>
      </c>
      <c r="J88" s="9" t="s">
        <v>1962</v>
      </c>
    </row>
    <row r="89" spans="1:10" ht="19" x14ac:dyDescent="0.2">
      <c r="A89" s="144"/>
      <c r="B89" s="145"/>
      <c r="C89" s="159"/>
      <c r="D89" s="147"/>
      <c r="E89" s="150"/>
      <c r="F89" s="139"/>
      <c r="G89" s="139"/>
      <c r="H89" s="139"/>
      <c r="I89" s="139">
        <v>10000</v>
      </c>
      <c r="J89" s="139" t="s">
        <v>1873</v>
      </c>
    </row>
    <row r="90" spans="1:10" ht="19" x14ac:dyDescent="0.2">
      <c r="A90" s="202"/>
      <c r="B90" s="32"/>
      <c r="C90" s="49"/>
      <c r="D90" s="13"/>
      <c r="E90" s="15"/>
      <c r="F90" s="9"/>
      <c r="G90" s="9"/>
      <c r="H90" s="9"/>
      <c r="I90" s="9">
        <v>50000</v>
      </c>
      <c r="J90" s="9" t="s">
        <v>1449</v>
      </c>
    </row>
    <row r="91" spans="1:10" ht="19" x14ac:dyDescent="0.2">
      <c r="A91" s="144"/>
      <c r="B91" s="145"/>
      <c r="C91" s="149"/>
      <c r="D91" s="147"/>
      <c r="E91" s="150"/>
      <c r="F91" s="139"/>
      <c r="G91" s="139"/>
      <c r="H91" s="139"/>
      <c r="I91" s="139">
        <v>140000</v>
      </c>
      <c r="J91" s="139" t="s">
        <v>1963</v>
      </c>
    </row>
    <row r="92" spans="1:10" ht="19" x14ac:dyDescent="0.2">
      <c r="A92" s="202"/>
      <c r="B92" s="32"/>
      <c r="C92" s="49"/>
      <c r="D92" s="13"/>
      <c r="E92" s="15"/>
      <c r="F92" s="9"/>
      <c r="G92" s="9"/>
      <c r="H92" s="9"/>
      <c r="I92" s="9">
        <v>140000</v>
      </c>
      <c r="J92" s="9" t="s">
        <v>1964</v>
      </c>
    </row>
    <row r="93" spans="1:10" ht="19" x14ac:dyDescent="0.2">
      <c r="A93" s="144"/>
      <c r="B93" s="145"/>
      <c r="C93" s="149"/>
      <c r="D93" s="147"/>
      <c r="E93" s="150"/>
      <c r="F93" s="139"/>
      <c r="G93" s="139"/>
      <c r="H93" s="139"/>
      <c r="I93" s="139">
        <v>90000</v>
      </c>
      <c r="J93" s="139" t="s">
        <v>1965</v>
      </c>
    </row>
    <row r="94" spans="1:10" ht="19" x14ac:dyDescent="0.2">
      <c r="A94" s="202"/>
      <c r="B94" s="32"/>
      <c r="C94" s="49"/>
      <c r="D94" s="13"/>
      <c r="E94" s="15"/>
      <c r="F94" s="9"/>
      <c r="G94" s="9"/>
      <c r="H94" s="9"/>
      <c r="I94" s="9">
        <v>180000</v>
      </c>
      <c r="J94" s="9" t="s">
        <v>1966</v>
      </c>
    </row>
    <row r="95" spans="1:10" ht="19" x14ac:dyDescent="0.2">
      <c r="A95" s="144"/>
      <c r="B95" s="145"/>
      <c r="C95" s="149"/>
      <c r="D95" s="147"/>
      <c r="E95" s="150"/>
      <c r="F95" s="139"/>
      <c r="G95" s="139"/>
      <c r="H95" s="139"/>
      <c r="I95" s="139"/>
      <c r="J95" s="139"/>
    </row>
    <row r="96" spans="1:10" ht="19" x14ac:dyDescent="0.2">
      <c r="A96" s="202">
        <v>1600000</v>
      </c>
      <c r="B96" s="32"/>
      <c r="C96" s="49" t="s">
        <v>10</v>
      </c>
      <c r="D96" s="13" t="s">
        <v>685</v>
      </c>
      <c r="E96" s="15">
        <v>990000</v>
      </c>
      <c r="F96" s="9">
        <v>610000</v>
      </c>
      <c r="G96" s="9"/>
      <c r="H96" s="9"/>
      <c r="I96" s="9">
        <v>75000</v>
      </c>
      <c r="J96" s="9" t="s">
        <v>1967</v>
      </c>
    </row>
    <row r="97" spans="1:10" ht="19" x14ac:dyDescent="0.2">
      <c r="A97" s="144"/>
      <c r="B97" s="145"/>
      <c r="C97" s="149"/>
      <c r="D97" s="147"/>
      <c r="E97" s="150"/>
      <c r="F97" s="139"/>
      <c r="G97" s="139"/>
      <c r="H97" s="139"/>
      <c r="I97" s="139"/>
      <c r="J97" s="139"/>
    </row>
    <row r="98" spans="1:10" ht="19" x14ac:dyDescent="0.2">
      <c r="A98" s="143">
        <v>2090000</v>
      </c>
      <c r="B98" s="153">
        <v>45118</v>
      </c>
      <c r="C98" s="171" t="s">
        <v>9</v>
      </c>
      <c r="D98" s="155" t="s">
        <v>405</v>
      </c>
      <c r="E98" s="164">
        <v>1711000</v>
      </c>
      <c r="F98" s="119">
        <v>379000</v>
      </c>
      <c r="G98" s="119">
        <v>1300000</v>
      </c>
      <c r="H98" s="119" t="s">
        <v>1968</v>
      </c>
      <c r="I98" s="119">
        <v>78000</v>
      </c>
      <c r="J98" s="119" t="s">
        <v>1641</v>
      </c>
    </row>
    <row r="99" spans="1:10" ht="19" x14ac:dyDescent="0.2">
      <c r="A99" s="144"/>
      <c r="B99" s="145"/>
      <c r="C99" s="149"/>
      <c r="D99" s="147"/>
      <c r="E99" s="150"/>
      <c r="F99" s="139"/>
      <c r="G99" s="139"/>
      <c r="H99" s="139"/>
      <c r="I99" s="139">
        <v>116000</v>
      </c>
      <c r="J99" s="139" t="s">
        <v>1969</v>
      </c>
    </row>
    <row r="100" spans="1:10" ht="19" x14ac:dyDescent="0.2">
      <c r="A100" s="202"/>
      <c r="B100" s="32"/>
      <c r="C100" s="49"/>
      <c r="D100" s="13"/>
      <c r="E100" s="15"/>
      <c r="F100" s="9"/>
      <c r="G100" s="9"/>
      <c r="H100" s="9"/>
      <c r="I100" s="9"/>
      <c r="J100" s="9"/>
    </row>
    <row r="101" spans="1:10" ht="19" x14ac:dyDescent="0.2">
      <c r="A101" s="144">
        <v>1728000</v>
      </c>
      <c r="B101" s="145"/>
      <c r="C101" s="149" t="s">
        <v>10</v>
      </c>
      <c r="D101" s="147" t="s">
        <v>685</v>
      </c>
      <c r="E101" s="150">
        <v>1078000</v>
      </c>
      <c r="F101" s="139">
        <v>650000</v>
      </c>
      <c r="G101" s="139"/>
      <c r="H101" s="139"/>
      <c r="I101" s="139">
        <v>180000</v>
      </c>
      <c r="J101" s="139" t="s">
        <v>1970</v>
      </c>
    </row>
    <row r="102" spans="1:10" ht="19" x14ac:dyDescent="0.2">
      <c r="A102" s="202"/>
      <c r="B102" s="32"/>
      <c r="C102" s="49"/>
      <c r="D102" s="13"/>
      <c r="E102" s="15"/>
      <c r="F102" s="9"/>
      <c r="G102" s="9"/>
      <c r="H102" s="9"/>
      <c r="I102" s="9"/>
      <c r="J102" s="9"/>
    </row>
    <row r="103" spans="1:10" ht="19" x14ac:dyDescent="0.2">
      <c r="A103" s="144">
        <v>1868000</v>
      </c>
      <c r="B103" s="145">
        <v>45119</v>
      </c>
      <c r="C103" s="149" t="s">
        <v>9</v>
      </c>
      <c r="D103" s="147" t="s">
        <v>565</v>
      </c>
      <c r="E103" s="150">
        <v>1427000</v>
      </c>
      <c r="F103" s="139">
        <v>441000</v>
      </c>
      <c r="G103" s="139"/>
      <c r="H103" s="139"/>
      <c r="I103" s="139">
        <v>280000</v>
      </c>
      <c r="J103" s="139" t="s">
        <v>1781</v>
      </c>
    </row>
    <row r="104" spans="1:10" ht="19" x14ac:dyDescent="0.2">
      <c r="A104" s="202"/>
      <c r="B104" s="32"/>
      <c r="C104" s="49"/>
      <c r="D104" s="13"/>
      <c r="E104" s="15"/>
      <c r="F104" s="9"/>
      <c r="G104" s="9"/>
      <c r="H104" s="9"/>
      <c r="I104" s="9">
        <v>10000</v>
      </c>
      <c r="J104" s="9" t="s">
        <v>1873</v>
      </c>
    </row>
    <row r="105" spans="1:10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>
        <v>78000</v>
      </c>
      <c r="J105" s="139" t="s">
        <v>1641</v>
      </c>
    </row>
    <row r="106" spans="1:10" ht="19" x14ac:dyDescent="0.2">
      <c r="A106" s="202"/>
      <c r="B106" s="32"/>
      <c r="C106" s="49"/>
      <c r="D106" s="13"/>
      <c r="E106" s="15"/>
      <c r="F106" s="9"/>
      <c r="G106" s="9"/>
      <c r="H106" s="9"/>
      <c r="I106" s="9">
        <v>56000</v>
      </c>
      <c r="J106" s="9" t="s">
        <v>1971</v>
      </c>
    </row>
    <row r="107" spans="1:10" ht="19" x14ac:dyDescent="0.2">
      <c r="A107" s="144">
        <v>1093000</v>
      </c>
      <c r="B107" s="145"/>
      <c r="C107" s="149" t="s">
        <v>10</v>
      </c>
      <c r="D107" s="147" t="s">
        <v>685</v>
      </c>
      <c r="E107" s="150">
        <v>707000</v>
      </c>
      <c r="F107" s="139">
        <v>386000</v>
      </c>
      <c r="G107" s="139"/>
      <c r="H107" s="139"/>
      <c r="I107" s="139">
        <v>100000</v>
      </c>
      <c r="J107" s="139" t="s">
        <v>1296</v>
      </c>
    </row>
    <row r="108" spans="1:10" ht="19" x14ac:dyDescent="0.2">
      <c r="A108" s="202"/>
      <c r="B108" s="32"/>
      <c r="C108" s="49"/>
      <c r="D108" s="13"/>
      <c r="E108" s="15"/>
      <c r="F108" s="9"/>
      <c r="G108" s="9"/>
      <c r="H108" s="9"/>
      <c r="I108" s="9">
        <v>75000</v>
      </c>
      <c r="J108" s="9" t="s">
        <v>1972</v>
      </c>
    </row>
    <row r="109" spans="1:10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/>
      <c r="J109" s="139"/>
    </row>
    <row r="110" spans="1:10" ht="19" x14ac:dyDescent="0.2">
      <c r="A110" s="143">
        <v>1924000</v>
      </c>
      <c r="B110" s="153">
        <v>45120</v>
      </c>
      <c r="C110" s="171" t="s">
        <v>9</v>
      </c>
      <c r="D110" s="155" t="s">
        <v>405</v>
      </c>
      <c r="E110" s="164">
        <v>1122000</v>
      </c>
      <c r="F110" s="119">
        <v>802000</v>
      </c>
      <c r="G110" s="119">
        <v>2320000</v>
      </c>
      <c r="H110" s="176" t="s">
        <v>2056</v>
      </c>
      <c r="I110" s="119">
        <v>36500</v>
      </c>
      <c r="J110" s="119" t="s">
        <v>1973</v>
      </c>
    </row>
    <row r="111" spans="1:10" ht="19" x14ac:dyDescent="0.2">
      <c r="A111" s="144"/>
      <c r="B111" s="145"/>
      <c r="C111" s="149"/>
      <c r="D111" s="147"/>
      <c r="E111" s="150"/>
      <c r="F111" s="139"/>
      <c r="G111" s="157"/>
      <c r="H111" s="204"/>
      <c r="I111" s="139"/>
      <c r="J111" s="139"/>
    </row>
    <row r="112" spans="1:10" ht="19" x14ac:dyDescent="0.2">
      <c r="A112" s="202">
        <v>1671000</v>
      </c>
      <c r="B112" s="32"/>
      <c r="C112" s="49" t="s">
        <v>10</v>
      </c>
      <c r="D112" s="13" t="s">
        <v>685</v>
      </c>
      <c r="E112" s="15">
        <v>1128000</v>
      </c>
      <c r="F112" s="9">
        <v>543000</v>
      </c>
      <c r="G112" s="135"/>
      <c r="H112" s="203"/>
      <c r="I112" s="9">
        <v>50000</v>
      </c>
      <c r="J112" s="9" t="s">
        <v>123</v>
      </c>
    </row>
    <row r="113" spans="1:10" ht="19" x14ac:dyDescent="0.2">
      <c r="A113" s="144"/>
      <c r="B113" s="145"/>
      <c r="C113" s="149"/>
      <c r="D113" s="147"/>
      <c r="E113" s="150"/>
      <c r="F113" s="139"/>
      <c r="G113" s="139"/>
      <c r="H113" s="139"/>
      <c r="I113" s="139">
        <v>154000</v>
      </c>
      <c r="J113" s="139" t="s">
        <v>1869</v>
      </c>
    </row>
    <row r="114" spans="1:10" ht="19" x14ac:dyDescent="0.2">
      <c r="A114" s="202"/>
      <c r="B114" s="32"/>
      <c r="C114" s="49"/>
      <c r="D114" s="13"/>
      <c r="E114" s="15"/>
      <c r="F114" s="9"/>
      <c r="G114" s="9"/>
      <c r="H114" s="9"/>
      <c r="I114" s="9">
        <v>51000</v>
      </c>
      <c r="J114" s="9" t="s">
        <v>1536</v>
      </c>
    </row>
    <row r="115" spans="1:10" ht="19" x14ac:dyDescent="0.2">
      <c r="A115" s="144"/>
      <c r="B115" s="145"/>
      <c r="C115" s="149"/>
      <c r="D115" s="147"/>
      <c r="E115" s="150"/>
      <c r="F115" s="139"/>
      <c r="G115" s="139"/>
      <c r="H115" s="139"/>
      <c r="I115" s="139">
        <v>23500</v>
      </c>
      <c r="J115" s="139" t="s">
        <v>1974</v>
      </c>
    </row>
    <row r="116" spans="1:10" ht="19" x14ac:dyDescent="0.2">
      <c r="A116" s="202"/>
      <c r="B116" s="32"/>
      <c r="C116" s="35"/>
      <c r="D116" s="13"/>
      <c r="E116" s="15"/>
      <c r="F116" s="9"/>
      <c r="G116" s="9"/>
      <c r="H116" s="9"/>
      <c r="I116" s="9">
        <v>27000</v>
      </c>
      <c r="J116" s="9" t="s">
        <v>1859</v>
      </c>
    </row>
    <row r="117" spans="1:10" ht="19" x14ac:dyDescent="0.2">
      <c r="A117" s="144"/>
      <c r="B117" s="145"/>
      <c r="C117" s="151"/>
      <c r="D117" s="147"/>
      <c r="E117" s="150"/>
      <c r="F117" s="139"/>
      <c r="G117" s="139"/>
      <c r="H117" s="161"/>
      <c r="I117" s="139">
        <v>129000</v>
      </c>
      <c r="J117" s="139" t="s">
        <v>1975</v>
      </c>
    </row>
    <row r="118" spans="1:10" ht="19" x14ac:dyDescent="0.2">
      <c r="A118" s="202"/>
      <c r="B118" s="33"/>
      <c r="C118" s="35"/>
      <c r="D118" s="13"/>
      <c r="E118" s="15"/>
      <c r="F118" s="9"/>
      <c r="G118" s="9"/>
      <c r="H118" s="9"/>
      <c r="I118" s="9"/>
      <c r="J118" s="9"/>
    </row>
    <row r="119" spans="1:10" ht="19" x14ac:dyDescent="0.2">
      <c r="A119" s="144">
        <v>1287000</v>
      </c>
      <c r="B119" s="145">
        <v>45121</v>
      </c>
      <c r="C119" s="151" t="s">
        <v>9</v>
      </c>
      <c r="D119" s="147" t="s">
        <v>405</v>
      </c>
      <c r="E119" s="150">
        <v>822000</v>
      </c>
      <c r="F119" s="139">
        <v>465000</v>
      </c>
      <c r="G119" s="139"/>
      <c r="H119" s="139"/>
      <c r="I119" s="139"/>
      <c r="J119" s="139"/>
    </row>
    <row r="120" spans="1:10" ht="19" x14ac:dyDescent="0.2">
      <c r="A120" s="202"/>
      <c r="B120" s="33"/>
      <c r="C120" s="35"/>
      <c r="D120" s="13"/>
      <c r="E120" s="15"/>
      <c r="F120" s="9"/>
      <c r="G120" s="9"/>
      <c r="H120" s="9"/>
      <c r="I120" s="9"/>
      <c r="J120" s="9"/>
    </row>
    <row r="121" spans="1:10" ht="19" x14ac:dyDescent="0.2">
      <c r="A121" s="144">
        <v>2008000</v>
      </c>
      <c r="B121" s="158"/>
      <c r="C121" s="151" t="s">
        <v>10</v>
      </c>
      <c r="D121" s="147" t="s">
        <v>685</v>
      </c>
      <c r="E121" s="150">
        <v>1374000</v>
      </c>
      <c r="F121" s="139">
        <v>634000</v>
      </c>
      <c r="G121" s="139"/>
      <c r="H121" s="139"/>
      <c r="I121" s="139"/>
      <c r="J121" s="139"/>
    </row>
    <row r="122" spans="1:10" ht="19" x14ac:dyDescent="0.2">
      <c r="A122" s="202"/>
      <c r="B122" s="32"/>
      <c r="C122" s="35"/>
      <c r="D122" s="13"/>
      <c r="E122" s="15"/>
      <c r="F122" s="9"/>
      <c r="G122" s="135"/>
      <c r="H122" s="135"/>
      <c r="I122" s="106"/>
      <c r="J122" s="106"/>
    </row>
    <row r="123" spans="1:10" ht="19" x14ac:dyDescent="0.2">
      <c r="A123" s="144">
        <v>2675000</v>
      </c>
      <c r="B123" s="145">
        <v>45122</v>
      </c>
      <c r="C123" s="151" t="s">
        <v>9</v>
      </c>
      <c r="D123" s="147" t="s">
        <v>405</v>
      </c>
      <c r="E123" s="150">
        <v>2094000</v>
      </c>
      <c r="F123" s="139">
        <v>581000</v>
      </c>
      <c r="G123" s="139">
        <v>2300000</v>
      </c>
      <c r="H123" s="161" t="s">
        <v>1976</v>
      </c>
      <c r="I123" s="162">
        <v>10000</v>
      </c>
      <c r="J123" s="162" t="s">
        <v>1873</v>
      </c>
    </row>
    <row r="124" spans="1:10" ht="19" x14ac:dyDescent="0.2">
      <c r="A124" s="202"/>
      <c r="B124" s="32"/>
      <c r="C124" s="35"/>
      <c r="D124" s="13"/>
      <c r="E124" s="15"/>
      <c r="F124" s="9"/>
      <c r="G124" s="9"/>
      <c r="H124" s="9"/>
      <c r="I124" s="106">
        <v>96000</v>
      </c>
      <c r="J124" s="106" t="s">
        <v>1595</v>
      </c>
    </row>
    <row r="125" spans="1:10" ht="32" x14ac:dyDescent="0.2">
      <c r="A125" s="144"/>
      <c r="B125" s="145"/>
      <c r="C125" s="151"/>
      <c r="D125" s="147"/>
      <c r="E125" s="150"/>
      <c r="F125" s="139"/>
      <c r="G125" s="139">
        <v>682000</v>
      </c>
      <c r="H125" s="161" t="s">
        <v>1977</v>
      </c>
      <c r="I125" s="162">
        <v>59000</v>
      </c>
      <c r="J125" s="162" t="s">
        <v>1978</v>
      </c>
    </row>
    <row r="126" spans="1:10" ht="19" x14ac:dyDescent="0.2">
      <c r="A126" s="202"/>
      <c r="B126" s="32"/>
      <c r="C126" s="35"/>
      <c r="D126" s="13"/>
      <c r="E126" s="15"/>
      <c r="F126" s="9"/>
      <c r="G126" s="9"/>
      <c r="H126" s="47"/>
      <c r="I126" s="106">
        <v>78000</v>
      </c>
      <c r="J126" s="106" t="s">
        <v>1641</v>
      </c>
    </row>
    <row r="127" spans="1:10" ht="19" x14ac:dyDescent="0.2">
      <c r="A127" s="144"/>
      <c r="B127" s="158"/>
      <c r="C127" s="151"/>
      <c r="D127" s="147"/>
      <c r="E127" s="150"/>
      <c r="F127" s="139"/>
      <c r="G127" s="139">
        <v>900000</v>
      </c>
      <c r="H127" s="139" t="s">
        <v>1979</v>
      </c>
      <c r="I127" s="162">
        <v>54000</v>
      </c>
      <c r="J127" s="162" t="s">
        <v>1449</v>
      </c>
    </row>
    <row r="128" spans="1:10" ht="19" x14ac:dyDescent="0.2">
      <c r="A128" s="202">
        <v>1308000</v>
      </c>
      <c r="B128" s="32"/>
      <c r="C128" s="3" t="s">
        <v>10</v>
      </c>
      <c r="D128" s="13" t="s">
        <v>685</v>
      </c>
      <c r="E128" s="15">
        <v>766000</v>
      </c>
      <c r="F128" s="9">
        <v>542000</v>
      </c>
      <c r="G128" s="9">
        <v>1650000</v>
      </c>
      <c r="H128" s="47" t="s">
        <v>1980</v>
      </c>
      <c r="I128" s="106"/>
      <c r="J128" s="106"/>
    </row>
    <row r="129" spans="1:10" ht="19" x14ac:dyDescent="0.2">
      <c r="A129" s="144"/>
      <c r="B129" s="145"/>
      <c r="C129" s="159"/>
      <c r="D129" s="147"/>
      <c r="E129" s="150"/>
      <c r="F129" s="139"/>
      <c r="G129" s="139"/>
      <c r="H129" s="139"/>
      <c r="I129" s="139"/>
      <c r="J129" s="139"/>
    </row>
    <row r="130" spans="1:10" ht="19" x14ac:dyDescent="0.2">
      <c r="A130" s="143">
        <v>1568000</v>
      </c>
      <c r="B130" s="153">
        <v>45123</v>
      </c>
      <c r="C130" s="163" t="s">
        <v>9</v>
      </c>
      <c r="D130" s="155" t="s">
        <v>1981</v>
      </c>
      <c r="E130" s="164">
        <v>893000</v>
      </c>
      <c r="F130" s="119">
        <v>675000</v>
      </c>
      <c r="G130" s="119"/>
      <c r="H130" s="119"/>
      <c r="I130" s="119">
        <v>280000</v>
      </c>
      <c r="J130" s="119" t="s">
        <v>1982</v>
      </c>
    </row>
    <row r="131" spans="1:10" ht="19" x14ac:dyDescent="0.2">
      <c r="A131" s="144"/>
      <c r="B131" s="145"/>
      <c r="C131" s="159"/>
      <c r="D131" s="147"/>
      <c r="E131" s="150"/>
      <c r="F131" s="139"/>
      <c r="G131" s="139"/>
      <c r="H131" s="139"/>
      <c r="I131" s="139">
        <v>140000</v>
      </c>
      <c r="J131" s="139" t="s">
        <v>1983</v>
      </c>
    </row>
    <row r="132" spans="1:10" ht="19" x14ac:dyDescent="0.2">
      <c r="A132" s="202"/>
      <c r="B132" s="32"/>
      <c r="C132" s="35"/>
      <c r="D132" s="13"/>
      <c r="E132" s="15"/>
      <c r="F132" s="9"/>
      <c r="G132" s="9"/>
      <c r="H132" s="9"/>
      <c r="I132" s="9">
        <v>66000</v>
      </c>
      <c r="J132" s="9" t="s">
        <v>1984</v>
      </c>
    </row>
    <row r="133" spans="1:10" ht="19" x14ac:dyDescent="0.2">
      <c r="A133" s="144"/>
      <c r="B133" s="145"/>
      <c r="C133" s="146"/>
      <c r="D133" s="147"/>
      <c r="E133" s="150"/>
      <c r="F133" s="139"/>
      <c r="G133" s="139"/>
      <c r="H133" s="161"/>
      <c r="I133" s="139">
        <v>138000</v>
      </c>
      <c r="J133" s="139" t="s">
        <v>1985</v>
      </c>
    </row>
    <row r="134" spans="1:10" ht="19" x14ac:dyDescent="0.2">
      <c r="A134" s="202"/>
      <c r="B134" s="32"/>
      <c r="C134" s="49"/>
      <c r="D134" s="13"/>
      <c r="E134" s="15"/>
      <c r="F134" s="9"/>
      <c r="G134" s="9"/>
      <c r="H134" s="9"/>
      <c r="I134" s="9">
        <v>117000</v>
      </c>
      <c r="J134" s="9" t="s">
        <v>1856</v>
      </c>
    </row>
    <row r="135" spans="1:10" ht="19" x14ac:dyDescent="0.2">
      <c r="A135" s="144"/>
      <c r="B135" s="158"/>
      <c r="C135" s="159"/>
      <c r="D135" s="147"/>
      <c r="E135" s="150"/>
      <c r="F135" s="139"/>
      <c r="G135" s="139"/>
      <c r="H135" s="139"/>
      <c r="I135" s="139">
        <v>44000</v>
      </c>
      <c r="J135" s="139" t="s">
        <v>1986</v>
      </c>
    </row>
    <row r="136" spans="1:10" ht="19" x14ac:dyDescent="0.2">
      <c r="A136" s="202"/>
      <c r="B136" s="32"/>
      <c r="C136" s="35"/>
      <c r="D136" s="13"/>
      <c r="E136" s="15"/>
      <c r="F136" s="9"/>
      <c r="G136" s="9"/>
      <c r="H136" s="9"/>
      <c r="I136" s="9"/>
      <c r="J136" s="9"/>
    </row>
    <row r="137" spans="1:10" ht="19" x14ac:dyDescent="0.2">
      <c r="A137" s="144">
        <v>1679000</v>
      </c>
      <c r="B137" s="158"/>
      <c r="C137" s="151" t="s">
        <v>10</v>
      </c>
      <c r="D137" s="147" t="s">
        <v>565</v>
      </c>
      <c r="E137" s="150">
        <v>1461000</v>
      </c>
      <c r="F137" s="139">
        <v>218000</v>
      </c>
      <c r="G137" s="144"/>
      <c r="H137" s="139"/>
      <c r="I137" s="139">
        <v>75000</v>
      </c>
      <c r="J137" s="139" t="s">
        <v>1987</v>
      </c>
    </row>
    <row r="138" spans="1:10" x14ac:dyDescent="0.2">
      <c r="B138" s="33"/>
      <c r="C138" s="2"/>
      <c r="D138" s="13"/>
      <c r="E138" s="15"/>
      <c r="F138" s="9"/>
      <c r="G138" s="9"/>
      <c r="H138" s="9"/>
      <c r="I138" s="9">
        <v>75000</v>
      </c>
      <c r="J138" s="9" t="s">
        <v>1988</v>
      </c>
    </row>
    <row r="139" spans="1:10" ht="19" x14ac:dyDescent="0.2">
      <c r="A139" s="144"/>
      <c r="B139" s="158"/>
      <c r="C139" s="151"/>
      <c r="D139" s="147"/>
      <c r="E139" s="150"/>
      <c r="F139" s="139"/>
      <c r="G139" s="139"/>
      <c r="H139" s="139"/>
      <c r="I139" s="139">
        <v>23000</v>
      </c>
      <c r="J139" s="139" t="s">
        <v>1989</v>
      </c>
    </row>
    <row r="140" spans="1:10" ht="19" x14ac:dyDescent="0.2">
      <c r="A140" s="202"/>
      <c r="B140" s="32"/>
      <c r="C140" s="2"/>
      <c r="D140" s="13"/>
      <c r="E140" s="15"/>
      <c r="F140" s="9"/>
      <c r="G140" s="9"/>
      <c r="H140" s="47"/>
      <c r="I140" s="9"/>
      <c r="J140" s="9"/>
    </row>
    <row r="141" spans="1:10" ht="19" x14ac:dyDescent="0.2">
      <c r="A141" s="144">
        <v>1864000</v>
      </c>
      <c r="B141" s="145">
        <v>45124</v>
      </c>
      <c r="C141" s="159" t="s">
        <v>9</v>
      </c>
      <c r="D141" s="147" t="s">
        <v>405</v>
      </c>
      <c r="E141" s="150">
        <v>1189000</v>
      </c>
      <c r="F141" s="139">
        <v>675000</v>
      </c>
      <c r="G141" s="139"/>
      <c r="H141" s="139"/>
      <c r="I141" s="139">
        <v>100000</v>
      </c>
      <c r="J141" s="139" t="s">
        <v>1296</v>
      </c>
    </row>
    <row r="142" spans="1:10" ht="19" x14ac:dyDescent="0.2">
      <c r="A142" s="202"/>
      <c r="B142" s="32"/>
      <c r="C142" s="35"/>
      <c r="D142" s="13"/>
      <c r="E142" s="15"/>
      <c r="F142" s="9"/>
      <c r="G142" s="9"/>
      <c r="H142" s="9"/>
      <c r="I142" s="9">
        <v>56000</v>
      </c>
      <c r="J142" s="9" t="s">
        <v>1448</v>
      </c>
    </row>
    <row r="143" spans="1:10" ht="19" x14ac:dyDescent="0.2">
      <c r="A143" s="144"/>
      <c r="B143" s="145"/>
      <c r="C143" s="151"/>
      <c r="D143" s="147"/>
      <c r="E143" s="139"/>
      <c r="F143" s="139"/>
      <c r="G143" s="139"/>
      <c r="H143" s="139"/>
      <c r="I143" s="139">
        <v>144000</v>
      </c>
      <c r="J143" s="139" t="s">
        <v>1990</v>
      </c>
    </row>
    <row r="144" spans="1:10" ht="19" x14ac:dyDescent="0.2">
      <c r="A144" s="202"/>
      <c r="B144" s="32"/>
      <c r="C144" s="35"/>
      <c r="D144" s="13"/>
      <c r="E144" s="15"/>
      <c r="F144" s="9"/>
      <c r="G144" s="9"/>
      <c r="H144" s="9"/>
      <c r="I144" s="9">
        <v>200000</v>
      </c>
      <c r="J144" s="9" t="s">
        <v>1991</v>
      </c>
    </row>
    <row r="145" spans="1:10" ht="19" x14ac:dyDescent="0.2">
      <c r="A145" s="144"/>
      <c r="B145" s="158"/>
      <c r="C145" s="151"/>
      <c r="D145" s="147"/>
      <c r="E145" s="150"/>
      <c r="F145" s="139"/>
      <c r="G145" s="139"/>
      <c r="H145" s="139"/>
      <c r="I145" s="139">
        <v>35000</v>
      </c>
      <c r="J145" s="139" t="s">
        <v>1467</v>
      </c>
    </row>
    <row r="146" spans="1:10" ht="19" x14ac:dyDescent="0.2">
      <c r="A146" s="202"/>
      <c r="B146" s="33"/>
      <c r="C146" s="35"/>
      <c r="D146" s="13"/>
      <c r="E146" s="15"/>
      <c r="F146" s="9"/>
      <c r="G146" s="9"/>
      <c r="H146" s="9"/>
      <c r="I146" s="9">
        <v>100000</v>
      </c>
      <c r="J146" s="9" t="s">
        <v>1805</v>
      </c>
    </row>
    <row r="147" spans="1:10" ht="19" x14ac:dyDescent="0.2">
      <c r="A147" s="144"/>
      <c r="B147" s="158"/>
      <c r="C147" s="151"/>
      <c r="D147" s="147"/>
      <c r="E147" s="150"/>
      <c r="F147" s="139"/>
      <c r="G147" s="139"/>
      <c r="H147" s="139"/>
      <c r="I147" s="139"/>
      <c r="J147" s="139"/>
    </row>
    <row r="148" spans="1:10" ht="19" x14ac:dyDescent="0.2">
      <c r="A148" s="202">
        <v>2213000</v>
      </c>
      <c r="B148" s="32"/>
      <c r="C148" s="35" t="s">
        <v>10</v>
      </c>
      <c r="D148" s="13" t="s">
        <v>685</v>
      </c>
      <c r="E148" s="15">
        <v>1600000</v>
      </c>
      <c r="F148" s="9">
        <v>613000</v>
      </c>
      <c r="G148" s="9"/>
      <c r="H148" s="9"/>
      <c r="I148" s="9"/>
      <c r="J148" s="9"/>
    </row>
    <row r="149" spans="1:10" ht="19" x14ac:dyDescent="0.2">
      <c r="A149" s="144"/>
      <c r="B149" s="158"/>
      <c r="C149" s="151"/>
      <c r="D149" s="147"/>
      <c r="E149" s="150"/>
      <c r="F149" s="139"/>
      <c r="G149" s="139"/>
      <c r="H149" s="139"/>
      <c r="I149" s="139"/>
      <c r="J149" s="139"/>
    </row>
    <row r="150" spans="1:10" ht="19" x14ac:dyDescent="0.2">
      <c r="A150" s="143">
        <v>2782000</v>
      </c>
      <c r="B150" s="153">
        <v>45125</v>
      </c>
      <c r="C150" s="170" t="s">
        <v>9</v>
      </c>
      <c r="D150" s="155" t="s">
        <v>405</v>
      </c>
      <c r="E150" s="164">
        <v>2343000</v>
      </c>
      <c r="F150" s="119">
        <v>439000</v>
      </c>
      <c r="G150" s="119"/>
      <c r="H150" s="119"/>
      <c r="I150" s="119">
        <v>32000</v>
      </c>
      <c r="J150" s="119" t="s">
        <v>1992</v>
      </c>
    </row>
    <row r="151" spans="1:10" ht="19" x14ac:dyDescent="0.2">
      <c r="A151" s="144"/>
      <c r="B151" s="158"/>
      <c r="C151" s="151"/>
      <c r="D151" s="147"/>
      <c r="E151" s="150"/>
      <c r="F151" s="139"/>
      <c r="G151" s="139"/>
      <c r="H151" s="139"/>
      <c r="I151" s="139">
        <v>6000</v>
      </c>
      <c r="J151" s="139" t="s">
        <v>1734</v>
      </c>
    </row>
    <row r="152" spans="1:10" ht="19" x14ac:dyDescent="0.2">
      <c r="A152" s="202"/>
      <c r="B152" s="32"/>
      <c r="C152" s="2"/>
      <c r="D152" s="13"/>
      <c r="E152" s="15"/>
      <c r="F152" s="9"/>
      <c r="G152" s="9"/>
      <c r="H152" s="9"/>
      <c r="I152" s="9">
        <v>54000</v>
      </c>
      <c r="J152" s="9" t="s">
        <v>1449</v>
      </c>
    </row>
    <row r="153" spans="1:10" ht="19" x14ac:dyDescent="0.2">
      <c r="A153" s="144"/>
      <c r="B153" s="158"/>
      <c r="C153" s="151"/>
      <c r="D153" s="147"/>
      <c r="E153" s="150"/>
      <c r="F153" s="139"/>
      <c r="G153" s="139"/>
      <c r="H153" s="139"/>
      <c r="I153" s="139">
        <v>78000</v>
      </c>
      <c r="J153" s="139" t="s">
        <v>1641</v>
      </c>
    </row>
    <row r="154" spans="1:10" ht="19" x14ac:dyDescent="0.2">
      <c r="A154" s="202"/>
      <c r="B154" s="32"/>
      <c r="C154" s="3"/>
      <c r="D154" s="13"/>
      <c r="E154" s="15"/>
      <c r="F154" s="9"/>
      <c r="G154" s="9"/>
      <c r="H154" s="9"/>
      <c r="I154" s="9">
        <v>148000</v>
      </c>
      <c r="J154" s="9" t="s">
        <v>1993</v>
      </c>
    </row>
    <row r="155" spans="1:10" ht="19" x14ac:dyDescent="0.2">
      <c r="A155" s="144"/>
      <c r="B155" s="145"/>
      <c r="C155" s="151"/>
      <c r="D155" s="147"/>
      <c r="E155" s="150"/>
      <c r="F155" s="139"/>
      <c r="G155" s="139"/>
      <c r="H155" s="139"/>
      <c r="I155" s="139">
        <v>112000</v>
      </c>
      <c r="J155" s="139" t="s">
        <v>1553</v>
      </c>
    </row>
    <row r="156" spans="1:10" ht="19" x14ac:dyDescent="0.2">
      <c r="A156" s="202"/>
      <c r="B156" s="33"/>
      <c r="C156" s="35"/>
      <c r="D156" s="13"/>
      <c r="E156" s="15"/>
      <c r="F156" s="9"/>
      <c r="G156" s="9"/>
      <c r="H156" s="9"/>
      <c r="I156" s="9">
        <v>180000</v>
      </c>
      <c r="J156" s="9" t="s">
        <v>1994</v>
      </c>
    </row>
    <row r="157" spans="1:10" ht="19" x14ac:dyDescent="0.2">
      <c r="A157" s="144"/>
      <c r="B157" s="158"/>
      <c r="C157" s="151"/>
      <c r="D157" s="147"/>
      <c r="E157" s="150"/>
      <c r="F157" s="139"/>
      <c r="G157" s="139"/>
      <c r="H157" s="139"/>
      <c r="I157" s="139"/>
      <c r="J157" s="139"/>
    </row>
    <row r="158" spans="1:10" ht="19" x14ac:dyDescent="0.2">
      <c r="A158" s="202">
        <v>1430000</v>
      </c>
      <c r="B158" s="33"/>
      <c r="C158" s="35" t="s">
        <v>10</v>
      </c>
      <c r="D158" s="13" t="s">
        <v>685</v>
      </c>
      <c r="E158" s="15">
        <v>832000</v>
      </c>
      <c r="F158" s="9">
        <v>598000</v>
      </c>
      <c r="G158" s="9"/>
      <c r="H158" s="9"/>
      <c r="I158" s="9">
        <v>75000</v>
      </c>
      <c r="J158" s="9" t="s">
        <v>1995</v>
      </c>
    </row>
    <row r="159" spans="1:10" ht="19" x14ac:dyDescent="0.2">
      <c r="A159" s="144"/>
      <c r="B159" s="145"/>
      <c r="C159" s="151"/>
      <c r="D159" s="147"/>
      <c r="E159" s="150"/>
      <c r="F159" s="139"/>
      <c r="G159" s="139"/>
      <c r="H159" s="139"/>
      <c r="I159" s="139"/>
      <c r="J159" s="139"/>
    </row>
    <row r="160" spans="1:10" ht="19" x14ac:dyDescent="0.2">
      <c r="A160" s="143">
        <v>2087000</v>
      </c>
      <c r="B160" s="153">
        <v>45126</v>
      </c>
      <c r="C160" s="163" t="s">
        <v>9</v>
      </c>
      <c r="D160" s="155" t="s">
        <v>565</v>
      </c>
      <c r="E160" s="164">
        <v>1643000</v>
      </c>
      <c r="F160" s="119">
        <v>444000</v>
      </c>
      <c r="G160" s="119"/>
      <c r="H160" s="119"/>
      <c r="I160" s="119">
        <v>158000</v>
      </c>
      <c r="J160" s="119" t="s">
        <v>1996</v>
      </c>
    </row>
    <row r="161" spans="1:10" ht="19" x14ac:dyDescent="0.2">
      <c r="A161" s="144"/>
      <c r="B161" s="158"/>
      <c r="C161" s="151"/>
      <c r="D161" s="147"/>
      <c r="E161" s="150"/>
      <c r="F161" s="139"/>
      <c r="G161" s="139"/>
      <c r="H161" s="139"/>
      <c r="I161" s="139">
        <v>111000</v>
      </c>
      <c r="J161" s="139" t="s">
        <v>1997</v>
      </c>
    </row>
    <row r="162" spans="1:10" ht="19" x14ac:dyDescent="0.2">
      <c r="A162" s="202"/>
      <c r="B162" s="32"/>
      <c r="C162" s="35"/>
      <c r="D162" s="13"/>
      <c r="E162" s="15"/>
      <c r="F162" s="9"/>
      <c r="G162" s="9"/>
      <c r="H162" s="9"/>
      <c r="I162" s="9">
        <v>10000</v>
      </c>
      <c r="J162" s="9" t="s">
        <v>1873</v>
      </c>
    </row>
    <row r="163" spans="1:10" ht="19" x14ac:dyDescent="0.2">
      <c r="A163" s="144"/>
      <c r="B163" s="145"/>
      <c r="C163" s="151"/>
      <c r="D163" s="147"/>
      <c r="E163" s="150"/>
      <c r="F163" s="139"/>
      <c r="G163" s="139"/>
      <c r="H163" s="139"/>
      <c r="I163" s="139">
        <v>355000</v>
      </c>
      <c r="J163" s="139" t="s">
        <v>1780</v>
      </c>
    </row>
    <row r="164" spans="1:10" ht="19" x14ac:dyDescent="0.2">
      <c r="A164" s="202"/>
      <c r="B164" s="33"/>
      <c r="C164" s="35"/>
      <c r="D164" s="13"/>
      <c r="E164" s="15"/>
      <c r="F164" s="9"/>
      <c r="G164" s="9"/>
      <c r="H164" s="9"/>
      <c r="I164" s="9"/>
      <c r="J164" s="9"/>
    </row>
    <row r="165" spans="1:10" ht="19" x14ac:dyDescent="0.2">
      <c r="A165" s="144">
        <v>1189000</v>
      </c>
      <c r="B165" s="145"/>
      <c r="C165" s="151" t="s">
        <v>10</v>
      </c>
      <c r="D165" s="147" t="s">
        <v>685</v>
      </c>
      <c r="E165" s="150">
        <v>716000</v>
      </c>
      <c r="F165" s="139">
        <v>473000</v>
      </c>
      <c r="G165" s="157"/>
      <c r="H165" s="157"/>
      <c r="I165" s="139"/>
      <c r="J165" s="139"/>
    </row>
    <row r="166" spans="1:10" ht="19" x14ac:dyDescent="0.2">
      <c r="A166" s="202"/>
      <c r="B166" s="33"/>
      <c r="C166" s="35"/>
      <c r="D166" s="13"/>
      <c r="E166" s="15"/>
      <c r="F166" s="9"/>
      <c r="G166" s="9"/>
      <c r="H166" s="9"/>
      <c r="I166" s="9"/>
      <c r="J166" s="9"/>
    </row>
    <row r="167" spans="1:10" ht="19" x14ac:dyDescent="0.2">
      <c r="A167" s="144">
        <v>2121000</v>
      </c>
      <c r="B167" s="145">
        <v>45127</v>
      </c>
      <c r="C167" s="151" t="s">
        <v>9</v>
      </c>
      <c r="D167" s="147" t="s">
        <v>405</v>
      </c>
      <c r="E167" s="150">
        <v>1512000</v>
      </c>
      <c r="F167" s="139">
        <v>609000</v>
      </c>
      <c r="G167" s="139"/>
      <c r="H167" s="139"/>
      <c r="I167" s="139">
        <v>67000</v>
      </c>
      <c r="J167" s="139" t="s">
        <v>1738</v>
      </c>
    </row>
    <row r="168" spans="1:10" ht="19" x14ac:dyDescent="0.2">
      <c r="A168" s="202"/>
      <c r="B168" s="33"/>
      <c r="C168" s="35"/>
      <c r="D168" s="13"/>
      <c r="E168" s="15"/>
      <c r="F168" s="9"/>
      <c r="G168" s="9">
        <v>2563000</v>
      </c>
      <c r="H168" s="9" t="s">
        <v>1475</v>
      </c>
      <c r="I168" s="9">
        <v>67000</v>
      </c>
      <c r="J168" s="9" t="s">
        <v>1929</v>
      </c>
    </row>
    <row r="169" spans="1:10" ht="19" x14ac:dyDescent="0.2">
      <c r="A169" s="144"/>
      <c r="B169" s="145"/>
      <c r="C169" s="146"/>
      <c r="D169" s="147"/>
      <c r="E169" s="150"/>
      <c r="F169" s="139"/>
      <c r="G169" s="139"/>
      <c r="H169" s="139"/>
      <c r="I169" s="139">
        <v>33500</v>
      </c>
      <c r="J169" s="139" t="s">
        <v>1584</v>
      </c>
    </row>
    <row r="170" spans="1:10" ht="19" x14ac:dyDescent="0.2">
      <c r="A170" s="202"/>
      <c r="B170" s="32"/>
      <c r="C170" s="35"/>
      <c r="D170" s="13"/>
      <c r="E170" s="15"/>
      <c r="F170" s="9"/>
      <c r="G170" s="9"/>
      <c r="H170" s="9"/>
      <c r="I170" s="9">
        <v>175000</v>
      </c>
      <c r="J170" s="9" t="s">
        <v>1998</v>
      </c>
    </row>
    <row r="171" spans="1:10" ht="19" x14ac:dyDescent="0.2">
      <c r="A171" s="144"/>
      <c r="B171" s="145"/>
      <c r="C171" s="151"/>
      <c r="D171" s="147"/>
      <c r="E171" s="150"/>
      <c r="F171" s="139"/>
      <c r="G171" s="139"/>
      <c r="H171" s="139"/>
      <c r="I171" s="139">
        <v>116000</v>
      </c>
      <c r="J171" s="139" t="s">
        <v>1739</v>
      </c>
    </row>
    <row r="172" spans="1:10" ht="19" x14ac:dyDescent="0.2">
      <c r="A172" s="202"/>
      <c r="B172" s="32"/>
      <c r="C172" s="35"/>
      <c r="D172" s="13"/>
      <c r="E172" s="15"/>
      <c r="F172" s="9"/>
      <c r="G172" s="9"/>
      <c r="H172" s="9"/>
      <c r="I172" s="9">
        <v>8000</v>
      </c>
      <c r="J172" s="9" t="s">
        <v>1999</v>
      </c>
    </row>
    <row r="173" spans="1:10" ht="19" x14ac:dyDescent="0.2">
      <c r="A173" s="144"/>
      <c r="B173" s="145"/>
      <c r="C173" s="151"/>
      <c r="D173" s="147"/>
      <c r="E173" s="150"/>
      <c r="F173" s="139"/>
      <c r="G173" s="139"/>
      <c r="H173" s="139"/>
      <c r="I173" s="139">
        <v>41000</v>
      </c>
      <c r="J173" s="139" t="s">
        <v>2000</v>
      </c>
    </row>
    <row r="174" spans="1:10" ht="19" x14ac:dyDescent="0.2">
      <c r="A174" s="202"/>
      <c r="B174" s="32"/>
      <c r="C174" s="35"/>
      <c r="D174" s="13"/>
      <c r="E174" s="9"/>
      <c r="F174" s="9"/>
      <c r="G174" s="9"/>
      <c r="H174" s="9"/>
      <c r="I174" s="9">
        <v>240000</v>
      </c>
      <c r="J174" s="9" t="s">
        <v>1509</v>
      </c>
    </row>
    <row r="175" spans="1:10" ht="19" x14ac:dyDescent="0.2">
      <c r="A175" s="144"/>
      <c r="B175" s="145"/>
      <c r="C175" s="149"/>
      <c r="D175" s="147"/>
      <c r="E175" s="150"/>
      <c r="F175" s="139"/>
      <c r="G175" s="139"/>
      <c r="H175" s="139"/>
      <c r="I175" s="139">
        <v>140000</v>
      </c>
      <c r="J175" s="139" t="s">
        <v>1518</v>
      </c>
    </row>
    <row r="176" spans="1:10" ht="19" x14ac:dyDescent="0.2">
      <c r="A176" s="202"/>
      <c r="B176" s="32"/>
      <c r="C176" s="49"/>
      <c r="D176" s="13"/>
      <c r="E176" s="15"/>
      <c r="F176" s="9"/>
      <c r="G176" s="9"/>
      <c r="H176" s="9"/>
      <c r="I176" s="9"/>
      <c r="J176" s="9"/>
    </row>
    <row r="177" spans="1:10" ht="19" x14ac:dyDescent="0.2">
      <c r="A177" s="144">
        <v>1159000</v>
      </c>
      <c r="B177" s="145"/>
      <c r="C177" s="149" t="s">
        <v>10</v>
      </c>
      <c r="D177" s="147" t="s">
        <v>685</v>
      </c>
      <c r="E177" s="150">
        <v>859000</v>
      </c>
      <c r="F177" s="139">
        <v>300000</v>
      </c>
      <c r="G177" s="139"/>
      <c r="H177" s="139"/>
      <c r="I177" s="139"/>
      <c r="J177" s="139"/>
    </row>
    <row r="178" spans="1:10" ht="19" x14ac:dyDescent="0.2">
      <c r="A178" s="202"/>
      <c r="B178" s="32"/>
      <c r="C178" s="2"/>
      <c r="D178" s="13"/>
      <c r="E178" s="15"/>
      <c r="F178" s="9"/>
      <c r="G178" s="9"/>
      <c r="H178" s="9"/>
      <c r="I178" s="9"/>
      <c r="J178" s="9"/>
    </row>
    <row r="179" spans="1:10" ht="19" x14ac:dyDescent="0.2">
      <c r="A179" s="144">
        <v>1623000</v>
      </c>
      <c r="B179" s="145">
        <v>45128</v>
      </c>
      <c r="C179" s="151" t="s">
        <v>9</v>
      </c>
      <c r="D179" s="147" t="s">
        <v>405</v>
      </c>
      <c r="E179" s="150">
        <v>1218000</v>
      </c>
      <c r="F179" s="139">
        <v>405000</v>
      </c>
      <c r="G179" s="139"/>
      <c r="H179" s="139"/>
      <c r="I179" s="139">
        <v>500000</v>
      </c>
      <c r="J179" s="139" t="s">
        <v>1517</v>
      </c>
    </row>
    <row r="180" spans="1:10" ht="19" x14ac:dyDescent="0.2">
      <c r="A180" s="202"/>
      <c r="B180" s="32"/>
      <c r="C180" s="49"/>
      <c r="D180" s="13"/>
      <c r="E180" s="15"/>
      <c r="F180" s="9"/>
      <c r="G180" s="9"/>
      <c r="H180" s="9"/>
      <c r="I180" s="77">
        <v>29000</v>
      </c>
      <c r="J180" s="77" t="s">
        <v>1713</v>
      </c>
    </row>
    <row r="181" spans="1:10" ht="19" x14ac:dyDescent="0.2">
      <c r="A181" s="144"/>
      <c r="B181" s="145"/>
      <c r="C181" s="149"/>
      <c r="D181" s="147"/>
      <c r="E181" s="150"/>
      <c r="F181" s="139"/>
      <c r="G181" s="139"/>
      <c r="H181" s="139"/>
      <c r="I181" s="165">
        <v>26000</v>
      </c>
      <c r="J181" s="165" t="s">
        <v>1938</v>
      </c>
    </row>
    <row r="182" spans="1:10" ht="19" x14ac:dyDescent="0.2">
      <c r="A182" s="202"/>
      <c r="B182" s="32"/>
      <c r="C182" s="49"/>
      <c r="D182" s="13"/>
      <c r="E182" s="15"/>
      <c r="F182" s="9"/>
      <c r="G182" s="9"/>
      <c r="H182" s="103"/>
      <c r="I182" s="77">
        <v>120000</v>
      </c>
      <c r="J182" s="77" t="s">
        <v>1668</v>
      </c>
    </row>
    <row r="183" spans="1:10" ht="19" x14ac:dyDescent="0.2">
      <c r="A183" s="144"/>
      <c r="B183" s="145"/>
      <c r="C183" s="149"/>
      <c r="D183" s="147"/>
      <c r="E183" s="150"/>
      <c r="F183" s="139"/>
      <c r="G183" s="139"/>
      <c r="H183" s="166"/>
      <c r="I183" s="165">
        <v>165000</v>
      </c>
      <c r="J183" s="165" t="s">
        <v>2001</v>
      </c>
    </row>
    <row r="184" spans="1:10" ht="19" x14ac:dyDescent="0.2">
      <c r="A184" s="202"/>
      <c r="B184" s="32"/>
      <c r="C184" s="49"/>
      <c r="D184" s="13"/>
      <c r="E184" s="15"/>
      <c r="F184" s="9"/>
      <c r="G184" s="9"/>
      <c r="H184" s="103"/>
      <c r="I184" s="77"/>
      <c r="J184" s="77"/>
    </row>
    <row r="185" spans="1:10" ht="19" x14ac:dyDescent="0.2">
      <c r="A185" s="144">
        <v>2156000</v>
      </c>
      <c r="B185" s="145"/>
      <c r="C185" s="149" t="s">
        <v>10</v>
      </c>
      <c r="D185" s="147" t="s">
        <v>685</v>
      </c>
      <c r="E185" s="150">
        <v>1385000</v>
      </c>
      <c r="F185" s="139">
        <v>771000</v>
      </c>
      <c r="G185" s="139"/>
      <c r="H185" s="139"/>
      <c r="I185" s="139"/>
      <c r="J185" s="139"/>
    </row>
    <row r="186" spans="1:10" ht="19" x14ac:dyDescent="0.2">
      <c r="A186" s="202"/>
      <c r="B186" s="32"/>
      <c r="C186" s="2"/>
      <c r="D186" s="13"/>
      <c r="E186" s="15"/>
      <c r="F186" s="9"/>
      <c r="G186" s="9"/>
      <c r="H186" s="9"/>
      <c r="I186" s="9"/>
      <c r="J186" s="9"/>
    </row>
    <row r="187" spans="1:10" ht="19" x14ac:dyDescent="0.2">
      <c r="A187" s="144">
        <v>1716000</v>
      </c>
      <c r="B187" s="145">
        <v>45129</v>
      </c>
      <c r="C187" s="149" t="s">
        <v>9</v>
      </c>
      <c r="D187" s="147" t="s">
        <v>405</v>
      </c>
      <c r="E187" s="150">
        <v>1270000</v>
      </c>
      <c r="F187" s="139">
        <v>446000</v>
      </c>
      <c r="G187" s="139"/>
      <c r="H187" s="139"/>
      <c r="I187" s="139">
        <v>35000</v>
      </c>
      <c r="J187" s="139" t="s">
        <v>1493</v>
      </c>
    </row>
    <row r="188" spans="1:10" ht="19" x14ac:dyDescent="0.2">
      <c r="A188" s="202"/>
      <c r="B188" s="32"/>
      <c r="C188" s="49"/>
      <c r="D188" s="13"/>
      <c r="E188" s="15"/>
      <c r="F188" s="9"/>
      <c r="G188" s="9"/>
      <c r="H188" s="9"/>
      <c r="I188" s="9">
        <v>33000</v>
      </c>
      <c r="J188" s="9" t="s">
        <v>2002</v>
      </c>
    </row>
    <row r="189" spans="1:10" ht="19" x14ac:dyDescent="0.2">
      <c r="A189" s="144"/>
      <c r="B189" s="145"/>
      <c r="C189" s="149"/>
      <c r="D189" s="147"/>
      <c r="E189" s="150"/>
      <c r="F189" s="139"/>
      <c r="G189" s="139"/>
      <c r="H189" s="139"/>
      <c r="I189" s="139">
        <v>62000</v>
      </c>
      <c r="J189" s="139" t="s">
        <v>2003</v>
      </c>
    </row>
    <row r="190" spans="1:10" ht="19" x14ac:dyDescent="0.2">
      <c r="A190" s="202"/>
      <c r="B190" s="32"/>
      <c r="C190" s="2"/>
      <c r="D190" s="13"/>
      <c r="E190" s="15"/>
      <c r="F190" s="9"/>
      <c r="G190" s="9"/>
      <c r="H190" s="9"/>
      <c r="I190" s="9">
        <v>27000</v>
      </c>
      <c r="J190" s="9" t="s">
        <v>1859</v>
      </c>
    </row>
    <row r="191" spans="1:10" ht="19" x14ac:dyDescent="0.2">
      <c r="A191" s="144"/>
      <c r="B191" s="145"/>
      <c r="C191" s="151"/>
      <c r="D191" s="147"/>
      <c r="E191" s="150"/>
      <c r="F191" s="139"/>
      <c r="G191" s="139"/>
      <c r="H191" s="139"/>
      <c r="I191" s="139">
        <v>180000</v>
      </c>
      <c r="J191" s="139" t="s">
        <v>2004</v>
      </c>
    </row>
    <row r="192" spans="1:10" ht="19" x14ac:dyDescent="0.2">
      <c r="A192" s="202"/>
      <c r="B192" s="32"/>
      <c r="C192" s="3"/>
      <c r="D192" s="13"/>
      <c r="E192" s="15"/>
      <c r="F192" s="9"/>
      <c r="G192" s="9"/>
      <c r="H192" s="77"/>
      <c r="I192" s="9">
        <v>140000</v>
      </c>
      <c r="J192" s="9" t="s">
        <v>2005</v>
      </c>
    </row>
    <row r="193" spans="1:10" ht="19" x14ac:dyDescent="0.2">
      <c r="A193" s="144"/>
      <c r="B193" s="145"/>
      <c r="C193" s="151"/>
      <c r="D193" s="147"/>
      <c r="E193" s="150"/>
      <c r="F193" s="139"/>
      <c r="G193" s="139"/>
      <c r="H193" s="165"/>
      <c r="I193" s="139">
        <v>100000</v>
      </c>
      <c r="J193" s="139" t="s">
        <v>1296</v>
      </c>
    </row>
    <row r="194" spans="1:10" ht="19" x14ac:dyDescent="0.2">
      <c r="A194" s="202"/>
      <c r="B194" s="32"/>
      <c r="C194" s="3"/>
      <c r="D194" s="13"/>
      <c r="E194" s="15"/>
      <c r="F194" s="9"/>
      <c r="G194" s="9"/>
      <c r="H194" s="77"/>
      <c r="I194" s="9">
        <v>56000</v>
      </c>
      <c r="J194" s="9" t="s">
        <v>1448</v>
      </c>
    </row>
    <row r="195" spans="1:10" ht="19" x14ac:dyDescent="0.2">
      <c r="A195" s="144"/>
      <c r="B195" s="145"/>
      <c r="C195" s="146"/>
      <c r="D195" s="147"/>
      <c r="E195" s="150"/>
      <c r="F195" s="139"/>
      <c r="G195" s="139"/>
      <c r="H195" s="165"/>
      <c r="I195" s="139">
        <v>144000</v>
      </c>
      <c r="J195" s="139" t="s">
        <v>1245</v>
      </c>
    </row>
    <row r="196" spans="1:10" ht="19" x14ac:dyDescent="0.2">
      <c r="A196" s="202"/>
      <c r="B196" s="32"/>
      <c r="C196" s="35"/>
      <c r="D196" s="13"/>
      <c r="E196" s="15"/>
      <c r="F196" s="9"/>
      <c r="G196" s="9"/>
      <c r="H196" s="77"/>
      <c r="I196" s="9">
        <v>200000</v>
      </c>
      <c r="J196" s="9" t="s">
        <v>1614</v>
      </c>
    </row>
    <row r="197" spans="1:10" ht="19" x14ac:dyDescent="0.2">
      <c r="A197" s="144"/>
      <c r="B197" s="145"/>
      <c r="C197" s="151"/>
      <c r="D197" s="147"/>
      <c r="E197" s="150"/>
      <c r="F197" s="139"/>
      <c r="G197" s="139"/>
      <c r="H197" s="165"/>
      <c r="I197" s="139">
        <v>35000</v>
      </c>
      <c r="J197" s="139" t="s">
        <v>1467</v>
      </c>
    </row>
    <row r="198" spans="1:10" ht="19" x14ac:dyDescent="0.2">
      <c r="A198" s="202"/>
      <c r="B198" s="32"/>
      <c r="C198" s="35"/>
      <c r="D198" s="13"/>
      <c r="E198" s="15"/>
      <c r="F198" s="9"/>
      <c r="G198" s="9"/>
      <c r="H198" s="77"/>
      <c r="I198" s="9">
        <v>100000</v>
      </c>
      <c r="J198" s="9" t="s">
        <v>1710</v>
      </c>
    </row>
    <row r="199" spans="1:10" ht="19" x14ac:dyDescent="0.2">
      <c r="A199" s="144"/>
      <c r="B199" s="145"/>
      <c r="C199" s="151"/>
      <c r="D199" s="147"/>
      <c r="E199" s="150"/>
      <c r="F199" s="139"/>
      <c r="G199" s="139"/>
      <c r="H199" s="165"/>
      <c r="I199" s="139"/>
      <c r="J199" s="139"/>
    </row>
    <row r="200" spans="1:10" ht="19" x14ac:dyDescent="0.2">
      <c r="A200" s="202">
        <v>1702000</v>
      </c>
      <c r="B200" s="32"/>
      <c r="C200" s="2" t="s">
        <v>10</v>
      </c>
      <c r="D200" s="13" t="s">
        <v>685</v>
      </c>
      <c r="E200" s="15">
        <v>1432000</v>
      </c>
      <c r="F200" s="9">
        <v>270000</v>
      </c>
      <c r="G200" s="9"/>
      <c r="H200" s="77"/>
      <c r="I200" s="9">
        <v>50000</v>
      </c>
      <c r="J200" s="9" t="s">
        <v>123</v>
      </c>
    </row>
    <row r="201" spans="1:10" ht="19" x14ac:dyDescent="0.2">
      <c r="A201" s="144"/>
      <c r="B201" s="145"/>
      <c r="C201" s="149"/>
      <c r="D201" s="147"/>
      <c r="E201" s="150"/>
      <c r="F201" s="139"/>
      <c r="G201" s="139"/>
      <c r="H201" s="165"/>
      <c r="I201" s="139"/>
      <c r="J201" s="139"/>
    </row>
    <row r="202" spans="1:10" ht="19" x14ac:dyDescent="0.2">
      <c r="A202" s="143">
        <v>1203000</v>
      </c>
      <c r="B202" s="153">
        <v>45130</v>
      </c>
      <c r="C202" s="154" t="s">
        <v>9</v>
      </c>
      <c r="D202" s="155" t="s">
        <v>405</v>
      </c>
      <c r="E202" s="164">
        <v>1082000</v>
      </c>
      <c r="F202" s="119">
        <v>121000</v>
      </c>
      <c r="G202" s="119">
        <v>250000</v>
      </c>
      <c r="H202" s="168" t="s">
        <v>2055</v>
      </c>
      <c r="I202" s="119"/>
      <c r="J202" s="119"/>
    </row>
    <row r="203" spans="1:10" ht="19" x14ac:dyDescent="0.2">
      <c r="A203" s="144"/>
      <c r="B203" s="145"/>
      <c r="C203" s="151"/>
      <c r="D203" s="147"/>
      <c r="E203" s="150"/>
      <c r="F203" s="139"/>
      <c r="G203" s="139"/>
      <c r="H203" s="165"/>
      <c r="I203" s="139"/>
      <c r="J203" s="139"/>
    </row>
    <row r="204" spans="1:10" ht="19" x14ac:dyDescent="0.2">
      <c r="A204" s="202">
        <v>1853000</v>
      </c>
      <c r="B204" s="32"/>
      <c r="C204" s="2" t="s">
        <v>10</v>
      </c>
      <c r="D204" s="13" t="s">
        <v>565</v>
      </c>
      <c r="E204" s="15">
        <v>1354000</v>
      </c>
      <c r="F204" s="9">
        <v>499000</v>
      </c>
      <c r="G204" s="9"/>
      <c r="H204" s="9"/>
      <c r="I204" s="9">
        <v>54000</v>
      </c>
      <c r="J204" s="9" t="s">
        <v>1449</v>
      </c>
    </row>
    <row r="205" spans="1:10" ht="19" x14ac:dyDescent="0.2">
      <c r="A205" s="144"/>
      <c r="B205" s="145"/>
      <c r="C205" s="149"/>
      <c r="D205" s="147"/>
      <c r="E205" s="150"/>
      <c r="F205" s="139"/>
      <c r="G205" s="139"/>
      <c r="H205" s="165"/>
      <c r="I205" s="139">
        <v>78000</v>
      </c>
      <c r="J205" s="139" t="s">
        <v>1641</v>
      </c>
    </row>
    <row r="206" spans="1:10" ht="19" x14ac:dyDescent="0.2">
      <c r="A206" s="202"/>
      <c r="B206" s="32"/>
      <c r="C206" s="58"/>
      <c r="D206" s="13"/>
      <c r="E206" s="15"/>
      <c r="F206" s="9"/>
      <c r="G206" s="9"/>
      <c r="H206" s="9"/>
      <c r="I206" s="9">
        <v>102000</v>
      </c>
      <c r="J206" s="9" t="s">
        <v>2006</v>
      </c>
    </row>
    <row r="207" spans="1:10" ht="19" x14ac:dyDescent="0.2">
      <c r="A207" s="144"/>
      <c r="B207" s="145"/>
      <c r="C207" s="146"/>
      <c r="D207" s="147"/>
      <c r="E207" s="150"/>
      <c r="F207" s="139"/>
      <c r="G207" s="139"/>
      <c r="H207" s="139"/>
      <c r="I207" s="139">
        <v>10000</v>
      </c>
      <c r="J207" s="139" t="s">
        <v>1873</v>
      </c>
    </row>
    <row r="208" spans="1:10" ht="19" x14ac:dyDescent="0.2">
      <c r="A208" s="202"/>
      <c r="B208" s="33"/>
      <c r="C208" s="35"/>
      <c r="D208" s="13"/>
      <c r="E208" s="15"/>
      <c r="F208" s="9"/>
      <c r="G208" s="9"/>
      <c r="H208" s="77"/>
      <c r="I208" s="9">
        <v>75000</v>
      </c>
      <c r="J208" s="9" t="s">
        <v>2007</v>
      </c>
    </row>
    <row r="209" spans="1:10" ht="19" x14ac:dyDescent="0.2">
      <c r="A209" s="144"/>
      <c r="B209" s="145"/>
      <c r="C209" s="149"/>
      <c r="D209" s="147"/>
      <c r="E209" s="150"/>
      <c r="F209" s="139"/>
      <c r="G209" s="139"/>
      <c r="H209" s="139"/>
      <c r="I209" s="139">
        <v>126000</v>
      </c>
      <c r="J209" s="139" t="s">
        <v>1649</v>
      </c>
    </row>
    <row r="210" spans="1:10" ht="19" x14ac:dyDescent="0.2">
      <c r="A210" s="202"/>
      <c r="B210" s="32"/>
      <c r="C210" s="49"/>
      <c r="D210" s="13"/>
      <c r="E210" s="15"/>
      <c r="F210" s="9"/>
      <c r="G210" s="9"/>
      <c r="H210" s="9"/>
      <c r="I210" s="77"/>
      <c r="J210" s="77"/>
    </row>
    <row r="211" spans="1:10" ht="19" x14ac:dyDescent="0.2">
      <c r="A211" s="144">
        <v>1460000</v>
      </c>
      <c r="B211" s="145">
        <v>45131</v>
      </c>
      <c r="C211" s="149" t="s">
        <v>9</v>
      </c>
      <c r="D211" s="147" t="s">
        <v>405</v>
      </c>
      <c r="E211" s="150">
        <v>1049000</v>
      </c>
      <c r="F211" s="139">
        <v>411000</v>
      </c>
      <c r="G211" s="139"/>
      <c r="H211" s="139"/>
      <c r="I211" s="165">
        <v>20000</v>
      </c>
      <c r="J211" s="165" t="s">
        <v>2008</v>
      </c>
    </row>
    <row r="212" spans="1:10" ht="19" x14ac:dyDescent="0.2">
      <c r="A212" s="202"/>
      <c r="B212" s="32"/>
      <c r="C212" s="49"/>
      <c r="D212" s="13"/>
      <c r="E212" s="15"/>
      <c r="F212" s="9"/>
      <c r="G212" s="9"/>
      <c r="H212" s="9"/>
      <c r="I212" s="77"/>
      <c r="J212" s="77"/>
    </row>
    <row r="213" spans="1:10" ht="19" x14ac:dyDescent="0.2">
      <c r="A213" s="144">
        <v>2073000</v>
      </c>
      <c r="B213" s="145"/>
      <c r="C213" s="149" t="s">
        <v>10</v>
      </c>
      <c r="D213" s="147" t="s">
        <v>685</v>
      </c>
      <c r="E213" s="150">
        <v>1582000</v>
      </c>
      <c r="F213" s="139">
        <v>491000</v>
      </c>
      <c r="G213" s="139"/>
      <c r="H213" s="139"/>
      <c r="I213" s="165"/>
      <c r="J213" s="165"/>
    </row>
    <row r="214" spans="1:10" ht="19" x14ac:dyDescent="0.2">
      <c r="A214" s="202"/>
      <c r="B214" s="32"/>
      <c r="C214" s="49"/>
      <c r="D214" s="13"/>
      <c r="E214" s="15"/>
      <c r="F214" s="9"/>
      <c r="G214" s="9"/>
      <c r="H214" s="9"/>
      <c r="I214" s="77"/>
      <c r="J214" s="77"/>
    </row>
    <row r="215" spans="1:10" ht="19" x14ac:dyDescent="0.2">
      <c r="A215" s="144">
        <v>2284000</v>
      </c>
      <c r="B215" s="145">
        <v>45132</v>
      </c>
      <c r="C215" s="149" t="s">
        <v>9</v>
      </c>
      <c r="D215" s="147" t="s">
        <v>405</v>
      </c>
      <c r="E215" s="150">
        <v>1612000</v>
      </c>
      <c r="F215" s="139">
        <v>672000</v>
      </c>
      <c r="G215" s="139"/>
      <c r="H215" s="161"/>
      <c r="I215" s="165">
        <v>180000</v>
      </c>
      <c r="J215" s="165" t="s">
        <v>2009</v>
      </c>
    </row>
    <row r="216" spans="1:10" ht="19" x14ac:dyDescent="0.2">
      <c r="A216" s="202"/>
      <c r="B216" s="32"/>
      <c r="C216" s="49"/>
      <c r="D216" s="13"/>
      <c r="E216" s="15"/>
      <c r="F216" s="9"/>
      <c r="G216" s="9"/>
      <c r="H216" s="9"/>
      <c r="I216" s="77"/>
      <c r="J216" s="77"/>
    </row>
    <row r="217" spans="1:10" ht="19" x14ac:dyDescent="0.2">
      <c r="A217" s="144">
        <v>1299000</v>
      </c>
      <c r="B217" s="145"/>
      <c r="C217" s="149" t="s">
        <v>10</v>
      </c>
      <c r="D217" s="147" t="s">
        <v>685</v>
      </c>
      <c r="E217" s="150">
        <v>1013000</v>
      </c>
      <c r="F217" s="139">
        <v>286000</v>
      </c>
      <c r="G217" s="139"/>
      <c r="H217" s="139"/>
      <c r="I217" s="165">
        <v>154000</v>
      </c>
      <c r="J217" s="165" t="s">
        <v>1869</v>
      </c>
    </row>
    <row r="218" spans="1:10" ht="19" x14ac:dyDescent="0.2">
      <c r="A218" s="202"/>
      <c r="B218" s="32"/>
      <c r="C218" s="49"/>
      <c r="D218" s="13"/>
      <c r="E218" s="15"/>
      <c r="F218" s="9"/>
      <c r="G218" s="9"/>
      <c r="H218" s="9"/>
      <c r="I218" s="77"/>
      <c r="J218" s="77"/>
    </row>
    <row r="219" spans="1:10" ht="19" x14ac:dyDescent="0.2">
      <c r="A219" s="144">
        <v>2215000</v>
      </c>
      <c r="B219" s="145">
        <v>45133</v>
      </c>
      <c r="C219" s="159" t="s">
        <v>9</v>
      </c>
      <c r="D219" s="147" t="s">
        <v>565</v>
      </c>
      <c r="E219" s="150">
        <v>1692000</v>
      </c>
      <c r="F219" s="139">
        <v>523000</v>
      </c>
      <c r="G219" s="139"/>
      <c r="H219" s="139"/>
      <c r="I219" s="165">
        <v>117000</v>
      </c>
      <c r="J219" s="165" t="s">
        <v>1856</v>
      </c>
    </row>
    <row r="220" spans="1:10" ht="19" x14ac:dyDescent="0.2">
      <c r="A220" s="202"/>
      <c r="B220" s="32"/>
      <c r="C220" s="49"/>
      <c r="D220" s="13"/>
      <c r="E220" s="15"/>
      <c r="F220" s="9"/>
      <c r="G220" s="9"/>
      <c r="H220" s="9"/>
      <c r="I220" s="77">
        <v>109000</v>
      </c>
      <c r="J220" s="77" t="s">
        <v>2010</v>
      </c>
    </row>
    <row r="221" spans="1:10" ht="19" x14ac:dyDescent="0.2">
      <c r="A221" s="144"/>
      <c r="B221" s="145"/>
      <c r="C221" s="146"/>
      <c r="D221" s="147"/>
      <c r="E221" s="150"/>
      <c r="F221" s="139"/>
      <c r="G221" s="139"/>
      <c r="H221" s="139"/>
      <c r="I221" s="165">
        <v>220000</v>
      </c>
      <c r="J221" s="165" t="s">
        <v>2011</v>
      </c>
    </row>
    <row r="222" spans="1:10" ht="19" x14ac:dyDescent="0.2">
      <c r="A222" s="202"/>
      <c r="B222" s="32"/>
      <c r="C222" s="49"/>
      <c r="D222" s="13"/>
      <c r="E222" s="15"/>
      <c r="F222" s="9"/>
      <c r="G222" s="9"/>
      <c r="H222" s="9"/>
      <c r="I222" s="9"/>
      <c r="J222" s="9"/>
    </row>
    <row r="223" spans="1:10" ht="19" x14ac:dyDescent="0.2">
      <c r="A223" s="144">
        <v>2097000</v>
      </c>
      <c r="B223" s="145"/>
      <c r="C223" s="149" t="s">
        <v>10</v>
      </c>
      <c r="D223" s="147" t="s">
        <v>685</v>
      </c>
      <c r="E223" s="150">
        <v>1544000</v>
      </c>
      <c r="F223" s="139">
        <v>553000</v>
      </c>
      <c r="G223" s="139"/>
      <c r="H223" s="139"/>
      <c r="I223" s="139">
        <v>140000</v>
      </c>
      <c r="J223" s="139" t="s">
        <v>1518</v>
      </c>
    </row>
    <row r="224" spans="1:10" ht="19" x14ac:dyDescent="0.2">
      <c r="A224" s="202"/>
      <c r="B224" s="32"/>
      <c r="C224" s="49"/>
      <c r="D224" s="13"/>
      <c r="E224" s="15"/>
      <c r="F224" s="9"/>
      <c r="G224" s="9"/>
      <c r="H224" s="9"/>
      <c r="I224" s="9"/>
      <c r="J224" s="9"/>
    </row>
    <row r="225" spans="1:10" ht="19" x14ac:dyDescent="0.2">
      <c r="A225" s="144">
        <v>1897000</v>
      </c>
      <c r="B225" s="145">
        <v>45134</v>
      </c>
      <c r="C225" s="151" t="s">
        <v>9</v>
      </c>
      <c r="D225" s="147" t="s">
        <v>405</v>
      </c>
      <c r="E225" s="150">
        <v>1694000</v>
      </c>
      <c r="F225" s="139">
        <v>203000</v>
      </c>
      <c r="G225" s="139">
        <v>100000</v>
      </c>
      <c r="H225" s="139" t="s">
        <v>2012</v>
      </c>
      <c r="I225" s="139">
        <v>89000</v>
      </c>
      <c r="J225" s="139" t="s">
        <v>2013</v>
      </c>
    </row>
    <row r="226" spans="1:10" ht="19" x14ac:dyDescent="0.2">
      <c r="A226" s="202"/>
      <c r="B226" s="32"/>
      <c r="C226" s="49"/>
      <c r="D226" s="13"/>
      <c r="E226" s="15"/>
      <c r="F226" s="9"/>
      <c r="G226" s="9">
        <v>650000</v>
      </c>
      <c r="H226" s="47" t="s">
        <v>2014</v>
      </c>
      <c r="I226" s="9">
        <v>80000</v>
      </c>
      <c r="J226" s="9" t="s">
        <v>2015</v>
      </c>
    </row>
    <row r="227" spans="1:10" ht="19" x14ac:dyDescent="0.2">
      <c r="A227" s="144"/>
      <c r="B227" s="145"/>
      <c r="C227" s="151"/>
      <c r="D227" s="147"/>
      <c r="E227" s="150"/>
      <c r="F227" s="139"/>
      <c r="G227" s="139">
        <v>2565000</v>
      </c>
      <c r="H227" s="139" t="s">
        <v>1475</v>
      </c>
      <c r="I227" s="139">
        <v>41000</v>
      </c>
      <c r="J227" s="139" t="s">
        <v>2000</v>
      </c>
    </row>
    <row r="228" spans="1:10" ht="19" x14ac:dyDescent="0.2">
      <c r="A228" s="202"/>
      <c r="B228" s="33"/>
      <c r="C228" s="49"/>
      <c r="D228" s="13"/>
      <c r="E228" s="15"/>
      <c r="F228" s="9"/>
      <c r="G228" s="9"/>
      <c r="H228" s="9"/>
      <c r="I228" s="9">
        <v>140000</v>
      </c>
      <c r="J228" s="9" t="s">
        <v>1518</v>
      </c>
    </row>
    <row r="229" spans="1:10" ht="19" x14ac:dyDescent="0.2">
      <c r="A229" s="144"/>
      <c r="B229" s="145"/>
      <c r="C229" s="149"/>
      <c r="D229" s="147"/>
      <c r="E229" s="150"/>
      <c r="F229" s="139"/>
      <c r="G229" s="139"/>
      <c r="H229" s="139"/>
      <c r="I229" s="139">
        <v>100000</v>
      </c>
      <c r="J229" s="139" t="s">
        <v>1296</v>
      </c>
    </row>
    <row r="230" spans="1:10" ht="19" x14ac:dyDescent="0.2">
      <c r="A230" s="202"/>
      <c r="B230" s="32"/>
      <c r="C230" s="49"/>
      <c r="D230" s="13"/>
      <c r="E230" s="15"/>
      <c r="F230" s="9"/>
      <c r="G230" s="9"/>
      <c r="H230" s="47"/>
      <c r="I230" s="77">
        <v>70000</v>
      </c>
      <c r="J230" s="77" t="s">
        <v>1285</v>
      </c>
    </row>
    <row r="231" spans="1:10" ht="19" x14ac:dyDescent="0.2">
      <c r="A231" s="144"/>
      <c r="B231" s="145"/>
      <c r="C231" s="149"/>
      <c r="D231" s="147"/>
      <c r="E231" s="150"/>
      <c r="F231" s="139"/>
      <c r="G231" s="139"/>
      <c r="H231" s="139"/>
      <c r="I231" s="139">
        <v>144000</v>
      </c>
      <c r="J231" s="139" t="s">
        <v>1245</v>
      </c>
    </row>
    <row r="232" spans="1:10" ht="19" x14ac:dyDescent="0.2">
      <c r="A232" s="202"/>
      <c r="B232" s="33"/>
      <c r="C232" s="2"/>
      <c r="D232" s="13"/>
      <c r="E232" s="15"/>
      <c r="F232" s="9"/>
      <c r="G232" s="9"/>
      <c r="H232" s="9"/>
      <c r="I232" s="9">
        <v>54000</v>
      </c>
      <c r="J232" s="9" t="s">
        <v>1449</v>
      </c>
    </row>
    <row r="233" spans="1:10" ht="19" x14ac:dyDescent="0.2">
      <c r="A233" s="144"/>
      <c r="B233" s="145"/>
      <c r="C233" s="151"/>
      <c r="D233" s="147"/>
      <c r="E233" s="150"/>
      <c r="F233" s="139"/>
      <c r="G233" s="139"/>
      <c r="H233" s="139"/>
      <c r="I233" s="139">
        <v>82000</v>
      </c>
      <c r="J233" s="139" t="s">
        <v>2016</v>
      </c>
    </row>
    <row r="234" spans="1:10" ht="19" x14ac:dyDescent="0.2">
      <c r="A234" s="202"/>
      <c r="B234" s="32"/>
      <c r="C234" s="3"/>
      <c r="D234" s="13"/>
      <c r="E234" s="9"/>
      <c r="F234" s="9"/>
      <c r="G234" s="9"/>
      <c r="H234" s="47"/>
      <c r="I234" s="106">
        <v>10000</v>
      </c>
      <c r="J234" s="9" t="s">
        <v>1873</v>
      </c>
    </row>
    <row r="235" spans="1:10" ht="19" x14ac:dyDescent="0.2">
      <c r="A235" s="144"/>
      <c r="B235" s="145"/>
      <c r="C235" s="159"/>
      <c r="D235" s="147"/>
      <c r="E235" s="150"/>
      <c r="F235" s="139"/>
      <c r="G235" s="139"/>
      <c r="H235" s="161"/>
      <c r="I235" s="139">
        <v>137000</v>
      </c>
      <c r="J235" s="139" t="s">
        <v>2017</v>
      </c>
    </row>
    <row r="236" spans="1:10" ht="19" x14ac:dyDescent="0.2">
      <c r="A236" s="202"/>
      <c r="B236" s="32"/>
      <c r="C236" s="3"/>
      <c r="D236" s="13"/>
      <c r="E236" s="9"/>
      <c r="F236" s="9"/>
      <c r="G236" s="9"/>
      <c r="H236" s="9"/>
      <c r="I236" s="106"/>
      <c r="J236" s="107"/>
    </row>
    <row r="237" spans="1:10" ht="19" x14ac:dyDescent="0.2">
      <c r="A237" s="144">
        <v>1328000</v>
      </c>
      <c r="B237" s="145"/>
      <c r="C237" s="159" t="s">
        <v>10</v>
      </c>
      <c r="D237" s="147" t="s">
        <v>685</v>
      </c>
      <c r="E237" s="150">
        <v>843000</v>
      </c>
      <c r="F237" s="139">
        <v>485000</v>
      </c>
      <c r="G237" s="139"/>
      <c r="H237" s="139"/>
      <c r="I237" s="139"/>
      <c r="J237" s="139"/>
    </row>
    <row r="238" spans="1:10" ht="19" x14ac:dyDescent="0.2">
      <c r="A238" s="202"/>
      <c r="B238" s="32"/>
      <c r="C238" s="2"/>
      <c r="D238" s="13"/>
      <c r="E238" s="15"/>
      <c r="F238" s="9"/>
      <c r="G238" s="9"/>
      <c r="H238" s="9"/>
      <c r="I238" s="9"/>
      <c r="J238" s="9"/>
    </row>
    <row r="239" spans="1:10" ht="19" x14ac:dyDescent="0.2">
      <c r="A239" s="144">
        <v>1875000</v>
      </c>
      <c r="B239" s="145">
        <v>45135</v>
      </c>
      <c r="C239" s="159" t="s">
        <v>9</v>
      </c>
      <c r="D239" s="147" t="s">
        <v>405</v>
      </c>
      <c r="E239" s="150">
        <v>1410000</v>
      </c>
      <c r="F239" s="139">
        <v>465000</v>
      </c>
      <c r="G239" s="139"/>
      <c r="H239" s="139"/>
      <c r="I239" s="139">
        <v>90000</v>
      </c>
      <c r="J239" s="139" t="s">
        <v>2018</v>
      </c>
    </row>
    <row r="240" spans="1:10" ht="19" x14ac:dyDescent="0.2">
      <c r="A240" s="202"/>
      <c r="B240" s="32"/>
      <c r="C240" s="2"/>
      <c r="D240" s="13"/>
      <c r="E240" s="15"/>
      <c r="F240" s="9"/>
      <c r="G240" s="9"/>
      <c r="H240" s="9"/>
      <c r="I240" s="9">
        <v>90000</v>
      </c>
      <c r="J240" s="9" t="s">
        <v>2019</v>
      </c>
    </row>
    <row r="241" spans="1:10" ht="19" x14ac:dyDescent="0.2">
      <c r="A241" s="144"/>
      <c r="B241" s="145"/>
      <c r="C241" s="159"/>
      <c r="D241" s="147"/>
      <c r="E241" s="150"/>
      <c r="F241" s="139"/>
      <c r="G241" s="139"/>
      <c r="H241" s="139"/>
      <c r="I241" s="139">
        <v>200000</v>
      </c>
      <c r="J241" s="139" t="s">
        <v>1614</v>
      </c>
    </row>
    <row r="242" spans="1:10" ht="19" x14ac:dyDescent="0.2">
      <c r="A242" s="202"/>
      <c r="B242" s="32"/>
      <c r="C242" s="2"/>
      <c r="D242" s="13"/>
      <c r="E242" s="15"/>
      <c r="F242" s="9"/>
      <c r="G242" s="9"/>
      <c r="H242" s="9"/>
      <c r="I242" s="9">
        <v>35000</v>
      </c>
      <c r="J242" s="9" t="s">
        <v>1467</v>
      </c>
    </row>
    <row r="243" spans="1:10" ht="19" x14ac:dyDescent="0.2">
      <c r="A243" s="144"/>
      <c r="B243" s="145"/>
      <c r="C243" s="159"/>
      <c r="D243" s="147"/>
      <c r="E243" s="150"/>
      <c r="F243" s="139"/>
      <c r="G243" s="139"/>
      <c r="H243" s="139"/>
      <c r="I243" s="139">
        <v>100000</v>
      </c>
      <c r="J243" s="139" t="s">
        <v>2020</v>
      </c>
    </row>
    <row r="244" spans="1:10" ht="19" x14ac:dyDescent="0.2">
      <c r="A244" s="202"/>
      <c r="B244" s="32"/>
      <c r="C244" s="2"/>
      <c r="D244" s="13"/>
      <c r="E244" s="15"/>
      <c r="F244" s="9"/>
      <c r="G244" s="9"/>
      <c r="H244" s="9"/>
      <c r="I244" s="9"/>
      <c r="J244" s="9"/>
    </row>
    <row r="245" spans="1:10" ht="19" x14ac:dyDescent="0.2">
      <c r="A245" s="144">
        <v>1948000</v>
      </c>
      <c r="B245" s="145"/>
      <c r="C245" s="159" t="s">
        <v>10</v>
      </c>
      <c r="D245" s="147" t="s">
        <v>685</v>
      </c>
      <c r="E245" s="150">
        <v>1292000</v>
      </c>
      <c r="F245" s="139">
        <v>656000</v>
      </c>
      <c r="G245" s="139"/>
      <c r="H245" s="139"/>
      <c r="I245" s="139"/>
      <c r="J245" s="139"/>
    </row>
    <row r="246" spans="1:10" ht="19" x14ac:dyDescent="0.2">
      <c r="A246" s="202"/>
      <c r="B246" s="32"/>
      <c r="C246" s="2"/>
      <c r="D246" s="13"/>
      <c r="E246" s="15"/>
      <c r="F246" s="9"/>
      <c r="G246" s="9"/>
      <c r="H246" s="9"/>
      <c r="I246" s="9"/>
      <c r="J246" s="9"/>
    </row>
    <row r="247" spans="1:10" ht="19" x14ac:dyDescent="0.2">
      <c r="A247" s="144">
        <v>1372000</v>
      </c>
      <c r="B247" s="145">
        <v>45136</v>
      </c>
      <c r="C247" s="159" t="s">
        <v>9</v>
      </c>
      <c r="D247" s="147" t="s">
        <v>405</v>
      </c>
      <c r="E247" s="150">
        <v>873000</v>
      </c>
      <c r="F247" s="139">
        <v>499000</v>
      </c>
      <c r="G247" s="139"/>
      <c r="H247" s="139"/>
      <c r="I247" s="139">
        <v>117000</v>
      </c>
      <c r="J247" s="139" t="s">
        <v>1856</v>
      </c>
    </row>
    <row r="248" spans="1:10" ht="19" x14ac:dyDescent="0.2">
      <c r="A248" s="202"/>
      <c r="B248" s="32"/>
      <c r="C248" s="2"/>
      <c r="D248" s="13"/>
      <c r="E248" s="15"/>
      <c r="F248" s="9"/>
      <c r="G248" s="9"/>
      <c r="H248" s="9"/>
      <c r="I248" s="9">
        <v>44000</v>
      </c>
      <c r="J248" s="9" t="s">
        <v>2021</v>
      </c>
    </row>
    <row r="249" spans="1:10" ht="19" x14ac:dyDescent="0.2">
      <c r="A249" s="144"/>
      <c r="B249" s="145"/>
      <c r="C249" s="159"/>
      <c r="D249" s="147"/>
      <c r="E249" s="150"/>
      <c r="F249" s="139"/>
      <c r="G249" s="139"/>
      <c r="H249" s="139"/>
      <c r="I249" s="139"/>
      <c r="J249" s="139"/>
    </row>
    <row r="250" spans="1:10" ht="19" x14ac:dyDescent="0.2">
      <c r="A250" s="202">
        <v>1033000</v>
      </c>
      <c r="B250" s="32"/>
      <c r="C250" s="2" t="s">
        <v>10</v>
      </c>
      <c r="D250" s="13" t="s">
        <v>685</v>
      </c>
      <c r="E250" s="15">
        <v>716000</v>
      </c>
      <c r="F250" s="9">
        <v>317000</v>
      </c>
      <c r="G250" s="9"/>
      <c r="H250" s="9"/>
      <c r="I250" s="9">
        <v>50000</v>
      </c>
      <c r="J250" s="9" t="s">
        <v>123</v>
      </c>
    </row>
    <row r="251" spans="1:10" ht="19" x14ac:dyDescent="0.2">
      <c r="A251" s="144"/>
      <c r="B251" s="145"/>
      <c r="C251" s="159"/>
      <c r="D251" s="147"/>
      <c r="E251" s="150"/>
      <c r="F251" s="139"/>
      <c r="G251" s="139"/>
      <c r="H251" s="139"/>
      <c r="I251" s="139">
        <v>140000</v>
      </c>
      <c r="J251" s="139" t="s">
        <v>2022</v>
      </c>
    </row>
    <row r="252" spans="1:10" ht="19" x14ac:dyDescent="0.2">
      <c r="A252" s="202"/>
      <c r="B252" s="32"/>
      <c r="C252" s="2"/>
      <c r="D252" s="13"/>
      <c r="E252" s="15"/>
      <c r="F252" s="9"/>
      <c r="G252" s="9"/>
      <c r="H252" s="9"/>
      <c r="I252" s="9">
        <v>280000</v>
      </c>
      <c r="J252" s="9" t="s">
        <v>2023</v>
      </c>
    </row>
    <row r="253" spans="1:10" ht="19" x14ac:dyDescent="0.2">
      <c r="A253" s="144"/>
      <c r="B253" s="145"/>
      <c r="C253" s="159"/>
      <c r="D253" s="147"/>
      <c r="E253" s="150"/>
      <c r="F253" s="139"/>
      <c r="G253" s="139"/>
      <c r="H253" s="139"/>
      <c r="I253" s="139"/>
      <c r="J253" s="139"/>
    </row>
    <row r="254" spans="1:10" ht="19" x14ac:dyDescent="0.2">
      <c r="A254" s="143">
        <v>1142000</v>
      </c>
      <c r="B254" s="153">
        <v>45137</v>
      </c>
      <c r="C254" s="170" t="s">
        <v>9</v>
      </c>
      <c r="D254" s="155" t="s">
        <v>405</v>
      </c>
      <c r="E254" s="164">
        <v>866000</v>
      </c>
      <c r="F254" s="119">
        <v>276000</v>
      </c>
      <c r="G254" s="119"/>
      <c r="H254" s="119"/>
      <c r="I254" s="119">
        <v>4000</v>
      </c>
      <c r="J254" s="119" t="s">
        <v>307</v>
      </c>
    </row>
    <row r="255" spans="1:10" ht="19" x14ac:dyDescent="0.2">
      <c r="A255" s="144"/>
      <c r="B255" s="145"/>
      <c r="C255" s="159"/>
      <c r="D255" s="147"/>
      <c r="E255" s="150"/>
      <c r="F255" s="139"/>
      <c r="G255" s="139"/>
      <c r="H255" s="139"/>
      <c r="I255" s="139"/>
      <c r="J255" s="139"/>
    </row>
    <row r="256" spans="1:10" ht="19" x14ac:dyDescent="0.2">
      <c r="A256" s="202">
        <v>1499000</v>
      </c>
      <c r="B256" s="32"/>
      <c r="C256" s="2" t="s">
        <v>10</v>
      </c>
      <c r="D256" s="13" t="s">
        <v>685</v>
      </c>
      <c r="E256" s="15">
        <v>1092000</v>
      </c>
      <c r="F256" s="9">
        <v>407000</v>
      </c>
      <c r="G256" s="9"/>
      <c r="H256" s="9"/>
      <c r="I256" s="9">
        <v>51000</v>
      </c>
      <c r="J256" s="9" t="s">
        <v>2024</v>
      </c>
    </row>
    <row r="257" spans="1:10" ht="19" x14ac:dyDescent="0.2">
      <c r="A257" s="144"/>
      <c r="B257" s="145"/>
      <c r="C257" s="159"/>
      <c r="D257" s="147"/>
      <c r="E257" s="150"/>
      <c r="F257" s="139"/>
      <c r="G257" s="139"/>
      <c r="H257" s="139"/>
      <c r="I257" s="139">
        <v>76000</v>
      </c>
      <c r="J257" s="139" t="s">
        <v>2025</v>
      </c>
    </row>
    <row r="258" spans="1:10" ht="19" x14ac:dyDescent="0.2">
      <c r="A258" s="202"/>
      <c r="B258" s="32"/>
      <c r="C258" s="2"/>
      <c r="D258" s="13"/>
      <c r="E258" s="15"/>
      <c r="F258" s="9"/>
      <c r="G258" s="9"/>
      <c r="H258" s="9"/>
      <c r="I258" s="9">
        <v>35000</v>
      </c>
      <c r="J258" s="9" t="s">
        <v>2026</v>
      </c>
    </row>
    <row r="259" spans="1:10" ht="19" x14ac:dyDescent="0.2">
      <c r="A259" s="144"/>
      <c r="B259" s="145"/>
      <c r="C259" s="159"/>
      <c r="D259" s="147"/>
      <c r="E259" s="150"/>
      <c r="F259" s="139"/>
      <c r="G259" s="139"/>
      <c r="H259" s="139"/>
      <c r="I259" s="139">
        <v>25000</v>
      </c>
      <c r="J259" s="139" t="s">
        <v>2027</v>
      </c>
    </row>
    <row r="260" spans="1:10" ht="19" x14ac:dyDescent="0.2">
      <c r="A260" s="202">
        <v>1639000</v>
      </c>
      <c r="B260" s="32">
        <v>45138</v>
      </c>
      <c r="C260" s="2" t="s">
        <v>1228</v>
      </c>
      <c r="D260" s="13" t="s">
        <v>405</v>
      </c>
      <c r="E260" s="15">
        <v>1428000</v>
      </c>
      <c r="F260" s="9">
        <v>211000</v>
      </c>
      <c r="G260" s="9">
        <v>2100000</v>
      </c>
      <c r="H260" s="9" t="s">
        <v>601</v>
      </c>
      <c r="I260" s="9">
        <v>168000</v>
      </c>
      <c r="J260" s="9" t="s">
        <v>2028</v>
      </c>
    </row>
    <row r="261" spans="1:10" ht="19" x14ac:dyDescent="0.2">
      <c r="A261" s="144"/>
      <c r="B261" s="145"/>
      <c r="C261" s="159"/>
      <c r="D261" s="147"/>
      <c r="E261" s="150"/>
      <c r="F261" s="139"/>
      <c r="G261" s="139">
        <v>2100000</v>
      </c>
      <c r="H261" s="139" t="s">
        <v>1205</v>
      </c>
      <c r="I261" s="139">
        <v>75000</v>
      </c>
      <c r="J261" s="139" t="s">
        <v>2029</v>
      </c>
    </row>
    <row r="262" spans="1:10" ht="32" x14ac:dyDescent="0.2">
      <c r="A262" s="202">
        <v>1671000</v>
      </c>
      <c r="B262" s="32"/>
      <c r="C262" s="2" t="s">
        <v>363</v>
      </c>
      <c r="D262" s="13" t="s">
        <v>685</v>
      </c>
      <c r="E262" s="15">
        <v>985000</v>
      </c>
      <c r="F262" s="9">
        <v>686000</v>
      </c>
      <c r="G262" s="9">
        <v>1932000</v>
      </c>
      <c r="H262" s="47" t="s">
        <v>2030</v>
      </c>
      <c r="I262" s="9">
        <v>75000</v>
      </c>
      <c r="J262" s="9" t="s">
        <v>2031</v>
      </c>
    </row>
    <row r="263" spans="1:10" ht="19" x14ac:dyDescent="0.2">
      <c r="A263" s="144"/>
      <c r="B263" s="145"/>
      <c r="C263" s="159"/>
      <c r="D263" s="147"/>
      <c r="E263" s="150"/>
      <c r="F263" s="139"/>
      <c r="G263" s="139">
        <v>1000000</v>
      </c>
      <c r="H263" s="139" t="s">
        <v>785</v>
      </c>
      <c r="I263" s="139"/>
      <c r="J263" s="139"/>
    </row>
  </sheetData>
  <mergeCells count="1">
    <mergeCell ref="F4:G4"/>
  </mergeCell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L198"/>
  <sheetViews>
    <sheetView workbookViewId="0">
      <selection activeCell="B7" sqref="B7"/>
    </sheetView>
  </sheetViews>
  <sheetFormatPr baseColWidth="10" defaultColWidth="11.5" defaultRowHeight="15" x14ac:dyDescent="0.2"/>
  <cols>
    <col min="1" max="1" width="21.83203125" bestFit="1" customWidth="1"/>
    <col min="3" max="3" width="13.33203125" customWidth="1"/>
    <col min="5" max="7" width="20.33203125" bestFit="1" customWidth="1"/>
    <col min="8" max="8" width="27.33203125" customWidth="1"/>
    <col min="9" max="9" width="20.33203125" bestFit="1" customWidth="1"/>
    <col min="10" max="10" width="28.6640625" customWidth="1"/>
  </cols>
  <sheetData>
    <row r="3" spans="1:12" ht="21" x14ac:dyDescent="0.2">
      <c r="G3" s="73"/>
      <c r="H3" s="71" t="s">
        <v>174</v>
      </c>
      <c r="I3" s="71">
        <f>39558000/103313000</f>
        <v>0.38289469863424741</v>
      </c>
    </row>
    <row r="4" spans="1:12" ht="21" x14ac:dyDescent="0.2">
      <c r="F4" s="306" t="s">
        <v>2235</v>
      </c>
      <c r="G4" s="307"/>
      <c r="H4" s="71" t="s">
        <v>2232</v>
      </c>
      <c r="I4" s="71">
        <v>22403400</v>
      </c>
      <c r="J4" s="72">
        <f>I4/12000</f>
        <v>1866.95</v>
      </c>
    </row>
    <row r="5" spans="1:12" ht="24" x14ac:dyDescent="0.3">
      <c r="B5" s="99" t="s">
        <v>2157</v>
      </c>
      <c r="G5" s="73"/>
      <c r="H5" s="71" t="s">
        <v>2233</v>
      </c>
      <c r="I5" s="71">
        <v>11867100</v>
      </c>
      <c r="J5" s="72">
        <f>I5/12000</f>
        <v>988.92499999999995</v>
      </c>
    </row>
    <row r="6" spans="1:12" ht="24" x14ac:dyDescent="0.3">
      <c r="B6" s="99"/>
      <c r="G6" s="73"/>
      <c r="H6" s="71" t="s">
        <v>2234</v>
      </c>
      <c r="I6" s="71">
        <v>5287500</v>
      </c>
      <c r="J6" s="72">
        <f>I6/12000</f>
        <v>440.625</v>
      </c>
      <c r="L6" s="85"/>
    </row>
    <row r="7" spans="1:12" ht="26" x14ac:dyDescent="0.3">
      <c r="B7" s="100" t="s">
        <v>2163</v>
      </c>
      <c r="H7" s="71" t="s">
        <v>178</v>
      </c>
      <c r="I7" s="71">
        <v>10174958</v>
      </c>
      <c r="J7" s="72" t="s">
        <v>2158</v>
      </c>
    </row>
    <row r="9" spans="1:12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/>
      <c r="L9" s="114"/>
    </row>
    <row r="10" spans="1:12" ht="21" x14ac:dyDescent="0.2">
      <c r="A10" s="69">
        <f>SUM(A11:A216)</f>
        <v>103313000</v>
      </c>
      <c r="B10" s="65"/>
      <c r="C10" s="66" t="s">
        <v>13</v>
      </c>
      <c r="D10" s="67"/>
      <c r="E10" s="68">
        <f>SUM(E11:E216)</f>
        <v>74974000</v>
      </c>
      <c r="F10" s="69">
        <f>SUM(F11:F216)</f>
        <v>28339000</v>
      </c>
      <c r="G10" s="69">
        <f>SUM(G11:G216)</f>
        <v>23823000</v>
      </c>
      <c r="H10" s="69"/>
      <c r="I10" s="69">
        <f>SUM(I11:I216)</f>
        <v>19819000</v>
      </c>
      <c r="J10" s="69"/>
      <c r="K10" s="69"/>
      <c r="L10" s="69"/>
    </row>
    <row r="11" spans="1:12" ht="19" x14ac:dyDescent="0.2">
      <c r="A11" s="144">
        <v>2108000</v>
      </c>
      <c r="B11" s="145">
        <v>45139</v>
      </c>
      <c r="C11" s="146" t="s">
        <v>1228</v>
      </c>
      <c r="D11" s="147" t="s">
        <v>565</v>
      </c>
      <c r="E11" s="139">
        <v>1338000</v>
      </c>
      <c r="F11" s="139">
        <v>770000</v>
      </c>
      <c r="G11" s="139">
        <v>432000</v>
      </c>
      <c r="H11" s="139" t="s">
        <v>2032</v>
      </c>
      <c r="I11" s="139">
        <v>108000</v>
      </c>
      <c r="J11" s="139" t="s">
        <v>2033</v>
      </c>
      <c r="K11" s="139"/>
      <c r="L11" s="139"/>
    </row>
    <row r="12" spans="1:12" ht="19" x14ac:dyDescent="0.2">
      <c r="A12" s="142"/>
      <c r="B12" s="32"/>
      <c r="C12" s="49"/>
      <c r="D12" s="13"/>
      <c r="E12" s="15"/>
      <c r="F12" s="9"/>
      <c r="G12" s="9"/>
      <c r="H12" s="9"/>
      <c r="I12" s="9">
        <v>8000</v>
      </c>
      <c r="J12" s="9" t="s">
        <v>971</v>
      </c>
      <c r="K12" s="9"/>
      <c r="L12" s="9"/>
    </row>
    <row r="13" spans="1:12" ht="19" x14ac:dyDescent="0.2">
      <c r="A13" s="148"/>
      <c r="B13" s="145"/>
      <c r="C13" s="149"/>
      <c r="D13" s="147"/>
      <c r="E13" s="150"/>
      <c r="F13" s="139"/>
      <c r="G13" s="139"/>
      <c r="H13" s="139"/>
      <c r="I13" s="139">
        <v>105000</v>
      </c>
      <c r="J13" s="139" t="s">
        <v>2034</v>
      </c>
      <c r="K13" s="139"/>
      <c r="L13" s="139"/>
    </row>
    <row r="14" spans="1:12" ht="19" x14ac:dyDescent="0.2">
      <c r="A14" s="142">
        <v>1873000</v>
      </c>
      <c r="B14" s="32"/>
      <c r="C14" s="49" t="s">
        <v>10</v>
      </c>
      <c r="D14" s="13" t="s">
        <v>685</v>
      </c>
      <c r="E14" s="15">
        <v>1014000</v>
      </c>
      <c r="F14" s="9">
        <v>859000</v>
      </c>
      <c r="G14" s="9"/>
      <c r="H14" s="9"/>
      <c r="I14" s="9">
        <v>25000</v>
      </c>
      <c r="J14" s="9" t="s">
        <v>2035</v>
      </c>
      <c r="K14" s="9"/>
      <c r="L14" s="9"/>
    </row>
    <row r="15" spans="1:12" ht="19" x14ac:dyDescent="0.2">
      <c r="A15" s="148"/>
      <c r="B15" s="145"/>
      <c r="C15" s="149"/>
      <c r="D15" s="147"/>
      <c r="E15" s="150"/>
      <c r="F15" s="139"/>
      <c r="G15" s="139"/>
      <c r="H15" s="139"/>
      <c r="I15" s="139">
        <v>140000</v>
      </c>
      <c r="J15" s="139" t="s">
        <v>2039</v>
      </c>
      <c r="K15" s="139"/>
      <c r="L15" s="139"/>
    </row>
    <row r="16" spans="1:12" ht="19" x14ac:dyDescent="0.2">
      <c r="A16" s="143"/>
      <c r="B16" s="153"/>
      <c r="C16" s="163"/>
      <c r="D16" s="155"/>
      <c r="E16" s="164"/>
      <c r="F16" s="119"/>
      <c r="G16" s="175"/>
      <c r="H16" s="175"/>
      <c r="I16" s="119">
        <v>200000</v>
      </c>
      <c r="J16" s="119" t="s">
        <v>2036</v>
      </c>
      <c r="K16" s="119"/>
      <c r="L16" s="119"/>
    </row>
    <row r="17" spans="1:12" ht="19" x14ac:dyDescent="0.2">
      <c r="A17" s="144">
        <v>1932000</v>
      </c>
      <c r="B17" s="145">
        <v>45140</v>
      </c>
      <c r="C17" s="151" t="s">
        <v>1228</v>
      </c>
      <c r="D17" s="147" t="s">
        <v>565</v>
      </c>
      <c r="E17" s="150">
        <v>1188000</v>
      </c>
      <c r="F17" s="139">
        <v>744000</v>
      </c>
      <c r="G17" s="139"/>
      <c r="H17" s="139"/>
      <c r="I17" s="139">
        <v>85000</v>
      </c>
      <c r="J17" s="139" t="s">
        <v>2037</v>
      </c>
      <c r="K17" s="139"/>
      <c r="L17" s="139"/>
    </row>
    <row r="18" spans="1:12" ht="19" x14ac:dyDescent="0.2">
      <c r="A18" s="143"/>
      <c r="B18" s="153"/>
      <c r="C18" s="163"/>
      <c r="D18" s="155"/>
      <c r="E18" s="164"/>
      <c r="F18" s="119"/>
      <c r="G18" s="119"/>
      <c r="H18" s="119"/>
      <c r="I18" s="119">
        <v>78000</v>
      </c>
      <c r="J18" s="119" t="s">
        <v>2038</v>
      </c>
      <c r="K18" s="119"/>
      <c r="L18" s="119"/>
    </row>
    <row r="19" spans="1:12" ht="19" x14ac:dyDescent="0.2">
      <c r="A19" s="144"/>
      <c r="B19" s="145"/>
      <c r="C19" s="151"/>
      <c r="D19" s="147"/>
      <c r="E19" s="150"/>
      <c r="F19" s="139"/>
      <c r="G19" s="139"/>
      <c r="H19" s="139"/>
      <c r="I19" s="139">
        <v>35000</v>
      </c>
      <c r="J19" s="139" t="s">
        <v>2040</v>
      </c>
      <c r="K19" s="139"/>
      <c r="L19" s="139"/>
    </row>
    <row r="20" spans="1:12" ht="19" x14ac:dyDescent="0.2">
      <c r="A20" s="143"/>
      <c r="B20" s="153"/>
      <c r="C20" s="163"/>
      <c r="D20" s="155"/>
      <c r="E20" s="164"/>
      <c r="F20" s="119"/>
      <c r="G20" s="119"/>
      <c r="H20" s="119"/>
      <c r="I20" s="119">
        <v>55000</v>
      </c>
      <c r="J20" s="119" t="s">
        <v>2041</v>
      </c>
      <c r="K20" s="119"/>
      <c r="L20" s="119"/>
    </row>
    <row r="21" spans="1:12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25500</v>
      </c>
      <c r="J21" s="139" t="s">
        <v>2042</v>
      </c>
      <c r="K21" s="139"/>
      <c r="L21" s="139"/>
    </row>
    <row r="22" spans="1:12" ht="19" x14ac:dyDescent="0.2">
      <c r="A22" s="143"/>
      <c r="B22" s="153"/>
      <c r="C22" s="163"/>
      <c r="D22" s="155"/>
      <c r="E22" s="164"/>
      <c r="F22" s="119"/>
      <c r="G22" s="119"/>
      <c r="H22" s="119"/>
      <c r="I22" s="119">
        <v>31000</v>
      </c>
      <c r="J22" s="119" t="s">
        <v>2048</v>
      </c>
      <c r="K22" s="119"/>
      <c r="L22" s="119"/>
    </row>
    <row r="23" spans="1:12" ht="19" x14ac:dyDescent="0.2">
      <c r="A23" s="144">
        <v>2503000</v>
      </c>
      <c r="B23" s="145"/>
      <c r="C23" s="151" t="s">
        <v>10</v>
      </c>
      <c r="D23" s="147" t="s">
        <v>685</v>
      </c>
      <c r="E23" s="150">
        <v>1629000</v>
      </c>
      <c r="F23" s="139">
        <v>874000</v>
      </c>
      <c r="G23" s="139"/>
      <c r="H23" s="139"/>
      <c r="I23" s="139">
        <v>200000</v>
      </c>
      <c r="J23" s="139" t="s">
        <v>2049</v>
      </c>
      <c r="K23" s="139"/>
      <c r="L23" s="139"/>
    </row>
    <row r="24" spans="1:12" ht="19" x14ac:dyDescent="0.2">
      <c r="A24" s="142"/>
      <c r="B24" s="153"/>
      <c r="C24" s="163"/>
      <c r="D24" s="155"/>
      <c r="E24" s="164"/>
      <c r="F24" s="119"/>
      <c r="G24" s="119"/>
      <c r="H24" s="119"/>
      <c r="I24" s="119">
        <v>35000</v>
      </c>
      <c r="J24" s="119" t="s">
        <v>655</v>
      </c>
      <c r="K24" s="119"/>
      <c r="L24" s="119"/>
    </row>
    <row r="25" spans="1:12" ht="19" x14ac:dyDescent="0.2">
      <c r="A25" s="148"/>
      <c r="B25" s="145"/>
      <c r="C25" s="151"/>
      <c r="D25" s="147"/>
      <c r="E25" s="150"/>
      <c r="F25" s="139"/>
      <c r="G25" s="139"/>
      <c r="H25" s="139"/>
      <c r="I25" s="139">
        <v>100000</v>
      </c>
      <c r="J25" s="139" t="s">
        <v>827</v>
      </c>
      <c r="K25" s="139"/>
      <c r="L25" s="139"/>
    </row>
    <row r="26" spans="1:12" ht="19" x14ac:dyDescent="0.2">
      <c r="A26" s="143">
        <v>2083000</v>
      </c>
      <c r="B26" s="153">
        <v>45141</v>
      </c>
      <c r="C26" s="163" t="s">
        <v>1228</v>
      </c>
      <c r="D26" s="155" t="s">
        <v>565</v>
      </c>
      <c r="E26" s="164">
        <v>1596000</v>
      </c>
      <c r="F26" s="119">
        <v>487000</v>
      </c>
      <c r="G26" s="119">
        <v>930000</v>
      </c>
      <c r="H26" s="119" t="s">
        <v>2050</v>
      </c>
      <c r="I26" s="119">
        <v>132000</v>
      </c>
      <c r="J26" s="119" t="s">
        <v>2043</v>
      </c>
      <c r="K26" s="119"/>
      <c r="L26" s="119"/>
    </row>
    <row r="27" spans="1:12" ht="19" x14ac:dyDescent="0.2">
      <c r="A27" s="144"/>
      <c r="B27" s="145"/>
      <c r="C27" s="149"/>
      <c r="D27" s="147"/>
      <c r="E27" s="150"/>
      <c r="F27" s="139"/>
      <c r="G27" s="139"/>
      <c r="H27" s="139"/>
      <c r="I27" s="139">
        <v>203500</v>
      </c>
      <c r="J27" s="139" t="s">
        <v>1176</v>
      </c>
      <c r="K27" s="139"/>
      <c r="L27" s="139"/>
    </row>
    <row r="28" spans="1:12" ht="19" x14ac:dyDescent="0.2">
      <c r="A28" s="143"/>
      <c r="B28" s="32"/>
      <c r="C28" s="49"/>
      <c r="D28" s="13"/>
      <c r="E28" s="15"/>
      <c r="F28" s="9"/>
      <c r="G28" s="9"/>
      <c r="H28" s="9"/>
      <c r="I28" s="9">
        <v>45500</v>
      </c>
      <c r="J28" s="9" t="s">
        <v>2044</v>
      </c>
      <c r="K28" s="9"/>
      <c r="L28" s="9"/>
    </row>
    <row r="29" spans="1:12" ht="19" x14ac:dyDescent="0.2">
      <c r="A29" s="144"/>
      <c r="B29" s="145"/>
      <c r="C29" s="149"/>
      <c r="D29" s="147"/>
      <c r="E29" s="150"/>
      <c r="F29" s="139"/>
      <c r="G29" s="139"/>
      <c r="H29" s="139"/>
      <c r="I29" s="139">
        <v>15000</v>
      </c>
      <c r="J29" s="139" t="s">
        <v>2045</v>
      </c>
      <c r="K29" s="139"/>
      <c r="L29" s="139"/>
    </row>
    <row r="30" spans="1:12" ht="19" x14ac:dyDescent="0.2">
      <c r="A30" s="142"/>
      <c r="B30" s="32"/>
      <c r="C30" s="49"/>
      <c r="D30" s="13"/>
      <c r="E30" s="15"/>
      <c r="F30" s="9"/>
      <c r="G30" s="9"/>
      <c r="H30" s="9"/>
      <c r="I30" s="9">
        <v>18000</v>
      </c>
      <c r="J30" s="9" t="s">
        <v>696</v>
      </c>
      <c r="K30" s="9"/>
      <c r="L30" s="9"/>
    </row>
    <row r="31" spans="1:12" ht="19" x14ac:dyDescent="0.2">
      <c r="A31" s="148"/>
      <c r="B31" s="145"/>
      <c r="C31" s="149"/>
      <c r="D31" s="147"/>
      <c r="E31" s="150"/>
      <c r="F31" s="139"/>
      <c r="G31" s="139"/>
      <c r="H31" s="139"/>
      <c r="I31" s="139">
        <v>100000</v>
      </c>
      <c r="J31" s="139" t="s">
        <v>2046</v>
      </c>
      <c r="K31" s="139"/>
      <c r="L31" s="139"/>
    </row>
    <row r="32" spans="1:12" ht="19" x14ac:dyDescent="0.2">
      <c r="A32" s="142"/>
      <c r="B32" s="32"/>
      <c r="C32" s="49"/>
      <c r="D32" s="13"/>
      <c r="E32" s="15"/>
      <c r="F32" s="9"/>
      <c r="G32" s="9"/>
      <c r="H32" s="9"/>
      <c r="I32" s="9">
        <v>44500</v>
      </c>
      <c r="J32" s="9" t="s">
        <v>2047</v>
      </c>
      <c r="K32" s="9"/>
      <c r="L32" s="9"/>
    </row>
    <row r="33" spans="1:12" ht="19" x14ac:dyDescent="0.2">
      <c r="A33" s="148"/>
      <c r="B33" s="145"/>
      <c r="C33" s="149"/>
      <c r="D33" s="147"/>
      <c r="E33" s="150"/>
      <c r="F33" s="139"/>
      <c r="G33" s="139"/>
      <c r="H33" s="139"/>
      <c r="I33" s="139">
        <v>80000</v>
      </c>
      <c r="J33" s="139" t="s">
        <v>651</v>
      </c>
      <c r="K33" s="139"/>
      <c r="L33" s="139"/>
    </row>
    <row r="34" spans="1:12" ht="19" x14ac:dyDescent="0.2">
      <c r="A34" s="142"/>
      <c r="B34" s="153"/>
      <c r="C34" s="171"/>
      <c r="D34" s="155"/>
      <c r="E34" s="164"/>
      <c r="F34" s="119"/>
      <c r="G34" s="119"/>
      <c r="H34" s="119"/>
      <c r="I34" s="119">
        <v>41000</v>
      </c>
      <c r="J34" s="119" t="s">
        <v>839</v>
      </c>
      <c r="K34" s="119"/>
      <c r="L34" s="119"/>
    </row>
    <row r="35" spans="1:12" ht="19" x14ac:dyDescent="0.2">
      <c r="A35" s="148"/>
      <c r="B35" s="145"/>
      <c r="C35" s="149"/>
      <c r="D35" s="147"/>
      <c r="E35" s="150"/>
      <c r="F35" s="139"/>
      <c r="G35" s="139"/>
      <c r="H35" s="139"/>
      <c r="I35" s="139">
        <v>135000</v>
      </c>
      <c r="J35" s="139" t="s">
        <v>1088</v>
      </c>
      <c r="K35" s="139"/>
      <c r="L35" s="139"/>
    </row>
    <row r="36" spans="1:12" ht="19" x14ac:dyDescent="0.2">
      <c r="A36" s="142"/>
      <c r="B36" s="153"/>
      <c r="C36" s="171"/>
      <c r="D36" s="155"/>
      <c r="E36" s="164"/>
      <c r="F36" s="119"/>
      <c r="G36" s="119"/>
      <c r="H36" s="119"/>
      <c r="I36" s="119">
        <v>444000</v>
      </c>
      <c r="J36" s="119" t="s">
        <v>2051</v>
      </c>
      <c r="K36" s="119"/>
      <c r="L36" s="119"/>
    </row>
    <row r="37" spans="1:12" ht="19" x14ac:dyDescent="0.2">
      <c r="A37" s="148"/>
      <c r="B37" s="145"/>
      <c r="C37" s="149"/>
      <c r="D37" s="147"/>
      <c r="E37" s="150"/>
      <c r="F37" s="139"/>
      <c r="G37" s="139"/>
      <c r="H37" s="139"/>
      <c r="I37" s="139">
        <v>210000</v>
      </c>
      <c r="J37" s="139" t="s">
        <v>2052</v>
      </c>
      <c r="K37" s="139"/>
      <c r="L37" s="139"/>
    </row>
    <row r="38" spans="1:12" ht="19" x14ac:dyDescent="0.2">
      <c r="A38" s="142">
        <v>1639000</v>
      </c>
      <c r="B38" s="32"/>
      <c r="C38" s="49" t="s">
        <v>10</v>
      </c>
      <c r="D38" s="13" t="s">
        <v>685</v>
      </c>
      <c r="E38" s="15">
        <v>1025000</v>
      </c>
      <c r="F38" s="9">
        <v>614000</v>
      </c>
      <c r="G38" s="9"/>
      <c r="H38" s="9"/>
      <c r="I38" s="9"/>
      <c r="J38" s="9"/>
      <c r="K38" s="9"/>
      <c r="L38" s="9"/>
    </row>
    <row r="39" spans="1:12" ht="19" x14ac:dyDescent="0.2">
      <c r="A39" s="148"/>
      <c r="B39" s="145"/>
      <c r="C39" s="149"/>
      <c r="D39" s="147"/>
      <c r="E39" s="150"/>
      <c r="F39" s="139"/>
      <c r="G39" s="139"/>
      <c r="H39" s="139"/>
      <c r="I39" s="139"/>
      <c r="J39" s="139"/>
      <c r="K39" s="139"/>
      <c r="L39" s="139"/>
    </row>
    <row r="40" spans="1:12" ht="19" x14ac:dyDescent="0.2">
      <c r="A40" s="142">
        <v>2138000</v>
      </c>
      <c r="B40" s="153">
        <v>45142</v>
      </c>
      <c r="C40" s="171" t="s">
        <v>1228</v>
      </c>
      <c r="D40" s="155" t="s">
        <v>565</v>
      </c>
      <c r="E40" s="164">
        <v>1559000</v>
      </c>
      <c r="F40" s="119">
        <v>579000</v>
      </c>
      <c r="G40" s="119"/>
      <c r="H40" s="119"/>
      <c r="I40" s="119">
        <v>34500</v>
      </c>
      <c r="J40" s="119" t="s">
        <v>2053</v>
      </c>
      <c r="K40" s="119"/>
      <c r="L40" s="119"/>
    </row>
    <row r="41" spans="1:12" ht="19" x14ac:dyDescent="0.2">
      <c r="A41" s="148"/>
      <c r="B41" s="145"/>
      <c r="C41" s="149"/>
      <c r="D41" s="147"/>
      <c r="E41" s="150"/>
      <c r="F41" s="139"/>
      <c r="G41" s="139"/>
      <c r="H41" s="139"/>
      <c r="I41" s="139">
        <v>8000</v>
      </c>
      <c r="J41" s="139" t="s">
        <v>971</v>
      </c>
      <c r="K41" s="139"/>
      <c r="L41" s="139"/>
    </row>
    <row r="42" spans="1:12" ht="19" x14ac:dyDescent="0.2">
      <c r="A42" s="143">
        <v>1747000</v>
      </c>
      <c r="B42" s="32"/>
      <c r="C42" s="49" t="s">
        <v>10</v>
      </c>
      <c r="D42" s="13" t="s">
        <v>685</v>
      </c>
      <c r="E42" s="15">
        <v>1141000</v>
      </c>
      <c r="F42" s="9">
        <v>606000</v>
      </c>
      <c r="G42" s="9"/>
      <c r="H42" s="9"/>
      <c r="I42" s="9"/>
      <c r="J42" s="9"/>
      <c r="K42" s="9"/>
      <c r="L42" s="9"/>
    </row>
    <row r="43" spans="1:12" ht="19" x14ac:dyDescent="0.2">
      <c r="A43" s="144">
        <v>1874000</v>
      </c>
      <c r="B43" s="145">
        <v>45143</v>
      </c>
      <c r="C43" s="149" t="s">
        <v>1228</v>
      </c>
      <c r="D43" s="147" t="s">
        <v>565</v>
      </c>
      <c r="E43" s="150">
        <v>1309000</v>
      </c>
      <c r="F43" s="139">
        <v>565000</v>
      </c>
      <c r="G43" s="139"/>
      <c r="H43" s="139"/>
      <c r="I43" s="139">
        <v>29000</v>
      </c>
      <c r="J43" s="139" t="s">
        <v>2060</v>
      </c>
      <c r="K43" s="139"/>
      <c r="L43" s="139"/>
    </row>
    <row r="44" spans="1:12" ht="19" x14ac:dyDescent="0.2">
      <c r="A44" s="143"/>
      <c r="B44" s="32"/>
      <c r="C44" s="49"/>
      <c r="D44" s="13"/>
      <c r="E44" s="15"/>
      <c r="F44" s="9"/>
      <c r="G44" s="9"/>
      <c r="H44" s="135"/>
      <c r="I44" s="9">
        <v>69500</v>
      </c>
      <c r="J44" s="9" t="s">
        <v>2061</v>
      </c>
      <c r="K44" s="9"/>
      <c r="L44" s="9"/>
    </row>
    <row r="45" spans="1:12" ht="19" x14ac:dyDescent="0.2">
      <c r="A45" s="144">
        <v>1071000</v>
      </c>
      <c r="B45" s="145"/>
      <c r="C45" s="149" t="s">
        <v>10</v>
      </c>
      <c r="D45" s="147" t="s">
        <v>685</v>
      </c>
      <c r="E45" s="150">
        <v>602000</v>
      </c>
      <c r="F45" s="139">
        <v>469000</v>
      </c>
      <c r="G45" s="139"/>
      <c r="H45" s="139"/>
      <c r="I45" s="139">
        <v>140000</v>
      </c>
      <c r="J45" s="139" t="s">
        <v>2062</v>
      </c>
      <c r="K45" s="139"/>
      <c r="L45" s="139"/>
    </row>
    <row r="46" spans="1:12" ht="19" x14ac:dyDescent="0.2">
      <c r="A46" s="143"/>
      <c r="B46" s="32"/>
      <c r="C46" s="49"/>
      <c r="D46" s="13"/>
      <c r="E46" s="15"/>
      <c r="F46" s="9"/>
      <c r="G46" s="9"/>
      <c r="H46" s="9"/>
      <c r="I46" s="9">
        <v>140000</v>
      </c>
      <c r="J46" s="9" t="s">
        <v>2063</v>
      </c>
      <c r="K46" s="9"/>
      <c r="L46" s="9"/>
    </row>
    <row r="47" spans="1:12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180000</v>
      </c>
      <c r="J47" s="139" t="s">
        <v>2064</v>
      </c>
      <c r="K47" s="139"/>
      <c r="L47" s="139"/>
    </row>
    <row r="48" spans="1:12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50000</v>
      </c>
      <c r="J48" s="119" t="s">
        <v>206</v>
      </c>
      <c r="K48" s="119"/>
      <c r="L48" s="119"/>
    </row>
    <row r="49" spans="1:12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210000</v>
      </c>
      <c r="J49" s="139" t="s">
        <v>2052</v>
      </c>
      <c r="K49" s="139"/>
      <c r="L49" s="139"/>
    </row>
    <row r="50" spans="1:12" ht="19" x14ac:dyDescent="0.2">
      <c r="A50" s="143"/>
      <c r="B50" s="153"/>
      <c r="C50" s="171"/>
      <c r="D50" s="155"/>
      <c r="E50" s="164"/>
      <c r="F50" s="119"/>
      <c r="G50" s="119"/>
      <c r="H50" s="119"/>
      <c r="I50" s="119"/>
      <c r="J50" s="119" t="s">
        <v>2065</v>
      </c>
      <c r="K50" s="119"/>
      <c r="L50" s="119"/>
    </row>
    <row r="51" spans="1:12" ht="19" x14ac:dyDescent="0.2">
      <c r="A51" s="144"/>
      <c r="B51" s="145">
        <v>45144</v>
      </c>
      <c r="C51" s="149"/>
      <c r="D51" s="147"/>
      <c r="E51" s="150"/>
      <c r="F51" s="139"/>
      <c r="G51" s="139"/>
      <c r="H51" s="139" t="s">
        <v>737</v>
      </c>
      <c r="I51" s="139"/>
      <c r="J51" s="139"/>
      <c r="K51" s="139"/>
      <c r="L51" s="139"/>
    </row>
    <row r="52" spans="1:12" ht="19" x14ac:dyDescent="0.2">
      <c r="A52" s="143"/>
      <c r="B52" s="153"/>
      <c r="C52" s="171"/>
      <c r="D52" s="155"/>
      <c r="E52" s="164"/>
      <c r="F52" s="119"/>
      <c r="G52" s="119"/>
      <c r="H52" s="119"/>
      <c r="I52" s="119"/>
      <c r="J52" s="119"/>
      <c r="K52" s="119"/>
      <c r="L52" s="119"/>
    </row>
    <row r="53" spans="1:12" ht="19" x14ac:dyDescent="0.2">
      <c r="A53" s="144">
        <v>1817000</v>
      </c>
      <c r="B53" s="145">
        <v>45145</v>
      </c>
      <c r="C53" s="149" t="s">
        <v>9</v>
      </c>
      <c r="D53" s="147" t="s">
        <v>565</v>
      </c>
      <c r="E53" s="150">
        <v>1366000</v>
      </c>
      <c r="F53" s="139">
        <v>451000</v>
      </c>
      <c r="G53" s="157"/>
      <c r="H53" s="139"/>
      <c r="I53" s="139">
        <v>40000</v>
      </c>
      <c r="J53" s="139" t="s">
        <v>640</v>
      </c>
      <c r="K53" s="139"/>
      <c r="L53" s="139"/>
    </row>
    <row r="54" spans="1:12" ht="19" x14ac:dyDescent="0.2">
      <c r="A54" s="143">
        <v>1487000</v>
      </c>
      <c r="B54" s="153"/>
      <c r="C54" s="171" t="s">
        <v>10</v>
      </c>
      <c r="D54" s="155" t="s">
        <v>685</v>
      </c>
      <c r="E54" s="164">
        <v>1171000</v>
      </c>
      <c r="F54" s="119">
        <v>316000</v>
      </c>
      <c r="G54" s="119"/>
      <c r="H54" s="119"/>
      <c r="I54" s="119">
        <v>2400000</v>
      </c>
      <c r="J54" s="119" t="s">
        <v>2162</v>
      </c>
      <c r="K54" s="119"/>
      <c r="L54" s="119"/>
    </row>
    <row r="55" spans="1:12" ht="32" x14ac:dyDescent="0.2">
      <c r="A55" s="144">
        <v>1829000</v>
      </c>
      <c r="B55" s="145">
        <v>45146</v>
      </c>
      <c r="C55" s="149" t="s">
        <v>1228</v>
      </c>
      <c r="D55" s="147" t="s">
        <v>565</v>
      </c>
      <c r="E55" s="150">
        <v>1350000</v>
      </c>
      <c r="F55" s="139">
        <v>479000</v>
      </c>
      <c r="G55" s="139">
        <v>2581000</v>
      </c>
      <c r="H55" s="139" t="s">
        <v>812</v>
      </c>
      <c r="I55" s="139">
        <v>29000</v>
      </c>
      <c r="J55" s="161" t="s">
        <v>2066</v>
      </c>
      <c r="K55" s="139"/>
      <c r="L55" s="139"/>
    </row>
    <row r="56" spans="1:12" ht="19" x14ac:dyDescent="0.2">
      <c r="A56" s="143"/>
      <c r="B56" s="153"/>
      <c r="C56" s="171"/>
      <c r="D56" s="155"/>
      <c r="E56" s="164"/>
      <c r="F56" s="119"/>
      <c r="G56" s="119"/>
      <c r="H56" s="119"/>
      <c r="I56" s="119">
        <v>120000</v>
      </c>
      <c r="J56" s="119" t="s">
        <v>703</v>
      </c>
      <c r="K56" s="119"/>
      <c r="L56" s="119"/>
    </row>
    <row r="57" spans="1:12" ht="19" x14ac:dyDescent="0.2">
      <c r="A57" s="144"/>
      <c r="B57" s="145"/>
      <c r="C57" s="149"/>
      <c r="D57" s="147"/>
      <c r="E57" s="150"/>
      <c r="F57" s="139"/>
      <c r="G57" s="139"/>
      <c r="H57" s="139"/>
      <c r="I57" s="139">
        <v>33500</v>
      </c>
      <c r="J57" s="139" t="s">
        <v>2067</v>
      </c>
      <c r="K57" s="139"/>
      <c r="L57" s="139"/>
    </row>
    <row r="58" spans="1:12" ht="19" x14ac:dyDescent="0.2">
      <c r="A58" s="143"/>
      <c r="B58" s="153"/>
      <c r="C58" s="171"/>
      <c r="D58" s="155"/>
      <c r="E58" s="164"/>
      <c r="F58" s="119"/>
      <c r="G58" s="119"/>
      <c r="H58" s="119"/>
      <c r="I58" s="119">
        <v>78000</v>
      </c>
      <c r="J58" s="119" t="s">
        <v>537</v>
      </c>
      <c r="K58" s="119"/>
      <c r="L58" s="119"/>
    </row>
    <row r="59" spans="1:12" ht="19" x14ac:dyDescent="0.2">
      <c r="A59" s="144"/>
      <c r="B59" s="145"/>
      <c r="C59" s="149"/>
      <c r="D59" s="147"/>
      <c r="E59" s="150"/>
      <c r="F59" s="139"/>
      <c r="G59" s="139"/>
      <c r="H59" s="139"/>
      <c r="I59" s="139">
        <v>108000</v>
      </c>
      <c r="J59" s="139" t="s">
        <v>2033</v>
      </c>
      <c r="K59" s="139"/>
      <c r="L59" s="139"/>
    </row>
    <row r="60" spans="1:12" ht="19" x14ac:dyDescent="0.2">
      <c r="A60" s="143"/>
      <c r="B60" s="153"/>
      <c r="C60" s="171"/>
      <c r="D60" s="155"/>
      <c r="E60" s="164"/>
      <c r="F60" s="119"/>
      <c r="G60" s="119"/>
      <c r="H60" s="119"/>
      <c r="I60" s="119">
        <v>46000</v>
      </c>
      <c r="J60" s="119" t="s">
        <v>2068</v>
      </c>
      <c r="K60" s="119"/>
      <c r="L60" s="119"/>
    </row>
    <row r="61" spans="1:12" ht="19" x14ac:dyDescent="0.2">
      <c r="A61" s="144">
        <v>1777000</v>
      </c>
      <c r="B61" s="145"/>
      <c r="C61" s="149" t="s">
        <v>10</v>
      </c>
      <c r="D61" s="147" t="s">
        <v>685</v>
      </c>
      <c r="E61" s="150">
        <v>1176000</v>
      </c>
      <c r="F61" s="139">
        <v>601000</v>
      </c>
      <c r="G61" s="139"/>
      <c r="H61" s="139"/>
      <c r="I61" s="139">
        <v>140000</v>
      </c>
      <c r="J61" s="139" t="s">
        <v>881</v>
      </c>
      <c r="K61" s="139"/>
      <c r="L61" s="139"/>
    </row>
    <row r="62" spans="1:12" ht="19" x14ac:dyDescent="0.2">
      <c r="A62" s="143">
        <v>1837000</v>
      </c>
      <c r="B62" s="153">
        <v>45147</v>
      </c>
      <c r="C62" s="171" t="s">
        <v>1228</v>
      </c>
      <c r="D62" s="155" t="s">
        <v>565</v>
      </c>
      <c r="E62" s="164">
        <v>1568000</v>
      </c>
      <c r="F62" s="119">
        <v>269000</v>
      </c>
      <c r="G62" s="119"/>
      <c r="H62" s="119"/>
      <c r="I62" s="119">
        <v>211000</v>
      </c>
      <c r="J62" s="119" t="s">
        <v>2071</v>
      </c>
      <c r="K62" s="119"/>
      <c r="L62" s="119"/>
    </row>
    <row r="63" spans="1:12" ht="19" x14ac:dyDescent="0.2">
      <c r="A63" s="144"/>
      <c r="B63" s="145"/>
      <c r="C63" s="149"/>
      <c r="D63" s="147"/>
      <c r="E63" s="150"/>
      <c r="F63" s="139"/>
      <c r="G63" s="157"/>
      <c r="H63" s="157"/>
      <c r="I63" s="139">
        <v>8000</v>
      </c>
      <c r="J63" s="139" t="s">
        <v>2069</v>
      </c>
      <c r="K63" s="139"/>
      <c r="L63" s="139"/>
    </row>
    <row r="64" spans="1:12" ht="19" x14ac:dyDescent="0.2">
      <c r="A64" s="143">
        <v>1657000</v>
      </c>
      <c r="B64" s="32"/>
      <c r="C64" s="49" t="s">
        <v>10</v>
      </c>
      <c r="D64" s="13" t="s">
        <v>685</v>
      </c>
      <c r="E64" s="15">
        <v>1054000</v>
      </c>
      <c r="F64" s="9">
        <v>603000</v>
      </c>
      <c r="G64" s="135"/>
      <c r="H64" s="135"/>
      <c r="I64" s="9">
        <v>235000</v>
      </c>
      <c r="J64" s="9" t="s">
        <v>2070</v>
      </c>
      <c r="K64" s="9"/>
      <c r="L64" s="9"/>
    </row>
    <row r="65" spans="1:12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200000</v>
      </c>
      <c r="J65" s="139" t="s">
        <v>2049</v>
      </c>
      <c r="K65" s="139"/>
      <c r="L65" s="139"/>
    </row>
    <row r="66" spans="1:12" ht="19" x14ac:dyDescent="0.2">
      <c r="A66" s="143"/>
      <c r="B66" s="32"/>
      <c r="C66" s="49"/>
      <c r="D66" s="13"/>
      <c r="E66" s="15"/>
      <c r="F66" s="9"/>
      <c r="G66" s="9"/>
      <c r="H66" s="9"/>
      <c r="I66" s="9">
        <v>100000</v>
      </c>
      <c r="J66" s="9" t="s">
        <v>827</v>
      </c>
      <c r="K66" s="9"/>
      <c r="L66" s="9"/>
    </row>
    <row r="67" spans="1:12" ht="19" x14ac:dyDescent="0.2">
      <c r="A67" s="144"/>
      <c r="B67" s="145"/>
      <c r="C67" s="149"/>
      <c r="D67" s="147"/>
      <c r="E67" s="150"/>
      <c r="F67" s="139"/>
      <c r="G67" s="139"/>
      <c r="H67" s="139"/>
      <c r="I67" s="139">
        <v>144000</v>
      </c>
      <c r="J67" s="139" t="s">
        <v>615</v>
      </c>
      <c r="K67" s="139"/>
      <c r="L67" s="139"/>
    </row>
    <row r="68" spans="1:12" ht="19" x14ac:dyDescent="0.2">
      <c r="A68" s="143"/>
      <c r="B68" s="32"/>
      <c r="C68" s="49"/>
      <c r="D68" s="13"/>
      <c r="E68" s="15"/>
      <c r="F68" s="9"/>
      <c r="G68" s="9"/>
      <c r="H68" s="9"/>
      <c r="I68" s="9">
        <v>100000</v>
      </c>
      <c r="J68" s="9" t="s">
        <v>889</v>
      </c>
      <c r="K68" s="9"/>
      <c r="L68" s="9"/>
    </row>
    <row r="69" spans="1:12" ht="19" x14ac:dyDescent="0.2">
      <c r="A69" s="142">
        <v>2047000</v>
      </c>
      <c r="B69" s="153">
        <v>45148</v>
      </c>
      <c r="C69" s="163" t="s">
        <v>1228</v>
      </c>
      <c r="D69" s="155" t="s">
        <v>565</v>
      </c>
      <c r="E69" s="164">
        <v>1562000</v>
      </c>
      <c r="F69" s="119">
        <v>485000</v>
      </c>
      <c r="G69" s="119"/>
      <c r="H69" s="119"/>
      <c r="I69" s="119">
        <v>54500</v>
      </c>
      <c r="J69" s="119" t="s">
        <v>2072</v>
      </c>
      <c r="K69" s="119"/>
      <c r="L69" s="119"/>
    </row>
    <row r="70" spans="1:12" ht="19" x14ac:dyDescent="0.2">
      <c r="A70" s="144"/>
      <c r="B70" s="145"/>
      <c r="C70" s="151"/>
      <c r="D70" s="147"/>
      <c r="E70" s="150"/>
      <c r="F70" s="139"/>
      <c r="G70" s="139"/>
      <c r="H70" s="139"/>
      <c r="I70" s="139"/>
      <c r="J70" s="139"/>
      <c r="K70" s="139"/>
      <c r="L70" s="139"/>
    </row>
    <row r="71" spans="1:12" ht="19" x14ac:dyDescent="0.2">
      <c r="A71" s="143"/>
      <c r="B71" s="32"/>
      <c r="C71" s="49"/>
      <c r="D71" s="13"/>
      <c r="E71" s="15"/>
      <c r="F71" s="9"/>
      <c r="G71" s="60"/>
      <c r="H71" s="60"/>
      <c r="I71" s="9"/>
      <c r="J71" s="9"/>
      <c r="K71" s="9"/>
      <c r="L71" s="9"/>
    </row>
    <row r="72" spans="1:12" ht="19" x14ac:dyDescent="0.2">
      <c r="A72" s="144">
        <v>1948000</v>
      </c>
      <c r="B72" s="145"/>
      <c r="C72" s="149" t="s">
        <v>10</v>
      </c>
      <c r="D72" s="147" t="s">
        <v>685</v>
      </c>
      <c r="E72" s="150">
        <v>1321000</v>
      </c>
      <c r="F72" s="139">
        <v>627000</v>
      </c>
      <c r="G72" s="152"/>
      <c r="H72" s="152"/>
      <c r="I72" s="139">
        <v>44500</v>
      </c>
      <c r="J72" s="139" t="s">
        <v>769</v>
      </c>
      <c r="K72" s="139"/>
      <c r="L72" s="139"/>
    </row>
    <row r="73" spans="1:12" ht="19" x14ac:dyDescent="0.2">
      <c r="A73" s="143"/>
      <c r="B73" s="32"/>
      <c r="C73" s="49"/>
      <c r="D73" s="13"/>
      <c r="E73" s="15"/>
      <c r="F73" s="9"/>
      <c r="G73" s="60"/>
      <c r="H73" s="60"/>
      <c r="I73" s="9">
        <v>44500</v>
      </c>
      <c r="J73" s="9" t="s">
        <v>2073</v>
      </c>
      <c r="K73" s="9"/>
      <c r="L73" s="9"/>
    </row>
    <row r="74" spans="1:12" ht="19" x14ac:dyDescent="0.2">
      <c r="A74" s="144"/>
      <c r="B74" s="145"/>
      <c r="C74" s="149"/>
      <c r="D74" s="147"/>
      <c r="E74" s="150"/>
      <c r="F74" s="139"/>
      <c r="G74" s="152"/>
      <c r="H74" s="152"/>
      <c r="I74" s="139">
        <v>203500</v>
      </c>
      <c r="J74" s="139" t="s">
        <v>1176</v>
      </c>
      <c r="K74" s="139"/>
      <c r="L74" s="139"/>
    </row>
    <row r="75" spans="1:12" ht="19" x14ac:dyDescent="0.2">
      <c r="A75" s="143">
        <v>1565000</v>
      </c>
      <c r="B75" s="153">
        <v>45149</v>
      </c>
      <c r="C75" s="171" t="s">
        <v>1228</v>
      </c>
      <c r="D75" s="155" t="s">
        <v>565</v>
      </c>
      <c r="E75" s="164">
        <v>1083000</v>
      </c>
      <c r="F75" s="119">
        <v>482000</v>
      </c>
      <c r="G75" s="175"/>
      <c r="H75" s="175"/>
      <c r="I75" s="119">
        <v>57000</v>
      </c>
      <c r="J75" s="119" t="s">
        <v>2074</v>
      </c>
      <c r="K75" s="119"/>
      <c r="L75" s="119"/>
    </row>
    <row r="76" spans="1:12" ht="19" x14ac:dyDescent="0.2">
      <c r="A76" s="144"/>
      <c r="B76" s="145"/>
      <c r="C76" s="149"/>
      <c r="D76" s="147"/>
      <c r="E76" s="150"/>
      <c r="F76" s="139"/>
      <c r="G76" s="152"/>
      <c r="H76" s="152"/>
      <c r="I76" s="139">
        <v>36000</v>
      </c>
      <c r="J76" s="139" t="s">
        <v>640</v>
      </c>
      <c r="K76" s="139"/>
      <c r="L76" s="139"/>
    </row>
    <row r="77" spans="1:12" ht="32" x14ac:dyDescent="0.2">
      <c r="A77" s="144"/>
      <c r="B77" s="145"/>
      <c r="C77" s="149"/>
      <c r="D77" s="147"/>
      <c r="E77" s="150"/>
      <c r="F77" s="139"/>
      <c r="G77" s="152"/>
      <c r="H77" s="152"/>
      <c r="I77" s="139">
        <v>49000</v>
      </c>
      <c r="J77" s="161" t="s">
        <v>2075</v>
      </c>
      <c r="K77" s="139"/>
      <c r="L77" s="139"/>
    </row>
    <row r="78" spans="1:12" ht="19" x14ac:dyDescent="0.2">
      <c r="A78" s="144"/>
      <c r="B78" s="145"/>
      <c r="C78" s="149"/>
      <c r="D78" s="147"/>
      <c r="E78" s="150"/>
      <c r="F78" s="139"/>
      <c r="G78" s="152"/>
      <c r="H78" s="152"/>
      <c r="I78" s="139"/>
      <c r="J78" s="139"/>
      <c r="K78" s="139"/>
      <c r="L78" s="139"/>
    </row>
    <row r="79" spans="1:12" ht="19" x14ac:dyDescent="0.2">
      <c r="A79" s="143">
        <v>1652000</v>
      </c>
      <c r="B79" s="32"/>
      <c r="C79" s="49" t="s">
        <v>10</v>
      </c>
      <c r="D79" s="13" t="s">
        <v>685</v>
      </c>
      <c r="E79" s="15">
        <v>1247000</v>
      </c>
      <c r="F79" s="9">
        <v>405000</v>
      </c>
      <c r="G79" s="9"/>
      <c r="H79" s="9"/>
      <c r="I79" s="9">
        <v>144000</v>
      </c>
      <c r="J79" s="9" t="s">
        <v>615</v>
      </c>
      <c r="K79" s="9"/>
      <c r="L79" s="9"/>
    </row>
    <row r="80" spans="1:12" ht="19" x14ac:dyDescent="0.2">
      <c r="A80" s="144"/>
      <c r="B80" s="145"/>
      <c r="C80" s="149"/>
      <c r="D80" s="147"/>
      <c r="E80" s="150"/>
      <c r="F80" s="139"/>
      <c r="G80" s="152"/>
      <c r="H80" s="152"/>
      <c r="I80" s="139">
        <v>60000</v>
      </c>
      <c r="J80" s="139" t="s">
        <v>850</v>
      </c>
      <c r="K80" s="139"/>
      <c r="L80" s="139"/>
    </row>
    <row r="81" spans="1:12" ht="19" x14ac:dyDescent="0.2">
      <c r="A81" s="143"/>
      <c r="B81" s="32"/>
      <c r="C81" s="49"/>
      <c r="D81" s="13"/>
      <c r="E81" s="15"/>
      <c r="F81" s="9"/>
      <c r="G81" s="60"/>
      <c r="H81" s="60"/>
      <c r="I81" s="9"/>
      <c r="J81" s="9"/>
      <c r="K81" s="9"/>
      <c r="L81" s="9"/>
    </row>
    <row r="82" spans="1:12" ht="19" x14ac:dyDescent="0.2">
      <c r="A82" s="144"/>
      <c r="B82" s="145"/>
      <c r="C82" s="149"/>
      <c r="D82" s="147"/>
      <c r="E82" s="150"/>
      <c r="F82" s="139"/>
      <c r="G82" s="152"/>
      <c r="H82" s="152"/>
      <c r="I82" s="139"/>
      <c r="J82" s="139"/>
      <c r="K82" s="139"/>
      <c r="L82" s="139"/>
    </row>
    <row r="83" spans="1:12" ht="19" x14ac:dyDescent="0.2">
      <c r="A83" s="143">
        <v>1778000</v>
      </c>
      <c r="B83" s="153">
        <v>45150</v>
      </c>
      <c r="C83" s="171" t="s">
        <v>1228</v>
      </c>
      <c r="D83" s="155" t="s">
        <v>565</v>
      </c>
      <c r="E83" s="164">
        <v>1216000</v>
      </c>
      <c r="F83" s="119">
        <v>562000</v>
      </c>
      <c r="G83" s="119">
        <v>3600000</v>
      </c>
      <c r="H83" s="119" t="s">
        <v>2159</v>
      </c>
      <c r="I83" s="119">
        <v>32500</v>
      </c>
      <c r="J83" s="119" t="s">
        <v>2076</v>
      </c>
      <c r="K83" s="119"/>
      <c r="L83" s="119"/>
    </row>
    <row r="84" spans="1:12" ht="19" x14ac:dyDescent="0.2">
      <c r="A84" s="144"/>
      <c r="B84" s="145"/>
      <c r="C84" s="149"/>
      <c r="D84" s="147"/>
      <c r="E84" s="150"/>
      <c r="F84" s="139"/>
      <c r="G84" s="152"/>
      <c r="H84" s="152"/>
      <c r="I84" s="139">
        <v>66500</v>
      </c>
      <c r="J84" s="139" t="s">
        <v>2077</v>
      </c>
      <c r="K84" s="139"/>
      <c r="L84" s="139"/>
    </row>
    <row r="85" spans="1:12" ht="19" x14ac:dyDescent="0.2">
      <c r="A85" s="143"/>
      <c r="B85" s="32"/>
      <c r="C85" s="49"/>
      <c r="D85" s="13"/>
      <c r="E85" s="15"/>
      <c r="F85" s="9"/>
      <c r="G85" s="60"/>
      <c r="H85" s="60"/>
      <c r="I85" s="9">
        <v>78000</v>
      </c>
      <c r="J85" s="9" t="s">
        <v>537</v>
      </c>
      <c r="K85" s="9"/>
      <c r="L85" s="9"/>
    </row>
    <row r="86" spans="1:12" ht="19" x14ac:dyDescent="0.2">
      <c r="A86" s="144">
        <v>1256000</v>
      </c>
      <c r="B86" s="145"/>
      <c r="C86" s="149" t="s">
        <v>10</v>
      </c>
      <c r="D86" s="147" t="s">
        <v>685</v>
      </c>
      <c r="E86" s="150">
        <v>1164000</v>
      </c>
      <c r="F86" s="139">
        <v>92000</v>
      </c>
      <c r="G86" s="152"/>
      <c r="H86" s="152"/>
      <c r="I86" s="139">
        <v>6000</v>
      </c>
      <c r="J86" s="139" t="s">
        <v>824</v>
      </c>
      <c r="K86" s="139"/>
      <c r="L86" s="139"/>
    </row>
    <row r="87" spans="1:12" ht="19" x14ac:dyDescent="0.2">
      <c r="A87" s="143"/>
      <c r="B87" s="32"/>
      <c r="C87" s="49"/>
      <c r="D87" s="13"/>
      <c r="E87" s="15"/>
      <c r="F87" s="9"/>
      <c r="G87" s="60"/>
      <c r="H87" s="60"/>
      <c r="I87" s="9">
        <v>140000</v>
      </c>
      <c r="J87" s="9" t="s">
        <v>2078</v>
      </c>
      <c r="K87" s="9"/>
      <c r="L87" s="9"/>
    </row>
    <row r="88" spans="1:12" ht="19" x14ac:dyDescent="0.2">
      <c r="A88" s="144"/>
      <c r="B88" s="145"/>
      <c r="C88" s="149"/>
      <c r="D88" s="147"/>
      <c r="E88" s="150"/>
      <c r="F88" s="139"/>
      <c r="G88" s="152"/>
      <c r="H88" s="152"/>
      <c r="I88" s="139">
        <v>140000</v>
      </c>
      <c r="J88" s="139" t="s">
        <v>2079</v>
      </c>
      <c r="K88" s="139"/>
      <c r="L88" s="139"/>
    </row>
    <row r="89" spans="1:12" ht="19" x14ac:dyDescent="0.2">
      <c r="A89" s="143"/>
      <c r="B89" s="32"/>
      <c r="C89" s="49"/>
      <c r="D89" s="13"/>
      <c r="E89" s="15"/>
      <c r="F89" s="9"/>
      <c r="G89" s="60"/>
      <c r="H89" s="60"/>
      <c r="I89" s="9">
        <v>140000</v>
      </c>
      <c r="J89" s="9" t="s">
        <v>2080</v>
      </c>
      <c r="K89" s="9"/>
      <c r="L89" s="9"/>
    </row>
    <row r="90" spans="1:12" ht="19" x14ac:dyDescent="0.2">
      <c r="A90" s="144"/>
      <c r="B90" s="145"/>
      <c r="C90" s="159"/>
      <c r="D90" s="147"/>
      <c r="E90" s="150"/>
      <c r="F90" s="139"/>
      <c r="G90" s="139"/>
      <c r="H90" s="139"/>
      <c r="I90" s="139">
        <v>200000</v>
      </c>
      <c r="J90" s="139" t="s">
        <v>2049</v>
      </c>
      <c r="K90" s="139"/>
      <c r="L90" s="139"/>
    </row>
    <row r="91" spans="1:12" ht="19" x14ac:dyDescent="0.2">
      <c r="A91" s="143"/>
      <c r="B91" s="32"/>
      <c r="C91" s="49"/>
      <c r="D91" s="13"/>
      <c r="E91" s="15"/>
      <c r="F91" s="9"/>
      <c r="G91" s="9"/>
      <c r="H91" s="9"/>
      <c r="I91" s="9">
        <v>70000</v>
      </c>
      <c r="J91" s="9" t="s">
        <v>2081</v>
      </c>
      <c r="K91" s="9"/>
      <c r="L91" s="9"/>
    </row>
    <row r="92" spans="1:12" ht="19" x14ac:dyDescent="0.2">
      <c r="A92" s="143"/>
      <c r="B92" s="32"/>
      <c r="C92" s="49"/>
      <c r="D92" s="13"/>
      <c r="E92" s="15"/>
      <c r="F92" s="9"/>
      <c r="G92" s="9"/>
      <c r="H92" s="9"/>
      <c r="I92" s="9">
        <v>50000</v>
      </c>
      <c r="J92" s="9" t="s">
        <v>206</v>
      </c>
      <c r="K92" s="9"/>
      <c r="L92" s="9"/>
    </row>
    <row r="93" spans="1:12" ht="19" x14ac:dyDescent="0.2">
      <c r="A93" s="144"/>
      <c r="B93" s="145">
        <v>45151</v>
      </c>
      <c r="C93" s="149"/>
      <c r="D93" s="147"/>
      <c r="E93" s="150"/>
      <c r="F93" s="139"/>
      <c r="G93" s="139"/>
      <c r="H93" s="139" t="s">
        <v>737</v>
      </c>
      <c r="I93" s="139"/>
      <c r="J93" s="139"/>
      <c r="K93" s="139"/>
      <c r="L93" s="139"/>
    </row>
    <row r="94" spans="1:12" ht="19" x14ac:dyDescent="0.2">
      <c r="A94" s="148">
        <v>2465000</v>
      </c>
      <c r="B94" s="145">
        <v>45152</v>
      </c>
      <c r="C94" s="149" t="s">
        <v>1228</v>
      </c>
      <c r="D94" s="160" t="s">
        <v>565</v>
      </c>
      <c r="E94" s="150">
        <v>2083000</v>
      </c>
      <c r="F94" s="139">
        <v>382000</v>
      </c>
      <c r="G94" s="139"/>
      <c r="H94" s="139"/>
      <c r="I94" s="139">
        <v>122500</v>
      </c>
      <c r="J94" s="139" t="s">
        <v>2082</v>
      </c>
      <c r="K94" s="139"/>
      <c r="L94" s="139"/>
    </row>
    <row r="95" spans="1:12" ht="19" x14ac:dyDescent="0.2">
      <c r="A95" s="148"/>
      <c r="B95" s="145"/>
      <c r="C95" s="149"/>
      <c r="D95" s="160"/>
      <c r="E95" s="150"/>
      <c r="F95" s="139"/>
      <c r="G95" s="139"/>
      <c r="H95" s="139"/>
      <c r="I95" s="139">
        <v>35000</v>
      </c>
      <c r="J95" s="139" t="s">
        <v>655</v>
      </c>
      <c r="K95" s="139"/>
      <c r="L95" s="139"/>
    </row>
    <row r="96" spans="1:12" ht="19" x14ac:dyDescent="0.2">
      <c r="A96" s="148"/>
      <c r="B96" s="145"/>
      <c r="C96" s="149"/>
      <c r="D96" s="160"/>
      <c r="E96" s="150"/>
      <c r="F96" s="139"/>
      <c r="G96" s="139"/>
      <c r="H96" s="139"/>
      <c r="I96" s="139">
        <v>100000</v>
      </c>
      <c r="J96" s="139" t="s">
        <v>827</v>
      </c>
      <c r="K96" s="139"/>
      <c r="L96" s="139"/>
    </row>
    <row r="97" spans="1:12" ht="19" x14ac:dyDescent="0.2">
      <c r="A97" s="148"/>
      <c r="B97" s="145"/>
      <c r="C97" s="149"/>
      <c r="D97" s="160"/>
      <c r="E97" s="150"/>
      <c r="F97" s="139"/>
      <c r="G97" s="139"/>
      <c r="H97" s="139"/>
      <c r="I97" s="139"/>
      <c r="J97" s="139"/>
      <c r="K97" s="139"/>
      <c r="L97" s="139"/>
    </row>
    <row r="98" spans="1:12" ht="19" x14ac:dyDescent="0.2">
      <c r="A98" s="144">
        <v>1967000</v>
      </c>
      <c r="B98" s="145"/>
      <c r="C98" s="149" t="s">
        <v>10</v>
      </c>
      <c r="D98" s="147" t="s">
        <v>685</v>
      </c>
      <c r="E98" s="150">
        <v>1292000</v>
      </c>
      <c r="F98" s="139">
        <v>675000</v>
      </c>
      <c r="G98" s="139"/>
      <c r="H98" s="139"/>
      <c r="I98" s="139"/>
      <c r="J98" s="139"/>
      <c r="K98" s="139"/>
      <c r="L98" s="139"/>
    </row>
    <row r="99" spans="1:12" ht="19" x14ac:dyDescent="0.2">
      <c r="A99" s="143"/>
      <c r="B99" s="32"/>
      <c r="C99" s="49"/>
      <c r="D99" s="13"/>
      <c r="E99" s="15"/>
      <c r="F99" s="9"/>
      <c r="G99" s="9"/>
      <c r="H99" s="9"/>
      <c r="I99" s="9"/>
      <c r="J99" s="9"/>
      <c r="K99" s="9"/>
      <c r="L99" s="9"/>
    </row>
    <row r="100" spans="1:12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/>
      <c r="K100" s="139"/>
      <c r="L100" s="139"/>
    </row>
    <row r="101" spans="1:12" ht="19" x14ac:dyDescent="0.2">
      <c r="A101" s="143">
        <v>1859000</v>
      </c>
      <c r="B101" s="153">
        <v>45153</v>
      </c>
      <c r="C101" s="171" t="s">
        <v>1228</v>
      </c>
      <c r="D101" s="155" t="s">
        <v>565</v>
      </c>
      <c r="E101" s="164">
        <v>1436000</v>
      </c>
      <c r="F101" s="119">
        <v>423000</v>
      </c>
      <c r="G101" s="119">
        <v>1950000</v>
      </c>
      <c r="H101" s="176" t="s">
        <v>710</v>
      </c>
      <c r="I101" s="119">
        <v>520000</v>
      </c>
      <c r="J101" s="119" t="s">
        <v>2083</v>
      </c>
      <c r="K101" s="119"/>
      <c r="L101" s="119"/>
    </row>
    <row r="102" spans="1:12" ht="19" x14ac:dyDescent="0.2">
      <c r="A102" s="144"/>
      <c r="B102" s="145"/>
      <c r="C102" s="149"/>
      <c r="D102" s="147"/>
      <c r="E102" s="150"/>
      <c r="F102" s="139"/>
      <c r="G102" s="139">
        <v>1950000</v>
      </c>
      <c r="H102" s="161" t="s">
        <v>1431</v>
      </c>
      <c r="I102" s="139">
        <v>35000</v>
      </c>
      <c r="J102" s="139" t="s">
        <v>2084</v>
      </c>
      <c r="K102" s="139"/>
      <c r="L102" s="139"/>
    </row>
    <row r="103" spans="1:12" ht="19" x14ac:dyDescent="0.2">
      <c r="A103" s="144"/>
      <c r="B103" s="145"/>
      <c r="C103" s="149"/>
      <c r="D103" s="147"/>
      <c r="E103" s="150"/>
      <c r="F103" s="139"/>
      <c r="G103" s="139"/>
      <c r="H103" s="161"/>
      <c r="I103" s="139">
        <v>108000</v>
      </c>
      <c r="J103" s="139" t="s">
        <v>716</v>
      </c>
      <c r="K103" s="139"/>
      <c r="L103" s="139"/>
    </row>
    <row r="104" spans="1:12" ht="19" x14ac:dyDescent="0.2">
      <c r="A104" s="144"/>
      <c r="B104" s="145"/>
      <c r="C104" s="149"/>
      <c r="D104" s="147"/>
      <c r="E104" s="150"/>
      <c r="F104" s="139"/>
      <c r="G104" s="139"/>
      <c r="H104" s="161"/>
      <c r="I104" s="139">
        <v>138000</v>
      </c>
      <c r="J104" s="139" t="s">
        <v>2085</v>
      </c>
      <c r="K104" s="139"/>
      <c r="L104" s="139"/>
    </row>
    <row r="105" spans="1:12" ht="19" x14ac:dyDescent="0.2">
      <c r="A105" s="144"/>
      <c r="B105" s="145"/>
      <c r="C105" s="149"/>
      <c r="D105" s="147"/>
      <c r="E105" s="150"/>
      <c r="F105" s="139"/>
      <c r="G105" s="139">
        <v>2657000</v>
      </c>
      <c r="H105" s="161" t="s">
        <v>812</v>
      </c>
      <c r="I105" s="139">
        <v>24500</v>
      </c>
      <c r="J105" s="139" t="s">
        <v>2086</v>
      </c>
      <c r="K105" s="139"/>
      <c r="L105" s="139"/>
    </row>
    <row r="106" spans="1:12" ht="19" x14ac:dyDescent="0.2">
      <c r="A106" s="144"/>
      <c r="B106" s="145"/>
      <c r="C106" s="149"/>
      <c r="D106" s="147"/>
      <c r="E106" s="150"/>
      <c r="F106" s="139"/>
      <c r="G106" s="139">
        <v>600000</v>
      </c>
      <c r="H106" s="161" t="s">
        <v>2088</v>
      </c>
      <c r="I106" s="139">
        <v>112000</v>
      </c>
      <c r="J106" s="139" t="s">
        <v>807</v>
      </c>
      <c r="K106" s="139"/>
      <c r="L106" s="139"/>
    </row>
    <row r="107" spans="1:12" ht="19" x14ac:dyDescent="0.2">
      <c r="A107" s="143">
        <v>1723000</v>
      </c>
      <c r="B107" s="32"/>
      <c r="C107" s="49" t="s">
        <v>10</v>
      </c>
      <c r="D107" s="13" t="s">
        <v>685</v>
      </c>
      <c r="E107" s="15">
        <v>1127000</v>
      </c>
      <c r="F107" s="9">
        <v>596000</v>
      </c>
      <c r="G107" s="9"/>
      <c r="H107" s="47"/>
      <c r="I107" s="9">
        <v>338000</v>
      </c>
      <c r="J107" s="9" t="s">
        <v>2087</v>
      </c>
      <c r="K107" s="9"/>
      <c r="L107" s="9"/>
    </row>
    <row r="108" spans="1:12" ht="19" x14ac:dyDescent="0.2">
      <c r="A108" s="143">
        <v>1522000</v>
      </c>
      <c r="B108" s="153">
        <v>45154</v>
      </c>
      <c r="C108" s="163" t="s">
        <v>1228</v>
      </c>
      <c r="D108" s="155" t="s">
        <v>565</v>
      </c>
      <c r="E108" s="164">
        <v>1227000</v>
      </c>
      <c r="F108" s="119">
        <v>295000</v>
      </c>
      <c r="G108" s="119"/>
      <c r="H108" s="119"/>
      <c r="I108" s="174">
        <v>240000</v>
      </c>
      <c r="J108" s="174" t="s">
        <v>1397</v>
      </c>
      <c r="K108" s="119"/>
      <c r="L108" s="119"/>
    </row>
    <row r="109" spans="1:12" ht="19" x14ac:dyDescent="0.2">
      <c r="A109" s="144"/>
      <c r="B109" s="158"/>
      <c r="C109" s="151"/>
      <c r="D109" s="147"/>
      <c r="E109" s="150"/>
      <c r="F109" s="139"/>
      <c r="G109" s="139"/>
      <c r="H109" s="139"/>
      <c r="I109" s="162">
        <v>168000</v>
      </c>
      <c r="J109" s="162" t="s">
        <v>2028</v>
      </c>
      <c r="K109" s="139"/>
      <c r="L109" s="139"/>
    </row>
    <row r="110" spans="1:12" ht="19" x14ac:dyDescent="0.2">
      <c r="A110" s="143">
        <v>1587000</v>
      </c>
      <c r="B110" s="32"/>
      <c r="C110" s="35" t="s">
        <v>10</v>
      </c>
      <c r="D110" s="13" t="s">
        <v>685</v>
      </c>
      <c r="E110" s="15">
        <v>1159000</v>
      </c>
      <c r="F110" s="9">
        <v>428000</v>
      </c>
      <c r="G110" s="9"/>
      <c r="H110" s="9"/>
      <c r="I110" s="106"/>
      <c r="J110" s="106"/>
      <c r="K110" s="9"/>
      <c r="L110" s="9"/>
    </row>
    <row r="111" spans="1:12" ht="19" x14ac:dyDescent="0.2">
      <c r="A111" s="144"/>
      <c r="B111" s="145"/>
      <c r="C111" s="151"/>
      <c r="D111" s="147"/>
      <c r="E111" s="150"/>
      <c r="F111" s="139"/>
      <c r="G111" s="139"/>
      <c r="H111" s="139"/>
      <c r="I111" s="162"/>
      <c r="J111" s="162"/>
      <c r="K111" s="139"/>
      <c r="L111" s="139"/>
    </row>
    <row r="112" spans="1:12" ht="19" x14ac:dyDescent="0.2">
      <c r="A112" s="143">
        <v>2451000</v>
      </c>
      <c r="B112" s="153">
        <v>45155</v>
      </c>
      <c r="C112" s="163" t="s">
        <v>1228</v>
      </c>
      <c r="D112" s="155" t="s">
        <v>565</v>
      </c>
      <c r="E112" s="164">
        <v>1756000</v>
      </c>
      <c r="F112" s="119">
        <v>695000</v>
      </c>
      <c r="G112" s="119"/>
      <c r="H112" s="119"/>
      <c r="I112" s="174">
        <v>78000</v>
      </c>
      <c r="J112" s="174" t="s">
        <v>537</v>
      </c>
      <c r="K112" s="119"/>
      <c r="L112" s="119"/>
    </row>
    <row r="113" spans="1:12" ht="19" x14ac:dyDescent="0.2">
      <c r="A113" s="148"/>
      <c r="B113" s="145"/>
      <c r="C113" s="159"/>
      <c r="D113" s="147"/>
      <c r="E113" s="150"/>
      <c r="F113" s="139"/>
      <c r="G113" s="139"/>
      <c r="H113" s="139"/>
      <c r="I113" s="139">
        <v>100000</v>
      </c>
      <c r="J113" s="139" t="s">
        <v>889</v>
      </c>
      <c r="K113" s="139"/>
      <c r="L113" s="139"/>
    </row>
    <row r="114" spans="1:12" ht="19" x14ac:dyDescent="0.2">
      <c r="A114" s="142">
        <v>832000</v>
      </c>
      <c r="B114" s="33"/>
      <c r="C114" s="2" t="s">
        <v>10</v>
      </c>
      <c r="D114" s="102" t="s">
        <v>685</v>
      </c>
      <c r="E114" s="15">
        <v>524000</v>
      </c>
      <c r="F114" s="9">
        <v>308000</v>
      </c>
      <c r="G114" s="9"/>
      <c r="H114" s="9"/>
      <c r="I114" s="9">
        <v>70000</v>
      </c>
      <c r="J114" s="9" t="s">
        <v>751</v>
      </c>
      <c r="K114" s="9"/>
      <c r="L114" s="9"/>
    </row>
    <row r="115" spans="1:12" ht="19" x14ac:dyDescent="0.2">
      <c r="A115" s="144"/>
      <c r="B115" s="145"/>
      <c r="C115" s="151"/>
      <c r="D115" s="147"/>
      <c r="E115" s="150"/>
      <c r="F115" s="139"/>
      <c r="G115" s="139"/>
      <c r="H115" s="139"/>
      <c r="I115" s="139">
        <v>144000</v>
      </c>
      <c r="J115" s="139" t="s">
        <v>615</v>
      </c>
      <c r="K115" s="139"/>
      <c r="L115" s="139"/>
    </row>
    <row r="116" spans="1:12" ht="19" x14ac:dyDescent="0.2">
      <c r="A116" s="143">
        <v>1627000</v>
      </c>
      <c r="B116" s="153">
        <v>45156</v>
      </c>
      <c r="C116" s="163" t="s">
        <v>1228</v>
      </c>
      <c r="D116" s="155" t="s">
        <v>565</v>
      </c>
      <c r="E116" s="119">
        <v>1139000</v>
      </c>
      <c r="F116" s="119">
        <v>488000</v>
      </c>
      <c r="G116" s="119"/>
      <c r="H116" s="119"/>
      <c r="I116" s="119">
        <v>75000</v>
      </c>
      <c r="J116" s="119" t="s">
        <v>2089</v>
      </c>
      <c r="K116" s="119"/>
      <c r="L116" s="119"/>
    </row>
    <row r="117" spans="1:12" ht="19" x14ac:dyDescent="0.2">
      <c r="A117" s="144"/>
      <c r="B117" s="158"/>
      <c r="C117" s="151"/>
      <c r="D117" s="147"/>
      <c r="E117" s="150"/>
      <c r="F117" s="139"/>
      <c r="G117" s="139"/>
      <c r="H117" s="139"/>
      <c r="I117" s="139">
        <v>60000</v>
      </c>
      <c r="J117" s="139" t="s">
        <v>2090</v>
      </c>
      <c r="K117" s="139"/>
      <c r="L117" s="139"/>
    </row>
    <row r="118" spans="1:12" ht="19" x14ac:dyDescent="0.2">
      <c r="A118" s="144"/>
      <c r="B118" s="158"/>
      <c r="C118" s="151"/>
      <c r="D118" s="147"/>
      <c r="E118" s="150"/>
      <c r="F118" s="139"/>
      <c r="G118" s="139"/>
      <c r="H118" s="139"/>
      <c r="I118" s="139">
        <v>116000</v>
      </c>
      <c r="J118" s="139" t="s">
        <v>2091</v>
      </c>
      <c r="K118" s="139"/>
      <c r="L118" s="139"/>
    </row>
    <row r="119" spans="1:12" ht="19" x14ac:dyDescent="0.2">
      <c r="A119" s="144"/>
      <c r="B119" s="158"/>
      <c r="C119" s="151"/>
      <c r="D119" s="147"/>
      <c r="E119" s="150"/>
      <c r="F119" s="139"/>
      <c r="G119" s="139"/>
      <c r="H119" s="139"/>
      <c r="I119" s="139">
        <v>156000</v>
      </c>
      <c r="J119" s="139" t="s">
        <v>2092</v>
      </c>
      <c r="K119" s="139"/>
      <c r="L119" s="139"/>
    </row>
    <row r="120" spans="1:12" ht="19" x14ac:dyDescent="0.2">
      <c r="A120" s="144"/>
      <c r="B120" s="158"/>
      <c r="C120" s="151"/>
      <c r="D120" s="147"/>
      <c r="E120" s="150"/>
      <c r="F120" s="139"/>
      <c r="G120" s="139"/>
      <c r="H120" s="139"/>
      <c r="I120" s="139">
        <v>34000</v>
      </c>
      <c r="J120" s="139" t="s">
        <v>975</v>
      </c>
      <c r="K120" s="139"/>
      <c r="L120" s="139"/>
    </row>
    <row r="121" spans="1:12" ht="19" x14ac:dyDescent="0.2">
      <c r="A121" s="144"/>
      <c r="B121" s="158"/>
      <c r="C121" s="151"/>
      <c r="D121" s="147"/>
      <c r="E121" s="150"/>
      <c r="F121" s="139"/>
      <c r="G121" s="139"/>
      <c r="H121" s="139"/>
      <c r="I121" s="139">
        <v>92000</v>
      </c>
      <c r="J121" s="139" t="s">
        <v>2093</v>
      </c>
      <c r="K121" s="139"/>
      <c r="L121" s="139"/>
    </row>
    <row r="122" spans="1:12" ht="19" x14ac:dyDescent="0.2">
      <c r="A122" s="144"/>
      <c r="B122" s="158"/>
      <c r="C122" s="151"/>
      <c r="D122" s="147"/>
      <c r="E122" s="150"/>
      <c r="F122" s="139"/>
      <c r="G122" s="139"/>
      <c r="H122" s="139"/>
      <c r="I122" s="139">
        <v>44500</v>
      </c>
      <c r="J122" s="139" t="s">
        <v>2094</v>
      </c>
      <c r="K122" s="139"/>
      <c r="L122" s="139"/>
    </row>
    <row r="123" spans="1:12" ht="19" x14ac:dyDescent="0.2">
      <c r="A123" s="143">
        <v>1307000</v>
      </c>
      <c r="B123" s="33"/>
      <c r="C123" s="35" t="s">
        <v>10</v>
      </c>
      <c r="D123" s="13" t="s">
        <v>685</v>
      </c>
      <c r="E123" s="15">
        <v>924000</v>
      </c>
      <c r="F123" s="9">
        <v>383000</v>
      </c>
      <c r="G123" s="9"/>
      <c r="H123" s="9"/>
      <c r="I123" s="9">
        <v>54500</v>
      </c>
      <c r="J123" s="9" t="s">
        <v>2095</v>
      </c>
      <c r="K123" s="9"/>
      <c r="L123" s="9"/>
    </row>
    <row r="124" spans="1:12" ht="19" x14ac:dyDescent="0.2">
      <c r="A124" s="144"/>
      <c r="B124" s="158"/>
      <c r="C124" s="151"/>
      <c r="D124" s="147"/>
      <c r="E124" s="150"/>
      <c r="F124" s="139"/>
      <c r="G124" s="139"/>
      <c r="H124" s="139"/>
      <c r="I124" s="139">
        <v>151500</v>
      </c>
      <c r="J124" s="139" t="s">
        <v>2096</v>
      </c>
      <c r="K124" s="139"/>
      <c r="L124" s="139"/>
    </row>
    <row r="125" spans="1:12" ht="19" x14ac:dyDescent="0.2">
      <c r="A125" s="143"/>
      <c r="B125" s="33"/>
      <c r="C125" s="35"/>
      <c r="D125" s="13"/>
      <c r="E125" s="15"/>
      <c r="F125" s="9"/>
      <c r="G125" s="9"/>
      <c r="H125" s="9"/>
      <c r="I125" s="9">
        <v>200000</v>
      </c>
      <c r="J125" s="9" t="s">
        <v>2049</v>
      </c>
      <c r="K125" s="9"/>
      <c r="L125" s="9"/>
    </row>
    <row r="126" spans="1:12" ht="19" x14ac:dyDescent="0.2">
      <c r="A126" s="144">
        <v>2130000</v>
      </c>
      <c r="B126" s="145">
        <v>45157</v>
      </c>
      <c r="C126" s="151" t="s">
        <v>1228</v>
      </c>
      <c r="D126" s="147" t="s">
        <v>565</v>
      </c>
      <c r="E126" s="150">
        <v>1439000</v>
      </c>
      <c r="F126" s="139">
        <v>691000</v>
      </c>
      <c r="G126" s="139"/>
      <c r="H126" s="139"/>
      <c r="I126" s="139">
        <v>100000</v>
      </c>
      <c r="J126" s="139" t="s">
        <v>827</v>
      </c>
      <c r="K126" s="139"/>
      <c r="L126" s="139"/>
    </row>
    <row r="127" spans="1:12" ht="19" x14ac:dyDescent="0.2">
      <c r="A127" s="143"/>
      <c r="B127" s="33"/>
      <c r="C127" s="35"/>
      <c r="D127" s="13"/>
      <c r="E127" s="15"/>
      <c r="F127" s="9"/>
      <c r="G127" s="9"/>
      <c r="H127" s="9"/>
      <c r="I127" s="9"/>
      <c r="J127" s="9"/>
      <c r="K127" s="9"/>
      <c r="L127" s="9"/>
    </row>
    <row r="128" spans="1:12" ht="19" x14ac:dyDescent="0.2">
      <c r="A128" s="144">
        <v>1233000</v>
      </c>
      <c r="B128" s="158"/>
      <c r="C128" s="159" t="s">
        <v>10</v>
      </c>
      <c r="D128" s="147" t="s">
        <v>685</v>
      </c>
      <c r="E128" s="150">
        <v>850000</v>
      </c>
      <c r="F128" s="139">
        <v>383000</v>
      </c>
      <c r="G128" s="139"/>
      <c r="H128" s="139"/>
      <c r="I128" s="139">
        <v>50000</v>
      </c>
      <c r="J128" s="139" t="s">
        <v>206</v>
      </c>
      <c r="K128" s="139"/>
      <c r="L128" s="139"/>
    </row>
    <row r="129" spans="1:12" ht="19" x14ac:dyDescent="0.2">
      <c r="A129" s="143"/>
      <c r="B129" s="33"/>
      <c r="C129" s="35"/>
      <c r="D129" s="13"/>
      <c r="E129" s="15"/>
      <c r="F129" s="9"/>
      <c r="G129" s="9"/>
      <c r="H129" s="9"/>
      <c r="I129" s="9">
        <v>75000</v>
      </c>
      <c r="J129" s="9" t="s">
        <v>2097</v>
      </c>
      <c r="K129" s="9"/>
      <c r="L129" s="9"/>
    </row>
    <row r="130" spans="1:12" ht="19" x14ac:dyDescent="0.2">
      <c r="A130" s="144"/>
      <c r="B130" s="145"/>
      <c r="C130" s="159"/>
      <c r="D130" s="147"/>
      <c r="E130" s="150"/>
      <c r="F130" s="139"/>
      <c r="G130" s="139"/>
      <c r="H130" s="139"/>
      <c r="I130" s="139">
        <v>196000</v>
      </c>
      <c r="J130" s="139" t="s">
        <v>2098</v>
      </c>
      <c r="K130" s="139"/>
      <c r="L130" s="139"/>
    </row>
    <row r="131" spans="1:12" ht="19" x14ac:dyDescent="0.2">
      <c r="A131" s="143"/>
      <c r="B131" s="33"/>
      <c r="C131" s="35"/>
      <c r="D131" s="13"/>
      <c r="E131" s="15"/>
      <c r="F131" s="9"/>
      <c r="G131" s="9"/>
      <c r="H131" s="9"/>
      <c r="I131" s="9">
        <v>1000000</v>
      </c>
      <c r="J131" s="9" t="s">
        <v>2161</v>
      </c>
      <c r="K131" s="9"/>
      <c r="L131" s="9"/>
    </row>
    <row r="132" spans="1:12" ht="19" x14ac:dyDescent="0.2">
      <c r="A132" s="148"/>
      <c r="B132" s="145"/>
      <c r="C132" s="146"/>
      <c r="D132" s="147"/>
      <c r="E132" s="150"/>
      <c r="F132" s="139"/>
      <c r="G132" s="139"/>
      <c r="H132" s="139"/>
      <c r="I132" s="139"/>
      <c r="J132" s="139"/>
      <c r="K132" s="139"/>
      <c r="L132" s="139"/>
    </row>
    <row r="133" spans="1:12" ht="19" x14ac:dyDescent="0.2">
      <c r="A133" s="142">
        <v>1689000</v>
      </c>
      <c r="B133" s="153">
        <v>45158</v>
      </c>
      <c r="C133" s="163" t="s">
        <v>9</v>
      </c>
      <c r="D133" s="172" t="s">
        <v>2099</v>
      </c>
      <c r="E133" s="164">
        <v>1023000</v>
      </c>
      <c r="F133" s="119">
        <v>666000</v>
      </c>
      <c r="G133" s="119"/>
      <c r="H133" s="119"/>
      <c r="I133" s="119"/>
      <c r="J133" s="119"/>
      <c r="K133" s="119"/>
      <c r="L133" s="119"/>
    </row>
    <row r="134" spans="1:12" ht="19" x14ac:dyDescent="0.2">
      <c r="A134" s="142">
        <v>1609000</v>
      </c>
      <c r="B134" s="153">
        <v>45159</v>
      </c>
      <c r="C134" s="163" t="s">
        <v>9</v>
      </c>
      <c r="D134" s="172" t="s">
        <v>565</v>
      </c>
      <c r="E134" s="164">
        <v>1320000</v>
      </c>
      <c r="F134" s="119">
        <v>289000</v>
      </c>
      <c r="G134" s="119">
        <v>2659000</v>
      </c>
      <c r="H134" s="119" t="s">
        <v>1045</v>
      </c>
      <c r="I134" s="119">
        <v>12000</v>
      </c>
      <c r="J134" s="119" t="s">
        <v>971</v>
      </c>
      <c r="K134" s="119"/>
      <c r="L134" s="119"/>
    </row>
    <row r="135" spans="1:12" ht="19" x14ac:dyDescent="0.2">
      <c r="A135" s="148"/>
      <c r="B135" s="158"/>
      <c r="C135" s="151"/>
      <c r="D135" s="160"/>
      <c r="E135" s="150"/>
      <c r="F135" s="139"/>
      <c r="G135" s="139"/>
      <c r="H135" s="139"/>
      <c r="I135" s="139">
        <v>124500</v>
      </c>
      <c r="J135" s="139" t="s">
        <v>2100</v>
      </c>
      <c r="K135" s="139"/>
      <c r="L135" s="139"/>
    </row>
    <row r="136" spans="1:12" ht="19" x14ac:dyDescent="0.2">
      <c r="A136" s="148"/>
      <c r="B136" s="158"/>
      <c r="C136" s="151"/>
      <c r="D136" s="160"/>
      <c r="E136" s="150"/>
      <c r="F136" s="139"/>
      <c r="G136" s="139"/>
      <c r="H136" s="139"/>
      <c r="I136" s="139">
        <v>103000</v>
      </c>
      <c r="J136" s="139" t="s">
        <v>2101</v>
      </c>
      <c r="K136" s="139"/>
      <c r="L136" s="139"/>
    </row>
    <row r="137" spans="1:12" ht="19" x14ac:dyDescent="0.2">
      <c r="A137" s="148"/>
      <c r="B137" s="158"/>
      <c r="C137" s="151"/>
      <c r="D137" s="160"/>
      <c r="E137" s="150"/>
      <c r="F137" s="139"/>
      <c r="G137" s="139"/>
      <c r="H137" s="139"/>
      <c r="I137" s="139">
        <v>41000</v>
      </c>
      <c r="J137" s="139" t="s">
        <v>2102</v>
      </c>
      <c r="K137" s="139"/>
      <c r="L137" s="139"/>
    </row>
    <row r="138" spans="1:12" ht="19" x14ac:dyDescent="0.2">
      <c r="A138" s="148"/>
      <c r="B138" s="158"/>
      <c r="C138" s="151"/>
      <c r="D138" s="160"/>
      <c r="E138" s="150"/>
      <c r="F138" s="139"/>
      <c r="G138" s="139"/>
      <c r="H138" s="139"/>
      <c r="I138" s="139">
        <v>34000</v>
      </c>
      <c r="J138" s="139" t="s">
        <v>2103</v>
      </c>
      <c r="K138" s="139"/>
      <c r="L138" s="139"/>
    </row>
    <row r="139" spans="1:12" ht="19" x14ac:dyDescent="0.2">
      <c r="A139" s="142">
        <v>2190000</v>
      </c>
      <c r="B139" s="33"/>
      <c r="C139" s="35" t="s">
        <v>10</v>
      </c>
      <c r="D139" s="102" t="s">
        <v>685</v>
      </c>
      <c r="E139" s="15">
        <v>1697000</v>
      </c>
      <c r="F139" s="9">
        <v>493000</v>
      </c>
      <c r="G139" s="9"/>
      <c r="H139" s="9"/>
      <c r="I139" s="139">
        <v>150000</v>
      </c>
      <c r="J139" s="139" t="s">
        <v>2104</v>
      </c>
      <c r="K139" s="9"/>
      <c r="L139" s="9"/>
    </row>
    <row r="140" spans="1:12" ht="19" x14ac:dyDescent="0.2">
      <c r="A140" s="142">
        <v>2964000</v>
      </c>
      <c r="B140" s="153">
        <v>45160</v>
      </c>
      <c r="C140" s="163" t="s">
        <v>340</v>
      </c>
      <c r="D140" s="172" t="s">
        <v>2105</v>
      </c>
      <c r="E140" s="164">
        <v>2178000</v>
      </c>
      <c r="F140" s="119">
        <v>786000</v>
      </c>
      <c r="G140" s="119"/>
      <c r="H140" s="119"/>
      <c r="I140" s="119">
        <v>78000</v>
      </c>
      <c r="J140" s="119" t="s">
        <v>2106</v>
      </c>
      <c r="K140" s="119"/>
      <c r="L140" s="119"/>
    </row>
    <row r="141" spans="1:12" ht="19" x14ac:dyDescent="0.2">
      <c r="A141" s="144"/>
      <c r="B141" s="158"/>
      <c r="C141" s="151"/>
      <c r="D141" s="147"/>
      <c r="E141" s="150"/>
      <c r="F141" s="139"/>
      <c r="G141" s="139"/>
      <c r="H141" s="139"/>
      <c r="I141" s="139">
        <v>36000</v>
      </c>
      <c r="J141" s="139" t="s">
        <v>2107</v>
      </c>
      <c r="K141" s="139"/>
      <c r="L141" s="139"/>
    </row>
    <row r="142" spans="1:12" ht="19" x14ac:dyDescent="0.2">
      <c r="A142" s="143"/>
      <c r="B142" s="33"/>
      <c r="C142" s="35"/>
      <c r="D142" s="13"/>
      <c r="E142" s="15"/>
      <c r="F142" s="9"/>
      <c r="G142" s="9"/>
      <c r="H142" s="9"/>
      <c r="I142" s="9">
        <v>180000</v>
      </c>
      <c r="J142" s="9" t="s">
        <v>2108</v>
      </c>
      <c r="K142" s="9"/>
      <c r="L142" s="9"/>
    </row>
    <row r="143" spans="1:12" ht="19" x14ac:dyDescent="0.2">
      <c r="A143" s="144"/>
      <c r="B143" s="158"/>
      <c r="C143" s="151"/>
      <c r="D143" s="147"/>
      <c r="E143" s="150"/>
      <c r="F143" s="139"/>
      <c r="G143" s="139"/>
      <c r="H143" s="139"/>
      <c r="I143" s="139">
        <v>200000</v>
      </c>
      <c r="J143" s="139" t="s">
        <v>1090</v>
      </c>
      <c r="K143" s="139"/>
      <c r="L143" s="139"/>
    </row>
    <row r="144" spans="1:12" ht="19" x14ac:dyDescent="0.2">
      <c r="A144" s="143"/>
      <c r="B144" s="32"/>
      <c r="C144" s="3"/>
      <c r="D144" s="13"/>
      <c r="E144" s="15"/>
      <c r="F144" s="9"/>
      <c r="G144" s="9"/>
      <c r="H144" s="9"/>
      <c r="I144" s="9">
        <v>140000</v>
      </c>
      <c r="J144" s="9" t="s">
        <v>2109</v>
      </c>
      <c r="K144" s="9"/>
      <c r="L144" s="9"/>
    </row>
    <row r="145" spans="1:12" ht="19" x14ac:dyDescent="0.2">
      <c r="A145" s="143">
        <v>2622000</v>
      </c>
      <c r="B145" s="153">
        <v>45161</v>
      </c>
      <c r="C145" s="171" t="s">
        <v>9</v>
      </c>
      <c r="D145" s="155" t="s">
        <v>565</v>
      </c>
      <c r="E145" s="164">
        <v>1846000</v>
      </c>
      <c r="F145" s="119">
        <v>776000</v>
      </c>
      <c r="G145" s="119">
        <v>250000</v>
      </c>
      <c r="H145" s="119" t="s">
        <v>2160</v>
      </c>
      <c r="I145" s="119">
        <v>143500</v>
      </c>
      <c r="J145" s="119" t="s">
        <v>798</v>
      </c>
      <c r="K145" s="119"/>
      <c r="L145" s="119"/>
    </row>
    <row r="146" spans="1:12" ht="19" x14ac:dyDescent="0.2">
      <c r="A146" s="143"/>
      <c r="B146" s="153"/>
      <c r="C146" s="171"/>
      <c r="D146" s="155"/>
      <c r="E146" s="164"/>
      <c r="F146" s="119"/>
      <c r="G146" s="119"/>
      <c r="H146" s="119"/>
      <c r="I146" s="119">
        <v>9000</v>
      </c>
      <c r="J146" s="119" t="s">
        <v>642</v>
      </c>
      <c r="K146" s="119"/>
      <c r="L146" s="119"/>
    </row>
    <row r="147" spans="1:12" ht="19" x14ac:dyDescent="0.2">
      <c r="A147" s="143">
        <v>1128000</v>
      </c>
      <c r="B147" s="32"/>
      <c r="C147" s="49" t="s">
        <v>10</v>
      </c>
      <c r="D147" s="13" t="s">
        <v>685</v>
      </c>
      <c r="E147" s="15">
        <v>678000</v>
      </c>
      <c r="F147" s="9">
        <v>450000</v>
      </c>
      <c r="G147" s="9"/>
      <c r="H147" s="9"/>
      <c r="I147" s="9">
        <v>100000</v>
      </c>
      <c r="J147" s="9" t="s">
        <v>827</v>
      </c>
      <c r="K147" s="9"/>
      <c r="L147" s="9"/>
    </row>
    <row r="148" spans="1:12" ht="19" x14ac:dyDescent="0.2">
      <c r="A148" s="143">
        <v>2355000</v>
      </c>
      <c r="B148" s="153">
        <v>45162</v>
      </c>
      <c r="C148" s="163" t="s">
        <v>9</v>
      </c>
      <c r="D148" s="155" t="s">
        <v>2105</v>
      </c>
      <c r="E148" s="164">
        <v>1552000</v>
      </c>
      <c r="F148" s="119">
        <v>803000</v>
      </c>
      <c r="G148" s="119"/>
      <c r="H148" s="119"/>
      <c r="I148" s="119">
        <v>58000</v>
      </c>
      <c r="J148" s="119" t="s">
        <v>2110</v>
      </c>
      <c r="K148" s="119"/>
      <c r="L148" s="119"/>
    </row>
    <row r="149" spans="1:12" ht="19" x14ac:dyDescent="0.2">
      <c r="A149" s="144"/>
      <c r="B149" s="145"/>
      <c r="C149" s="146"/>
      <c r="D149" s="147"/>
      <c r="E149" s="150"/>
      <c r="F149" s="139"/>
      <c r="G149" s="139"/>
      <c r="H149" s="165"/>
      <c r="I149" s="139">
        <v>120000</v>
      </c>
      <c r="J149" s="139" t="s">
        <v>703</v>
      </c>
      <c r="K149" s="139"/>
      <c r="L149" s="139"/>
    </row>
    <row r="150" spans="1:12" ht="19" x14ac:dyDescent="0.2">
      <c r="A150" s="143">
        <v>1377000</v>
      </c>
      <c r="B150" s="32"/>
      <c r="C150" s="35" t="s">
        <v>10</v>
      </c>
      <c r="D150" s="13" t="s">
        <v>685</v>
      </c>
      <c r="E150" s="15">
        <v>682000</v>
      </c>
      <c r="F150" s="9">
        <v>695000</v>
      </c>
      <c r="G150" s="9"/>
      <c r="H150" s="77"/>
      <c r="I150" s="9">
        <v>150000</v>
      </c>
      <c r="J150" s="9" t="s">
        <v>2111</v>
      </c>
      <c r="K150" s="9"/>
      <c r="L150" s="9"/>
    </row>
    <row r="151" spans="1:12" ht="19" x14ac:dyDescent="0.2">
      <c r="A151" s="144"/>
      <c r="B151" s="145"/>
      <c r="C151" s="146"/>
      <c r="D151" s="147"/>
      <c r="E151" s="150"/>
      <c r="F151" s="139"/>
      <c r="G151" s="139"/>
      <c r="H151" s="165"/>
      <c r="I151" s="139">
        <v>98000</v>
      </c>
      <c r="J151" s="139" t="s">
        <v>2112</v>
      </c>
      <c r="K151" s="139"/>
      <c r="L151" s="139"/>
    </row>
    <row r="152" spans="1:12" ht="19" x14ac:dyDescent="0.2">
      <c r="A152" s="143"/>
      <c r="B152" s="32"/>
      <c r="C152" s="3"/>
      <c r="D152" s="13"/>
      <c r="E152" s="15"/>
      <c r="F152" s="9"/>
      <c r="G152" s="9"/>
      <c r="H152" s="77"/>
      <c r="I152" s="9"/>
      <c r="J152" s="9"/>
      <c r="K152" s="9"/>
      <c r="L152" s="9"/>
    </row>
    <row r="153" spans="1:12" ht="19" x14ac:dyDescent="0.2">
      <c r="A153" s="205">
        <v>1607000</v>
      </c>
      <c r="B153" s="145">
        <v>45163</v>
      </c>
      <c r="C153" s="151" t="s">
        <v>1228</v>
      </c>
      <c r="D153" s="147" t="s">
        <v>565</v>
      </c>
      <c r="E153" s="150">
        <v>1436000</v>
      </c>
      <c r="F153" s="139">
        <v>171000</v>
      </c>
      <c r="G153" s="139"/>
      <c r="H153" s="165"/>
      <c r="I153" s="139">
        <v>54000</v>
      </c>
      <c r="J153" s="139" t="s">
        <v>974</v>
      </c>
      <c r="K153" s="139"/>
      <c r="L153" s="139"/>
    </row>
    <row r="154" spans="1:12" ht="19" x14ac:dyDescent="0.2">
      <c r="A154" s="143"/>
      <c r="B154" s="32"/>
      <c r="C154" s="35"/>
      <c r="D154" s="13"/>
      <c r="E154" s="15"/>
      <c r="F154" s="9"/>
      <c r="G154" s="9"/>
      <c r="H154" s="77"/>
      <c r="I154" s="9">
        <v>78000</v>
      </c>
      <c r="J154" s="9" t="s">
        <v>537</v>
      </c>
      <c r="K154" s="9"/>
      <c r="L154" s="9"/>
    </row>
    <row r="155" spans="1:12" ht="19" x14ac:dyDescent="0.2">
      <c r="A155" s="148">
        <v>1422000</v>
      </c>
      <c r="B155" s="145"/>
      <c r="C155" s="151" t="s">
        <v>10</v>
      </c>
      <c r="D155" s="160" t="s">
        <v>685</v>
      </c>
      <c r="E155" s="150">
        <v>1205000</v>
      </c>
      <c r="F155" s="139">
        <v>217000</v>
      </c>
      <c r="G155" s="139"/>
      <c r="H155" s="165"/>
      <c r="I155" s="139">
        <v>58000</v>
      </c>
      <c r="J155" s="139" t="s">
        <v>2113</v>
      </c>
      <c r="K155" s="139"/>
      <c r="L155" s="139"/>
    </row>
    <row r="156" spans="1:12" ht="19" x14ac:dyDescent="0.2">
      <c r="A156" s="142"/>
      <c r="B156" s="32"/>
      <c r="C156" s="35"/>
      <c r="D156" s="102"/>
      <c r="E156" s="15"/>
      <c r="F156" s="9"/>
      <c r="G156" s="9"/>
      <c r="H156" s="77"/>
      <c r="I156" s="9">
        <v>32500</v>
      </c>
      <c r="J156" s="9" t="s">
        <v>2114</v>
      </c>
      <c r="K156" s="9"/>
      <c r="L156" s="9"/>
    </row>
    <row r="157" spans="1:12" ht="19" x14ac:dyDescent="0.2">
      <c r="A157" s="144"/>
      <c r="B157" s="145"/>
      <c r="C157" s="159"/>
      <c r="D157" s="147"/>
      <c r="E157" s="150"/>
      <c r="F157" s="139"/>
      <c r="G157" s="139"/>
      <c r="H157" s="165"/>
      <c r="I157" s="139">
        <v>50500</v>
      </c>
      <c r="J157" s="139" t="s">
        <v>2115</v>
      </c>
      <c r="K157" s="139"/>
      <c r="L157" s="139"/>
    </row>
    <row r="158" spans="1:12" ht="19" x14ac:dyDescent="0.2">
      <c r="A158" s="143"/>
      <c r="B158" s="32"/>
      <c r="C158" s="49"/>
      <c r="D158" s="13"/>
      <c r="E158" s="15"/>
      <c r="F158" s="9"/>
      <c r="G158" s="9"/>
      <c r="H158" s="77"/>
      <c r="I158" s="9">
        <v>137500</v>
      </c>
      <c r="J158" s="9" t="s">
        <v>2116</v>
      </c>
      <c r="K158" s="9"/>
      <c r="L158" s="9"/>
    </row>
    <row r="159" spans="1:12" ht="19" x14ac:dyDescent="0.2">
      <c r="A159" s="144"/>
      <c r="B159" s="145"/>
      <c r="C159" s="146"/>
      <c r="D159" s="147"/>
      <c r="E159" s="150"/>
      <c r="F159" s="139"/>
      <c r="G159" s="139"/>
      <c r="H159" s="165"/>
      <c r="I159" s="139">
        <v>144000</v>
      </c>
      <c r="J159" s="139" t="s">
        <v>615</v>
      </c>
      <c r="K159" s="139"/>
      <c r="L159" s="139"/>
    </row>
    <row r="160" spans="1:12" ht="19" x14ac:dyDescent="0.2">
      <c r="A160" s="143"/>
      <c r="B160" s="32"/>
      <c r="C160" s="49"/>
      <c r="D160" s="13"/>
      <c r="E160" s="15"/>
      <c r="F160" s="9"/>
      <c r="G160" s="9"/>
      <c r="H160" s="77"/>
      <c r="I160" s="9">
        <v>56000</v>
      </c>
      <c r="J160" s="9" t="s">
        <v>859</v>
      </c>
      <c r="K160" s="9"/>
      <c r="L160" s="9"/>
    </row>
    <row r="161" spans="1:12" ht="19" x14ac:dyDescent="0.2">
      <c r="A161" s="144"/>
      <c r="B161" s="145"/>
      <c r="C161" s="167"/>
      <c r="D161" s="147"/>
      <c r="E161" s="150"/>
      <c r="F161" s="139"/>
      <c r="G161" s="139"/>
      <c r="H161" s="139"/>
      <c r="I161" s="139">
        <v>48000</v>
      </c>
      <c r="J161" s="139" t="s">
        <v>2117</v>
      </c>
      <c r="K161" s="139"/>
      <c r="L161" s="139"/>
    </row>
    <row r="162" spans="1:12" ht="19" x14ac:dyDescent="0.2">
      <c r="A162" s="143"/>
      <c r="B162" s="153"/>
      <c r="C162" s="154"/>
      <c r="D162" s="155"/>
      <c r="E162" s="164"/>
      <c r="F162" s="119"/>
      <c r="G162" s="119"/>
      <c r="H162" s="119"/>
      <c r="I162" s="119">
        <v>240000</v>
      </c>
      <c r="J162" s="119" t="s">
        <v>1397</v>
      </c>
      <c r="K162" s="119"/>
      <c r="L162" s="119"/>
    </row>
    <row r="163" spans="1:12" ht="19" x14ac:dyDescent="0.2">
      <c r="A163" s="144">
        <v>2650000</v>
      </c>
      <c r="B163" s="145">
        <v>45164</v>
      </c>
      <c r="C163" s="151" t="s">
        <v>9</v>
      </c>
      <c r="D163" s="147" t="s">
        <v>2105</v>
      </c>
      <c r="E163" s="150">
        <v>1999000</v>
      </c>
      <c r="F163" s="139">
        <v>651000</v>
      </c>
      <c r="G163" s="139"/>
      <c r="H163" s="165"/>
      <c r="I163" s="139">
        <v>200000</v>
      </c>
      <c r="J163" s="139" t="s">
        <v>2049</v>
      </c>
      <c r="K163" s="139"/>
      <c r="L163" s="139"/>
    </row>
    <row r="164" spans="1:12" ht="19" x14ac:dyDescent="0.2">
      <c r="A164" s="144"/>
      <c r="B164" s="145"/>
      <c r="C164" s="151"/>
      <c r="D164" s="147"/>
      <c r="E164" s="150"/>
      <c r="F164" s="139"/>
      <c r="G164" s="139"/>
      <c r="H164" s="165"/>
      <c r="I164" s="139">
        <v>35000</v>
      </c>
      <c r="J164" s="139" t="s">
        <v>655</v>
      </c>
      <c r="K164" s="139"/>
      <c r="L164" s="139"/>
    </row>
    <row r="165" spans="1:12" ht="19" x14ac:dyDescent="0.2">
      <c r="A165" s="144"/>
      <c r="B165" s="145"/>
      <c r="C165" s="151"/>
      <c r="D165" s="147"/>
      <c r="E165" s="150"/>
      <c r="F165" s="139"/>
      <c r="G165" s="139"/>
      <c r="H165" s="165"/>
      <c r="I165" s="139">
        <v>100000</v>
      </c>
      <c r="J165" s="139" t="s">
        <v>827</v>
      </c>
      <c r="K165" s="139"/>
      <c r="L165" s="139"/>
    </row>
    <row r="166" spans="1:12" ht="19" x14ac:dyDescent="0.2">
      <c r="A166" s="144"/>
      <c r="B166" s="145"/>
      <c r="C166" s="151"/>
      <c r="D166" s="147"/>
      <c r="E166" s="150"/>
      <c r="F166" s="139"/>
      <c r="G166" s="139"/>
      <c r="H166" s="165"/>
      <c r="I166" s="139">
        <v>46500</v>
      </c>
      <c r="J166" s="139" t="s">
        <v>2118</v>
      </c>
      <c r="K166" s="139"/>
      <c r="L166" s="139"/>
    </row>
    <row r="167" spans="1:12" ht="19" x14ac:dyDescent="0.2">
      <c r="A167" s="143">
        <v>1287000</v>
      </c>
      <c r="B167" s="32"/>
      <c r="C167" s="49" t="s">
        <v>10</v>
      </c>
      <c r="D167" s="13" t="s">
        <v>685</v>
      </c>
      <c r="E167" s="15">
        <v>953000</v>
      </c>
      <c r="F167" s="9">
        <v>334000</v>
      </c>
      <c r="G167" s="9"/>
      <c r="H167" s="9"/>
      <c r="I167" s="9">
        <v>9000</v>
      </c>
      <c r="J167" s="9" t="s">
        <v>2119</v>
      </c>
      <c r="K167" s="9"/>
      <c r="L167" s="9"/>
    </row>
    <row r="168" spans="1:12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>
        <v>50000</v>
      </c>
      <c r="J168" s="165" t="s">
        <v>206</v>
      </c>
      <c r="K168" s="139"/>
      <c r="L168" s="139"/>
    </row>
    <row r="169" spans="1:12" ht="19" x14ac:dyDescent="0.2">
      <c r="A169" s="143">
        <v>1705000</v>
      </c>
      <c r="B169" s="153">
        <v>45165</v>
      </c>
      <c r="C169" s="171" t="s">
        <v>1228</v>
      </c>
      <c r="D169" s="155" t="s">
        <v>565</v>
      </c>
      <c r="E169" s="164">
        <v>1573000</v>
      </c>
      <c r="F169" s="119">
        <v>132000</v>
      </c>
      <c r="G169" s="119"/>
      <c r="H169" s="119"/>
      <c r="I169" s="168"/>
      <c r="J169" s="168"/>
      <c r="K169" s="119"/>
      <c r="L169" s="119"/>
    </row>
    <row r="170" spans="1:12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65"/>
      <c r="K170" s="139"/>
      <c r="L170" s="139"/>
    </row>
    <row r="171" spans="1:12" ht="19" x14ac:dyDescent="0.2">
      <c r="A171" s="143">
        <v>1781000</v>
      </c>
      <c r="B171" s="32"/>
      <c r="C171" s="49" t="s">
        <v>1787</v>
      </c>
      <c r="D171" s="13" t="s">
        <v>685</v>
      </c>
      <c r="E171" s="15">
        <v>1420000</v>
      </c>
      <c r="F171" s="9">
        <v>361000</v>
      </c>
      <c r="G171" s="9"/>
      <c r="H171" s="9"/>
      <c r="I171" s="77">
        <v>140000</v>
      </c>
      <c r="J171" s="77" t="s">
        <v>881</v>
      </c>
      <c r="K171" s="9"/>
      <c r="L171" s="9"/>
    </row>
    <row r="172" spans="1:12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65"/>
      <c r="K172" s="139"/>
      <c r="L172" s="139"/>
    </row>
    <row r="173" spans="1:12" ht="19" x14ac:dyDescent="0.2">
      <c r="A173" s="143"/>
      <c r="B173" s="32"/>
      <c r="C173" s="49"/>
      <c r="D173" s="13"/>
      <c r="E173" s="15"/>
      <c r="F173" s="9"/>
      <c r="G173" s="9"/>
      <c r="H173" s="47"/>
      <c r="I173" s="77"/>
      <c r="J173" s="77"/>
      <c r="K173" s="9"/>
      <c r="L173" s="9"/>
    </row>
    <row r="174" spans="1:12" ht="19" x14ac:dyDescent="0.2">
      <c r="A174" s="144">
        <v>1992000</v>
      </c>
      <c r="B174" s="145">
        <v>45166</v>
      </c>
      <c r="C174" s="149" t="s">
        <v>9</v>
      </c>
      <c r="D174" s="147" t="s">
        <v>2105</v>
      </c>
      <c r="E174" s="150">
        <v>1578000</v>
      </c>
      <c r="F174" s="139">
        <v>414000</v>
      </c>
      <c r="G174" s="139"/>
      <c r="H174" s="139"/>
      <c r="I174" s="165">
        <v>260000</v>
      </c>
      <c r="J174" s="165" t="s">
        <v>2120</v>
      </c>
      <c r="K174" s="139"/>
      <c r="L174" s="139"/>
    </row>
    <row r="175" spans="1:12" ht="19" x14ac:dyDescent="0.2">
      <c r="A175" s="143"/>
      <c r="B175" s="32"/>
      <c r="C175" s="49"/>
      <c r="D175" s="13"/>
      <c r="E175" s="15"/>
      <c r="F175" s="9"/>
      <c r="G175" s="9"/>
      <c r="H175" s="9"/>
      <c r="I175" s="77">
        <v>108000</v>
      </c>
      <c r="J175" s="77" t="s">
        <v>1282</v>
      </c>
      <c r="K175" s="9"/>
      <c r="L175" s="9"/>
    </row>
    <row r="176" spans="1:12" ht="19" x14ac:dyDescent="0.2">
      <c r="A176" s="144">
        <v>2013000</v>
      </c>
      <c r="B176" s="145"/>
      <c r="C176" s="149" t="s">
        <v>10</v>
      </c>
      <c r="D176" s="147" t="s">
        <v>685</v>
      </c>
      <c r="E176" s="150">
        <v>1466000</v>
      </c>
      <c r="F176" s="139">
        <v>547000</v>
      </c>
      <c r="G176" s="139"/>
      <c r="H176" s="139"/>
      <c r="I176" s="165">
        <v>56000</v>
      </c>
      <c r="J176" s="165" t="s">
        <v>2121</v>
      </c>
      <c r="K176" s="139"/>
      <c r="L176" s="139"/>
    </row>
    <row r="177" spans="1:12" ht="19" x14ac:dyDescent="0.2">
      <c r="A177" s="143"/>
      <c r="B177" s="32"/>
      <c r="C177" s="2"/>
      <c r="D177" s="13"/>
      <c r="E177" s="15"/>
      <c r="F177" s="9"/>
      <c r="G177" s="9"/>
      <c r="H177" s="9"/>
      <c r="I177" s="77">
        <v>240000</v>
      </c>
      <c r="J177" s="77" t="s">
        <v>1397</v>
      </c>
      <c r="K177" s="9"/>
      <c r="L177" s="9"/>
    </row>
    <row r="178" spans="1:12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65"/>
      <c r="K178" s="139"/>
      <c r="L178" s="139"/>
    </row>
    <row r="179" spans="1:12" ht="19" x14ac:dyDescent="0.2">
      <c r="A179" s="143"/>
      <c r="B179" s="32"/>
      <c r="C179" s="3"/>
      <c r="D179" s="13"/>
      <c r="E179" s="15"/>
      <c r="F179" s="9"/>
      <c r="G179" s="9"/>
      <c r="H179" s="9"/>
      <c r="I179" s="77"/>
      <c r="J179" s="77"/>
      <c r="K179" s="9"/>
      <c r="L179" s="9"/>
    </row>
    <row r="180" spans="1:12" ht="19" x14ac:dyDescent="0.2">
      <c r="A180" s="144">
        <v>3507000</v>
      </c>
      <c r="B180" s="145">
        <v>45167</v>
      </c>
      <c r="C180" s="149" t="s">
        <v>1228</v>
      </c>
      <c r="D180" s="147" t="s">
        <v>565</v>
      </c>
      <c r="E180" s="150">
        <v>2736000</v>
      </c>
      <c r="F180" s="139">
        <v>771000</v>
      </c>
      <c r="G180" s="139">
        <v>2500000</v>
      </c>
      <c r="H180" s="139" t="s">
        <v>1045</v>
      </c>
      <c r="I180" s="139">
        <v>525000</v>
      </c>
      <c r="J180" s="139" t="s">
        <v>741</v>
      </c>
      <c r="K180" s="139"/>
      <c r="L180" s="139"/>
    </row>
    <row r="181" spans="1:12" ht="19" x14ac:dyDescent="0.2">
      <c r="A181" s="143"/>
      <c r="B181" s="32"/>
      <c r="C181" s="49"/>
      <c r="D181" s="13"/>
      <c r="E181" s="15"/>
      <c r="F181" s="9"/>
      <c r="G181" s="9"/>
      <c r="H181" s="9"/>
      <c r="I181" s="9">
        <v>152000</v>
      </c>
      <c r="J181" s="9" t="s">
        <v>2122</v>
      </c>
      <c r="K181" s="9"/>
      <c r="L181" s="9"/>
    </row>
    <row r="182" spans="1:12" ht="19" x14ac:dyDescent="0.2">
      <c r="A182" s="144"/>
      <c r="B182" s="145"/>
      <c r="C182" s="149"/>
      <c r="D182" s="147"/>
      <c r="E182" s="150"/>
      <c r="F182" s="139"/>
      <c r="G182" s="139"/>
      <c r="H182" s="139"/>
      <c r="I182" s="139">
        <v>10500</v>
      </c>
      <c r="J182" s="139" t="s">
        <v>1135</v>
      </c>
      <c r="K182" s="139"/>
      <c r="L182" s="139"/>
    </row>
    <row r="183" spans="1:12" ht="19" x14ac:dyDescent="0.2">
      <c r="A183" s="143"/>
      <c r="B183" s="32"/>
      <c r="C183" s="35"/>
      <c r="D183" s="13"/>
      <c r="E183" s="15"/>
      <c r="F183" s="9"/>
      <c r="G183" s="9"/>
      <c r="H183" s="9"/>
      <c r="I183" s="9">
        <v>44500</v>
      </c>
      <c r="J183" s="9" t="s">
        <v>2073</v>
      </c>
      <c r="K183" s="9"/>
      <c r="L183" s="9"/>
    </row>
    <row r="184" spans="1:12" ht="19" x14ac:dyDescent="0.2">
      <c r="A184" s="144"/>
      <c r="B184" s="145"/>
      <c r="C184" s="149"/>
      <c r="D184" s="147"/>
      <c r="E184" s="150"/>
      <c r="F184" s="139"/>
      <c r="G184" s="139"/>
      <c r="H184" s="139"/>
      <c r="I184" s="139">
        <v>38000</v>
      </c>
      <c r="J184" s="139" t="s">
        <v>2123</v>
      </c>
      <c r="K184" s="139"/>
      <c r="L184" s="139"/>
    </row>
    <row r="185" spans="1:12" ht="19" x14ac:dyDescent="0.2">
      <c r="A185" s="143"/>
      <c r="B185" s="32"/>
      <c r="C185" s="35"/>
      <c r="D185" s="13"/>
      <c r="E185" s="15"/>
      <c r="F185" s="9"/>
      <c r="G185" s="9"/>
      <c r="H185" s="9"/>
      <c r="I185" s="9">
        <v>34000</v>
      </c>
      <c r="J185" s="9" t="s">
        <v>975</v>
      </c>
      <c r="K185" s="9"/>
      <c r="L185" s="9"/>
    </row>
    <row r="186" spans="1:12" ht="19" x14ac:dyDescent="0.2">
      <c r="A186" s="144">
        <v>1312000</v>
      </c>
      <c r="B186" s="158"/>
      <c r="C186" s="149" t="s">
        <v>10</v>
      </c>
      <c r="D186" s="147" t="s">
        <v>685</v>
      </c>
      <c r="E186" s="150">
        <v>725000</v>
      </c>
      <c r="F186" s="139">
        <v>587000</v>
      </c>
      <c r="G186" s="139"/>
      <c r="H186" s="139"/>
      <c r="I186" s="139">
        <v>42000</v>
      </c>
      <c r="J186" s="139" t="s">
        <v>1011</v>
      </c>
      <c r="K186" s="139"/>
      <c r="L186" s="139"/>
    </row>
    <row r="187" spans="1:12" ht="19" x14ac:dyDescent="0.2">
      <c r="A187" s="143">
        <v>2443000</v>
      </c>
      <c r="B187" s="153">
        <v>45168</v>
      </c>
      <c r="C187" s="171" t="s">
        <v>9</v>
      </c>
      <c r="D187" s="155" t="s">
        <v>2105</v>
      </c>
      <c r="E187" s="164">
        <v>1984000</v>
      </c>
      <c r="F187" s="119">
        <v>459000</v>
      </c>
      <c r="G187" s="119"/>
      <c r="H187" s="119"/>
      <c r="I187" s="119">
        <v>281000</v>
      </c>
      <c r="J187" s="119" t="s">
        <v>2124</v>
      </c>
      <c r="K187" s="119"/>
      <c r="L187" s="119"/>
    </row>
    <row r="188" spans="1:12" ht="19" x14ac:dyDescent="0.2">
      <c r="A188" s="144"/>
      <c r="B188" s="145"/>
      <c r="C188" s="149"/>
      <c r="D188" s="147"/>
      <c r="E188" s="150"/>
      <c r="F188" s="139"/>
      <c r="G188" s="139"/>
      <c r="H188" s="161"/>
      <c r="I188" s="165">
        <v>12000</v>
      </c>
      <c r="J188" s="165" t="s">
        <v>971</v>
      </c>
      <c r="K188" s="139"/>
      <c r="L188" s="139"/>
    </row>
    <row r="189" spans="1:12" ht="19" x14ac:dyDescent="0.2">
      <c r="A189" s="143">
        <v>2143000</v>
      </c>
      <c r="B189" s="32"/>
      <c r="C189" s="49" t="s">
        <v>10</v>
      </c>
      <c r="D189" s="13" t="s">
        <v>685</v>
      </c>
      <c r="E189" s="15">
        <v>1701000</v>
      </c>
      <c r="F189" s="9">
        <v>442000</v>
      </c>
      <c r="G189" s="9"/>
      <c r="H189" s="9"/>
      <c r="I189" s="9">
        <v>39000</v>
      </c>
      <c r="J189" s="9" t="s">
        <v>802</v>
      </c>
      <c r="K189" s="9"/>
      <c r="L189" s="9"/>
    </row>
    <row r="190" spans="1:12" ht="19" x14ac:dyDescent="0.2">
      <c r="A190" s="144"/>
      <c r="B190" s="158"/>
      <c r="C190" s="159"/>
      <c r="D190" s="147"/>
      <c r="E190" s="150"/>
      <c r="F190" s="139"/>
      <c r="G190" s="139"/>
      <c r="H190" s="139"/>
      <c r="I190" s="139">
        <v>75000</v>
      </c>
      <c r="J190" s="139" t="s">
        <v>2125</v>
      </c>
      <c r="K190" s="139"/>
      <c r="L190" s="139"/>
    </row>
    <row r="191" spans="1:12" ht="32" x14ac:dyDescent="0.2">
      <c r="A191" s="143">
        <v>3196000</v>
      </c>
      <c r="B191" s="32">
        <v>45169</v>
      </c>
      <c r="C191" s="35" t="s">
        <v>440</v>
      </c>
      <c r="D191" s="13" t="s">
        <v>565</v>
      </c>
      <c r="E191" s="15">
        <v>2587000</v>
      </c>
      <c r="F191" s="9">
        <v>609000</v>
      </c>
      <c r="G191" s="9">
        <v>982000</v>
      </c>
      <c r="H191" s="47" t="s">
        <v>2156</v>
      </c>
      <c r="I191" s="9">
        <v>264000</v>
      </c>
      <c r="J191" s="9" t="s">
        <v>1397</v>
      </c>
      <c r="K191" s="9"/>
      <c r="L191" s="9"/>
    </row>
    <row r="192" spans="1:12" ht="32" x14ac:dyDescent="0.2">
      <c r="A192" s="144"/>
      <c r="B192" s="145"/>
      <c r="C192" s="146"/>
      <c r="D192" s="147"/>
      <c r="E192" s="139"/>
      <c r="F192" s="139"/>
      <c r="G192" s="139">
        <v>532000</v>
      </c>
      <c r="H192" s="161" t="s">
        <v>2126</v>
      </c>
      <c r="I192" s="162">
        <v>160000</v>
      </c>
      <c r="J192" s="139" t="s">
        <v>2128</v>
      </c>
      <c r="K192" s="139"/>
      <c r="L192" s="139"/>
    </row>
    <row r="193" spans="1:12" ht="19" x14ac:dyDescent="0.2">
      <c r="A193" s="143"/>
      <c r="B193" s="32"/>
      <c r="C193" s="2"/>
      <c r="D193" s="13"/>
      <c r="E193" s="15"/>
      <c r="F193" s="9"/>
      <c r="G193" s="9">
        <v>1200000</v>
      </c>
      <c r="H193" s="47" t="s">
        <v>2127</v>
      </c>
      <c r="I193" s="9">
        <v>100000</v>
      </c>
      <c r="J193" s="9" t="s">
        <v>2129</v>
      </c>
      <c r="K193" s="9"/>
      <c r="L193" s="9"/>
    </row>
    <row r="194" spans="1:12" ht="19" x14ac:dyDescent="0.2">
      <c r="A194" s="144"/>
      <c r="B194" s="145"/>
      <c r="C194" s="146"/>
      <c r="D194" s="147"/>
      <c r="E194" s="139"/>
      <c r="F194" s="139"/>
      <c r="G194" s="139">
        <v>1000000</v>
      </c>
      <c r="H194" s="139" t="s">
        <v>785</v>
      </c>
      <c r="I194" s="162">
        <v>70000</v>
      </c>
      <c r="J194" s="169" t="s">
        <v>751</v>
      </c>
      <c r="K194" s="139"/>
      <c r="L194" s="139"/>
    </row>
    <row r="195" spans="1:12" ht="19" x14ac:dyDescent="0.2">
      <c r="A195" s="143"/>
      <c r="B195" s="153"/>
      <c r="C195" s="170"/>
      <c r="D195" s="155"/>
      <c r="E195" s="164"/>
      <c r="F195" s="119"/>
      <c r="G195" s="119"/>
      <c r="H195" s="119"/>
      <c r="I195" s="119">
        <v>146000</v>
      </c>
      <c r="J195" s="119" t="s">
        <v>615</v>
      </c>
      <c r="K195" s="119"/>
      <c r="L195" s="119"/>
    </row>
    <row r="196" spans="1:12" ht="19" x14ac:dyDescent="0.2">
      <c r="A196" s="144"/>
      <c r="B196" s="145"/>
      <c r="C196" s="159"/>
      <c r="D196" s="147"/>
      <c r="E196" s="150"/>
      <c r="F196" s="139"/>
      <c r="G196" s="139"/>
      <c r="H196" s="139"/>
      <c r="I196" s="139"/>
      <c r="J196" s="139"/>
      <c r="K196" s="139"/>
      <c r="L196" s="139"/>
    </row>
    <row r="197" spans="1:12" ht="19" x14ac:dyDescent="0.2">
      <c r="A197" s="143"/>
      <c r="B197" s="153"/>
      <c r="C197" s="170"/>
      <c r="D197" s="155"/>
      <c r="E197" s="164"/>
      <c r="F197" s="119"/>
      <c r="G197" s="119"/>
      <c r="H197" s="119"/>
      <c r="I197" s="119"/>
      <c r="J197" s="119"/>
      <c r="K197" s="119"/>
      <c r="L197" s="119"/>
    </row>
    <row r="198" spans="1:12" ht="19" x14ac:dyDescent="0.2">
      <c r="A198" s="144"/>
      <c r="B198" s="145"/>
      <c r="C198" s="159"/>
      <c r="D198" s="147"/>
      <c r="E198" s="150"/>
      <c r="F198" s="139"/>
      <c r="G198" s="139"/>
      <c r="H198" s="139"/>
      <c r="I198" s="139"/>
      <c r="J198" s="139"/>
      <c r="K198" s="139"/>
      <c r="L198" s="139"/>
    </row>
  </sheetData>
  <mergeCells count="1">
    <mergeCell ref="F4:G4"/>
  </mergeCells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L235"/>
  <sheetViews>
    <sheetView workbookViewId="0">
      <selection activeCell="J16" sqref="J16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0" bestFit="1" customWidth="1"/>
    <col min="5" max="7" width="20.33203125" bestFit="1" customWidth="1"/>
    <col min="8" max="8" width="26.33203125" bestFit="1" customWidth="1"/>
    <col min="9" max="9" width="20.33203125" bestFit="1" customWidth="1"/>
    <col min="10" max="10" width="30.5" bestFit="1" customWidth="1"/>
  </cols>
  <sheetData>
    <row r="3" spans="1:12" ht="21" x14ac:dyDescent="0.2">
      <c r="G3" s="73"/>
      <c r="H3" s="71" t="s">
        <v>174</v>
      </c>
      <c r="I3" s="71">
        <f>L10/A10</f>
        <v>0</v>
      </c>
    </row>
    <row r="4" spans="1:12" ht="21" x14ac:dyDescent="0.2">
      <c r="F4" s="306" t="s">
        <v>1802</v>
      </c>
      <c r="G4" s="307"/>
      <c r="H4" s="71" t="s">
        <v>2237</v>
      </c>
      <c r="I4" s="71">
        <v>14780100</v>
      </c>
      <c r="J4" s="72">
        <f>I4/10820</f>
        <v>1365.9981515711645</v>
      </c>
    </row>
    <row r="5" spans="1:12" ht="24" x14ac:dyDescent="0.3">
      <c r="B5" s="99" t="s">
        <v>2227</v>
      </c>
      <c r="G5" s="73"/>
      <c r="H5" s="71" t="s">
        <v>2236</v>
      </c>
      <c r="I5" s="71">
        <v>34486900</v>
      </c>
      <c r="J5" s="72">
        <f>I5/10820</f>
        <v>3187.3290203327174</v>
      </c>
    </row>
    <row r="6" spans="1:12" ht="24" x14ac:dyDescent="0.3">
      <c r="B6" s="99"/>
      <c r="G6" s="73"/>
      <c r="H6" s="71" t="s">
        <v>178</v>
      </c>
      <c r="I6" s="71">
        <v>10746000</v>
      </c>
      <c r="J6" s="72" t="s">
        <v>2228</v>
      </c>
      <c r="L6" s="85"/>
    </row>
    <row r="7" spans="1:12" ht="26" x14ac:dyDescent="0.3">
      <c r="B7" s="100" t="s">
        <v>2231</v>
      </c>
    </row>
    <row r="9" spans="1:12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  <c r="K9" s="114"/>
      <c r="L9" s="114"/>
    </row>
    <row r="10" spans="1:12" ht="21" x14ac:dyDescent="0.2">
      <c r="A10" s="69">
        <f>SUM(A11:A244)</f>
        <v>117887000</v>
      </c>
      <c r="B10" s="65"/>
      <c r="C10" s="66" t="s">
        <v>13</v>
      </c>
      <c r="D10" s="67"/>
      <c r="E10" s="68">
        <f>SUM(E11:E244)</f>
        <v>90313000</v>
      </c>
      <c r="F10" s="69">
        <f>SUM(F11:F244)</f>
        <v>27574000</v>
      </c>
      <c r="G10" s="69">
        <f>SUM(G11:G244)</f>
        <v>34142000</v>
      </c>
      <c r="H10" s="69"/>
      <c r="I10" s="69">
        <f>SUM(I11:I244)</f>
        <v>21429000</v>
      </c>
      <c r="J10" s="69"/>
      <c r="K10" s="69"/>
      <c r="L10" s="69"/>
    </row>
    <row r="11" spans="1:12" ht="19" x14ac:dyDescent="0.2">
      <c r="A11" s="144">
        <v>1778000</v>
      </c>
      <c r="B11" s="145">
        <v>45170</v>
      </c>
      <c r="C11" s="146" t="s">
        <v>2132</v>
      </c>
      <c r="D11" s="147" t="s">
        <v>2105</v>
      </c>
      <c r="E11" s="139">
        <v>1387000</v>
      </c>
      <c r="F11" s="139">
        <v>391000</v>
      </c>
      <c r="G11" s="139">
        <v>439000</v>
      </c>
      <c r="H11" s="139" t="s">
        <v>2229</v>
      </c>
      <c r="I11" s="139">
        <v>150000</v>
      </c>
      <c r="J11" s="139" t="s">
        <v>2134</v>
      </c>
      <c r="K11" s="139"/>
      <c r="L11" s="139"/>
    </row>
    <row r="12" spans="1:12" ht="19" x14ac:dyDescent="0.2">
      <c r="A12" s="142"/>
      <c r="B12" s="32"/>
      <c r="C12" s="49" t="s">
        <v>2130</v>
      </c>
      <c r="D12" s="13" t="s">
        <v>2105</v>
      </c>
      <c r="E12" s="15"/>
      <c r="F12" s="9"/>
      <c r="G12" s="9"/>
      <c r="H12" s="9"/>
      <c r="I12" s="9">
        <v>150000</v>
      </c>
      <c r="J12" s="9" t="s">
        <v>2135</v>
      </c>
      <c r="K12" s="9"/>
      <c r="L12" s="9"/>
    </row>
    <row r="13" spans="1:12" ht="19" x14ac:dyDescent="0.2">
      <c r="A13" s="148"/>
      <c r="B13" s="145"/>
      <c r="C13" s="149"/>
      <c r="D13" s="147"/>
      <c r="E13" s="150"/>
      <c r="F13" s="139"/>
      <c r="G13" s="139"/>
      <c r="H13" s="139"/>
      <c r="I13" s="139">
        <v>150000</v>
      </c>
      <c r="J13" s="139" t="s">
        <v>2136</v>
      </c>
      <c r="K13" s="139"/>
      <c r="L13" s="139"/>
    </row>
    <row r="14" spans="1:12" ht="19" x14ac:dyDescent="0.2">
      <c r="A14" s="142">
        <v>1312000</v>
      </c>
      <c r="B14" s="32"/>
      <c r="C14" s="49" t="s">
        <v>2131</v>
      </c>
      <c r="D14" s="13" t="s">
        <v>565</v>
      </c>
      <c r="E14" s="15">
        <v>1108000</v>
      </c>
      <c r="F14" s="9">
        <v>204000</v>
      </c>
      <c r="G14" s="9"/>
      <c r="H14" s="9"/>
      <c r="I14" s="9">
        <v>70000</v>
      </c>
      <c r="J14" s="9" t="s">
        <v>2106</v>
      </c>
      <c r="K14" s="9"/>
      <c r="L14" s="9"/>
    </row>
    <row r="15" spans="1:12" ht="19" x14ac:dyDescent="0.2">
      <c r="A15" s="148"/>
      <c r="B15" s="145"/>
      <c r="C15" s="149"/>
      <c r="D15" s="147"/>
      <c r="E15" s="150"/>
      <c r="F15" s="139"/>
      <c r="G15" s="139"/>
      <c r="H15" s="139"/>
      <c r="I15" s="139">
        <v>23000</v>
      </c>
      <c r="J15" s="139" t="s">
        <v>2133</v>
      </c>
      <c r="K15" s="139"/>
      <c r="L15" s="139"/>
    </row>
    <row r="16" spans="1:12" ht="19" x14ac:dyDescent="0.2">
      <c r="A16" s="143"/>
      <c r="B16" s="153"/>
      <c r="C16" s="163"/>
      <c r="D16" s="155"/>
      <c r="E16" s="164"/>
      <c r="F16" s="119"/>
      <c r="G16" s="175"/>
      <c r="H16" s="175"/>
      <c r="I16" s="119">
        <v>2400000</v>
      </c>
      <c r="J16" s="119" t="s">
        <v>2162</v>
      </c>
      <c r="K16" s="119"/>
      <c r="L16" s="119"/>
    </row>
    <row r="17" spans="1:12" ht="19" x14ac:dyDescent="0.2">
      <c r="A17" s="144">
        <v>2083000</v>
      </c>
      <c r="B17" s="145">
        <v>45048</v>
      </c>
      <c r="C17" s="151" t="s">
        <v>2137</v>
      </c>
      <c r="D17" s="147" t="s">
        <v>685</v>
      </c>
      <c r="E17" s="150">
        <v>1659000</v>
      </c>
      <c r="F17" s="139">
        <v>424000</v>
      </c>
      <c r="G17" s="139"/>
      <c r="H17" s="139"/>
      <c r="I17" s="139"/>
      <c r="J17" s="139"/>
      <c r="K17" s="139"/>
      <c r="L17" s="139"/>
    </row>
    <row r="18" spans="1:12" ht="19" x14ac:dyDescent="0.2">
      <c r="A18" s="143"/>
      <c r="B18" s="153"/>
      <c r="C18" s="163"/>
      <c r="D18" s="155"/>
      <c r="E18" s="164"/>
      <c r="F18" s="119"/>
      <c r="G18" s="119"/>
      <c r="H18" s="119"/>
      <c r="I18" s="119"/>
      <c r="J18" s="119"/>
      <c r="K18" s="119"/>
      <c r="L18" s="119"/>
    </row>
    <row r="19" spans="1:12" ht="19" x14ac:dyDescent="0.2">
      <c r="A19" s="144"/>
      <c r="B19" s="145"/>
      <c r="C19" s="151" t="s">
        <v>2130</v>
      </c>
      <c r="D19" s="147" t="s">
        <v>685</v>
      </c>
      <c r="E19" s="150"/>
      <c r="F19" s="139"/>
      <c r="G19" s="139"/>
      <c r="H19" s="139"/>
      <c r="I19" s="139"/>
      <c r="J19" s="139"/>
      <c r="K19" s="139"/>
      <c r="L19" s="139"/>
    </row>
    <row r="20" spans="1:12" ht="19" x14ac:dyDescent="0.2">
      <c r="A20" s="143">
        <v>1109000</v>
      </c>
      <c r="B20" s="153"/>
      <c r="C20" s="163" t="s">
        <v>2131</v>
      </c>
      <c r="D20" s="155" t="s">
        <v>565</v>
      </c>
      <c r="E20" s="164">
        <v>734000</v>
      </c>
      <c r="F20" s="119">
        <v>375000</v>
      </c>
      <c r="G20" s="119"/>
      <c r="H20" s="119"/>
      <c r="I20" s="119"/>
      <c r="J20" s="119"/>
      <c r="K20" s="119"/>
      <c r="L20" s="119"/>
    </row>
    <row r="21" spans="1:12" ht="19" x14ac:dyDescent="0.2">
      <c r="A21" s="144"/>
      <c r="B21" s="145"/>
      <c r="C21" s="151"/>
      <c r="D21" s="147"/>
      <c r="E21" s="150"/>
      <c r="F21" s="139"/>
      <c r="G21" s="139"/>
      <c r="H21" s="139"/>
      <c r="I21" s="139"/>
      <c r="J21" s="139"/>
      <c r="K21" s="139"/>
      <c r="L21" s="139"/>
    </row>
    <row r="22" spans="1:12" ht="19" x14ac:dyDescent="0.2">
      <c r="A22" s="143">
        <v>1373000</v>
      </c>
      <c r="B22" s="153">
        <v>45049</v>
      </c>
      <c r="C22" s="163" t="s">
        <v>2137</v>
      </c>
      <c r="D22" s="155" t="s">
        <v>2105</v>
      </c>
      <c r="E22" s="164">
        <v>1211000</v>
      </c>
      <c r="F22" s="119">
        <v>162000</v>
      </c>
      <c r="G22" s="119"/>
      <c r="H22" s="119"/>
      <c r="I22" s="119">
        <v>200000</v>
      </c>
      <c r="J22" s="119" t="s">
        <v>2049</v>
      </c>
      <c r="K22" s="119"/>
      <c r="L22" s="119"/>
    </row>
    <row r="23" spans="1:12" ht="19" x14ac:dyDescent="0.2">
      <c r="A23" s="144"/>
      <c r="B23" s="145"/>
      <c r="C23" s="149"/>
      <c r="D23" s="147"/>
      <c r="E23" s="150"/>
      <c r="F23" s="139"/>
      <c r="G23" s="139"/>
      <c r="H23" s="139"/>
      <c r="I23" s="139">
        <v>35000</v>
      </c>
      <c r="J23" s="139" t="s">
        <v>655</v>
      </c>
      <c r="K23" s="139"/>
      <c r="L23" s="139"/>
    </row>
    <row r="24" spans="1:12" ht="19" x14ac:dyDescent="0.2">
      <c r="A24" s="143"/>
      <c r="B24" s="32"/>
      <c r="C24" s="49"/>
      <c r="D24" s="13"/>
      <c r="E24" s="15"/>
      <c r="F24" s="9"/>
      <c r="G24" s="9"/>
      <c r="H24" s="9"/>
      <c r="I24" s="9">
        <v>120000</v>
      </c>
      <c r="J24" s="9" t="s">
        <v>827</v>
      </c>
      <c r="K24" s="9"/>
      <c r="L24" s="9"/>
    </row>
    <row r="25" spans="1:12" ht="19" x14ac:dyDescent="0.2">
      <c r="A25" s="144"/>
      <c r="B25" s="145"/>
      <c r="C25" s="149"/>
      <c r="D25" s="147"/>
      <c r="E25" s="150"/>
      <c r="F25" s="139"/>
      <c r="G25" s="139"/>
      <c r="H25" s="139"/>
      <c r="I25" s="139">
        <v>50000</v>
      </c>
      <c r="J25" s="139" t="s">
        <v>59</v>
      </c>
      <c r="K25" s="139"/>
      <c r="L25" s="139"/>
    </row>
    <row r="26" spans="1:12" ht="19" x14ac:dyDescent="0.2">
      <c r="A26" s="142">
        <v>821000</v>
      </c>
      <c r="B26" s="32"/>
      <c r="C26" s="49" t="s">
        <v>2130</v>
      </c>
      <c r="D26" s="13" t="s">
        <v>685</v>
      </c>
      <c r="E26" s="15">
        <v>595000</v>
      </c>
      <c r="F26" s="9">
        <v>226000</v>
      </c>
      <c r="G26" s="9"/>
      <c r="H26" s="9"/>
      <c r="I26" s="9"/>
      <c r="J26" s="9"/>
      <c r="K26" s="9"/>
      <c r="L26" s="9"/>
    </row>
    <row r="27" spans="1:12" ht="19" x14ac:dyDescent="0.2">
      <c r="A27" s="148">
        <v>1172000</v>
      </c>
      <c r="B27" s="145"/>
      <c r="C27" s="149" t="s">
        <v>2131</v>
      </c>
      <c r="D27" s="147" t="s">
        <v>565</v>
      </c>
      <c r="E27" s="150">
        <v>914000</v>
      </c>
      <c r="F27" s="139">
        <v>258000</v>
      </c>
      <c r="G27" s="139"/>
      <c r="H27" s="139"/>
      <c r="I27" s="139"/>
      <c r="J27" s="139"/>
      <c r="K27" s="139"/>
      <c r="L27" s="139"/>
    </row>
    <row r="28" spans="1:12" ht="19" x14ac:dyDescent="0.2">
      <c r="A28" s="148"/>
      <c r="B28" s="145"/>
      <c r="C28" s="149"/>
      <c r="D28" s="147"/>
      <c r="E28" s="150"/>
      <c r="F28" s="139"/>
      <c r="G28" s="139"/>
      <c r="H28" s="139"/>
      <c r="I28" s="139"/>
      <c r="J28" s="139"/>
      <c r="K28" s="139"/>
      <c r="L28" s="139"/>
    </row>
    <row r="29" spans="1:12" ht="19" x14ac:dyDescent="0.2">
      <c r="A29" s="142">
        <v>467000</v>
      </c>
      <c r="B29" s="153">
        <v>45020</v>
      </c>
      <c r="C29" s="171" t="s">
        <v>2137</v>
      </c>
      <c r="D29" s="155" t="s">
        <v>2105</v>
      </c>
      <c r="E29" s="164">
        <v>373000</v>
      </c>
      <c r="F29" s="119">
        <v>94000</v>
      </c>
      <c r="G29" s="119"/>
      <c r="H29" s="119"/>
      <c r="I29" s="119">
        <v>12000</v>
      </c>
      <c r="J29" s="119" t="s">
        <v>971</v>
      </c>
      <c r="K29" s="119"/>
      <c r="L29" s="119"/>
    </row>
    <row r="30" spans="1:12" ht="19" x14ac:dyDescent="0.2">
      <c r="A30" s="148"/>
      <c r="B30" s="145"/>
      <c r="C30" s="149"/>
      <c r="D30" s="147"/>
      <c r="E30" s="150"/>
      <c r="F30" s="139"/>
      <c r="G30" s="139"/>
      <c r="H30" s="139"/>
      <c r="I30" s="139">
        <v>108000</v>
      </c>
      <c r="J30" s="139" t="s">
        <v>2138</v>
      </c>
      <c r="K30" s="139"/>
      <c r="L30" s="139"/>
    </row>
    <row r="31" spans="1:12" ht="19" x14ac:dyDescent="0.2">
      <c r="A31" s="143">
        <v>1520000</v>
      </c>
      <c r="B31" s="32"/>
      <c r="C31" s="49" t="s">
        <v>2130</v>
      </c>
      <c r="D31" s="13" t="s">
        <v>685</v>
      </c>
      <c r="E31" s="15">
        <v>1142000</v>
      </c>
      <c r="F31" s="9">
        <v>378000</v>
      </c>
      <c r="G31" s="9">
        <v>2500000</v>
      </c>
      <c r="H31" s="9" t="s">
        <v>812</v>
      </c>
      <c r="I31" s="9">
        <v>38000</v>
      </c>
      <c r="J31" s="9" t="s">
        <v>2139</v>
      </c>
      <c r="K31" s="9"/>
      <c r="L31" s="9"/>
    </row>
    <row r="32" spans="1:12" ht="19" x14ac:dyDescent="0.2">
      <c r="A32" s="144"/>
      <c r="B32" s="145"/>
      <c r="C32" s="149"/>
      <c r="D32" s="147"/>
      <c r="E32" s="150"/>
      <c r="F32" s="139"/>
      <c r="G32" s="139"/>
      <c r="H32" s="139"/>
      <c r="I32" s="139">
        <v>89000</v>
      </c>
      <c r="J32" s="139" t="s">
        <v>2140</v>
      </c>
      <c r="K32" s="139"/>
      <c r="L32" s="139"/>
    </row>
    <row r="33" spans="1:12" ht="19" x14ac:dyDescent="0.2">
      <c r="A33" s="143"/>
      <c r="B33" s="32"/>
      <c r="C33" s="49"/>
      <c r="D33" s="13"/>
      <c r="E33" s="15"/>
      <c r="F33" s="9"/>
      <c r="G33" s="9"/>
      <c r="H33" s="9"/>
      <c r="I33" s="9">
        <v>75000</v>
      </c>
      <c r="J33" s="9" t="s">
        <v>2145</v>
      </c>
      <c r="K33" s="9"/>
      <c r="L33" s="9"/>
    </row>
    <row r="34" spans="1:12" ht="19" x14ac:dyDescent="0.2">
      <c r="A34" s="144"/>
      <c r="B34" s="145"/>
      <c r="C34" s="149"/>
      <c r="D34" s="147"/>
      <c r="E34" s="150"/>
      <c r="F34" s="139"/>
      <c r="G34" s="139"/>
      <c r="H34" s="139"/>
      <c r="I34" s="139">
        <v>75000</v>
      </c>
      <c r="J34" s="139" t="s">
        <v>2146</v>
      </c>
      <c r="K34" s="139"/>
      <c r="L34" s="139"/>
    </row>
    <row r="35" spans="1:12" ht="19" x14ac:dyDescent="0.2">
      <c r="A35" s="143"/>
      <c r="B35" s="32"/>
      <c r="C35" s="49"/>
      <c r="D35" s="13"/>
      <c r="E35" s="15"/>
      <c r="F35" s="9"/>
      <c r="G35" s="9"/>
      <c r="H35" s="9"/>
      <c r="I35" s="9">
        <v>210000</v>
      </c>
      <c r="J35" s="9" t="s">
        <v>2052</v>
      </c>
      <c r="K35" s="9"/>
      <c r="L35" s="9"/>
    </row>
    <row r="36" spans="1:12" ht="19" x14ac:dyDescent="0.2">
      <c r="A36" s="143">
        <v>1535000</v>
      </c>
      <c r="B36" s="32"/>
      <c r="C36" s="49" t="s">
        <v>2143</v>
      </c>
      <c r="D36" s="13" t="s">
        <v>565</v>
      </c>
      <c r="E36" s="15">
        <v>1247000</v>
      </c>
      <c r="F36" s="9">
        <v>288000</v>
      </c>
      <c r="G36" s="9">
        <v>745000</v>
      </c>
      <c r="H36" s="9" t="s">
        <v>2144</v>
      </c>
      <c r="I36" s="9">
        <v>89500</v>
      </c>
      <c r="J36" s="9" t="s">
        <v>2141</v>
      </c>
      <c r="K36" s="9"/>
      <c r="L36" s="9"/>
    </row>
    <row r="37" spans="1:12" ht="19" x14ac:dyDescent="0.2">
      <c r="A37" s="144">
        <v>1118000</v>
      </c>
      <c r="B37" s="145">
        <v>45021</v>
      </c>
      <c r="C37" s="149" t="s">
        <v>2137</v>
      </c>
      <c r="D37" s="147" t="s">
        <v>2105</v>
      </c>
      <c r="E37" s="150">
        <v>768000</v>
      </c>
      <c r="F37" s="139">
        <v>350000</v>
      </c>
      <c r="G37" s="139"/>
      <c r="H37" s="139"/>
      <c r="I37" s="139">
        <v>228000</v>
      </c>
      <c r="J37" s="139" t="s">
        <v>2142</v>
      </c>
      <c r="K37" s="139"/>
      <c r="L37" s="139"/>
    </row>
    <row r="38" spans="1:12" ht="19" x14ac:dyDescent="0.2">
      <c r="A38" s="143"/>
      <c r="B38" s="32"/>
      <c r="C38" s="49"/>
      <c r="D38" s="13"/>
      <c r="E38" s="15"/>
      <c r="F38" s="9"/>
      <c r="G38" s="9"/>
      <c r="H38" s="135"/>
      <c r="I38" s="9">
        <v>74000</v>
      </c>
      <c r="J38" s="9" t="s">
        <v>2101</v>
      </c>
      <c r="K38" s="9"/>
      <c r="L38" s="9"/>
    </row>
    <row r="39" spans="1:12" ht="19" x14ac:dyDescent="0.2">
      <c r="A39" s="143"/>
      <c r="B39" s="32"/>
      <c r="C39" s="49"/>
      <c r="D39" s="13"/>
      <c r="E39" s="15"/>
      <c r="F39" s="9"/>
      <c r="G39" s="9"/>
      <c r="H39" s="135"/>
      <c r="I39" s="9">
        <v>242000</v>
      </c>
      <c r="J39" s="9" t="s">
        <v>1397</v>
      </c>
      <c r="K39" s="9"/>
      <c r="L39" s="9"/>
    </row>
    <row r="40" spans="1:12" ht="19" x14ac:dyDescent="0.2">
      <c r="A40" s="144">
        <v>1232000</v>
      </c>
      <c r="B40" s="145"/>
      <c r="C40" s="149" t="s">
        <v>2130</v>
      </c>
      <c r="D40" s="147" t="s">
        <v>685</v>
      </c>
      <c r="E40" s="150">
        <v>707000</v>
      </c>
      <c r="F40" s="139">
        <v>525000</v>
      </c>
      <c r="G40" s="139"/>
      <c r="H40" s="139"/>
      <c r="I40" s="139">
        <v>23500</v>
      </c>
      <c r="J40" s="139" t="s">
        <v>2147</v>
      </c>
      <c r="K40" s="139"/>
      <c r="L40" s="139"/>
    </row>
    <row r="41" spans="1:12" ht="19" x14ac:dyDescent="0.2">
      <c r="A41" s="143"/>
      <c r="B41" s="32"/>
      <c r="C41" s="49"/>
      <c r="D41" s="13"/>
      <c r="E41" s="15"/>
      <c r="F41" s="9"/>
      <c r="G41" s="9"/>
      <c r="H41" s="9"/>
      <c r="I41" s="9">
        <v>68000</v>
      </c>
      <c r="J41" s="9" t="s">
        <v>2148</v>
      </c>
      <c r="K41" s="9"/>
      <c r="L41" s="9"/>
    </row>
    <row r="42" spans="1:12" ht="19" x14ac:dyDescent="0.2">
      <c r="A42" s="144"/>
      <c r="B42" s="145"/>
      <c r="C42" s="149"/>
      <c r="D42" s="147"/>
      <c r="E42" s="150"/>
      <c r="F42" s="139"/>
      <c r="G42" s="139"/>
      <c r="H42" s="139"/>
      <c r="I42" s="139">
        <v>133500</v>
      </c>
      <c r="J42" s="139" t="s">
        <v>2149</v>
      </c>
      <c r="K42" s="139"/>
      <c r="L42" s="139"/>
    </row>
    <row r="43" spans="1:12" ht="19" x14ac:dyDescent="0.2">
      <c r="A43" s="143"/>
      <c r="B43" s="153"/>
      <c r="C43" s="171"/>
      <c r="D43" s="155"/>
      <c r="E43" s="164"/>
      <c r="F43" s="119"/>
      <c r="G43" s="119"/>
      <c r="H43" s="119"/>
      <c r="I43" s="119">
        <v>90000</v>
      </c>
      <c r="J43" s="119" t="s">
        <v>2150</v>
      </c>
      <c r="K43" s="119"/>
      <c r="L43" s="119"/>
    </row>
    <row r="44" spans="1:12" ht="19" x14ac:dyDescent="0.2">
      <c r="A44" s="144"/>
      <c r="B44" s="145"/>
      <c r="C44" s="149"/>
      <c r="D44" s="147"/>
      <c r="E44" s="150"/>
      <c r="F44" s="139"/>
      <c r="G44" s="139"/>
      <c r="H44" s="139"/>
      <c r="I44" s="139">
        <v>150000</v>
      </c>
      <c r="J44" s="139" t="s">
        <v>2151</v>
      </c>
      <c r="K44" s="139"/>
      <c r="L44" s="139"/>
    </row>
    <row r="45" spans="1:12" ht="19" x14ac:dyDescent="0.2">
      <c r="A45" s="143"/>
      <c r="B45" s="153"/>
      <c r="C45" s="171"/>
      <c r="D45" s="155"/>
      <c r="E45" s="164"/>
      <c r="F45" s="119"/>
      <c r="G45" s="119"/>
      <c r="H45" s="119"/>
      <c r="I45" s="119">
        <v>90000</v>
      </c>
      <c r="J45" s="119" t="s">
        <v>2152</v>
      </c>
      <c r="K45" s="119"/>
      <c r="L45" s="119"/>
    </row>
    <row r="46" spans="1:12" ht="19" x14ac:dyDescent="0.2">
      <c r="A46" s="143">
        <v>1583000</v>
      </c>
      <c r="B46" s="153"/>
      <c r="C46" s="171" t="s">
        <v>2131</v>
      </c>
      <c r="D46" s="155" t="s">
        <v>565</v>
      </c>
      <c r="E46" s="164">
        <v>1261000</v>
      </c>
      <c r="F46" s="119">
        <v>322000</v>
      </c>
      <c r="G46" s="119"/>
      <c r="H46" s="119"/>
      <c r="I46" s="119">
        <v>150000</v>
      </c>
      <c r="J46" s="119" t="s">
        <v>2153</v>
      </c>
      <c r="K46" s="119"/>
      <c r="L46" s="119"/>
    </row>
    <row r="47" spans="1:12" ht="19" x14ac:dyDescent="0.2">
      <c r="A47" s="144">
        <v>906000</v>
      </c>
      <c r="B47" s="145">
        <v>45022</v>
      </c>
      <c r="C47" s="149" t="s">
        <v>2137</v>
      </c>
      <c r="D47" s="147" t="s">
        <v>2105</v>
      </c>
      <c r="E47" s="150">
        <v>744000</v>
      </c>
      <c r="F47" s="139">
        <v>162000</v>
      </c>
      <c r="G47" s="139"/>
      <c r="H47" s="139"/>
      <c r="I47" s="139">
        <v>338000</v>
      </c>
      <c r="J47" s="139" t="s">
        <v>2154</v>
      </c>
      <c r="K47" s="139"/>
      <c r="L47" s="139"/>
    </row>
    <row r="48" spans="1:12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100000</v>
      </c>
      <c r="J48" s="119" t="s">
        <v>889</v>
      </c>
      <c r="K48" s="119"/>
      <c r="L48" s="119"/>
    </row>
    <row r="49" spans="1:12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70000</v>
      </c>
      <c r="J49" s="139" t="s">
        <v>751</v>
      </c>
      <c r="K49" s="139"/>
      <c r="L49" s="139"/>
    </row>
    <row r="50" spans="1:12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144000</v>
      </c>
      <c r="J50" s="119" t="s">
        <v>615</v>
      </c>
      <c r="K50" s="119"/>
      <c r="L50" s="119"/>
    </row>
    <row r="51" spans="1:12" ht="19" x14ac:dyDescent="0.2">
      <c r="A51" s="144">
        <v>1723000</v>
      </c>
      <c r="B51" s="145"/>
      <c r="C51" s="149" t="s">
        <v>2155</v>
      </c>
      <c r="D51" s="147" t="s">
        <v>685</v>
      </c>
      <c r="E51" s="150">
        <v>1415000</v>
      </c>
      <c r="F51" s="139">
        <v>308000</v>
      </c>
      <c r="G51" s="139"/>
      <c r="H51" s="139"/>
      <c r="I51" s="139">
        <v>200000</v>
      </c>
      <c r="J51" s="139" t="s">
        <v>2049</v>
      </c>
      <c r="K51" s="139"/>
      <c r="L51" s="139"/>
    </row>
    <row r="52" spans="1:12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35000</v>
      </c>
      <c r="J52" s="119" t="s">
        <v>655</v>
      </c>
      <c r="K52" s="119"/>
      <c r="L52" s="119"/>
    </row>
    <row r="53" spans="1:12" ht="19" x14ac:dyDescent="0.2">
      <c r="A53" s="144">
        <v>1076000</v>
      </c>
      <c r="B53" s="145"/>
      <c r="C53" s="149" t="s">
        <v>2131</v>
      </c>
      <c r="D53" s="147" t="s">
        <v>565</v>
      </c>
      <c r="E53" s="150">
        <v>868000</v>
      </c>
      <c r="F53" s="139">
        <v>208000</v>
      </c>
      <c r="G53" s="139"/>
      <c r="H53" s="139"/>
      <c r="I53" s="139">
        <v>120000</v>
      </c>
      <c r="J53" s="139" t="s">
        <v>827</v>
      </c>
      <c r="K53" s="139"/>
      <c r="L53" s="139"/>
    </row>
    <row r="54" spans="1:12" ht="19" x14ac:dyDescent="0.2">
      <c r="A54" s="143"/>
      <c r="B54" s="153"/>
      <c r="C54" s="171"/>
      <c r="D54" s="155"/>
      <c r="E54" s="164"/>
      <c r="F54" s="119"/>
      <c r="G54" s="119"/>
      <c r="H54" s="119"/>
      <c r="I54" s="119">
        <v>126000</v>
      </c>
      <c r="J54" s="119" t="s">
        <v>895</v>
      </c>
      <c r="K54" s="119"/>
      <c r="L54" s="119"/>
    </row>
    <row r="55" spans="1:12" ht="19" x14ac:dyDescent="0.2">
      <c r="A55" s="144"/>
      <c r="B55" s="145"/>
      <c r="C55" s="149"/>
      <c r="D55" s="147"/>
      <c r="E55" s="150"/>
      <c r="F55" s="139"/>
      <c r="G55" s="139"/>
      <c r="H55" s="139"/>
      <c r="I55" s="139"/>
      <c r="J55" s="139"/>
      <c r="K55" s="139"/>
      <c r="L55" s="139"/>
    </row>
    <row r="56" spans="1:12" ht="19" x14ac:dyDescent="0.2">
      <c r="A56" s="143"/>
      <c r="B56" s="153"/>
      <c r="C56" s="171"/>
      <c r="D56" s="155"/>
      <c r="E56" s="164"/>
      <c r="F56" s="119"/>
      <c r="G56" s="119"/>
      <c r="H56" s="119"/>
      <c r="I56" s="119"/>
      <c r="J56" s="119"/>
      <c r="K56" s="119"/>
      <c r="L56" s="119"/>
    </row>
    <row r="57" spans="1:12" ht="19" x14ac:dyDescent="0.2">
      <c r="A57" s="144">
        <v>846000</v>
      </c>
      <c r="B57" s="145">
        <v>45023</v>
      </c>
      <c r="C57" s="149" t="s">
        <v>2132</v>
      </c>
      <c r="D57" s="147" t="s">
        <v>2105</v>
      </c>
      <c r="E57" s="150">
        <v>597000</v>
      </c>
      <c r="F57" s="139">
        <v>249000</v>
      </c>
      <c r="G57" s="157"/>
      <c r="H57" s="139"/>
      <c r="I57" s="139"/>
      <c r="J57" s="139"/>
      <c r="K57" s="139"/>
      <c r="L57" s="139"/>
    </row>
    <row r="58" spans="1:12" ht="19" x14ac:dyDescent="0.2">
      <c r="A58" s="143"/>
      <c r="B58" s="153"/>
      <c r="C58" s="171"/>
      <c r="D58" s="155"/>
      <c r="E58" s="164"/>
      <c r="F58" s="119"/>
      <c r="G58" s="173"/>
      <c r="H58" s="119"/>
      <c r="I58" s="119"/>
      <c r="J58" s="119"/>
      <c r="K58" s="119"/>
      <c r="L58" s="119"/>
    </row>
    <row r="59" spans="1:12" ht="19" x14ac:dyDescent="0.2">
      <c r="A59" s="144">
        <v>1426000</v>
      </c>
      <c r="B59" s="145"/>
      <c r="C59" s="149" t="s">
        <v>2130</v>
      </c>
      <c r="D59" s="147" t="s">
        <v>685</v>
      </c>
      <c r="E59" s="150">
        <v>1148000</v>
      </c>
      <c r="F59" s="139">
        <v>278000</v>
      </c>
      <c r="G59" s="157"/>
      <c r="H59" s="139"/>
      <c r="I59" s="139"/>
      <c r="J59" s="139"/>
      <c r="K59" s="139"/>
      <c r="L59" s="139"/>
    </row>
    <row r="60" spans="1:12" ht="19" x14ac:dyDescent="0.2">
      <c r="A60" s="144"/>
      <c r="B60" s="145"/>
      <c r="C60" s="149"/>
      <c r="D60" s="147"/>
      <c r="E60" s="150"/>
      <c r="F60" s="139"/>
      <c r="G60" s="157"/>
      <c r="H60" s="139"/>
      <c r="I60" s="139"/>
      <c r="J60" s="139"/>
      <c r="K60" s="139"/>
      <c r="L60" s="139"/>
    </row>
    <row r="61" spans="1:12" ht="19" x14ac:dyDescent="0.2">
      <c r="A61" s="143">
        <v>2161000</v>
      </c>
      <c r="B61" s="153"/>
      <c r="C61" s="171" t="s">
        <v>2131</v>
      </c>
      <c r="D61" s="155" t="s">
        <v>565</v>
      </c>
      <c r="E61" s="164">
        <v>1586000</v>
      </c>
      <c r="F61" s="119">
        <v>575000</v>
      </c>
      <c r="G61" s="119"/>
      <c r="H61" s="119"/>
      <c r="I61" s="119">
        <v>128000</v>
      </c>
      <c r="J61" s="119" t="s">
        <v>2138</v>
      </c>
      <c r="K61" s="119"/>
      <c r="L61" s="119"/>
    </row>
    <row r="62" spans="1:12" ht="19" x14ac:dyDescent="0.2">
      <c r="A62" s="144">
        <v>2354000</v>
      </c>
      <c r="B62" s="145">
        <v>45024</v>
      </c>
      <c r="C62" s="149" t="s">
        <v>2137</v>
      </c>
      <c r="D62" s="147" t="s">
        <v>2105</v>
      </c>
      <c r="E62" s="150">
        <v>1747000</v>
      </c>
      <c r="F62" s="139">
        <v>607000</v>
      </c>
      <c r="G62" s="139"/>
      <c r="H62" s="139"/>
      <c r="I62" s="139">
        <v>26000</v>
      </c>
      <c r="J62" s="161" t="s">
        <v>2164</v>
      </c>
      <c r="K62" s="139"/>
      <c r="L62" s="139"/>
    </row>
    <row r="63" spans="1:12" ht="19" x14ac:dyDescent="0.2">
      <c r="A63" s="143"/>
      <c r="B63" s="153"/>
      <c r="C63" s="171" t="s">
        <v>2130</v>
      </c>
      <c r="D63" s="155" t="s">
        <v>2105</v>
      </c>
      <c r="E63" s="164"/>
      <c r="F63" s="119"/>
      <c r="G63" s="119"/>
      <c r="H63" s="119"/>
      <c r="I63" s="119">
        <v>154000</v>
      </c>
      <c r="J63" s="119" t="s">
        <v>2165</v>
      </c>
      <c r="K63" s="119"/>
      <c r="L63" s="119"/>
    </row>
    <row r="64" spans="1:12" ht="19" x14ac:dyDescent="0.2">
      <c r="A64" s="144"/>
      <c r="B64" s="145"/>
      <c r="C64" s="149"/>
      <c r="D64" s="147"/>
      <c r="E64" s="150"/>
      <c r="F64" s="139"/>
      <c r="G64" s="139"/>
      <c r="H64" s="139"/>
      <c r="I64" s="139">
        <v>55000</v>
      </c>
      <c r="J64" s="139" t="s">
        <v>1093</v>
      </c>
      <c r="K64" s="139"/>
      <c r="L64" s="139"/>
    </row>
    <row r="65" spans="1:12" ht="19" x14ac:dyDescent="0.2">
      <c r="A65" s="143"/>
      <c r="B65" s="153"/>
      <c r="C65" s="171"/>
      <c r="D65" s="155"/>
      <c r="E65" s="164"/>
      <c r="F65" s="119"/>
      <c r="G65" s="119"/>
      <c r="H65" s="119"/>
      <c r="I65" s="119">
        <v>50000</v>
      </c>
      <c r="J65" s="119" t="s">
        <v>2166</v>
      </c>
      <c r="K65" s="119"/>
      <c r="L65" s="119"/>
    </row>
    <row r="66" spans="1:12" ht="19" x14ac:dyDescent="0.2">
      <c r="A66" s="144"/>
      <c r="B66" s="145"/>
      <c r="C66" s="149"/>
      <c r="D66" s="147"/>
      <c r="E66" s="150"/>
      <c r="F66" s="139"/>
      <c r="G66" s="139"/>
      <c r="H66" s="139"/>
      <c r="I66" s="139">
        <v>26000</v>
      </c>
      <c r="J66" s="139" t="s">
        <v>2167</v>
      </c>
      <c r="K66" s="139"/>
      <c r="L66" s="139"/>
    </row>
    <row r="67" spans="1:12" ht="19" x14ac:dyDescent="0.2">
      <c r="A67" s="143"/>
      <c r="B67" s="153"/>
      <c r="C67" s="171"/>
      <c r="D67" s="155"/>
      <c r="E67" s="164"/>
      <c r="F67" s="119"/>
      <c r="G67" s="119"/>
      <c r="H67" s="119"/>
      <c r="I67" s="119">
        <v>120000</v>
      </c>
      <c r="J67" s="119" t="s">
        <v>703</v>
      </c>
      <c r="K67" s="119"/>
      <c r="L67" s="119"/>
    </row>
    <row r="68" spans="1:12" ht="19" x14ac:dyDescent="0.2">
      <c r="A68" s="144">
        <v>2202000</v>
      </c>
      <c r="B68" s="145"/>
      <c r="C68" s="149" t="s">
        <v>2131</v>
      </c>
      <c r="D68" s="147" t="s">
        <v>565</v>
      </c>
      <c r="E68" s="150">
        <v>1705000</v>
      </c>
      <c r="F68" s="139">
        <v>497000</v>
      </c>
      <c r="G68" s="139"/>
      <c r="H68" s="139"/>
      <c r="I68" s="139">
        <v>400000</v>
      </c>
      <c r="J68" s="139" t="s">
        <v>2168</v>
      </c>
      <c r="K68" s="139"/>
      <c r="L68" s="139"/>
    </row>
    <row r="69" spans="1:12" ht="19" x14ac:dyDescent="0.2">
      <c r="A69" s="206"/>
      <c r="B69" s="207"/>
      <c r="C69" s="208"/>
      <c r="D69" s="209"/>
      <c r="E69" s="210"/>
      <c r="F69" s="211"/>
      <c r="G69" s="211"/>
      <c r="H69" s="211"/>
      <c r="I69" s="211">
        <v>264000</v>
      </c>
      <c r="J69" s="119" t="s">
        <v>1397</v>
      </c>
      <c r="K69" s="211"/>
      <c r="L69" s="211"/>
    </row>
    <row r="70" spans="1:12" ht="19" x14ac:dyDescent="0.2">
      <c r="A70" s="144"/>
      <c r="B70" s="145"/>
      <c r="C70" s="149"/>
      <c r="D70" s="147"/>
      <c r="E70" s="150"/>
      <c r="F70" s="139"/>
      <c r="G70" s="139"/>
      <c r="H70" s="139"/>
      <c r="I70" s="139">
        <v>147000</v>
      </c>
      <c r="J70" s="139" t="s">
        <v>2169</v>
      </c>
      <c r="K70" s="139"/>
      <c r="L70" s="139"/>
    </row>
    <row r="71" spans="1:12" ht="19" x14ac:dyDescent="0.2">
      <c r="A71" s="143">
        <v>2428000</v>
      </c>
      <c r="B71" s="153">
        <v>45055</v>
      </c>
      <c r="C71" s="171" t="s">
        <v>2137</v>
      </c>
      <c r="D71" s="155" t="s">
        <v>685</v>
      </c>
      <c r="E71" s="164">
        <v>1737000</v>
      </c>
      <c r="F71" s="119">
        <v>691000</v>
      </c>
      <c r="G71" s="119"/>
      <c r="H71" s="119"/>
      <c r="I71" s="119">
        <v>75000</v>
      </c>
      <c r="J71" s="119" t="s">
        <v>2170</v>
      </c>
      <c r="K71" s="119"/>
      <c r="L71" s="119"/>
    </row>
    <row r="72" spans="1:12" ht="19" x14ac:dyDescent="0.2">
      <c r="A72" s="143"/>
      <c r="B72" s="32"/>
      <c r="C72" s="49" t="s">
        <v>2130</v>
      </c>
      <c r="D72" s="13" t="s">
        <v>685</v>
      </c>
      <c r="E72" s="15"/>
      <c r="F72" s="9"/>
      <c r="G72" s="135"/>
      <c r="H72" s="135"/>
      <c r="I72" s="9"/>
      <c r="J72" s="9"/>
      <c r="K72" s="9"/>
      <c r="L72" s="9"/>
    </row>
    <row r="73" spans="1:12" ht="19" x14ac:dyDescent="0.2">
      <c r="A73" s="144"/>
      <c r="B73" s="145"/>
      <c r="C73" s="149"/>
      <c r="D73" s="147"/>
      <c r="E73" s="150"/>
      <c r="F73" s="139"/>
      <c r="G73" s="139"/>
      <c r="H73" s="139"/>
      <c r="I73" s="139"/>
      <c r="J73" s="139"/>
      <c r="K73" s="139"/>
      <c r="L73" s="139"/>
    </row>
    <row r="74" spans="1:12" ht="19" x14ac:dyDescent="0.2">
      <c r="A74" s="143">
        <v>819000</v>
      </c>
      <c r="B74" s="32"/>
      <c r="C74" s="49" t="s">
        <v>2171</v>
      </c>
      <c r="D74" s="13" t="s">
        <v>565</v>
      </c>
      <c r="E74" s="15">
        <v>660000</v>
      </c>
      <c r="F74" s="9">
        <v>159000</v>
      </c>
      <c r="G74" s="9"/>
      <c r="H74" s="9"/>
      <c r="I74" s="9">
        <v>100000</v>
      </c>
      <c r="J74" s="9" t="s">
        <v>2129</v>
      </c>
      <c r="K74" s="9"/>
      <c r="L74" s="9"/>
    </row>
    <row r="75" spans="1:12" ht="19" x14ac:dyDescent="0.2">
      <c r="A75" s="144"/>
      <c r="B75" s="145"/>
      <c r="C75" s="149"/>
      <c r="D75" s="147"/>
      <c r="E75" s="150"/>
      <c r="F75" s="139"/>
      <c r="G75" s="139"/>
      <c r="H75" s="139"/>
      <c r="I75" s="139">
        <v>144000</v>
      </c>
      <c r="J75" s="139" t="s">
        <v>615</v>
      </c>
      <c r="K75" s="139"/>
      <c r="L75" s="139"/>
    </row>
    <row r="76" spans="1:12" ht="19" x14ac:dyDescent="0.2">
      <c r="A76" s="143"/>
      <c r="B76" s="32"/>
      <c r="C76" s="49"/>
      <c r="D76" s="13"/>
      <c r="E76" s="15"/>
      <c r="F76" s="9"/>
      <c r="G76" s="9"/>
      <c r="H76" s="9"/>
      <c r="I76" s="9"/>
      <c r="J76" s="9"/>
      <c r="K76" s="9"/>
      <c r="L76" s="9"/>
    </row>
    <row r="77" spans="1:12" ht="19" x14ac:dyDescent="0.2">
      <c r="A77" s="142">
        <v>685000</v>
      </c>
      <c r="B77" s="153">
        <v>45056</v>
      </c>
      <c r="C77" s="163" t="s">
        <v>2137</v>
      </c>
      <c r="D77" s="155" t="s">
        <v>2105</v>
      </c>
      <c r="E77" s="164">
        <v>506000</v>
      </c>
      <c r="F77" s="119">
        <v>179000</v>
      </c>
      <c r="G77" s="119"/>
      <c r="H77" s="119"/>
      <c r="I77" s="119">
        <v>50000</v>
      </c>
      <c r="J77" s="119" t="s">
        <v>206</v>
      </c>
      <c r="K77" s="119"/>
      <c r="L77" s="119"/>
    </row>
    <row r="78" spans="1:12" ht="19" x14ac:dyDescent="0.2">
      <c r="A78" s="144"/>
      <c r="B78" s="145"/>
      <c r="C78" s="151"/>
      <c r="D78" s="147"/>
      <c r="E78" s="150"/>
      <c r="F78" s="139"/>
      <c r="G78" s="139"/>
      <c r="H78" s="139"/>
      <c r="I78" s="139"/>
      <c r="J78" s="139"/>
      <c r="K78" s="139"/>
      <c r="L78" s="139"/>
    </row>
    <row r="79" spans="1:12" ht="19" x14ac:dyDescent="0.2">
      <c r="A79" s="144">
        <v>1243000</v>
      </c>
      <c r="B79" s="145"/>
      <c r="C79" s="149" t="s">
        <v>2130</v>
      </c>
      <c r="D79" s="147" t="s">
        <v>685</v>
      </c>
      <c r="E79" s="150">
        <v>1000000</v>
      </c>
      <c r="F79" s="139">
        <v>243000</v>
      </c>
      <c r="G79" s="152"/>
      <c r="H79" s="152"/>
      <c r="I79" s="139"/>
      <c r="J79" s="139"/>
      <c r="K79" s="139"/>
      <c r="L79" s="139"/>
    </row>
    <row r="80" spans="1:12" ht="19" x14ac:dyDescent="0.2">
      <c r="A80" s="143"/>
      <c r="B80" s="32"/>
      <c r="C80" s="49"/>
      <c r="D80" s="13"/>
      <c r="E80" s="15"/>
      <c r="F80" s="9"/>
      <c r="G80" s="60"/>
      <c r="H80" s="60"/>
      <c r="I80" s="9"/>
      <c r="J80" s="9"/>
      <c r="K80" s="9"/>
      <c r="L80" s="9"/>
    </row>
    <row r="81" spans="1:12" ht="19" x14ac:dyDescent="0.2">
      <c r="A81" s="144">
        <v>2006000</v>
      </c>
      <c r="B81" s="145"/>
      <c r="C81" s="149" t="s">
        <v>2131</v>
      </c>
      <c r="D81" s="147" t="s">
        <v>565</v>
      </c>
      <c r="E81" s="150">
        <v>1831000</v>
      </c>
      <c r="F81" s="139">
        <v>175000</v>
      </c>
      <c r="G81" s="152"/>
      <c r="H81" s="152"/>
      <c r="I81" s="139"/>
      <c r="J81" s="139"/>
      <c r="K81" s="139"/>
      <c r="L81" s="139"/>
    </row>
    <row r="82" spans="1:12" ht="19" x14ac:dyDescent="0.2">
      <c r="A82" s="143">
        <v>916000</v>
      </c>
      <c r="B82" s="153">
        <v>45057</v>
      </c>
      <c r="C82" s="171" t="s">
        <v>2137</v>
      </c>
      <c r="D82" s="155" t="s">
        <v>2105</v>
      </c>
      <c r="E82" s="164">
        <v>844000</v>
      </c>
      <c r="F82" s="119">
        <v>72000</v>
      </c>
      <c r="G82" s="175"/>
      <c r="H82" s="175"/>
      <c r="I82" s="119"/>
      <c r="J82" s="119"/>
      <c r="K82" s="119"/>
      <c r="L82" s="119"/>
    </row>
    <row r="83" spans="1:12" ht="19" x14ac:dyDescent="0.2">
      <c r="A83" s="144"/>
      <c r="B83" s="145"/>
      <c r="C83" s="149"/>
      <c r="D83" s="147"/>
      <c r="E83" s="150"/>
      <c r="F83" s="139"/>
      <c r="G83" s="152"/>
      <c r="H83" s="152"/>
      <c r="I83" s="139">
        <v>65000</v>
      </c>
      <c r="J83" s="139" t="s">
        <v>2172</v>
      </c>
      <c r="K83" s="139"/>
      <c r="L83" s="139"/>
    </row>
    <row r="84" spans="1:12" ht="19" x14ac:dyDescent="0.2">
      <c r="A84" s="144">
        <v>1480000</v>
      </c>
      <c r="B84" s="145"/>
      <c r="C84" s="149" t="s">
        <v>2130</v>
      </c>
      <c r="D84" s="147" t="s">
        <v>685</v>
      </c>
      <c r="E84" s="150">
        <v>1304000</v>
      </c>
      <c r="F84" s="139">
        <v>176000</v>
      </c>
      <c r="G84" s="139">
        <v>2500000</v>
      </c>
      <c r="H84" s="139" t="s">
        <v>812</v>
      </c>
      <c r="I84" s="139">
        <v>80000</v>
      </c>
      <c r="J84" s="161" t="s">
        <v>537</v>
      </c>
      <c r="K84" s="139"/>
      <c r="L84" s="139"/>
    </row>
    <row r="85" spans="1:12" ht="19" x14ac:dyDescent="0.2">
      <c r="A85" s="144"/>
      <c r="B85" s="145"/>
      <c r="C85" s="149"/>
      <c r="D85" s="147"/>
      <c r="E85" s="150"/>
      <c r="F85" s="139"/>
      <c r="G85" s="152"/>
      <c r="H85" s="152"/>
      <c r="I85" s="139">
        <v>9000</v>
      </c>
      <c r="J85" s="139" t="s">
        <v>642</v>
      </c>
      <c r="K85" s="139"/>
      <c r="L85" s="139"/>
    </row>
    <row r="86" spans="1:12" ht="19" x14ac:dyDescent="0.2">
      <c r="A86" s="143"/>
      <c r="B86" s="32"/>
      <c r="C86" s="49"/>
      <c r="D86" s="13"/>
      <c r="E86" s="15"/>
      <c r="F86" s="9"/>
      <c r="G86" s="9"/>
      <c r="H86" s="9"/>
      <c r="I86" s="9">
        <v>150000</v>
      </c>
      <c r="J86" s="9" t="s">
        <v>2173</v>
      </c>
      <c r="K86" s="9"/>
      <c r="L86" s="9"/>
    </row>
    <row r="87" spans="1:12" ht="19" x14ac:dyDescent="0.2">
      <c r="A87" s="144"/>
      <c r="B87" s="145"/>
      <c r="C87" s="149"/>
      <c r="D87" s="147"/>
      <c r="E87" s="150"/>
      <c r="F87" s="139"/>
      <c r="G87" s="152"/>
      <c r="H87" s="152"/>
      <c r="I87" s="139">
        <v>169000</v>
      </c>
      <c r="J87" s="139" t="s">
        <v>2174</v>
      </c>
      <c r="K87" s="139"/>
      <c r="L87" s="139"/>
    </row>
    <row r="88" spans="1:12" ht="19" x14ac:dyDescent="0.2">
      <c r="A88" s="143"/>
      <c r="B88" s="32"/>
      <c r="C88" s="49"/>
      <c r="D88" s="13"/>
      <c r="E88" s="15"/>
      <c r="F88" s="9"/>
      <c r="G88" s="60"/>
      <c r="H88" s="60"/>
      <c r="I88" s="9">
        <v>203500</v>
      </c>
      <c r="J88" s="9" t="s">
        <v>1176</v>
      </c>
      <c r="K88" s="9"/>
      <c r="L88" s="9"/>
    </row>
    <row r="89" spans="1:12" ht="19" x14ac:dyDescent="0.2">
      <c r="A89" s="144"/>
      <c r="B89" s="145"/>
      <c r="C89" s="149"/>
      <c r="D89" s="147"/>
      <c r="E89" s="150"/>
      <c r="F89" s="139"/>
      <c r="G89" s="152"/>
      <c r="H89" s="152"/>
      <c r="I89" s="139">
        <v>7000</v>
      </c>
      <c r="J89" s="139" t="s">
        <v>695</v>
      </c>
      <c r="K89" s="139"/>
      <c r="L89" s="139"/>
    </row>
    <row r="90" spans="1:12" ht="19" x14ac:dyDescent="0.2">
      <c r="A90" s="143"/>
      <c r="B90" s="153"/>
      <c r="C90" s="171"/>
      <c r="D90" s="155"/>
      <c r="E90" s="164"/>
      <c r="F90" s="119"/>
      <c r="G90" s="175"/>
      <c r="H90" s="175"/>
      <c r="I90" s="119">
        <v>18000</v>
      </c>
      <c r="J90" s="119" t="s">
        <v>2175</v>
      </c>
      <c r="K90" s="119"/>
      <c r="L90" s="119"/>
    </row>
    <row r="91" spans="1:12" ht="19" x14ac:dyDescent="0.2">
      <c r="A91" s="144"/>
      <c r="B91" s="145"/>
      <c r="C91" s="149"/>
      <c r="D91" s="147"/>
      <c r="E91" s="150"/>
      <c r="F91" s="139"/>
      <c r="G91" s="152"/>
      <c r="H91" s="152"/>
      <c r="I91" s="139">
        <v>19000</v>
      </c>
      <c r="J91" s="139" t="s">
        <v>2176</v>
      </c>
      <c r="K91" s="139"/>
      <c r="L91" s="139"/>
    </row>
    <row r="92" spans="1:12" ht="19" x14ac:dyDescent="0.2">
      <c r="A92" s="143"/>
      <c r="B92" s="153"/>
      <c r="C92" s="171"/>
      <c r="D92" s="155"/>
      <c r="E92" s="164"/>
      <c r="F92" s="119"/>
      <c r="G92" s="175"/>
      <c r="H92" s="175"/>
      <c r="I92" s="119">
        <v>26000</v>
      </c>
      <c r="J92" s="119" t="s">
        <v>972</v>
      </c>
      <c r="K92" s="119"/>
      <c r="L92" s="119"/>
    </row>
    <row r="93" spans="1:12" ht="19" x14ac:dyDescent="0.2">
      <c r="A93" s="144"/>
      <c r="B93" s="145"/>
      <c r="C93" s="149"/>
      <c r="D93" s="147"/>
      <c r="E93" s="150"/>
      <c r="F93" s="139"/>
      <c r="G93" s="152"/>
      <c r="H93" s="152"/>
      <c r="I93" s="139">
        <v>41000</v>
      </c>
      <c r="J93" s="139" t="s">
        <v>1441</v>
      </c>
      <c r="K93" s="139"/>
      <c r="L93" s="139"/>
    </row>
    <row r="94" spans="1:12" ht="19" x14ac:dyDescent="0.2">
      <c r="A94" s="143">
        <v>1316000</v>
      </c>
      <c r="B94" s="153"/>
      <c r="C94" s="171" t="s">
        <v>2131</v>
      </c>
      <c r="D94" s="155" t="s">
        <v>565</v>
      </c>
      <c r="E94" s="164">
        <v>1014000</v>
      </c>
      <c r="F94" s="119">
        <v>302000</v>
      </c>
      <c r="G94" s="175"/>
      <c r="H94" s="175"/>
      <c r="I94" s="119">
        <v>520000</v>
      </c>
      <c r="J94" s="119" t="s">
        <v>741</v>
      </c>
      <c r="K94" s="119"/>
      <c r="L94" s="119"/>
    </row>
    <row r="95" spans="1:12" ht="19" x14ac:dyDescent="0.2">
      <c r="A95" s="144"/>
      <c r="B95" s="145"/>
      <c r="C95" s="149"/>
      <c r="D95" s="147"/>
      <c r="E95" s="150"/>
      <c r="F95" s="139"/>
      <c r="G95" s="152"/>
      <c r="H95" s="152"/>
      <c r="I95" s="139">
        <v>242000</v>
      </c>
      <c r="J95" s="139" t="s">
        <v>2177</v>
      </c>
      <c r="K95" s="139"/>
      <c r="L95" s="139"/>
    </row>
    <row r="96" spans="1:12" ht="19" x14ac:dyDescent="0.2">
      <c r="A96" s="143"/>
      <c r="B96" s="32"/>
      <c r="C96" s="49"/>
      <c r="D96" s="13"/>
      <c r="E96" s="15"/>
      <c r="F96" s="9"/>
      <c r="G96" s="60"/>
      <c r="H96" s="60"/>
      <c r="I96" s="9">
        <v>140000</v>
      </c>
      <c r="J96" s="9" t="s">
        <v>881</v>
      </c>
      <c r="K96" s="9"/>
      <c r="L96" s="9"/>
    </row>
    <row r="97" spans="1:12" ht="19" x14ac:dyDescent="0.2">
      <c r="A97" s="143">
        <v>880000</v>
      </c>
      <c r="B97" s="153">
        <v>45058</v>
      </c>
      <c r="C97" s="49" t="s">
        <v>2137</v>
      </c>
      <c r="D97" s="13" t="s">
        <v>2105</v>
      </c>
      <c r="E97" s="15">
        <v>798000</v>
      </c>
      <c r="F97" s="9">
        <v>82000</v>
      </c>
      <c r="G97" s="60"/>
      <c r="H97" s="60"/>
      <c r="I97" s="9"/>
      <c r="J97" s="9"/>
      <c r="K97" s="9"/>
      <c r="L97" s="9"/>
    </row>
    <row r="98" spans="1:12" ht="19" x14ac:dyDescent="0.2">
      <c r="A98" s="144"/>
      <c r="B98" s="145"/>
      <c r="C98" s="149"/>
      <c r="D98" s="147"/>
      <c r="E98" s="150"/>
      <c r="F98" s="139"/>
      <c r="G98" s="152"/>
      <c r="H98" s="152"/>
      <c r="I98" s="139"/>
      <c r="J98" s="139"/>
      <c r="K98" s="139"/>
      <c r="L98" s="139"/>
    </row>
    <row r="99" spans="1:12" ht="19" x14ac:dyDescent="0.2">
      <c r="A99" s="143">
        <v>1830000</v>
      </c>
      <c r="B99" s="32"/>
      <c r="C99" s="49" t="s">
        <v>2130</v>
      </c>
      <c r="D99" s="13" t="s">
        <v>685</v>
      </c>
      <c r="E99" s="15">
        <v>1199000</v>
      </c>
      <c r="F99" s="9">
        <v>631000</v>
      </c>
      <c r="G99" s="60"/>
      <c r="H99" s="60"/>
      <c r="I99" s="9"/>
      <c r="J99" s="9"/>
      <c r="K99" s="9"/>
      <c r="L99" s="9"/>
    </row>
    <row r="100" spans="1:12" ht="19" x14ac:dyDescent="0.2">
      <c r="A100" s="144"/>
      <c r="B100" s="145"/>
      <c r="C100" s="149"/>
      <c r="D100" s="147"/>
      <c r="E100" s="150"/>
      <c r="F100" s="139"/>
      <c r="G100" s="152"/>
      <c r="H100" s="152"/>
      <c r="I100" s="139"/>
      <c r="J100" s="139"/>
      <c r="K100" s="139"/>
      <c r="L100" s="139"/>
    </row>
    <row r="101" spans="1:12" ht="19" x14ac:dyDescent="0.2">
      <c r="A101" s="143"/>
      <c r="B101" s="32"/>
      <c r="C101" s="49"/>
      <c r="D101" s="13"/>
      <c r="E101" s="15"/>
      <c r="F101" s="9"/>
      <c r="G101" s="60"/>
      <c r="H101" s="60"/>
      <c r="I101" s="9"/>
      <c r="J101" s="9"/>
      <c r="K101" s="9"/>
      <c r="L101" s="9"/>
    </row>
    <row r="102" spans="1:12" ht="19" x14ac:dyDescent="0.2">
      <c r="A102" s="144"/>
      <c r="B102" s="145"/>
      <c r="C102" s="159"/>
      <c r="D102" s="147"/>
      <c r="E102" s="150"/>
      <c r="F102" s="139"/>
      <c r="G102" s="139"/>
      <c r="H102" s="139"/>
      <c r="I102" s="139"/>
      <c r="J102" s="139"/>
      <c r="K102" s="139"/>
      <c r="L102" s="139"/>
    </row>
    <row r="103" spans="1:12" ht="19" x14ac:dyDescent="0.2">
      <c r="A103" s="143">
        <v>1613000</v>
      </c>
      <c r="B103" s="32"/>
      <c r="C103" s="49" t="s">
        <v>2131</v>
      </c>
      <c r="D103" s="13" t="s">
        <v>565</v>
      </c>
      <c r="E103" s="15">
        <v>1395000</v>
      </c>
      <c r="F103" s="9">
        <v>218000</v>
      </c>
      <c r="G103" s="9"/>
      <c r="H103" s="9"/>
      <c r="I103" s="9">
        <v>200000</v>
      </c>
      <c r="J103" s="9" t="s">
        <v>2049</v>
      </c>
      <c r="K103" s="9"/>
      <c r="L103" s="9"/>
    </row>
    <row r="104" spans="1:12" ht="19" x14ac:dyDescent="0.2">
      <c r="A104" s="143"/>
      <c r="B104" s="32"/>
      <c r="C104" s="49"/>
      <c r="D104" s="13"/>
      <c r="E104" s="15"/>
      <c r="F104" s="9"/>
      <c r="G104" s="9"/>
      <c r="H104" s="9"/>
      <c r="I104" s="9">
        <v>35000</v>
      </c>
      <c r="J104" s="9" t="s">
        <v>655</v>
      </c>
      <c r="K104" s="9"/>
      <c r="L104" s="9"/>
    </row>
    <row r="105" spans="1:12" ht="19" x14ac:dyDescent="0.2">
      <c r="A105" s="144">
        <v>437000</v>
      </c>
      <c r="B105" s="145">
        <v>45059</v>
      </c>
      <c r="C105" s="149" t="s">
        <v>2137</v>
      </c>
      <c r="D105" s="147" t="s">
        <v>2105</v>
      </c>
      <c r="E105" s="150">
        <v>304000</v>
      </c>
      <c r="F105" s="139">
        <v>133000</v>
      </c>
      <c r="G105" s="139">
        <v>3660000</v>
      </c>
      <c r="H105" s="139" t="s">
        <v>2230</v>
      </c>
      <c r="I105" s="139">
        <v>120000</v>
      </c>
      <c r="J105" s="139" t="s">
        <v>827</v>
      </c>
      <c r="K105" s="139"/>
      <c r="L105" s="139"/>
    </row>
    <row r="106" spans="1:12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>
        <v>144000</v>
      </c>
      <c r="J106" s="119" t="s">
        <v>615</v>
      </c>
      <c r="K106" s="119"/>
      <c r="L106" s="119"/>
    </row>
    <row r="107" spans="1:12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>
        <v>70000</v>
      </c>
      <c r="J107" s="139" t="s">
        <v>751</v>
      </c>
      <c r="K107" s="139"/>
      <c r="L107" s="139"/>
    </row>
    <row r="108" spans="1:12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>
        <v>100000</v>
      </c>
      <c r="J108" s="119" t="s">
        <v>889</v>
      </c>
      <c r="K108" s="119"/>
      <c r="L108" s="119"/>
    </row>
    <row r="109" spans="1:12" ht="19" x14ac:dyDescent="0.2">
      <c r="A109" s="144">
        <v>2090000</v>
      </c>
      <c r="B109" s="145"/>
      <c r="C109" s="149" t="s">
        <v>2130</v>
      </c>
      <c r="D109" s="147" t="s">
        <v>685</v>
      </c>
      <c r="E109" s="150">
        <v>1613000</v>
      </c>
      <c r="F109" s="139">
        <v>477000</v>
      </c>
      <c r="G109" s="139"/>
      <c r="H109" s="139"/>
      <c r="I109" s="139">
        <v>150000</v>
      </c>
      <c r="J109" s="139" t="s">
        <v>2178</v>
      </c>
      <c r="K109" s="139"/>
      <c r="L109" s="139"/>
    </row>
    <row r="110" spans="1:12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>
        <v>150000</v>
      </c>
      <c r="J110" s="139" t="s">
        <v>2179</v>
      </c>
      <c r="K110" s="139"/>
      <c r="L110" s="139"/>
    </row>
    <row r="111" spans="1:12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>
        <v>140000</v>
      </c>
      <c r="J111" s="119" t="s">
        <v>881</v>
      </c>
      <c r="K111" s="119"/>
      <c r="L111" s="119"/>
    </row>
    <row r="112" spans="1:12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>
        <v>264000</v>
      </c>
      <c r="J112" s="139" t="s">
        <v>1397</v>
      </c>
      <c r="K112" s="139"/>
      <c r="L112" s="139"/>
    </row>
    <row r="113" spans="1:12" ht="19" x14ac:dyDescent="0.2">
      <c r="A113" s="143">
        <v>1608000</v>
      </c>
      <c r="B113" s="153"/>
      <c r="C113" s="171" t="s">
        <v>2131</v>
      </c>
      <c r="D113" s="155" t="s">
        <v>565</v>
      </c>
      <c r="E113" s="164">
        <v>1444000</v>
      </c>
      <c r="F113" s="119">
        <v>164000</v>
      </c>
      <c r="G113" s="119"/>
      <c r="H113" s="119"/>
      <c r="I113" s="119"/>
      <c r="J113" s="119"/>
      <c r="K113" s="119"/>
      <c r="L113" s="119"/>
    </row>
    <row r="114" spans="1:12" ht="19" x14ac:dyDescent="0.2">
      <c r="A114" s="148">
        <v>687000</v>
      </c>
      <c r="B114" s="145">
        <v>45060</v>
      </c>
      <c r="C114" s="149" t="s">
        <v>2137</v>
      </c>
      <c r="D114" s="160" t="s">
        <v>2105</v>
      </c>
      <c r="E114" s="150">
        <v>507000</v>
      </c>
      <c r="F114" s="139">
        <v>180000</v>
      </c>
      <c r="G114" s="139"/>
      <c r="H114" s="139"/>
      <c r="I114" s="139"/>
      <c r="J114" s="139"/>
      <c r="K114" s="139"/>
      <c r="L114" s="139"/>
    </row>
    <row r="115" spans="1:12" ht="19" x14ac:dyDescent="0.2">
      <c r="A115" s="144">
        <v>1558000</v>
      </c>
      <c r="B115" s="145"/>
      <c r="C115" s="149" t="s">
        <v>2130</v>
      </c>
      <c r="D115" s="147" t="s">
        <v>685</v>
      </c>
      <c r="E115" s="150">
        <v>1254000</v>
      </c>
      <c r="F115" s="139">
        <v>304000</v>
      </c>
      <c r="G115" s="139">
        <v>2500000</v>
      </c>
      <c r="H115" s="139" t="s">
        <v>812</v>
      </c>
      <c r="I115" s="139">
        <v>200000</v>
      </c>
      <c r="J115" s="139" t="s">
        <v>2180</v>
      </c>
      <c r="K115" s="139"/>
      <c r="L115" s="139"/>
    </row>
    <row r="116" spans="1:12" ht="19" x14ac:dyDescent="0.2">
      <c r="A116" s="143"/>
      <c r="B116" s="32"/>
      <c r="C116" s="49"/>
      <c r="D116" s="13"/>
      <c r="E116" s="15"/>
      <c r="F116" s="9"/>
      <c r="G116" s="9"/>
      <c r="H116" s="9"/>
      <c r="I116" s="9">
        <v>29000</v>
      </c>
      <c r="J116" s="9" t="s">
        <v>2181</v>
      </c>
      <c r="K116" s="9"/>
      <c r="L116" s="9"/>
    </row>
    <row r="117" spans="1:12" ht="19" x14ac:dyDescent="0.2">
      <c r="A117" s="144"/>
      <c r="B117" s="145"/>
      <c r="C117" s="149"/>
      <c r="D117" s="147"/>
      <c r="E117" s="150"/>
      <c r="F117" s="139"/>
      <c r="G117" s="139"/>
      <c r="H117" s="139"/>
      <c r="I117" s="139">
        <v>35000</v>
      </c>
      <c r="J117" s="139" t="s">
        <v>2182</v>
      </c>
      <c r="K117" s="139"/>
      <c r="L117" s="139"/>
    </row>
    <row r="118" spans="1:12" ht="19" x14ac:dyDescent="0.2">
      <c r="A118" s="143"/>
      <c r="B118" s="153"/>
      <c r="C118" s="171"/>
      <c r="D118" s="155"/>
      <c r="E118" s="164"/>
      <c r="F118" s="119"/>
      <c r="G118" s="119"/>
      <c r="H118" s="119"/>
      <c r="I118" s="119">
        <v>9000</v>
      </c>
      <c r="J118" s="119" t="s">
        <v>642</v>
      </c>
      <c r="K118" s="119"/>
      <c r="L118" s="119"/>
    </row>
    <row r="119" spans="1:12" ht="19" x14ac:dyDescent="0.2">
      <c r="A119" s="144">
        <v>1001000</v>
      </c>
      <c r="B119" s="145"/>
      <c r="C119" s="149" t="s">
        <v>2131</v>
      </c>
      <c r="D119" s="147" t="s">
        <v>565</v>
      </c>
      <c r="E119" s="150">
        <v>860000</v>
      </c>
      <c r="F119" s="139">
        <v>141000</v>
      </c>
      <c r="G119" s="139"/>
      <c r="H119" s="139"/>
      <c r="I119" s="139"/>
      <c r="J119" s="139"/>
      <c r="K119" s="139"/>
      <c r="L119" s="139"/>
    </row>
    <row r="120" spans="1:12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/>
      <c r="K120" s="139"/>
      <c r="L120" s="139"/>
    </row>
    <row r="121" spans="1:12" ht="19" x14ac:dyDescent="0.2">
      <c r="A121" s="143">
        <v>1302000</v>
      </c>
      <c r="B121" s="153">
        <v>45061</v>
      </c>
      <c r="C121" s="171" t="s">
        <v>2137</v>
      </c>
      <c r="D121" s="155" t="s">
        <v>2105</v>
      </c>
      <c r="E121" s="164">
        <v>1065000</v>
      </c>
      <c r="F121" s="119">
        <v>237000</v>
      </c>
      <c r="G121" s="119">
        <v>2250000</v>
      </c>
      <c r="H121" s="176" t="s">
        <v>2183</v>
      </c>
      <c r="I121" s="119"/>
      <c r="J121" s="119"/>
      <c r="K121" s="119"/>
      <c r="L121" s="119"/>
    </row>
    <row r="122" spans="1:12" ht="19" x14ac:dyDescent="0.2">
      <c r="A122" s="144"/>
      <c r="B122" s="145"/>
      <c r="C122" s="149"/>
      <c r="D122" s="147"/>
      <c r="E122" s="150"/>
      <c r="F122" s="139"/>
      <c r="G122" s="139"/>
      <c r="H122" s="161"/>
      <c r="I122" s="139"/>
      <c r="J122" s="139"/>
      <c r="K122" s="139"/>
      <c r="L122" s="139"/>
    </row>
    <row r="123" spans="1:12" ht="19" x14ac:dyDescent="0.2">
      <c r="A123" s="144"/>
      <c r="B123" s="145"/>
      <c r="C123" s="149"/>
      <c r="D123" s="147"/>
      <c r="E123" s="150"/>
      <c r="F123" s="139"/>
      <c r="G123" s="139"/>
      <c r="H123" s="161"/>
      <c r="I123" s="139"/>
      <c r="J123" s="139"/>
      <c r="K123" s="139"/>
      <c r="L123" s="139"/>
    </row>
    <row r="124" spans="1:12" ht="48" x14ac:dyDescent="0.2">
      <c r="A124" s="143">
        <v>1626000</v>
      </c>
      <c r="B124" s="153"/>
      <c r="C124" s="171" t="s">
        <v>2130</v>
      </c>
      <c r="D124" s="155" t="s">
        <v>565</v>
      </c>
      <c r="E124" s="164">
        <v>1351000</v>
      </c>
      <c r="F124" s="119">
        <v>275000</v>
      </c>
      <c r="G124" s="119">
        <v>1282000</v>
      </c>
      <c r="H124" s="176" t="s">
        <v>2185</v>
      </c>
      <c r="I124" s="119">
        <v>338000</v>
      </c>
      <c r="J124" s="119" t="s">
        <v>2186</v>
      </c>
      <c r="K124" s="119"/>
      <c r="L124" s="119"/>
    </row>
    <row r="125" spans="1:12" ht="19" x14ac:dyDescent="0.2">
      <c r="A125" s="144"/>
      <c r="B125" s="145"/>
      <c r="C125" s="149"/>
      <c r="D125" s="147"/>
      <c r="E125" s="150"/>
      <c r="F125" s="139"/>
      <c r="G125" s="139"/>
      <c r="H125" s="161"/>
      <c r="I125" s="139">
        <v>56000</v>
      </c>
      <c r="J125" s="139" t="s">
        <v>1681</v>
      </c>
      <c r="K125" s="139"/>
      <c r="L125" s="139"/>
    </row>
    <row r="126" spans="1:12" ht="19" x14ac:dyDescent="0.2">
      <c r="A126" s="144"/>
      <c r="B126" s="145"/>
      <c r="C126" s="149"/>
      <c r="D126" s="147"/>
      <c r="E126" s="150"/>
      <c r="F126" s="139"/>
      <c r="G126" s="139"/>
      <c r="H126" s="161"/>
      <c r="I126" s="139"/>
      <c r="J126" s="139"/>
      <c r="K126" s="139"/>
      <c r="L126" s="139"/>
    </row>
    <row r="127" spans="1:12" ht="19" x14ac:dyDescent="0.2">
      <c r="A127" s="143">
        <v>1731000</v>
      </c>
      <c r="B127" s="32"/>
      <c r="C127" s="49" t="s">
        <v>2131</v>
      </c>
      <c r="D127" s="13" t="s">
        <v>685</v>
      </c>
      <c r="E127" s="15">
        <v>1472000</v>
      </c>
      <c r="F127" s="9">
        <v>259000</v>
      </c>
      <c r="G127" s="9">
        <v>2250000</v>
      </c>
      <c r="H127" s="47" t="s">
        <v>2184</v>
      </c>
      <c r="I127" s="9"/>
      <c r="J127" s="9"/>
      <c r="K127" s="9"/>
      <c r="L127" s="9"/>
    </row>
    <row r="128" spans="1:12" ht="19" x14ac:dyDescent="0.2">
      <c r="A128" s="143">
        <v>2057000</v>
      </c>
      <c r="B128" s="153">
        <v>45062</v>
      </c>
      <c r="C128" s="163" t="s">
        <v>1228</v>
      </c>
      <c r="D128" s="155" t="s">
        <v>2105</v>
      </c>
      <c r="E128" s="164">
        <v>1711000</v>
      </c>
      <c r="F128" s="119">
        <v>346000</v>
      </c>
      <c r="G128" s="119"/>
      <c r="H128" s="119"/>
      <c r="I128" s="174">
        <v>100000</v>
      </c>
      <c r="J128" s="174" t="s">
        <v>2187</v>
      </c>
      <c r="K128" s="119"/>
      <c r="L128" s="119"/>
    </row>
    <row r="129" spans="1:12" ht="19" x14ac:dyDescent="0.2">
      <c r="A129" s="144"/>
      <c r="B129" s="158"/>
      <c r="C129" s="151"/>
      <c r="D129" s="147"/>
      <c r="E129" s="150"/>
      <c r="F129" s="139"/>
      <c r="G129" s="139"/>
      <c r="H129" s="139"/>
      <c r="I129" s="162">
        <v>40000</v>
      </c>
      <c r="J129" s="162" t="s">
        <v>1493</v>
      </c>
      <c r="K129" s="139"/>
      <c r="L129" s="139"/>
    </row>
    <row r="130" spans="1:12" ht="19" x14ac:dyDescent="0.2">
      <c r="A130" s="143">
        <v>1204000</v>
      </c>
      <c r="B130" s="32"/>
      <c r="C130" s="35" t="s">
        <v>10</v>
      </c>
      <c r="D130" s="13" t="s">
        <v>685</v>
      </c>
      <c r="E130" s="15">
        <v>839000</v>
      </c>
      <c r="F130" s="9">
        <v>365000</v>
      </c>
      <c r="G130" s="9"/>
      <c r="H130" s="9"/>
      <c r="I130" s="106">
        <v>50000</v>
      </c>
      <c r="J130" s="106" t="s">
        <v>123</v>
      </c>
      <c r="K130" s="9"/>
      <c r="L130" s="9"/>
    </row>
    <row r="131" spans="1:12" ht="19" x14ac:dyDescent="0.2">
      <c r="A131" s="144"/>
      <c r="B131" s="145"/>
      <c r="C131" s="151"/>
      <c r="D131" s="147"/>
      <c r="E131" s="150"/>
      <c r="F131" s="139"/>
      <c r="G131" s="139"/>
      <c r="H131" s="139"/>
      <c r="I131" s="162"/>
      <c r="J131" s="162"/>
      <c r="K131" s="139"/>
      <c r="L131" s="139"/>
    </row>
    <row r="132" spans="1:12" ht="19" x14ac:dyDescent="0.2">
      <c r="A132" s="143">
        <v>1949000</v>
      </c>
      <c r="B132" s="153">
        <v>45186</v>
      </c>
      <c r="C132" s="163" t="s">
        <v>1228</v>
      </c>
      <c r="D132" s="155" t="s">
        <v>565</v>
      </c>
      <c r="E132" s="164">
        <v>1225000</v>
      </c>
      <c r="F132" s="119">
        <v>724000</v>
      </c>
      <c r="G132" s="119"/>
      <c r="H132" s="119"/>
      <c r="I132" s="174"/>
      <c r="J132" s="174"/>
      <c r="K132" s="119"/>
      <c r="L132" s="119"/>
    </row>
    <row r="133" spans="1:12" ht="19" x14ac:dyDescent="0.2">
      <c r="A133" s="148"/>
      <c r="B133" s="145"/>
      <c r="C133" s="159"/>
      <c r="D133" s="147"/>
      <c r="E133" s="150"/>
      <c r="F133" s="139"/>
      <c r="G133" s="139"/>
      <c r="H133" s="139"/>
      <c r="I133" s="139"/>
      <c r="J133" s="139"/>
      <c r="K133" s="139"/>
      <c r="L133" s="139"/>
    </row>
    <row r="134" spans="1:12" ht="19" x14ac:dyDescent="0.2">
      <c r="A134" s="142">
        <v>1938000</v>
      </c>
      <c r="B134" s="33"/>
      <c r="C134" s="2" t="s">
        <v>10</v>
      </c>
      <c r="D134" s="102" t="s">
        <v>685</v>
      </c>
      <c r="E134" s="15">
        <v>1550000</v>
      </c>
      <c r="F134" s="9">
        <v>388000</v>
      </c>
      <c r="G134" s="9"/>
      <c r="H134" s="9"/>
      <c r="I134" s="9"/>
      <c r="J134" s="9"/>
      <c r="K134" s="9"/>
      <c r="L134" s="9"/>
    </row>
    <row r="135" spans="1:12" ht="19" x14ac:dyDescent="0.2">
      <c r="A135" s="144"/>
      <c r="B135" s="145"/>
      <c r="C135" s="151"/>
      <c r="D135" s="147"/>
      <c r="E135" s="150"/>
      <c r="F135" s="139"/>
      <c r="G135" s="139"/>
      <c r="H135" s="139"/>
      <c r="I135" s="139"/>
      <c r="J135" s="139"/>
      <c r="K135" s="139"/>
      <c r="L135" s="139"/>
    </row>
    <row r="136" spans="1:12" ht="19" x14ac:dyDescent="0.2">
      <c r="A136" s="143">
        <v>1522000</v>
      </c>
      <c r="B136" s="153">
        <v>45064</v>
      </c>
      <c r="C136" s="163" t="s">
        <v>1228</v>
      </c>
      <c r="D136" s="155" t="s">
        <v>2105</v>
      </c>
      <c r="E136" s="119">
        <v>1177000</v>
      </c>
      <c r="F136" s="119">
        <v>345000</v>
      </c>
      <c r="G136" s="119"/>
      <c r="H136" s="119"/>
      <c r="I136" s="119">
        <v>12000</v>
      </c>
      <c r="J136" s="119" t="s">
        <v>971</v>
      </c>
      <c r="K136" s="119"/>
      <c r="L136" s="119"/>
    </row>
    <row r="137" spans="1:12" ht="19" x14ac:dyDescent="0.2">
      <c r="A137" s="144"/>
      <c r="B137" s="145"/>
      <c r="C137" s="151"/>
      <c r="D137" s="147"/>
      <c r="E137" s="150"/>
      <c r="F137" s="139"/>
      <c r="G137" s="139"/>
      <c r="H137" s="139"/>
      <c r="I137" s="139">
        <v>40000</v>
      </c>
      <c r="J137" s="139" t="s">
        <v>640</v>
      </c>
      <c r="K137" s="139"/>
      <c r="L137" s="139"/>
    </row>
    <row r="138" spans="1:12" ht="19" x14ac:dyDescent="0.2">
      <c r="A138" s="143"/>
      <c r="B138" s="153"/>
      <c r="C138" s="163"/>
      <c r="D138" s="155"/>
      <c r="E138" s="164"/>
      <c r="F138" s="119"/>
      <c r="G138" s="119"/>
      <c r="H138" s="119"/>
      <c r="I138" s="119">
        <v>52500</v>
      </c>
      <c r="J138" s="119" t="s">
        <v>2188</v>
      </c>
      <c r="K138" s="119"/>
      <c r="L138" s="119"/>
    </row>
    <row r="139" spans="1:12" ht="19" x14ac:dyDescent="0.2">
      <c r="A139" s="144"/>
      <c r="B139" s="145"/>
      <c r="C139" s="151"/>
      <c r="D139" s="147"/>
      <c r="E139" s="150"/>
      <c r="F139" s="139"/>
      <c r="G139" s="139"/>
      <c r="H139" s="139"/>
      <c r="I139" s="139">
        <v>22000</v>
      </c>
      <c r="J139" s="139" t="s">
        <v>2189</v>
      </c>
      <c r="K139" s="139"/>
      <c r="L139" s="139"/>
    </row>
    <row r="140" spans="1:12" ht="19" x14ac:dyDescent="0.2">
      <c r="A140" s="143"/>
      <c r="B140" s="153"/>
      <c r="C140" s="163"/>
      <c r="D140" s="155"/>
      <c r="E140" s="164"/>
      <c r="F140" s="119"/>
      <c r="G140" s="119"/>
      <c r="H140" s="119"/>
      <c r="I140" s="119">
        <v>54000</v>
      </c>
      <c r="J140" s="119" t="s">
        <v>716</v>
      </c>
      <c r="K140" s="119"/>
      <c r="L140" s="119"/>
    </row>
    <row r="141" spans="1:12" ht="19" x14ac:dyDescent="0.2">
      <c r="A141" s="144"/>
      <c r="B141" s="145"/>
      <c r="C141" s="151"/>
      <c r="D141" s="147"/>
      <c r="E141" s="150"/>
      <c r="F141" s="139"/>
      <c r="G141" s="139"/>
      <c r="H141" s="139"/>
      <c r="I141" s="139">
        <v>46000</v>
      </c>
      <c r="J141" s="139" t="s">
        <v>2190</v>
      </c>
      <c r="K141" s="139"/>
      <c r="L141" s="139"/>
    </row>
    <row r="142" spans="1:12" ht="19" x14ac:dyDescent="0.2">
      <c r="A142" s="143">
        <v>1616000</v>
      </c>
      <c r="B142" s="33"/>
      <c r="C142" s="35" t="s">
        <v>10</v>
      </c>
      <c r="D142" s="13" t="s">
        <v>685</v>
      </c>
      <c r="E142" s="15">
        <v>1528000</v>
      </c>
      <c r="F142" s="9">
        <v>88000</v>
      </c>
      <c r="G142" s="9"/>
      <c r="H142" s="9"/>
      <c r="I142" s="9">
        <v>242000</v>
      </c>
      <c r="J142" s="9" t="s">
        <v>2177</v>
      </c>
      <c r="K142" s="9"/>
      <c r="L142" s="9"/>
    </row>
    <row r="143" spans="1:12" ht="19" x14ac:dyDescent="0.2">
      <c r="A143" s="144"/>
      <c r="B143" s="158"/>
      <c r="C143" s="151"/>
      <c r="D143" s="147"/>
      <c r="E143" s="150"/>
      <c r="F143" s="139"/>
      <c r="G143" s="139"/>
      <c r="H143" s="139"/>
      <c r="I143" s="139">
        <v>100000</v>
      </c>
      <c r="J143" s="139" t="s">
        <v>889</v>
      </c>
      <c r="K143" s="139"/>
      <c r="L143" s="139"/>
    </row>
    <row r="144" spans="1:12" ht="19" x14ac:dyDescent="0.2">
      <c r="A144" s="143"/>
      <c r="B144" s="33"/>
      <c r="C144" s="35"/>
      <c r="D144" s="13"/>
      <c r="E144" s="15"/>
      <c r="F144" s="9"/>
      <c r="G144" s="9"/>
      <c r="H144" s="9"/>
      <c r="I144" s="9">
        <v>70000</v>
      </c>
      <c r="J144" s="9" t="s">
        <v>751</v>
      </c>
      <c r="K144" s="9"/>
      <c r="L144" s="9"/>
    </row>
    <row r="145" spans="1:12" ht="19" x14ac:dyDescent="0.2">
      <c r="A145" s="143"/>
      <c r="B145" s="33"/>
      <c r="C145" s="35"/>
      <c r="D145" s="13"/>
      <c r="E145" s="15"/>
      <c r="F145" s="9"/>
      <c r="G145" s="9"/>
      <c r="H145" s="9"/>
      <c r="I145" s="9">
        <v>144000</v>
      </c>
      <c r="J145" s="9" t="s">
        <v>615</v>
      </c>
      <c r="K145" s="9"/>
      <c r="L145" s="9"/>
    </row>
    <row r="146" spans="1:12" ht="19" x14ac:dyDescent="0.2">
      <c r="A146" s="144">
        <v>3012000</v>
      </c>
      <c r="B146" s="145">
        <v>45188</v>
      </c>
      <c r="C146" s="151" t="s">
        <v>1228</v>
      </c>
      <c r="D146" s="147" t="s">
        <v>565</v>
      </c>
      <c r="E146" s="150">
        <v>1966000</v>
      </c>
      <c r="F146" s="139">
        <v>1046000</v>
      </c>
      <c r="G146" s="139"/>
      <c r="H146" s="139"/>
      <c r="I146" s="139">
        <v>20000</v>
      </c>
      <c r="J146" s="139" t="s">
        <v>1858</v>
      </c>
      <c r="K146" s="139"/>
      <c r="L146" s="139"/>
    </row>
    <row r="147" spans="1:12" ht="19" x14ac:dyDescent="0.2">
      <c r="A147" s="143"/>
      <c r="B147" s="33"/>
      <c r="C147" s="35"/>
      <c r="D147" s="13"/>
      <c r="E147" s="15"/>
      <c r="F147" s="9"/>
      <c r="G147" s="9"/>
      <c r="H147" s="9"/>
      <c r="I147" s="9">
        <v>200000</v>
      </c>
      <c r="J147" s="9" t="s">
        <v>1614</v>
      </c>
      <c r="K147" s="9"/>
      <c r="L147" s="9"/>
    </row>
    <row r="148" spans="1:12" ht="19" x14ac:dyDescent="0.2">
      <c r="A148" s="144">
        <v>1974000</v>
      </c>
      <c r="B148" s="158"/>
      <c r="C148" s="159" t="s">
        <v>10</v>
      </c>
      <c r="D148" s="147" t="s">
        <v>2105</v>
      </c>
      <c r="E148" s="150">
        <v>1069000</v>
      </c>
      <c r="F148" s="139">
        <v>905000</v>
      </c>
      <c r="G148" s="139"/>
      <c r="H148" s="139"/>
      <c r="I148" s="139">
        <v>120000</v>
      </c>
      <c r="J148" s="139" t="s">
        <v>1710</v>
      </c>
      <c r="K148" s="139"/>
      <c r="L148" s="139"/>
    </row>
    <row r="149" spans="1:12" ht="19" x14ac:dyDescent="0.2">
      <c r="A149" s="143"/>
      <c r="B149" s="33"/>
      <c r="C149" s="35"/>
      <c r="D149" s="13"/>
      <c r="E149" s="15"/>
      <c r="F149" s="9"/>
      <c r="G149" s="9"/>
      <c r="H149" s="9"/>
      <c r="I149" s="9"/>
      <c r="J149" s="9"/>
      <c r="K149" s="9"/>
      <c r="L149" s="9"/>
    </row>
    <row r="150" spans="1:12" ht="19" x14ac:dyDescent="0.2">
      <c r="A150" s="144">
        <v>2696000</v>
      </c>
      <c r="B150" s="153">
        <v>45189</v>
      </c>
      <c r="C150" s="163" t="s">
        <v>9</v>
      </c>
      <c r="D150" s="172" t="s">
        <v>565</v>
      </c>
      <c r="E150" s="150">
        <v>2103000</v>
      </c>
      <c r="F150" s="139">
        <v>593000</v>
      </c>
      <c r="G150" s="139">
        <v>2500000</v>
      </c>
      <c r="H150" s="139" t="s">
        <v>1475</v>
      </c>
      <c r="I150" s="139">
        <v>150000</v>
      </c>
      <c r="J150" s="139" t="s">
        <v>2191</v>
      </c>
      <c r="K150" s="139"/>
      <c r="L150" s="139"/>
    </row>
    <row r="151" spans="1:12" ht="19" x14ac:dyDescent="0.2">
      <c r="A151" s="143"/>
      <c r="B151" s="33"/>
      <c r="C151" s="35"/>
      <c r="D151" s="13"/>
      <c r="E151" s="15"/>
      <c r="F151" s="9"/>
      <c r="G151" s="9"/>
      <c r="H151" s="9"/>
      <c r="I151" s="9">
        <v>150000</v>
      </c>
      <c r="J151" s="9" t="s">
        <v>2192</v>
      </c>
      <c r="K151" s="9"/>
      <c r="L151" s="9"/>
    </row>
    <row r="152" spans="1:12" ht="19" x14ac:dyDescent="0.2">
      <c r="A152" s="148"/>
      <c r="B152" s="145"/>
      <c r="C152" s="146"/>
      <c r="D152" s="147"/>
      <c r="E152" s="150"/>
      <c r="F152" s="139"/>
      <c r="G152" s="139"/>
      <c r="H152" s="139"/>
      <c r="I152" s="139">
        <v>150000</v>
      </c>
      <c r="J152" s="139" t="s">
        <v>2193</v>
      </c>
      <c r="K152" s="139"/>
      <c r="L152" s="139"/>
    </row>
    <row r="153" spans="1:12" ht="19" x14ac:dyDescent="0.2">
      <c r="A153" s="142"/>
      <c r="B153" s="153"/>
      <c r="C153" s="163"/>
      <c r="D153" s="172"/>
      <c r="E153" s="164"/>
      <c r="F153" s="119"/>
      <c r="G153" s="119"/>
      <c r="H153" s="119"/>
      <c r="I153" s="119">
        <v>67000</v>
      </c>
      <c r="J153" s="119" t="s">
        <v>1738</v>
      </c>
      <c r="K153" s="119"/>
      <c r="L153" s="119"/>
    </row>
    <row r="154" spans="1:12" ht="19" x14ac:dyDescent="0.2">
      <c r="A154" s="142"/>
      <c r="B154" s="153"/>
      <c r="C154" s="163"/>
      <c r="D154" s="172"/>
      <c r="E154" s="164"/>
      <c r="F154" s="119"/>
      <c r="G154" s="119"/>
      <c r="H154" s="119"/>
      <c r="I154" s="119">
        <v>41000</v>
      </c>
      <c r="J154" s="119" t="s">
        <v>2194</v>
      </c>
      <c r="K154" s="119"/>
      <c r="L154" s="119"/>
    </row>
    <row r="155" spans="1:12" ht="19" x14ac:dyDescent="0.2">
      <c r="A155" s="148"/>
      <c r="B155" s="158"/>
      <c r="C155" s="151"/>
      <c r="D155" s="160"/>
      <c r="E155" s="150"/>
      <c r="F155" s="139"/>
      <c r="G155" s="139"/>
      <c r="H155" s="139"/>
      <c r="I155" s="139">
        <v>108000</v>
      </c>
      <c r="J155" s="139" t="s">
        <v>1303</v>
      </c>
      <c r="K155" s="139"/>
      <c r="L155" s="139"/>
    </row>
    <row r="156" spans="1:12" ht="19" x14ac:dyDescent="0.2">
      <c r="A156" s="148"/>
      <c r="B156" s="158"/>
      <c r="C156" s="151"/>
      <c r="D156" s="160"/>
      <c r="E156" s="150"/>
      <c r="F156" s="139"/>
      <c r="G156" s="139"/>
      <c r="H156" s="139"/>
      <c r="I156" s="139">
        <v>66000</v>
      </c>
      <c r="J156" s="139" t="s">
        <v>2195</v>
      </c>
      <c r="K156" s="139"/>
      <c r="L156" s="139"/>
    </row>
    <row r="157" spans="1:12" ht="19" x14ac:dyDescent="0.2">
      <c r="A157" s="148"/>
      <c r="B157" s="158"/>
      <c r="C157" s="151"/>
      <c r="D157" s="160"/>
      <c r="E157" s="150"/>
      <c r="F157" s="139"/>
      <c r="G157" s="139"/>
      <c r="H157" s="139"/>
      <c r="I157" s="139">
        <v>40000</v>
      </c>
      <c r="J157" s="139" t="s">
        <v>1493</v>
      </c>
      <c r="K157" s="139"/>
      <c r="L157" s="139"/>
    </row>
    <row r="158" spans="1:12" ht="19" x14ac:dyDescent="0.2">
      <c r="A158" s="148"/>
      <c r="B158" s="158"/>
      <c r="C158" s="151"/>
      <c r="D158" s="160"/>
      <c r="E158" s="150"/>
      <c r="F158" s="139"/>
      <c r="G158" s="139"/>
      <c r="H158" s="139"/>
      <c r="I158" s="139">
        <v>140000</v>
      </c>
      <c r="J158" s="139" t="s">
        <v>2196</v>
      </c>
      <c r="K158" s="139"/>
      <c r="L158" s="139"/>
    </row>
    <row r="159" spans="1:12" ht="19" x14ac:dyDescent="0.2">
      <c r="A159" s="142"/>
      <c r="B159" s="33"/>
      <c r="C159" s="35"/>
      <c r="D159" s="102"/>
      <c r="E159" s="15"/>
      <c r="F159" s="9"/>
      <c r="G159" s="9"/>
      <c r="H159" s="9"/>
      <c r="I159" s="139"/>
      <c r="J159" s="139"/>
      <c r="K159" s="9"/>
      <c r="L159" s="9"/>
    </row>
    <row r="160" spans="1:12" ht="19" x14ac:dyDescent="0.2">
      <c r="A160" s="142">
        <v>1347000</v>
      </c>
      <c r="B160" s="153"/>
      <c r="C160" s="163" t="s">
        <v>10</v>
      </c>
      <c r="D160" s="172" t="s">
        <v>685</v>
      </c>
      <c r="E160" s="164">
        <v>1106000</v>
      </c>
      <c r="F160" s="119">
        <v>241000</v>
      </c>
      <c r="G160" s="119"/>
      <c r="H160" s="119"/>
      <c r="I160" s="119">
        <v>264000</v>
      </c>
      <c r="J160" s="119" t="s">
        <v>1509</v>
      </c>
      <c r="K160" s="119"/>
      <c r="L160" s="119"/>
    </row>
    <row r="161" spans="1:12" ht="19" x14ac:dyDescent="0.2">
      <c r="A161" s="144"/>
      <c r="B161" s="158"/>
      <c r="C161" s="151"/>
      <c r="D161" s="147"/>
      <c r="E161" s="150"/>
      <c r="F161" s="139"/>
      <c r="G161" s="139"/>
      <c r="H161" s="139"/>
      <c r="I161" s="139"/>
      <c r="J161" s="139"/>
      <c r="K161" s="139"/>
      <c r="L161" s="139"/>
    </row>
    <row r="162" spans="1:12" ht="19" x14ac:dyDescent="0.2">
      <c r="A162" s="143">
        <v>3069000</v>
      </c>
      <c r="B162" s="32">
        <v>45190</v>
      </c>
      <c r="C162" s="35" t="s">
        <v>9</v>
      </c>
      <c r="D162" s="13" t="s">
        <v>2105</v>
      </c>
      <c r="E162" s="15">
        <v>2306000</v>
      </c>
      <c r="F162" s="9">
        <v>763000</v>
      </c>
      <c r="G162" s="9"/>
      <c r="H162" s="9"/>
      <c r="I162" s="9">
        <v>51000</v>
      </c>
      <c r="J162" s="9" t="s">
        <v>2197</v>
      </c>
      <c r="K162" s="9"/>
      <c r="L162" s="9"/>
    </row>
    <row r="163" spans="1:12" ht="19" x14ac:dyDescent="0.2">
      <c r="A163" s="144"/>
      <c r="B163" s="158"/>
      <c r="C163" s="151"/>
      <c r="D163" s="147"/>
      <c r="E163" s="150"/>
      <c r="F163" s="139"/>
      <c r="G163" s="139"/>
      <c r="H163" s="139"/>
      <c r="I163" s="139">
        <v>140000</v>
      </c>
      <c r="J163" s="139" t="s">
        <v>2198</v>
      </c>
      <c r="K163" s="139"/>
      <c r="L163" s="139"/>
    </row>
    <row r="164" spans="1:12" ht="19" x14ac:dyDescent="0.2">
      <c r="A164" s="143"/>
      <c r="B164" s="32"/>
      <c r="C164" s="3"/>
      <c r="D164" s="13"/>
      <c r="E164" s="15"/>
      <c r="F164" s="9"/>
      <c r="G164" s="9"/>
      <c r="H164" s="9"/>
      <c r="I164" s="9"/>
      <c r="J164" s="9"/>
      <c r="K164" s="9"/>
      <c r="L164" s="9"/>
    </row>
    <row r="165" spans="1:12" ht="19" x14ac:dyDescent="0.2">
      <c r="A165" s="144">
        <v>1806000</v>
      </c>
      <c r="B165" s="145"/>
      <c r="C165" s="149" t="s">
        <v>10</v>
      </c>
      <c r="D165" s="147" t="s">
        <v>685</v>
      </c>
      <c r="E165" s="150">
        <v>1111000</v>
      </c>
      <c r="F165" s="139">
        <v>695000</v>
      </c>
      <c r="G165" s="139"/>
      <c r="H165" s="139"/>
      <c r="I165" s="139">
        <v>144000</v>
      </c>
      <c r="J165" s="139" t="s">
        <v>1245</v>
      </c>
      <c r="K165" s="139"/>
      <c r="L165" s="139"/>
    </row>
    <row r="166" spans="1:12" ht="19" x14ac:dyDescent="0.2">
      <c r="A166" s="143"/>
      <c r="B166" s="153"/>
      <c r="C166" s="171"/>
      <c r="D166" s="155"/>
      <c r="E166" s="164"/>
      <c r="F166" s="119"/>
      <c r="G166" s="119"/>
      <c r="H166" s="119"/>
      <c r="I166" s="119">
        <v>70000</v>
      </c>
      <c r="J166" s="119" t="s">
        <v>1285</v>
      </c>
      <c r="K166" s="119"/>
      <c r="L166" s="119"/>
    </row>
    <row r="167" spans="1:12" ht="19" x14ac:dyDescent="0.2">
      <c r="A167" s="144"/>
      <c r="B167" s="145"/>
      <c r="C167" s="149"/>
      <c r="D167" s="147"/>
      <c r="E167" s="150"/>
      <c r="F167" s="139"/>
      <c r="G167" s="139"/>
      <c r="H167" s="139"/>
      <c r="I167" s="139">
        <v>100000</v>
      </c>
      <c r="J167" s="139" t="s">
        <v>1296</v>
      </c>
      <c r="K167" s="139"/>
      <c r="L167" s="139"/>
    </row>
    <row r="168" spans="1:12" ht="19" x14ac:dyDescent="0.2">
      <c r="A168" s="143"/>
      <c r="B168" s="153"/>
      <c r="C168" s="163"/>
      <c r="D168" s="155"/>
      <c r="E168" s="164"/>
      <c r="F168" s="119"/>
      <c r="G168" s="119"/>
      <c r="H168" s="119"/>
      <c r="I168" s="119"/>
      <c r="J168" s="119"/>
      <c r="K168" s="119"/>
      <c r="L168" s="119"/>
    </row>
    <row r="169" spans="1:12" ht="19" x14ac:dyDescent="0.2">
      <c r="A169" s="144">
        <v>2283000</v>
      </c>
      <c r="B169" s="145">
        <v>45191</v>
      </c>
      <c r="C169" s="146" t="s">
        <v>9</v>
      </c>
      <c r="D169" s="147" t="s">
        <v>2105</v>
      </c>
      <c r="E169" s="150">
        <v>1820000</v>
      </c>
      <c r="F169" s="139">
        <v>463000</v>
      </c>
      <c r="G169" s="139"/>
      <c r="H169" s="165"/>
      <c r="I169" s="139">
        <v>520000</v>
      </c>
      <c r="J169" s="139" t="s">
        <v>1517</v>
      </c>
      <c r="K169" s="139"/>
      <c r="L169" s="139"/>
    </row>
    <row r="170" spans="1:12" ht="19" x14ac:dyDescent="0.2">
      <c r="A170" s="143"/>
      <c r="B170" s="32"/>
      <c r="C170" s="35"/>
      <c r="D170" s="13"/>
      <c r="E170" s="15"/>
      <c r="F170" s="9"/>
      <c r="G170" s="9"/>
      <c r="H170" s="77"/>
      <c r="I170" s="9">
        <v>110000</v>
      </c>
      <c r="J170" s="9" t="s">
        <v>2199</v>
      </c>
      <c r="K170" s="9"/>
      <c r="L170" s="9"/>
    </row>
    <row r="171" spans="1:12" ht="19" x14ac:dyDescent="0.2">
      <c r="A171" s="144"/>
      <c r="B171" s="145"/>
      <c r="C171" s="146"/>
      <c r="D171" s="147"/>
      <c r="E171" s="150"/>
      <c r="F171" s="139"/>
      <c r="G171" s="139"/>
      <c r="H171" s="165"/>
      <c r="I171" s="139">
        <v>120000</v>
      </c>
      <c r="J171" s="139" t="s">
        <v>1668</v>
      </c>
      <c r="K171" s="139"/>
      <c r="L171" s="139"/>
    </row>
    <row r="172" spans="1:12" ht="19" x14ac:dyDescent="0.2">
      <c r="A172" s="143"/>
      <c r="B172" s="32"/>
      <c r="C172" s="3"/>
      <c r="D172" s="13"/>
      <c r="E172" s="15"/>
      <c r="F172" s="9"/>
      <c r="G172" s="9"/>
      <c r="H172" s="77"/>
      <c r="I172" s="9">
        <v>339000</v>
      </c>
      <c r="J172" s="9" t="s">
        <v>2200</v>
      </c>
      <c r="K172" s="9"/>
      <c r="L172" s="9"/>
    </row>
    <row r="173" spans="1:12" ht="19" x14ac:dyDescent="0.2">
      <c r="A173" s="205"/>
      <c r="B173" s="145"/>
      <c r="C173" s="151"/>
      <c r="D173" s="147"/>
      <c r="E173" s="150"/>
      <c r="F173" s="139"/>
      <c r="G173" s="139"/>
      <c r="H173" s="165"/>
      <c r="I173" s="139">
        <v>75000</v>
      </c>
      <c r="J173" s="139" t="s">
        <v>2201</v>
      </c>
      <c r="K173" s="139"/>
      <c r="L173" s="139"/>
    </row>
    <row r="174" spans="1:12" ht="19" x14ac:dyDescent="0.2">
      <c r="A174" s="143"/>
      <c r="B174" s="32"/>
      <c r="C174" s="35"/>
      <c r="D174" s="13"/>
      <c r="E174" s="15"/>
      <c r="F174" s="9"/>
      <c r="G174" s="9"/>
      <c r="H174" s="77"/>
      <c r="I174" s="9">
        <v>75000</v>
      </c>
      <c r="J174" s="9" t="s">
        <v>2202</v>
      </c>
      <c r="K174" s="9"/>
      <c r="L174" s="9"/>
    </row>
    <row r="175" spans="1:12" ht="19" x14ac:dyDescent="0.2">
      <c r="A175" s="148"/>
      <c r="B175" s="145"/>
      <c r="C175" s="151"/>
      <c r="D175" s="160"/>
      <c r="E175" s="150"/>
      <c r="F175" s="139"/>
      <c r="G175" s="139"/>
      <c r="H175" s="165"/>
      <c r="I175" s="139">
        <v>6000</v>
      </c>
      <c r="J175" s="139" t="s">
        <v>1667</v>
      </c>
      <c r="K175" s="139"/>
      <c r="L175" s="139"/>
    </row>
    <row r="176" spans="1:12" ht="19" x14ac:dyDescent="0.2">
      <c r="A176" s="142"/>
      <c r="B176" s="32"/>
      <c r="C176" s="35"/>
      <c r="D176" s="102"/>
      <c r="E176" s="15"/>
      <c r="F176" s="9"/>
      <c r="G176" s="9"/>
      <c r="H176" s="77"/>
      <c r="I176" s="9"/>
      <c r="J176" s="9"/>
      <c r="K176" s="9"/>
      <c r="L176" s="9"/>
    </row>
    <row r="177" spans="1:12" ht="19" x14ac:dyDescent="0.2">
      <c r="A177" s="144">
        <v>2142000</v>
      </c>
      <c r="B177" s="145"/>
      <c r="C177" s="159" t="s">
        <v>10</v>
      </c>
      <c r="D177" s="147" t="s">
        <v>685</v>
      </c>
      <c r="E177" s="150">
        <v>1528000</v>
      </c>
      <c r="F177" s="139">
        <v>614000</v>
      </c>
      <c r="G177" s="139"/>
      <c r="H177" s="165"/>
      <c r="I177" s="139">
        <v>210000</v>
      </c>
      <c r="J177" s="139" t="s">
        <v>2203</v>
      </c>
      <c r="K177" s="139"/>
      <c r="L177" s="139"/>
    </row>
    <row r="178" spans="1:12" ht="19" x14ac:dyDescent="0.2">
      <c r="A178" s="143"/>
      <c r="B178" s="32"/>
      <c r="C178" s="49"/>
      <c r="D178" s="13"/>
      <c r="E178" s="15"/>
      <c r="F178" s="9"/>
      <c r="G178" s="9"/>
      <c r="H178" s="77"/>
      <c r="I178" s="9"/>
      <c r="J178" s="9"/>
      <c r="K178" s="9"/>
      <c r="L178" s="9"/>
    </row>
    <row r="179" spans="1:12" ht="19" x14ac:dyDescent="0.2">
      <c r="A179" s="144">
        <v>2216000</v>
      </c>
      <c r="B179" s="145">
        <v>45192</v>
      </c>
      <c r="C179" s="146" t="s">
        <v>9</v>
      </c>
      <c r="D179" s="147" t="s">
        <v>565</v>
      </c>
      <c r="E179" s="150">
        <v>1665000</v>
      </c>
      <c r="F179" s="139">
        <v>551000</v>
      </c>
      <c r="G179" s="139"/>
      <c r="H179" s="165"/>
      <c r="I179" s="139"/>
      <c r="J179" s="139"/>
      <c r="K179" s="139"/>
      <c r="L179" s="139"/>
    </row>
    <row r="180" spans="1:12" ht="19" x14ac:dyDescent="0.2">
      <c r="A180" s="143"/>
      <c r="B180" s="32"/>
      <c r="C180" s="49"/>
      <c r="D180" s="13"/>
      <c r="E180" s="15"/>
      <c r="F180" s="9"/>
      <c r="G180" s="9"/>
      <c r="H180" s="77"/>
      <c r="I180" s="9"/>
      <c r="J180" s="9"/>
      <c r="K180" s="9"/>
      <c r="L180" s="9"/>
    </row>
    <row r="181" spans="1:12" ht="19" x14ac:dyDescent="0.2">
      <c r="A181" s="144">
        <v>1622000</v>
      </c>
      <c r="B181" s="145"/>
      <c r="C181" s="167" t="s">
        <v>10</v>
      </c>
      <c r="D181" s="147" t="s">
        <v>685</v>
      </c>
      <c r="E181" s="150">
        <v>1332000</v>
      </c>
      <c r="F181" s="139">
        <v>290000</v>
      </c>
      <c r="G181" s="139"/>
      <c r="H181" s="139"/>
      <c r="I181" s="139">
        <v>120000</v>
      </c>
      <c r="J181" s="139" t="s">
        <v>1710</v>
      </c>
      <c r="K181" s="139"/>
      <c r="L181" s="139"/>
    </row>
    <row r="182" spans="1:12" ht="19" x14ac:dyDescent="0.2">
      <c r="A182" s="143"/>
      <c r="B182" s="153"/>
      <c r="C182" s="154"/>
      <c r="D182" s="155"/>
      <c r="E182" s="164"/>
      <c r="F182" s="119"/>
      <c r="G182" s="119"/>
      <c r="H182" s="119"/>
      <c r="I182" s="119">
        <v>35000</v>
      </c>
      <c r="J182" s="119" t="s">
        <v>1467</v>
      </c>
      <c r="K182" s="119"/>
      <c r="L182" s="119"/>
    </row>
    <row r="183" spans="1:12" ht="19" x14ac:dyDescent="0.2">
      <c r="A183" s="144"/>
      <c r="B183" s="145"/>
      <c r="C183" s="151"/>
      <c r="D183" s="147"/>
      <c r="E183" s="150"/>
      <c r="F183" s="139"/>
      <c r="G183" s="139"/>
      <c r="H183" s="165"/>
      <c r="I183" s="139">
        <v>200000</v>
      </c>
      <c r="J183" s="139" t="s">
        <v>2204</v>
      </c>
      <c r="K183" s="139"/>
      <c r="L183" s="139"/>
    </row>
    <row r="184" spans="1:12" ht="19" x14ac:dyDescent="0.2">
      <c r="A184" s="144"/>
      <c r="B184" s="145"/>
      <c r="C184" s="151"/>
      <c r="D184" s="147"/>
      <c r="E184" s="150"/>
      <c r="F184" s="139"/>
      <c r="G184" s="139"/>
      <c r="H184" s="165"/>
      <c r="I184" s="139">
        <v>50000</v>
      </c>
      <c r="J184" s="139" t="s">
        <v>123</v>
      </c>
      <c r="K184" s="139"/>
      <c r="L184" s="139"/>
    </row>
    <row r="185" spans="1:12" ht="19" x14ac:dyDescent="0.2">
      <c r="A185" s="144"/>
      <c r="B185" s="145"/>
      <c r="C185" s="151"/>
      <c r="D185" s="147"/>
      <c r="E185" s="150"/>
      <c r="F185" s="139"/>
      <c r="G185" s="139"/>
      <c r="H185" s="165"/>
      <c r="I185" s="139"/>
      <c r="J185" s="139"/>
      <c r="K185" s="139"/>
      <c r="L185" s="139"/>
    </row>
    <row r="186" spans="1:12" ht="19" x14ac:dyDescent="0.2">
      <c r="A186" s="144">
        <v>3231000</v>
      </c>
      <c r="B186" s="145">
        <v>45193</v>
      </c>
      <c r="C186" s="151" t="s">
        <v>9</v>
      </c>
      <c r="D186" s="147" t="s">
        <v>2105</v>
      </c>
      <c r="E186" s="150">
        <v>2434000</v>
      </c>
      <c r="F186" s="139">
        <v>797000</v>
      </c>
      <c r="G186" s="139"/>
      <c r="H186" s="165"/>
      <c r="I186" s="139">
        <v>44000</v>
      </c>
      <c r="J186" s="139" t="s">
        <v>1533</v>
      </c>
      <c r="K186" s="139"/>
      <c r="L186" s="139"/>
    </row>
    <row r="187" spans="1:12" ht="19" x14ac:dyDescent="0.2">
      <c r="A187" s="143"/>
      <c r="B187" s="32"/>
      <c r="C187" s="49"/>
      <c r="D187" s="13"/>
      <c r="E187" s="15"/>
      <c r="F187" s="9"/>
      <c r="G187" s="9"/>
      <c r="H187" s="9"/>
      <c r="I187" s="9">
        <v>24000</v>
      </c>
      <c r="J187" s="9" t="s">
        <v>2205</v>
      </c>
      <c r="K187" s="9"/>
      <c r="L187" s="9"/>
    </row>
    <row r="188" spans="1:12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>
        <v>30000</v>
      </c>
      <c r="J188" s="165" t="s">
        <v>2206</v>
      </c>
      <c r="K188" s="139"/>
      <c r="L188" s="139"/>
    </row>
    <row r="189" spans="1:12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>
        <v>43000</v>
      </c>
      <c r="J189" s="168" t="s">
        <v>2207</v>
      </c>
      <c r="K189" s="119"/>
      <c r="L189" s="119"/>
    </row>
    <row r="190" spans="1:12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>
        <v>24000</v>
      </c>
      <c r="J190" s="165" t="s">
        <v>2208</v>
      </c>
      <c r="K190" s="139"/>
      <c r="L190" s="139"/>
    </row>
    <row r="191" spans="1:12" ht="19" x14ac:dyDescent="0.2">
      <c r="A191" s="143"/>
      <c r="B191" s="32"/>
      <c r="C191" s="49" t="s">
        <v>10</v>
      </c>
      <c r="D191" s="13"/>
      <c r="E191" s="15" t="s">
        <v>2209</v>
      </c>
      <c r="F191" s="9"/>
      <c r="G191" s="9"/>
      <c r="H191" s="9"/>
      <c r="I191" s="77"/>
      <c r="J191" s="77"/>
      <c r="K191" s="9"/>
      <c r="L191" s="9"/>
    </row>
    <row r="192" spans="1:12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65"/>
      <c r="K192" s="139"/>
      <c r="L192" s="139"/>
    </row>
    <row r="193" spans="1:12" ht="19" x14ac:dyDescent="0.2">
      <c r="A193" s="143">
        <v>2739000</v>
      </c>
      <c r="B193" s="32">
        <v>45194</v>
      </c>
      <c r="C193" s="49" t="s">
        <v>9</v>
      </c>
      <c r="D193" s="13" t="s">
        <v>565</v>
      </c>
      <c r="E193" s="15">
        <v>1910000</v>
      </c>
      <c r="F193" s="9">
        <v>829000</v>
      </c>
      <c r="G193" s="9">
        <v>2500000</v>
      </c>
      <c r="H193" s="47" t="s">
        <v>1475</v>
      </c>
      <c r="I193" s="77">
        <v>40000</v>
      </c>
      <c r="J193" s="77" t="s">
        <v>1493</v>
      </c>
      <c r="K193" s="9"/>
      <c r="L193" s="9"/>
    </row>
    <row r="194" spans="1:12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>
        <v>35000</v>
      </c>
      <c r="J194" s="165" t="s">
        <v>2210</v>
      </c>
      <c r="K194" s="139"/>
      <c r="L194" s="139"/>
    </row>
    <row r="195" spans="1:12" ht="19" x14ac:dyDescent="0.2">
      <c r="A195" s="143"/>
      <c r="B195" s="32"/>
      <c r="C195" s="49"/>
      <c r="D195" s="13"/>
      <c r="E195" s="15"/>
      <c r="F195" s="9"/>
      <c r="G195" s="9"/>
      <c r="H195" s="9"/>
      <c r="I195" s="77">
        <v>12000</v>
      </c>
      <c r="J195" s="77" t="s">
        <v>2211</v>
      </c>
      <c r="K195" s="9"/>
      <c r="L195" s="9"/>
    </row>
    <row r="196" spans="1:12" ht="19" x14ac:dyDescent="0.2">
      <c r="A196" s="144">
        <v>1399000</v>
      </c>
      <c r="B196" s="145"/>
      <c r="C196" s="149" t="s">
        <v>10</v>
      </c>
      <c r="D196" s="147" t="s">
        <v>685</v>
      </c>
      <c r="E196" s="150">
        <v>1018000</v>
      </c>
      <c r="F196" s="139">
        <v>381000</v>
      </c>
      <c r="G196" s="139"/>
      <c r="H196" s="139"/>
      <c r="I196" s="165">
        <v>264000</v>
      </c>
      <c r="J196" s="165" t="s">
        <v>1509</v>
      </c>
      <c r="K196" s="139"/>
      <c r="L196" s="139"/>
    </row>
    <row r="197" spans="1:12" ht="19" x14ac:dyDescent="0.2">
      <c r="A197" s="143"/>
      <c r="B197" s="32"/>
      <c r="C197" s="2"/>
      <c r="D197" s="13"/>
      <c r="E197" s="15"/>
      <c r="F197" s="9"/>
      <c r="G197" s="9"/>
      <c r="H197" s="9"/>
      <c r="I197" s="77"/>
      <c r="J197" s="77"/>
      <c r="K197" s="9"/>
      <c r="L197" s="9"/>
    </row>
    <row r="198" spans="1:12" ht="19" x14ac:dyDescent="0.2">
      <c r="A198" s="144">
        <v>2131000</v>
      </c>
      <c r="B198" s="145">
        <v>45195</v>
      </c>
      <c r="C198" s="149" t="s">
        <v>9</v>
      </c>
      <c r="D198" s="147" t="s">
        <v>2105</v>
      </c>
      <c r="E198" s="150">
        <v>1532000</v>
      </c>
      <c r="F198" s="139">
        <v>599000</v>
      </c>
      <c r="G198" s="139">
        <v>250000</v>
      </c>
      <c r="H198" s="139" t="s">
        <v>1800</v>
      </c>
      <c r="I198" s="165">
        <v>40000</v>
      </c>
      <c r="J198" s="165" t="s">
        <v>1493</v>
      </c>
      <c r="K198" s="139"/>
      <c r="L198" s="139"/>
    </row>
    <row r="199" spans="1:12" ht="19" x14ac:dyDescent="0.2">
      <c r="A199" s="143"/>
      <c r="B199" s="32"/>
      <c r="C199" s="3"/>
      <c r="D199" s="13"/>
      <c r="E199" s="15"/>
      <c r="F199" s="9"/>
      <c r="G199" s="9"/>
      <c r="H199" s="9"/>
      <c r="I199" s="77">
        <v>107000</v>
      </c>
      <c r="J199" s="77" t="s">
        <v>1908</v>
      </c>
      <c r="K199" s="9"/>
      <c r="L199" s="9"/>
    </row>
    <row r="200" spans="1:12" ht="19" x14ac:dyDescent="0.2">
      <c r="A200" s="144"/>
      <c r="B200" s="145"/>
      <c r="C200" s="149"/>
      <c r="D200" s="147"/>
      <c r="E200" s="150"/>
      <c r="F200" s="139"/>
      <c r="G200" s="139"/>
      <c r="H200" s="139"/>
      <c r="I200" s="139">
        <v>196000</v>
      </c>
      <c r="J200" s="139" t="s">
        <v>2098</v>
      </c>
      <c r="K200" s="139"/>
      <c r="L200" s="139"/>
    </row>
    <row r="201" spans="1:12" ht="19" x14ac:dyDescent="0.2">
      <c r="A201" s="143"/>
      <c r="B201" s="32"/>
      <c r="C201" s="49"/>
      <c r="D201" s="13"/>
      <c r="E201" s="15"/>
      <c r="F201" s="9"/>
      <c r="G201" s="9"/>
      <c r="H201" s="9"/>
      <c r="I201" s="9">
        <v>150000</v>
      </c>
      <c r="J201" s="9" t="s">
        <v>2212</v>
      </c>
      <c r="K201" s="9"/>
      <c r="L201" s="9"/>
    </row>
    <row r="202" spans="1:12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>
        <v>150000</v>
      </c>
      <c r="J202" s="139" t="s">
        <v>2213</v>
      </c>
      <c r="K202" s="139"/>
      <c r="L202" s="139"/>
    </row>
    <row r="203" spans="1:12" ht="19" x14ac:dyDescent="0.2">
      <c r="A203" s="143"/>
      <c r="B203" s="32"/>
      <c r="C203" s="35"/>
      <c r="D203" s="13"/>
      <c r="E203" s="15"/>
      <c r="F203" s="9"/>
      <c r="G203" s="9"/>
      <c r="H203" s="9"/>
      <c r="I203" s="9">
        <v>200000</v>
      </c>
      <c r="J203" s="9" t="s">
        <v>2214</v>
      </c>
      <c r="K203" s="9"/>
      <c r="L203" s="9"/>
    </row>
    <row r="204" spans="1:12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>
        <v>150000</v>
      </c>
      <c r="J204" s="139" t="s">
        <v>2215</v>
      </c>
      <c r="K204" s="139"/>
      <c r="L204" s="139"/>
    </row>
    <row r="205" spans="1:12" ht="19" x14ac:dyDescent="0.2">
      <c r="A205" s="143">
        <v>1663000</v>
      </c>
      <c r="B205" s="32"/>
      <c r="C205" s="35" t="s">
        <v>10</v>
      </c>
      <c r="D205" s="13" t="s">
        <v>685</v>
      </c>
      <c r="E205" s="15">
        <v>1323000</v>
      </c>
      <c r="F205" s="9">
        <v>340000</v>
      </c>
      <c r="G205" s="9"/>
      <c r="H205" s="9"/>
      <c r="I205" s="9">
        <v>100000</v>
      </c>
      <c r="J205" s="9" t="s">
        <v>651</v>
      </c>
      <c r="K205" s="9"/>
      <c r="L205" s="9"/>
    </row>
    <row r="206" spans="1:12" ht="19" x14ac:dyDescent="0.2">
      <c r="A206" s="144"/>
      <c r="B206" s="158"/>
      <c r="C206" s="149"/>
      <c r="D206" s="147"/>
      <c r="E206" s="150"/>
      <c r="F206" s="139"/>
      <c r="G206" s="139"/>
      <c r="H206" s="139"/>
      <c r="I206" s="139">
        <v>60000</v>
      </c>
      <c r="J206" s="139" t="s">
        <v>617</v>
      </c>
      <c r="K206" s="139"/>
      <c r="L206" s="139"/>
    </row>
    <row r="207" spans="1:12" ht="19" x14ac:dyDescent="0.2">
      <c r="A207" s="143"/>
      <c r="B207" s="153"/>
      <c r="C207" s="171"/>
      <c r="D207" s="155"/>
      <c r="E207" s="164"/>
      <c r="F207" s="119"/>
      <c r="G207" s="119"/>
      <c r="H207" s="119"/>
      <c r="I207" s="119">
        <v>144000</v>
      </c>
      <c r="J207" s="119" t="s">
        <v>615</v>
      </c>
      <c r="K207" s="119"/>
      <c r="L207" s="119"/>
    </row>
    <row r="208" spans="1:12" ht="19" x14ac:dyDescent="0.2">
      <c r="A208" s="144">
        <v>2375000</v>
      </c>
      <c r="B208" s="145">
        <v>45196</v>
      </c>
      <c r="C208" s="149" t="s">
        <v>9</v>
      </c>
      <c r="D208" s="147" t="s">
        <v>565</v>
      </c>
      <c r="E208" s="150">
        <v>1551000</v>
      </c>
      <c r="F208" s="139">
        <v>824000</v>
      </c>
      <c r="G208" s="139"/>
      <c r="H208" s="161"/>
      <c r="I208" s="165">
        <v>108000</v>
      </c>
      <c r="J208" s="165" t="s">
        <v>1282</v>
      </c>
      <c r="K208" s="139"/>
      <c r="L208" s="139"/>
    </row>
    <row r="209" spans="1:12" ht="19" x14ac:dyDescent="0.2">
      <c r="A209" s="143"/>
      <c r="B209" s="32"/>
      <c r="C209" s="49"/>
      <c r="D209" s="13"/>
      <c r="E209" s="15"/>
      <c r="F209" s="9"/>
      <c r="G209" s="9"/>
      <c r="H209" s="9"/>
      <c r="I209" s="9">
        <v>53500</v>
      </c>
      <c r="J209" s="9" t="s">
        <v>2216</v>
      </c>
      <c r="K209" s="9"/>
      <c r="L209" s="9"/>
    </row>
    <row r="210" spans="1:12" ht="19" x14ac:dyDescent="0.2">
      <c r="A210" s="144"/>
      <c r="B210" s="158"/>
      <c r="C210" s="159"/>
      <c r="D210" s="147"/>
      <c r="E210" s="150"/>
      <c r="F210" s="139"/>
      <c r="G210" s="139"/>
      <c r="H210" s="139"/>
      <c r="I210" s="139">
        <v>127000</v>
      </c>
      <c r="J210" s="139" t="s">
        <v>2217</v>
      </c>
      <c r="K210" s="139"/>
      <c r="L210" s="139"/>
    </row>
    <row r="211" spans="1:12" ht="19" x14ac:dyDescent="0.2">
      <c r="A211" s="143"/>
      <c r="B211" s="32"/>
      <c r="C211" s="35"/>
      <c r="D211" s="13"/>
      <c r="E211" s="15"/>
      <c r="F211" s="9"/>
      <c r="G211" s="9"/>
      <c r="H211" s="9"/>
      <c r="I211" s="9">
        <v>44500</v>
      </c>
      <c r="J211" s="9" t="s">
        <v>974</v>
      </c>
      <c r="K211" s="9"/>
      <c r="L211" s="9"/>
    </row>
    <row r="212" spans="1:12" ht="19" x14ac:dyDescent="0.2">
      <c r="A212" s="144"/>
      <c r="B212" s="145"/>
      <c r="C212" s="146"/>
      <c r="D212" s="147"/>
      <c r="E212" s="139"/>
      <c r="F212" s="139"/>
      <c r="G212" s="139"/>
      <c r="H212" s="161"/>
      <c r="I212" s="162">
        <v>41000</v>
      </c>
      <c r="J212" s="139" t="s">
        <v>1441</v>
      </c>
      <c r="K212" s="139"/>
      <c r="L212" s="139"/>
    </row>
    <row r="213" spans="1:12" ht="19" x14ac:dyDescent="0.2">
      <c r="A213" s="143"/>
      <c r="B213" s="32"/>
      <c r="C213" s="2"/>
      <c r="D213" s="13"/>
      <c r="E213" s="15"/>
      <c r="F213" s="9"/>
      <c r="G213" s="9"/>
      <c r="H213" s="47"/>
      <c r="I213" s="9">
        <v>74000</v>
      </c>
      <c r="J213" s="9" t="s">
        <v>2218</v>
      </c>
      <c r="K213" s="9"/>
      <c r="L213" s="9"/>
    </row>
    <row r="214" spans="1:12" ht="19" x14ac:dyDescent="0.2">
      <c r="A214" s="144"/>
      <c r="B214" s="145"/>
      <c r="C214" s="146"/>
      <c r="D214" s="147"/>
      <c r="E214" s="139"/>
      <c r="F214" s="139"/>
      <c r="G214" s="139"/>
      <c r="H214" s="139"/>
      <c r="I214" s="162">
        <v>26000</v>
      </c>
      <c r="J214" s="169" t="s">
        <v>972</v>
      </c>
      <c r="K214" s="139"/>
      <c r="L214" s="139"/>
    </row>
    <row r="215" spans="1:12" ht="19" x14ac:dyDescent="0.2">
      <c r="A215" s="143"/>
      <c r="B215" s="153"/>
      <c r="C215" s="170"/>
      <c r="D215" s="155"/>
      <c r="E215" s="164"/>
      <c r="F215" s="119"/>
      <c r="G215" s="119"/>
      <c r="H215" s="119"/>
      <c r="I215" s="119">
        <v>76500</v>
      </c>
      <c r="J215" s="119" t="s">
        <v>2219</v>
      </c>
      <c r="K215" s="119"/>
      <c r="L215" s="119"/>
    </row>
    <row r="216" spans="1:12" ht="19" x14ac:dyDescent="0.2">
      <c r="A216" s="144">
        <v>2113000</v>
      </c>
      <c r="B216" s="145"/>
      <c r="C216" s="159" t="s">
        <v>10</v>
      </c>
      <c r="D216" s="147" t="s">
        <v>685</v>
      </c>
      <c r="E216" s="150">
        <v>1884000</v>
      </c>
      <c r="F216" s="139">
        <v>229000</v>
      </c>
      <c r="G216" s="139"/>
      <c r="H216" s="139"/>
      <c r="I216" s="139">
        <v>200000</v>
      </c>
      <c r="J216" s="139" t="s">
        <v>2204</v>
      </c>
      <c r="K216" s="139"/>
      <c r="L216" s="139"/>
    </row>
    <row r="217" spans="1:12" ht="19" x14ac:dyDescent="0.2">
      <c r="A217" s="143"/>
      <c r="B217" s="153"/>
      <c r="C217" s="170"/>
      <c r="D217" s="155"/>
      <c r="E217" s="164"/>
      <c r="F217" s="119"/>
      <c r="G217" s="119"/>
      <c r="H217" s="119"/>
      <c r="I217" s="119">
        <v>14000</v>
      </c>
      <c r="J217" s="119" t="s">
        <v>1853</v>
      </c>
      <c r="K217" s="119"/>
      <c r="L217" s="119"/>
    </row>
    <row r="218" spans="1:12" ht="19" x14ac:dyDescent="0.2">
      <c r="A218" s="144"/>
      <c r="B218" s="145"/>
      <c r="C218" s="159"/>
      <c r="D218" s="147"/>
      <c r="E218" s="150"/>
      <c r="F218" s="139"/>
      <c r="G218" s="139"/>
      <c r="H218" s="139"/>
      <c r="I218" s="139">
        <v>120000</v>
      </c>
      <c r="J218" s="139" t="s">
        <v>1710</v>
      </c>
      <c r="K218" s="139"/>
      <c r="L218" s="139"/>
    </row>
    <row r="219" spans="1:12" ht="19" x14ac:dyDescent="0.2">
      <c r="A219" s="144">
        <v>2460000</v>
      </c>
      <c r="B219" s="145">
        <v>45197</v>
      </c>
      <c r="C219" s="159" t="s">
        <v>9</v>
      </c>
      <c r="D219" s="147" t="s">
        <v>2105</v>
      </c>
      <c r="E219" s="150">
        <v>1693000</v>
      </c>
      <c r="F219" s="139">
        <v>767000</v>
      </c>
      <c r="G219" s="139"/>
      <c r="H219" s="139"/>
      <c r="I219" s="139">
        <v>338000</v>
      </c>
      <c r="J219" s="139" t="s">
        <v>2220</v>
      </c>
      <c r="K219" s="139"/>
      <c r="L219" s="139"/>
    </row>
    <row r="220" spans="1:12" ht="19" x14ac:dyDescent="0.2">
      <c r="A220" s="143"/>
      <c r="B220" s="153"/>
      <c r="C220" s="170"/>
      <c r="D220" s="155"/>
      <c r="E220" s="164"/>
      <c r="F220" s="119"/>
      <c r="G220" s="119"/>
      <c r="H220" s="119"/>
      <c r="I220" s="119">
        <v>320000</v>
      </c>
      <c r="J220" s="119" t="s">
        <v>2221</v>
      </c>
      <c r="K220" s="119"/>
      <c r="L220" s="119"/>
    </row>
    <row r="221" spans="1:12" ht="19" x14ac:dyDescent="0.2">
      <c r="A221" s="144"/>
      <c r="B221" s="145"/>
      <c r="C221" s="159"/>
      <c r="D221" s="147"/>
      <c r="E221" s="150"/>
      <c r="F221" s="139"/>
      <c r="G221" s="139"/>
      <c r="H221" s="139"/>
      <c r="I221" s="139"/>
      <c r="J221" s="139"/>
      <c r="K221" s="139"/>
      <c r="L221" s="139"/>
    </row>
    <row r="222" spans="1:12" ht="19" x14ac:dyDescent="0.2">
      <c r="A222" s="144">
        <v>1427000</v>
      </c>
      <c r="B222" s="145"/>
      <c r="C222" s="159" t="s">
        <v>10</v>
      </c>
      <c r="D222" s="147" t="s">
        <v>685</v>
      </c>
      <c r="E222" s="150">
        <v>1126000</v>
      </c>
      <c r="F222" s="139">
        <v>301000</v>
      </c>
      <c r="G222" s="139"/>
      <c r="H222" s="139"/>
      <c r="I222" s="139">
        <v>264000</v>
      </c>
      <c r="J222" s="139" t="s">
        <v>1509</v>
      </c>
      <c r="K222" s="139"/>
      <c r="L222" s="139"/>
    </row>
    <row r="223" spans="1:12" ht="19" x14ac:dyDescent="0.2">
      <c r="A223" s="143"/>
      <c r="B223" s="153"/>
      <c r="C223" s="170"/>
      <c r="D223" s="155"/>
      <c r="E223" s="164"/>
      <c r="F223" s="119"/>
      <c r="G223" s="119"/>
      <c r="H223" s="119"/>
      <c r="I223" s="119">
        <v>144000</v>
      </c>
      <c r="J223" s="119" t="s">
        <v>1245</v>
      </c>
      <c r="K223" s="119"/>
      <c r="L223" s="119"/>
    </row>
    <row r="224" spans="1:12" ht="19" x14ac:dyDescent="0.2">
      <c r="A224" s="144">
        <v>2650000</v>
      </c>
      <c r="B224" s="145">
        <v>45198</v>
      </c>
      <c r="C224" s="159" t="s">
        <v>9</v>
      </c>
      <c r="D224" s="147" t="s">
        <v>565</v>
      </c>
      <c r="E224" s="150">
        <v>1996000</v>
      </c>
      <c r="F224" s="139">
        <v>654000</v>
      </c>
      <c r="G224" s="139"/>
      <c r="H224" s="139"/>
      <c r="I224" s="139">
        <v>168000</v>
      </c>
      <c r="J224" s="139" t="s">
        <v>1838</v>
      </c>
      <c r="K224" s="139"/>
      <c r="L224" s="139"/>
    </row>
    <row r="225" spans="1:12" ht="19" x14ac:dyDescent="0.2">
      <c r="A225" s="144"/>
      <c r="B225" s="145"/>
      <c r="C225" s="159"/>
      <c r="D225" s="147"/>
      <c r="E225" s="150"/>
      <c r="F225" s="139"/>
      <c r="G225" s="139"/>
      <c r="H225" s="139"/>
      <c r="I225" s="139">
        <v>15000</v>
      </c>
      <c r="J225" s="139" t="s">
        <v>2222</v>
      </c>
      <c r="K225" s="139"/>
      <c r="L225" s="139"/>
    </row>
    <row r="226" spans="1:12" ht="19" x14ac:dyDescent="0.2">
      <c r="A226" s="143">
        <v>1452000</v>
      </c>
      <c r="B226" s="153"/>
      <c r="C226" s="170" t="s">
        <v>10</v>
      </c>
      <c r="D226" s="155" t="s">
        <v>685</v>
      </c>
      <c r="E226" s="164">
        <v>1026000</v>
      </c>
      <c r="F226" s="119">
        <v>426000</v>
      </c>
      <c r="G226" s="119"/>
      <c r="H226" s="119"/>
      <c r="I226" s="119"/>
      <c r="J226" s="119"/>
      <c r="K226" s="119"/>
      <c r="L226" s="119"/>
    </row>
    <row r="227" spans="1:12" ht="19" x14ac:dyDescent="0.2">
      <c r="A227" s="144"/>
      <c r="B227" s="145"/>
      <c r="C227" s="159"/>
      <c r="D227" s="147"/>
      <c r="E227" s="150"/>
      <c r="F227" s="139"/>
      <c r="G227" s="139"/>
      <c r="H227" s="139"/>
      <c r="I227" s="139"/>
      <c r="J227" s="139"/>
      <c r="K227" s="139"/>
      <c r="L227" s="139"/>
    </row>
    <row r="228" spans="1:12" ht="19" x14ac:dyDescent="0.2">
      <c r="A228" s="143">
        <v>2231000</v>
      </c>
      <c r="B228" s="153">
        <v>45199</v>
      </c>
      <c r="C228" s="170" t="s">
        <v>9</v>
      </c>
      <c r="D228" s="155" t="s">
        <v>2105</v>
      </c>
      <c r="E228" s="164">
        <v>1733000</v>
      </c>
      <c r="F228" s="119">
        <v>498000</v>
      </c>
      <c r="G228" s="119">
        <v>2500000</v>
      </c>
      <c r="H228" s="119" t="s">
        <v>812</v>
      </c>
      <c r="I228" s="119">
        <v>35000</v>
      </c>
      <c r="J228" s="119" t="s">
        <v>2223</v>
      </c>
      <c r="K228" s="119"/>
      <c r="L228" s="119"/>
    </row>
    <row r="229" spans="1:12" ht="19" x14ac:dyDescent="0.2">
      <c r="A229" s="144"/>
      <c r="B229" s="145"/>
      <c r="C229" s="159"/>
      <c r="D229" s="147"/>
      <c r="E229" s="150"/>
      <c r="F229" s="139"/>
      <c r="G229" s="139"/>
      <c r="H229" s="139"/>
      <c r="I229" s="139">
        <v>300000</v>
      </c>
      <c r="J229" s="139" t="s">
        <v>2224</v>
      </c>
      <c r="K229" s="139"/>
      <c r="L229" s="139"/>
    </row>
    <row r="230" spans="1:12" ht="19" x14ac:dyDescent="0.2">
      <c r="A230" s="143">
        <v>2510000</v>
      </c>
      <c r="B230" s="153"/>
      <c r="C230" s="170" t="s">
        <v>10</v>
      </c>
      <c r="D230" s="155" t="s">
        <v>685</v>
      </c>
      <c r="E230" s="164">
        <v>1977000</v>
      </c>
      <c r="F230" s="119">
        <v>533000</v>
      </c>
      <c r="G230" s="119">
        <v>2120000</v>
      </c>
      <c r="H230" s="119" t="s">
        <v>1431</v>
      </c>
      <c r="I230" s="119">
        <v>50000</v>
      </c>
      <c r="J230" s="119" t="s">
        <v>123</v>
      </c>
      <c r="K230" s="119"/>
      <c r="L230" s="119"/>
    </row>
    <row r="231" spans="1:12" ht="19" x14ac:dyDescent="0.2">
      <c r="A231" s="144"/>
      <c r="B231" s="145"/>
      <c r="C231" s="159"/>
      <c r="D231" s="147"/>
      <c r="E231" s="150"/>
      <c r="F231" s="139"/>
      <c r="G231" s="139">
        <v>1530000</v>
      </c>
      <c r="H231" s="139" t="s">
        <v>2225</v>
      </c>
      <c r="I231" s="139">
        <v>144000</v>
      </c>
      <c r="J231" s="139" t="s">
        <v>1245</v>
      </c>
      <c r="K231" s="139"/>
      <c r="L231" s="139"/>
    </row>
    <row r="232" spans="1:12" ht="48" x14ac:dyDescent="0.2">
      <c r="A232" s="143"/>
      <c r="B232" s="153"/>
      <c r="C232" s="170"/>
      <c r="D232" s="155"/>
      <c r="E232" s="164"/>
      <c r="F232" s="119"/>
      <c r="G232" s="119">
        <v>3416000</v>
      </c>
      <c r="H232" s="176" t="s">
        <v>2226</v>
      </c>
      <c r="I232" s="119">
        <v>125000</v>
      </c>
      <c r="J232" s="119" t="s">
        <v>1296</v>
      </c>
      <c r="K232" s="119"/>
      <c r="L232" s="119"/>
    </row>
    <row r="233" spans="1:12" ht="19" x14ac:dyDescent="0.2">
      <c r="A233" s="144"/>
      <c r="B233" s="145"/>
      <c r="C233" s="159"/>
      <c r="D233" s="147"/>
      <c r="E233" s="150"/>
      <c r="F233" s="139"/>
      <c r="G233" s="139">
        <v>1200000</v>
      </c>
      <c r="H233" s="139" t="s">
        <v>717</v>
      </c>
      <c r="I233" s="139">
        <v>80000</v>
      </c>
      <c r="J233" s="139" t="s">
        <v>1285</v>
      </c>
      <c r="K233" s="139"/>
      <c r="L233" s="139"/>
    </row>
    <row r="234" spans="1:12" ht="19" x14ac:dyDescent="0.2">
      <c r="A234" s="143"/>
      <c r="B234" s="153"/>
      <c r="C234" s="170"/>
      <c r="D234" s="155"/>
      <c r="E234" s="164"/>
      <c r="F234" s="119"/>
      <c r="G234" s="119"/>
      <c r="H234" s="119"/>
      <c r="I234" s="119"/>
      <c r="J234" s="119"/>
      <c r="K234" s="119"/>
      <c r="L234" s="119"/>
    </row>
    <row r="235" spans="1:12" ht="19" x14ac:dyDescent="0.2">
      <c r="A235" s="144"/>
      <c r="B235" s="145"/>
      <c r="C235" s="159"/>
      <c r="D235" s="147"/>
      <c r="E235" s="150"/>
      <c r="F235" s="139"/>
      <c r="G235" s="139"/>
      <c r="H235" s="139"/>
      <c r="I235" s="139"/>
      <c r="J235" s="139"/>
      <c r="K235" s="139"/>
      <c r="L235" s="139"/>
    </row>
  </sheetData>
  <mergeCells count="1">
    <mergeCell ref="F4:G4"/>
  </mergeCells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06"/>
  <sheetViews>
    <sheetView zoomScale="88" zoomScaleNormal="88" workbookViewId="0">
      <selection activeCell="I11" sqref="I11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0" bestFit="1" customWidth="1"/>
    <col min="5" max="5" width="20.33203125" bestFit="1" customWidth="1"/>
    <col min="6" max="6" width="21" customWidth="1"/>
    <col min="7" max="7" width="20.33203125" bestFit="1" customWidth="1"/>
    <col min="8" max="8" width="27.1640625" customWidth="1"/>
    <col min="9" max="9" width="20.33203125" bestFit="1" customWidth="1"/>
    <col min="10" max="10" width="30" customWidth="1"/>
  </cols>
  <sheetData>
    <row r="1" spans="1:12" ht="15" customHeight="1" x14ac:dyDescent="0.2"/>
    <row r="2" spans="1:12" ht="15" customHeight="1" x14ac:dyDescent="0.2"/>
    <row r="3" spans="1:12" ht="21" customHeight="1" x14ac:dyDescent="0.2">
      <c r="G3" s="73"/>
      <c r="H3" s="71" t="s">
        <v>174</v>
      </c>
      <c r="I3" s="71" t="e">
        <f>#REF!/A10</f>
        <v>#REF!</v>
      </c>
    </row>
    <row r="4" spans="1:12" ht="21" customHeight="1" x14ac:dyDescent="0.2">
      <c r="F4" s="212" t="s">
        <v>2313</v>
      </c>
      <c r="G4" s="213"/>
      <c r="H4" s="71" t="s">
        <v>2314</v>
      </c>
      <c r="I4" s="71">
        <v>18833500</v>
      </c>
      <c r="J4" s="72">
        <f>I4/10820</f>
        <v>1740.619223659889</v>
      </c>
    </row>
    <row r="5" spans="1:12" ht="24" customHeight="1" x14ac:dyDescent="0.3">
      <c r="B5" s="99" t="s">
        <v>2312</v>
      </c>
      <c r="G5" s="73"/>
      <c r="H5" s="71" t="s">
        <v>2315</v>
      </c>
      <c r="I5" s="71">
        <v>18833500</v>
      </c>
      <c r="J5" s="72">
        <f>I5/10820</f>
        <v>1740.619223659889</v>
      </c>
    </row>
    <row r="6" spans="1:12" ht="24" customHeight="1" x14ac:dyDescent="0.3">
      <c r="B6" s="99"/>
      <c r="G6" s="73"/>
      <c r="H6" s="71" t="s">
        <v>178</v>
      </c>
      <c r="I6" s="71">
        <v>13007081</v>
      </c>
      <c r="J6" s="72" t="s">
        <v>2316</v>
      </c>
      <c r="L6" s="85"/>
    </row>
    <row r="7" spans="1:12" ht="26" customHeight="1" x14ac:dyDescent="0.3">
      <c r="B7" s="100" t="s">
        <v>2320</v>
      </c>
    </row>
    <row r="8" spans="1:12" ht="15" customHeight="1" x14ac:dyDescent="0.2"/>
    <row r="9" spans="1:12" ht="19" customHeight="1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2" ht="21" customHeight="1" x14ac:dyDescent="0.2">
      <c r="A10" s="69">
        <f>SUM(A12:A234)</f>
        <v>120059000</v>
      </c>
      <c r="B10" s="65"/>
      <c r="C10" s="66" t="s">
        <v>13</v>
      </c>
      <c r="D10" s="67"/>
      <c r="E10" s="68">
        <f>SUM(E12:E234)</f>
        <v>88786000</v>
      </c>
      <c r="F10" s="69">
        <f>SUM(F12:F234)</f>
        <v>31273000</v>
      </c>
      <c r="G10" s="69">
        <f>SUM(G12:G234)</f>
        <v>28814000</v>
      </c>
      <c r="H10" s="69"/>
      <c r="I10" s="69">
        <f>SUM(I12:I234)</f>
        <v>23651000</v>
      </c>
      <c r="J10" s="69"/>
    </row>
    <row r="11" spans="1:12" ht="21" customHeight="1" x14ac:dyDescent="0.2">
      <c r="A11" s="214"/>
      <c r="B11" s="215">
        <v>45200</v>
      </c>
      <c r="C11" s="216"/>
      <c r="D11" s="217"/>
      <c r="E11" s="218"/>
      <c r="F11" s="214"/>
      <c r="G11" s="214"/>
      <c r="H11" s="176" t="s">
        <v>737</v>
      </c>
      <c r="I11" s="214"/>
      <c r="J11" s="214"/>
    </row>
    <row r="12" spans="1:12" ht="19" customHeight="1" x14ac:dyDescent="0.2">
      <c r="A12" s="219">
        <v>1750000</v>
      </c>
      <c r="B12" s="220">
        <v>45201</v>
      </c>
      <c r="C12" s="221" t="s">
        <v>9</v>
      </c>
      <c r="D12" s="222" t="s">
        <v>2105</v>
      </c>
      <c r="E12" s="161">
        <v>1397000</v>
      </c>
      <c r="F12" s="161">
        <v>353000</v>
      </c>
      <c r="G12" s="161">
        <v>440000</v>
      </c>
      <c r="H12" s="161" t="s">
        <v>2311</v>
      </c>
      <c r="I12" s="161">
        <v>37000</v>
      </c>
      <c r="J12" s="161" t="s">
        <v>2238</v>
      </c>
    </row>
    <row r="13" spans="1:12" ht="19" customHeight="1" x14ac:dyDescent="0.2">
      <c r="A13" s="223"/>
      <c r="B13" s="215"/>
      <c r="C13" s="91"/>
      <c r="D13" s="92"/>
      <c r="E13" s="93"/>
      <c r="F13" s="47"/>
      <c r="G13" s="47"/>
      <c r="H13" s="47"/>
      <c r="I13" s="47">
        <v>12000</v>
      </c>
      <c r="J13" s="47" t="s">
        <v>1351</v>
      </c>
    </row>
    <row r="14" spans="1:12" ht="19" customHeight="1" x14ac:dyDescent="0.2">
      <c r="A14" s="224">
        <v>1199000</v>
      </c>
      <c r="B14" s="220"/>
      <c r="C14" s="225" t="s">
        <v>10</v>
      </c>
      <c r="D14" s="222" t="s">
        <v>685</v>
      </c>
      <c r="E14" s="226">
        <v>1017000</v>
      </c>
      <c r="F14" s="161">
        <v>182000</v>
      </c>
      <c r="G14" s="161"/>
      <c r="H14" s="161"/>
      <c r="I14" s="161"/>
      <c r="J14" s="161"/>
    </row>
    <row r="15" spans="1:12" ht="19" customHeight="1" x14ac:dyDescent="0.2">
      <c r="A15" s="223"/>
      <c r="B15" s="215"/>
      <c r="C15" s="91"/>
      <c r="D15" s="92"/>
      <c r="E15" s="93"/>
      <c r="F15" s="47"/>
      <c r="G15" s="47"/>
      <c r="H15" s="47"/>
      <c r="I15" s="47"/>
      <c r="J15" s="47"/>
    </row>
    <row r="16" spans="1:12" ht="19" customHeight="1" x14ac:dyDescent="0.2">
      <c r="A16" s="224">
        <v>2971000</v>
      </c>
      <c r="B16" s="220">
        <v>45202</v>
      </c>
      <c r="C16" s="225" t="s">
        <v>9</v>
      </c>
      <c r="D16" s="222" t="s">
        <v>565</v>
      </c>
      <c r="E16" s="226">
        <v>1895000</v>
      </c>
      <c r="F16" s="161">
        <v>1076000</v>
      </c>
      <c r="G16" s="161"/>
      <c r="H16" s="161"/>
      <c r="I16" s="161">
        <v>126000</v>
      </c>
      <c r="J16" s="161" t="s">
        <v>1649</v>
      </c>
    </row>
    <row r="17" spans="1:10" ht="19" customHeight="1" x14ac:dyDescent="0.2">
      <c r="A17" s="227"/>
      <c r="B17" s="228"/>
      <c r="C17" s="229"/>
      <c r="D17" s="230"/>
      <c r="E17" s="231"/>
      <c r="F17" s="176"/>
      <c r="G17" s="232"/>
      <c r="H17" s="232"/>
      <c r="I17" s="176">
        <v>120000</v>
      </c>
      <c r="J17" s="176" t="s">
        <v>1710</v>
      </c>
    </row>
    <row r="18" spans="1:10" ht="19" customHeight="1" x14ac:dyDescent="0.2">
      <c r="A18" s="219"/>
      <c r="B18" s="220"/>
      <c r="C18" s="233"/>
      <c r="D18" s="222"/>
      <c r="E18" s="226"/>
      <c r="F18" s="161"/>
      <c r="G18" s="161"/>
      <c r="H18" s="161"/>
      <c r="I18" s="161">
        <v>35000</v>
      </c>
      <c r="J18" s="161" t="s">
        <v>1467</v>
      </c>
    </row>
    <row r="19" spans="1:10" ht="19" customHeight="1" x14ac:dyDescent="0.2">
      <c r="A19" s="227"/>
      <c r="B19" s="228"/>
      <c r="C19" s="229"/>
      <c r="D19" s="230"/>
      <c r="E19" s="231"/>
      <c r="F19" s="176"/>
      <c r="G19" s="176"/>
      <c r="H19" s="176"/>
      <c r="I19" s="176">
        <v>200000</v>
      </c>
      <c r="J19" s="176" t="s">
        <v>2204</v>
      </c>
    </row>
    <row r="20" spans="1:10" ht="19" customHeight="1" x14ac:dyDescent="0.2">
      <c r="A20" s="219"/>
      <c r="B20" s="220"/>
      <c r="C20" s="233"/>
      <c r="D20" s="222"/>
      <c r="E20" s="226"/>
      <c r="F20" s="161"/>
      <c r="G20" s="161"/>
      <c r="H20" s="161"/>
      <c r="I20" s="161">
        <v>264000</v>
      </c>
      <c r="J20" s="161" t="s">
        <v>1509</v>
      </c>
    </row>
    <row r="21" spans="1:10" ht="19" customHeight="1" x14ac:dyDescent="0.2">
      <c r="A21" s="227"/>
      <c r="B21" s="228"/>
      <c r="C21" s="229"/>
      <c r="D21" s="230"/>
      <c r="E21" s="231"/>
      <c r="F21" s="176"/>
      <c r="G21" s="176"/>
      <c r="H21" s="176"/>
      <c r="I21" s="176">
        <v>144000</v>
      </c>
      <c r="J21" s="176" t="s">
        <v>1245</v>
      </c>
    </row>
    <row r="22" spans="1:10" ht="19" customHeight="1" x14ac:dyDescent="0.2">
      <c r="A22" s="219"/>
      <c r="B22" s="220"/>
      <c r="C22" s="233"/>
      <c r="D22" s="222"/>
      <c r="E22" s="226"/>
      <c r="F22" s="161"/>
      <c r="G22" s="161"/>
      <c r="H22" s="161"/>
      <c r="I22" s="161"/>
      <c r="J22" s="161"/>
    </row>
    <row r="23" spans="1:10" ht="19" customHeight="1" x14ac:dyDescent="0.2">
      <c r="A23" s="227">
        <v>1301000</v>
      </c>
      <c r="B23" s="228"/>
      <c r="C23" s="229" t="s">
        <v>10</v>
      </c>
      <c r="D23" s="230" t="s">
        <v>685</v>
      </c>
      <c r="E23" s="231">
        <v>1098000</v>
      </c>
      <c r="F23" s="176">
        <v>203000</v>
      </c>
      <c r="G23" s="176">
        <v>200000</v>
      </c>
      <c r="H23" s="176" t="s">
        <v>2239</v>
      </c>
      <c r="I23" s="176">
        <v>36000</v>
      </c>
      <c r="J23" s="176" t="s">
        <v>1493</v>
      </c>
    </row>
    <row r="24" spans="1:10" ht="19" customHeight="1" x14ac:dyDescent="0.2">
      <c r="A24" s="219"/>
      <c r="B24" s="220"/>
      <c r="C24" s="225"/>
      <c r="D24" s="222"/>
      <c r="E24" s="226"/>
      <c r="F24" s="161"/>
      <c r="G24" s="161"/>
      <c r="H24" s="161"/>
      <c r="I24" s="161">
        <v>48000</v>
      </c>
      <c r="J24" s="161" t="s">
        <v>2240</v>
      </c>
    </row>
    <row r="25" spans="1:10" ht="19" customHeight="1" x14ac:dyDescent="0.2">
      <c r="A25" s="227"/>
      <c r="B25" s="215"/>
      <c r="C25" s="91"/>
      <c r="D25" s="92"/>
      <c r="E25" s="93"/>
      <c r="F25" s="47"/>
      <c r="G25" s="47"/>
      <c r="H25" s="47"/>
      <c r="I25" s="47">
        <v>33000</v>
      </c>
      <c r="J25" s="47" t="s">
        <v>2241</v>
      </c>
    </row>
    <row r="26" spans="1:10" ht="19" customHeight="1" x14ac:dyDescent="0.2">
      <c r="A26" s="219"/>
      <c r="B26" s="220"/>
      <c r="C26" s="225"/>
      <c r="D26" s="222"/>
      <c r="E26" s="226"/>
      <c r="F26" s="161"/>
      <c r="G26" s="161"/>
      <c r="H26" s="161"/>
      <c r="I26" s="161">
        <v>63000</v>
      </c>
      <c r="J26" s="161" t="s">
        <v>2242</v>
      </c>
    </row>
    <row r="27" spans="1:10" ht="19" customHeight="1" x14ac:dyDescent="0.2">
      <c r="A27" s="223"/>
      <c r="B27" s="215"/>
      <c r="C27" s="91"/>
      <c r="D27" s="92"/>
      <c r="E27" s="93"/>
      <c r="F27" s="47"/>
      <c r="G27" s="47"/>
      <c r="H27" s="47"/>
      <c r="I27" s="47">
        <v>166000</v>
      </c>
      <c r="J27" s="47" t="s">
        <v>2243</v>
      </c>
    </row>
    <row r="28" spans="1:10" ht="19" customHeight="1" x14ac:dyDescent="0.2">
      <c r="A28" s="224"/>
      <c r="B28" s="220"/>
      <c r="C28" s="225"/>
      <c r="D28" s="222"/>
      <c r="E28" s="226"/>
      <c r="F28" s="161"/>
      <c r="G28" s="161"/>
      <c r="H28" s="161"/>
      <c r="I28" s="161">
        <v>20000</v>
      </c>
      <c r="J28" s="161" t="s">
        <v>2244</v>
      </c>
    </row>
    <row r="29" spans="1:10" ht="19" customHeight="1" x14ac:dyDescent="0.2">
      <c r="A29" s="223"/>
      <c r="B29" s="228"/>
      <c r="C29" s="234"/>
      <c r="D29" s="230"/>
      <c r="E29" s="231"/>
      <c r="F29" s="176"/>
      <c r="G29" s="176"/>
      <c r="H29" s="176"/>
      <c r="I29" s="176">
        <v>520000</v>
      </c>
      <c r="J29" s="176" t="s">
        <v>1517</v>
      </c>
    </row>
    <row r="30" spans="1:10" ht="19" customHeight="1" x14ac:dyDescent="0.2">
      <c r="A30" s="224"/>
      <c r="B30" s="220"/>
      <c r="C30" s="225"/>
      <c r="D30" s="222"/>
      <c r="E30" s="226"/>
      <c r="F30" s="161"/>
      <c r="G30" s="161"/>
      <c r="H30" s="161"/>
      <c r="I30" s="161">
        <v>120000</v>
      </c>
      <c r="J30" s="161" t="s">
        <v>1668</v>
      </c>
    </row>
    <row r="31" spans="1:10" ht="19" customHeight="1" x14ac:dyDescent="0.2">
      <c r="A31" s="223"/>
      <c r="B31" s="228"/>
      <c r="C31" s="234"/>
      <c r="D31" s="230"/>
      <c r="E31" s="231"/>
      <c r="F31" s="176"/>
      <c r="G31" s="176"/>
      <c r="H31" s="176"/>
      <c r="I31" s="176">
        <v>29000</v>
      </c>
      <c r="J31" s="176" t="s">
        <v>2245</v>
      </c>
    </row>
    <row r="32" spans="1:10" ht="19" customHeight="1" x14ac:dyDescent="0.2">
      <c r="A32" s="219"/>
      <c r="B32" s="220"/>
      <c r="C32" s="225"/>
      <c r="D32" s="222"/>
      <c r="E32" s="226"/>
      <c r="F32" s="161"/>
      <c r="G32" s="161"/>
      <c r="H32" s="161"/>
      <c r="I32" s="161">
        <v>50000</v>
      </c>
      <c r="J32" s="161" t="s">
        <v>1762</v>
      </c>
    </row>
    <row r="33" spans="1:10" ht="19" customHeight="1" x14ac:dyDescent="0.2">
      <c r="A33" s="227"/>
      <c r="B33" s="215"/>
      <c r="C33" s="91"/>
      <c r="D33" s="92"/>
      <c r="E33" s="93"/>
      <c r="F33" s="47"/>
      <c r="G33" s="47"/>
      <c r="H33" s="47"/>
      <c r="I33" s="47"/>
      <c r="J33" s="47"/>
    </row>
    <row r="34" spans="1:10" ht="19" customHeight="1" x14ac:dyDescent="0.2">
      <c r="A34" s="219">
        <v>2462000</v>
      </c>
      <c r="B34" s="220">
        <v>45203</v>
      </c>
      <c r="C34" s="225" t="s">
        <v>9</v>
      </c>
      <c r="D34" s="222" t="s">
        <v>2105</v>
      </c>
      <c r="E34" s="226">
        <v>1781000</v>
      </c>
      <c r="F34" s="161">
        <v>681000</v>
      </c>
      <c r="G34" s="161"/>
      <c r="H34" s="161"/>
      <c r="I34" s="161">
        <v>67000</v>
      </c>
      <c r="J34" s="161" t="s">
        <v>1738</v>
      </c>
    </row>
    <row r="35" spans="1:10" ht="19" customHeight="1" x14ac:dyDescent="0.2">
      <c r="A35" s="227"/>
      <c r="B35" s="215"/>
      <c r="C35" s="91"/>
      <c r="D35" s="92"/>
      <c r="E35" s="93"/>
      <c r="F35" s="47"/>
      <c r="G35" s="47"/>
      <c r="H35" s="47"/>
      <c r="I35" s="47">
        <v>175000</v>
      </c>
      <c r="J35" s="47" t="s">
        <v>2246</v>
      </c>
    </row>
    <row r="36" spans="1:10" ht="19" customHeight="1" x14ac:dyDescent="0.2">
      <c r="A36" s="219"/>
      <c r="B36" s="220"/>
      <c r="C36" s="225"/>
      <c r="D36" s="222"/>
      <c r="E36" s="226"/>
      <c r="F36" s="161"/>
      <c r="G36" s="161"/>
      <c r="H36" s="161"/>
      <c r="I36" s="161">
        <v>36000</v>
      </c>
      <c r="J36" s="161" t="s">
        <v>2247</v>
      </c>
    </row>
    <row r="37" spans="1:10" ht="19" customHeight="1" x14ac:dyDescent="0.2">
      <c r="A37" s="227"/>
      <c r="B37" s="215"/>
      <c r="C37" s="91"/>
      <c r="D37" s="92"/>
      <c r="E37" s="93"/>
      <c r="F37" s="47"/>
      <c r="G37" s="47"/>
      <c r="H37" s="47"/>
      <c r="I37" s="47">
        <v>12000</v>
      </c>
      <c r="J37" s="47" t="s">
        <v>1999</v>
      </c>
    </row>
    <row r="38" spans="1:10" ht="19" customHeight="1" x14ac:dyDescent="0.2">
      <c r="A38" s="219"/>
      <c r="B38" s="220"/>
      <c r="C38" s="225"/>
      <c r="D38" s="222"/>
      <c r="E38" s="226"/>
      <c r="F38" s="161"/>
      <c r="G38" s="161"/>
      <c r="H38" s="161"/>
      <c r="I38" s="161">
        <v>6000</v>
      </c>
      <c r="J38" s="161" t="s">
        <v>2248</v>
      </c>
    </row>
    <row r="39" spans="1:10" ht="19" customHeight="1" x14ac:dyDescent="0.2">
      <c r="A39" s="227"/>
      <c r="B39" s="215"/>
      <c r="C39" s="91"/>
      <c r="D39" s="92"/>
      <c r="E39" s="93"/>
      <c r="F39" s="47"/>
      <c r="G39" s="47"/>
      <c r="H39" s="203"/>
      <c r="I39" s="47">
        <v>13000</v>
      </c>
      <c r="J39" s="47" t="s">
        <v>2249</v>
      </c>
    </row>
    <row r="40" spans="1:10" ht="19" customHeight="1" x14ac:dyDescent="0.2">
      <c r="A40" s="219"/>
      <c r="B40" s="220"/>
      <c r="C40" s="225"/>
      <c r="D40" s="222"/>
      <c r="E40" s="226"/>
      <c r="F40" s="161"/>
      <c r="G40" s="161"/>
      <c r="H40" s="204"/>
      <c r="I40" s="161">
        <v>46000</v>
      </c>
      <c r="J40" s="161" t="s">
        <v>2250</v>
      </c>
    </row>
    <row r="41" spans="1:10" ht="19" customHeight="1" x14ac:dyDescent="0.2">
      <c r="A41" s="227">
        <v>1691000</v>
      </c>
      <c r="B41" s="215"/>
      <c r="C41" s="91" t="s">
        <v>10</v>
      </c>
      <c r="D41" s="92" t="s">
        <v>685</v>
      </c>
      <c r="E41" s="93">
        <v>1459000</v>
      </c>
      <c r="F41" s="47">
        <v>232000</v>
      </c>
      <c r="G41" s="47"/>
      <c r="H41" s="47"/>
      <c r="I41" s="47"/>
      <c r="J41" s="47"/>
    </row>
    <row r="42" spans="1:10" ht="19" customHeight="1" x14ac:dyDescent="0.2">
      <c r="A42" s="219"/>
      <c r="B42" s="220"/>
      <c r="C42" s="225"/>
      <c r="D42" s="222"/>
      <c r="E42" s="226"/>
      <c r="F42" s="161"/>
      <c r="G42" s="161"/>
      <c r="H42" s="161"/>
      <c r="I42" s="161"/>
      <c r="J42" s="161"/>
    </row>
    <row r="43" spans="1:10" ht="19" customHeight="1" x14ac:dyDescent="0.2">
      <c r="A43" s="227">
        <v>2525000</v>
      </c>
      <c r="B43" s="228">
        <v>45204</v>
      </c>
      <c r="C43" s="234" t="s">
        <v>9</v>
      </c>
      <c r="D43" s="230" t="s">
        <v>565</v>
      </c>
      <c r="E43" s="231">
        <v>1890000</v>
      </c>
      <c r="F43" s="176">
        <v>635000</v>
      </c>
      <c r="G43" s="176">
        <v>581000</v>
      </c>
      <c r="H43" s="176" t="s">
        <v>2308</v>
      </c>
      <c r="I43" s="176">
        <v>15000</v>
      </c>
      <c r="J43" s="176" t="s">
        <v>2197</v>
      </c>
    </row>
    <row r="44" spans="1:10" ht="19" customHeight="1" x14ac:dyDescent="0.2">
      <c r="A44" s="219"/>
      <c r="B44" s="220"/>
      <c r="C44" s="225"/>
      <c r="D44" s="222"/>
      <c r="E44" s="226"/>
      <c r="F44" s="161"/>
      <c r="G44" s="161"/>
      <c r="H44" s="161"/>
      <c r="I44" s="161">
        <v>125000</v>
      </c>
      <c r="J44" s="161" t="s">
        <v>1296</v>
      </c>
    </row>
    <row r="45" spans="1:10" ht="19" customHeight="1" x14ac:dyDescent="0.2">
      <c r="A45" s="227"/>
      <c r="B45" s="228"/>
      <c r="C45" s="234"/>
      <c r="D45" s="230"/>
      <c r="E45" s="231"/>
      <c r="F45" s="176"/>
      <c r="G45" s="176"/>
      <c r="H45" s="176"/>
      <c r="I45" s="176">
        <v>80000</v>
      </c>
      <c r="J45" s="176" t="s">
        <v>1285</v>
      </c>
    </row>
    <row r="46" spans="1:10" ht="19" customHeight="1" x14ac:dyDescent="0.2">
      <c r="A46" s="219"/>
      <c r="B46" s="220"/>
      <c r="C46" s="225"/>
      <c r="D46" s="222"/>
      <c r="E46" s="226"/>
      <c r="F46" s="161"/>
      <c r="G46" s="161"/>
      <c r="H46" s="161"/>
      <c r="I46" s="161">
        <v>144000</v>
      </c>
      <c r="J46" s="161" t="s">
        <v>1245</v>
      </c>
    </row>
    <row r="47" spans="1:10" ht="19" customHeight="1" x14ac:dyDescent="0.2">
      <c r="A47" s="227">
        <v>2138000</v>
      </c>
      <c r="B47" s="228"/>
      <c r="C47" s="234" t="s">
        <v>10</v>
      </c>
      <c r="D47" s="230" t="s">
        <v>685</v>
      </c>
      <c r="E47" s="231">
        <v>1672000</v>
      </c>
      <c r="F47" s="176">
        <v>466000</v>
      </c>
      <c r="G47" s="176"/>
      <c r="H47" s="176"/>
      <c r="I47" s="176"/>
      <c r="J47" s="176"/>
    </row>
    <row r="48" spans="1:10" ht="19" customHeight="1" x14ac:dyDescent="0.2">
      <c r="A48" s="219"/>
      <c r="B48" s="220"/>
      <c r="C48" s="225"/>
      <c r="D48" s="222"/>
      <c r="E48" s="226"/>
      <c r="F48" s="161"/>
      <c r="G48" s="161"/>
      <c r="H48" s="161"/>
      <c r="I48" s="161"/>
      <c r="J48" s="161"/>
    </row>
    <row r="49" spans="1:10" ht="19" customHeight="1" x14ac:dyDescent="0.2">
      <c r="A49" s="227">
        <v>3210000</v>
      </c>
      <c r="B49" s="228">
        <v>45205</v>
      </c>
      <c r="C49" s="234" t="s">
        <v>9</v>
      </c>
      <c r="D49" s="230" t="s">
        <v>2105</v>
      </c>
      <c r="E49" s="231">
        <v>2599000</v>
      </c>
      <c r="F49" s="176">
        <v>611000</v>
      </c>
      <c r="G49" s="176"/>
      <c r="H49" s="176"/>
      <c r="I49" s="176">
        <v>51000</v>
      </c>
      <c r="J49" s="176" t="s">
        <v>2251</v>
      </c>
    </row>
    <row r="50" spans="1:10" ht="19" customHeight="1" x14ac:dyDescent="0.2">
      <c r="A50" s="219"/>
      <c r="B50" s="220"/>
      <c r="C50" s="225"/>
      <c r="D50" s="222"/>
      <c r="E50" s="226"/>
      <c r="F50" s="161"/>
      <c r="G50" s="161"/>
      <c r="H50" s="161"/>
      <c r="I50" s="161">
        <v>76000</v>
      </c>
      <c r="J50" s="161" t="s">
        <v>2252</v>
      </c>
    </row>
    <row r="51" spans="1:10" ht="19" customHeight="1" x14ac:dyDescent="0.2">
      <c r="A51" s="227"/>
      <c r="B51" s="228"/>
      <c r="C51" s="234"/>
      <c r="D51" s="230"/>
      <c r="E51" s="231"/>
      <c r="F51" s="176"/>
      <c r="G51" s="176"/>
      <c r="H51" s="176"/>
      <c r="I51" s="176">
        <v>2000</v>
      </c>
      <c r="J51" s="176" t="s">
        <v>2253</v>
      </c>
    </row>
    <row r="52" spans="1:10" ht="19" customHeight="1" x14ac:dyDescent="0.2">
      <c r="A52" s="219"/>
      <c r="B52" s="220"/>
      <c r="C52" s="225"/>
      <c r="D52" s="222"/>
      <c r="E52" s="226"/>
      <c r="F52" s="161"/>
      <c r="G52" s="161"/>
      <c r="H52" s="161"/>
      <c r="I52" s="161">
        <v>45000</v>
      </c>
      <c r="J52" s="161" t="s">
        <v>2254</v>
      </c>
    </row>
    <row r="53" spans="1:10" ht="19" customHeight="1" x14ac:dyDescent="0.2">
      <c r="A53" s="227"/>
      <c r="B53" s="228"/>
      <c r="C53" s="234"/>
      <c r="D53" s="230"/>
      <c r="E53" s="231"/>
      <c r="F53" s="176"/>
      <c r="G53" s="176"/>
      <c r="H53" s="176"/>
      <c r="I53" s="176"/>
      <c r="J53" s="176"/>
    </row>
    <row r="54" spans="1:10" ht="19" customHeight="1" x14ac:dyDescent="0.2">
      <c r="A54" s="219">
        <v>2217000</v>
      </c>
      <c r="B54" s="220"/>
      <c r="C54" s="225" t="s">
        <v>10</v>
      </c>
      <c r="D54" s="222" t="s">
        <v>685</v>
      </c>
      <c r="E54" s="226">
        <v>1557000</v>
      </c>
      <c r="F54" s="161">
        <v>660000</v>
      </c>
      <c r="G54" s="161"/>
      <c r="H54" s="161"/>
      <c r="I54" s="161">
        <v>264000</v>
      </c>
      <c r="J54" s="161" t="s">
        <v>1509</v>
      </c>
    </row>
    <row r="55" spans="1:10" ht="19" customHeight="1" x14ac:dyDescent="0.2">
      <c r="A55" s="227"/>
      <c r="B55" s="228"/>
      <c r="C55" s="234"/>
      <c r="D55" s="230"/>
      <c r="E55" s="231"/>
      <c r="F55" s="176"/>
      <c r="G55" s="176"/>
      <c r="H55" s="176"/>
      <c r="I55" s="176">
        <v>2257000</v>
      </c>
      <c r="J55" s="176" t="s">
        <v>2317</v>
      </c>
    </row>
    <row r="56" spans="1:10" ht="19" customHeight="1" x14ac:dyDescent="0.2">
      <c r="A56" s="219">
        <v>2275000</v>
      </c>
      <c r="B56" s="220">
        <v>45206</v>
      </c>
      <c r="C56" s="225" t="s">
        <v>9</v>
      </c>
      <c r="D56" s="222" t="s">
        <v>565</v>
      </c>
      <c r="E56" s="226">
        <v>1587000</v>
      </c>
      <c r="F56" s="161">
        <v>688000</v>
      </c>
      <c r="G56" s="161">
        <v>2500000</v>
      </c>
      <c r="H56" s="161" t="s">
        <v>812</v>
      </c>
      <c r="I56" s="161">
        <v>182000</v>
      </c>
      <c r="J56" s="161" t="s">
        <v>2255</v>
      </c>
    </row>
    <row r="57" spans="1:10" ht="19" customHeight="1" x14ac:dyDescent="0.2">
      <c r="A57" s="227"/>
      <c r="B57" s="228"/>
      <c r="C57" s="234"/>
      <c r="D57" s="230"/>
      <c r="E57" s="231"/>
      <c r="F57" s="176"/>
      <c r="G57" s="235"/>
      <c r="H57" s="176"/>
      <c r="I57" s="176">
        <v>200000</v>
      </c>
      <c r="J57" s="176" t="s">
        <v>2204</v>
      </c>
    </row>
    <row r="58" spans="1:10" ht="19" customHeight="1" x14ac:dyDescent="0.2">
      <c r="A58" s="219"/>
      <c r="B58" s="220"/>
      <c r="C58" s="225"/>
      <c r="D58" s="222"/>
      <c r="E58" s="226"/>
      <c r="F58" s="161"/>
      <c r="G58" s="204"/>
      <c r="H58" s="161"/>
      <c r="I58" s="161">
        <v>120000</v>
      </c>
      <c r="J58" s="161" t="s">
        <v>1710</v>
      </c>
    </row>
    <row r="59" spans="1:10" ht="19" customHeight="1" x14ac:dyDescent="0.2">
      <c r="A59" s="227">
        <v>2134000</v>
      </c>
      <c r="B59" s="228"/>
      <c r="C59" s="234" t="s">
        <v>10</v>
      </c>
      <c r="D59" s="230" t="s">
        <v>685</v>
      </c>
      <c r="E59" s="231">
        <v>1686000</v>
      </c>
      <c r="F59" s="176">
        <v>448000</v>
      </c>
      <c r="G59" s="176"/>
      <c r="H59" s="176"/>
      <c r="I59" s="176">
        <v>50000</v>
      </c>
      <c r="J59" s="176" t="s">
        <v>123</v>
      </c>
    </row>
    <row r="60" spans="1:10" ht="19" customHeight="1" x14ac:dyDescent="0.2">
      <c r="A60" s="219"/>
      <c r="B60" s="220"/>
      <c r="C60" s="225"/>
      <c r="D60" s="222"/>
      <c r="E60" s="226"/>
      <c r="F60" s="161"/>
      <c r="G60" s="161"/>
      <c r="H60" s="161"/>
      <c r="I60" s="161"/>
      <c r="J60" s="161"/>
    </row>
    <row r="61" spans="1:10" ht="19" customHeight="1" x14ac:dyDescent="0.2">
      <c r="A61" s="227">
        <v>2176000</v>
      </c>
      <c r="B61" s="228">
        <v>45207</v>
      </c>
      <c r="C61" s="234" t="s">
        <v>9</v>
      </c>
      <c r="D61" s="230" t="s">
        <v>565</v>
      </c>
      <c r="E61" s="231">
        <v>1648000</v>
      </c>
      <c r="F61" s="176">
        <v>528000</v>
      </c>
      <c r="G61" s="176"/>
      <c r="H61" s="176"/>
      <c r="I61" s="176">
        <v>40000</v>
      </c>
      <c r="J61" s="176" t="s">
        <v>1493</v>
      </c>
    </row>
    <row r="62" spans="1:10" ht="19" customHeight="1" x14ac:dyDescent="0.2">
      <c r="A62" s="219"/>
      <c r="B62" s="220"/>
      <c r="C62" s="225"/>
      <c r="D62" s="222"/>
      <c r="E62" s="226"/>
      <c r="F62" s="161"/>
      <c r="G62" s="161"/>
      <c r="H62" s="161"/>
      <c r="I62" s="161">
        <v>9000</v>
      </c>
      <c r="J62" s="161" t="s">
        <v>1734</v>
      </c>
    </row>
    <row r="63" spans="1:10" ht="19" customHeight="1" x14ac:dyDescent="0.2">
      <c r="A63" s="227"/>
      <c r="B63" s="228"/>
      <c r="C63" s="234"/>
      <c r="D63" s="230"/>
      <c r="E63" s="231"/>
      <c r="F63" s="176"/>
      <c r="G63" s="176"/>
      <c r="H63" s="176"/>
      <c r="I63" s="176">
        <v>81000</v>
      </c>
      <c r="J63" s="176" t="s">
        <v>1491</v>
      </c>
    </row>
    <row r="64" spans="1:10" ht="19" customHeight="1" x14ac:dyDescent="0.2">
      <c r="A64" s="219"/>
      <c r="B64" s="220"/>
      <c r="C64" s="225"/>
      <c r="D64" s="222"/>
      <c r="E64" s="226"/>
      <c r="F64" s="161"/>
      <c r="G64" s="161"/>
      <c r="H64" s="161"/>
      <c r="I64" s="161">
        <v>61000</v>
      </c>
      <c r="J64" s="161" t="s">
        <v>2256</v>
      </c>
    </row>
    <row r="65" spans="1:10" ht="19" customHeight="1" x14ac:dyDescent="0.2">
      <c r="A65" s="227"/>
      <c r="B65" s="228"/>
      <c r="C65" s="234"/>
      <c r="D65" s="230"/>
      <c r="E65" s="231"/>
      <c r="F65" s="176"/>
      <c r="G65" s="176"/>
      <c r="H65" s="176"/>
      <c r="I65" s="176">
        <v>160000</v>
      </c>
      <c r="J65" s="176" t="s">
        <v>2257</v>
      </c>
    </row>
    <row r="66" spans="1:10" ht="19" customHeight="1" x14ac:dyDescent="0.2">
      <c r="A66" s="219"/>
      <c r="B66" s="220"/>
      <c r="C66" s="225"/>
      <c r="D66" s="222"/>
      <c r="E66" s="226"/>
      <c r="F66" s="161"/>
      <c r="G66" s="161"/>
      <c r="H66" s="161"/>
      <c r="I66" s="161">
        <v>150000</v>
      </c>
      <c r="J66" s="161" t="s">
        <v>2258</v>
      </c>
    </row>
    <row r="67" spans="1:10" ht="19" customHeight="1" x14ac:dyDescent="0.2">
      <c r="A67" s="236">
        <v>1592000</v>
      </c>
      <c r="B67" s="237"/>
      <c r="C67" s="234" t="s">
        <v>10</v>
      </c>
      <c r="D67" s="230" t="s">
        <v>685</v>
      </c>
      <c r="E67" s="238">
        <v>1453000</v>
      </c>
      <c r="F67" s="239">
        <v>139000</v>
      </c>
      <c r="G67" s="239"/>
      <c r="H67" s="239"/>
      <c r="I67" s="239"/>
      <c r="J67" s="176"/>
    </row>
    <row r="68" spans="1:10" ht="19" customHeight="1" x14ac:dyDescent="0.2">
      <c r="A68" s="219"/>
      <c r="B68" s="220"/>
      <c r="C68" s="225"/>
      <c r="D68" s="222"/>
      <c r="E68" s="226"/>
      <c r="F68" s="161"/>
      <c r="G68" s="161"/>
      <c r="H68" s="161"/>
      <c r="I68" s="161"/>
      <c r="J68" s="161"/>
    </row>
    <row r="69" spans="1:10" ht="19" customHeight="1" x14ac:dyDescent="0.2">
      <c r="A69" s="227">
        <v>2368000</v>
      </c>
      <c r="B69" s="228">
        <v>45208</v>
      </c>
      <c r="C69" s="234" t="s">
        <v>9</v>
      </c>
      <c r="D69" s="230" t="s">
        <v>565</v>
      </c>
      <c r="E69" s="231">
        <v>2067000</v>
      </c>
      <c r="F69" s="176">
        <v>301000</v>
      </c>
      <c r="G69" s="176"/>
      <c r="H69" s="176"/>
      <c r="I69" s="176">
        <v>75000</v>
      </c>
      <c r="J69" s="176" t="s">
        <v>2259</v>
      </c>
    </row>
    <row r="70" spans="1:10" ht="19" customHeight="1" x14ac:dyDescent="0.2">
      <c r="A70" s="219"/>
      <c r="B70" s="220"/>
      <c r="C70" s="225"/>
      <c r="D70" s="222"/>
      <c r="E70" s="226"/>
      <c r="F70" s="161"/>
      <c r="G70" s="204"/>
      <c r="H70" s="204"/>
      <c r="I70" s="161">
        <v>75000</v>
      </c>
      <c r="J70" s="161" t="s">
        <v>2260</v>
      </c>
    </row>
    <row r="71" spans="1:10" ht="34" customHeight="1" x14ac:dyDescent="0.2">
      <c r="A71" s="227">
        <v>1810000</v>
      </c>
      <c r="B71" s="228"/>
      <c r="C71" s="234" t="s">
        <v>10</v>
      </c>
      <c r="D71" s="230" t="s">
        <v>685</v>
      </c>
      <c r="E71" s="231">
        <v>1350000</v>
      </c>
      <c r="F71" s="176">
        <v>460000</v>
      </c>
      <c r="G71" s="176"/>
      <c r="H71" s="176"/>
      <c r="I71" s="176">
        <v>2667000</v>
      </c>
      <c r="J71" s="176" t="s">
        <v>2318</v>
      </c>
    </row>
    <row r="72" spans="1:10" ht="19" customHeight="1" x14ac:dyDescent="0.2">
      <c r="A72" s="219"/>
      <c r="B72" s="220"/>
      <c r="C72" s="225"/>
      <c r="D72" s="222"/>
      <c r="E72" s="226"/>
      <c r="F72" s="161"/>
      <c r="G72" s="161"/>
      <c r="H72" s="161"/>
      <c r="I72" s="161"/>
      <c r="J72" s="161"/>
    </row>
    <row r="73" spans="1:10" ht="19" customHeight="1" x14ac:dyDescent="0.2">
      <c r="A73" s="227">
        <v>2852000</v>
      </c>
      <c r="B73" s="228">
        <v>45209</v>
      </c>
      <c r="C73" s="234" t="s">
        <v>9</v>
      </c>
      <c r="D73" s="230" t="s">
        <v>2105</v>
      </c>
      <c r="E73" s="231">
        <v>1895000</v>
      </c>
      <c r="F73" s="176">
        <v>957000</v>
      </c>
      <c r="G73" s="176"/>
      <c r="H73" s="176"/>
      <c r="I73" s="176">
        <v>89000</v>
      </c>
      <c r="J73" s="176" t="s">
        <v>2261</v>
      </c>
    </row>
    <row r="74" spans="1:10" ht="19" customHeight="1" x14ac:dyDescent="0.2">
      <c r="A74" s="219"/>
      <c r="B74" s="220"/>
      <c r="C74" s="225"/>
      <c r="D74" s="222"/>
      <c r="E74" s="226"/>
      <c r="F74" s="161"/>
      <c r="G74" s="161"/>
      <c r="H74" s="161"/>
      <c r="I74" s="161">
        <v>67000</v>
      </c>
      <c r="J74" s="161" t="s">
        <v>2262</v>
      </c>
    </row>
    <row r="75" spans="1:10" ht="19" customHeight="1" x14ac:dyDescent="0.2">
      <c r="A75" s="223"/>
      <c r="B75" s="228"/>
      <c r="C75" s="229"/>
      <c r="D75" s="230"/>
      <c r="E75" s="231"/>
      <c r="F75" s="176"/>
      <c r="G75" s="176"/>
      <c r="H75" s="176"/>
      <c r="I75" s="176">
        <v>63000</v>
      </c>
      <c r="J75" s="176" t="s">
        <v>2263</v>
      </c>
    </row>
    <row r="76" spans="1:10" ht="19" customHeight="1" x14ac:dyDescent="0.2">
      <c r="A76" s="219"/>
      <c r="B76" s="220"/>
      <c r="C76" s="233"/>
      <c r="D76" s="222"/>
      <c r="E76" s="226"/>
      <c r="F76" s="161"/>
      <c r="G76" s="161"/>
      <c r="H76" s="161"/>
      <c r="I76" s="161">
        <v>107500</v>
      </c>
      <c r="J76" s="161" t="s">
        <v>1097</v>
      </c>
    </row>
    <row r="77" spans="1:10" ht="19" customHeight="1" x14ac:dyDescent="0.2">
      <c r="A77" s="227"/>
      <c r="B77" s="228"/>
      <c r="C77" s="234"/>
      <c r="D77" s="230"/>
      <c r="E77" s="231"/>
      <c r="F77" s="176"/>
      <c r="G77" s="232"/>
      <c r="H77" s="232"/>
      <c r="I77" s="176">
        <v>81000</v>
      </c>
      <c r="J77" s="176" t="s">
        <v>2264</v>
      </c>
    </row>
    <row r="78" spans="1:10" ht="19" customHeight="1" x14ac:dyDescent="0.2">
      <c r="A78" s="219"/>
      <c r="B78" s="220"/>
      <c r="C78" s="225"/>
      <c r="D78" s="222"/>
      <c r="E78" s="226"/>
      <c r="F78" s="161"/>
      <c r="G78" s="240"/>
      <c r="H78" s="240"/>
      <c r="I78" s="161">
        <v>31000</v>
      </c>
      <c r="J78" s="161" t="s">
        <v>2265</v>
      </c>
    </row>
    <row r="79" spans="1:10" ht="19" customHeight="1" x14ac:dyDescent="0.2">
      <c r="A79" s="227"/>
      <c r="B79" s="228"/>
      <c r="C79" s="234"/>
      <c r="D79" s="230"/>
      <c r="E79" s="231"/>
      <c r="F79" s="176"/>
      <c r="G79" s="232"/>
      <c r="H79" s="232"/>
      <c r="I79" s="176">
        <v>50000</v>
      </c>
      <c r="J79" s="176" t="s">
        <v>716</v>
      </c>
    </row>
    <row r="80" spans="1:10" ht="19" customHeight="1" x14ac:dyDescent="0.2">
      <c r="A80" s="219"/>
      <c r="B80" s="220"/>
      <c r="C80" s="225"/>
      <c r="D80" s="222"/>
      <c r="E80" s="226"/>
      <c r="F80" s="161"/>
      <c r="G80" s="240"/>
      <c r="H80" s="240"/>
      <c r="I80" s="161">
        <v>338000</v>
      </c>
      <c r="J80" s="161" t="s">
        <v>2266</v>
      </c>
    </row>
    <row r="81" spans="1:10" ht="19" customHeight="1" x14ac:dyDescent="0.2">
      <c r="A81" s="227"/>
      <c r="B81" s="228"/>
      <c r="C81" s="234"/>
      <c r="D81" s="230"/>
      <c r="E81" s="231"/>
      <c r="F81" s="176"/>
      <c r="G81" s="232"/>
      <c r="H81" s="232"/>
      <c r="I81" s="176">
        <v>390000</v>
      </c>
      <c r="J81" s="176" t="s">
        <v>2267</v>
      </c>
    </row>
    <row r="82" spans="1:10" ht="18" customHeight="1" x14ac:dyDescent="0.2">
      <c r="A82" s="219"/>
      <c r="B82" s="220"/>
      <c r="C82" s="225"/>
      <c r="D82" s="222"/>
      <c r="E82" s="226"/>
      <c r="F82" s="161"/>
      <c r="G82" s="161"/>
      <c r="H82" s="161"/>
      <c r="I82" s="161">
        <v>345000</v>
      </c>
      <c r="J82" s="161" t="s">
        <v>2268</v>
      </c>
    </row>
    <row r="83" spans="1:10" ht="19" customHeight="1" x14ac:dyDescent="0.2">
      <c r="A83" s="227">
        <v>1879000</v>
      </c>
      <c r="B83" s="215"/>
      <c r="C83" s="91" t="s">
        <v>10</v>
      </c>
      <c r="D83" s="92" t="s">
        <v>685</v>
      </c>
      <c r="E83" s="93">
        <v>1449000</v>
      </c>
      <c r="F83" s="47">
        <v>430000</v>
      </c>
      <c r="G83" s="47"/>
      <c r="H83" s="47"/>
      <c r="I83" s="47">
        <v>264000</v>
      </c>
      <c r="J83" s="47" t="s">
        <v>1509</v>
      </c>
    </row>
    <row r="84" spans="1:10" ht="19" customHeight="1" x14ac:dyDescent="0.2">
      <c r="A84" s="219"/>
      <c r="B84" s="220"/>
      <c r="C84" s="225"/>
      <c r="D84" s="222"/>
      <c r="E84" s="226"/>
      <c r="F84" s="161"/>
      <c r="G84" s="240"/>
      <c r="H84" s="240"/>
      <c r="I84" s="161">
        <v>144000</v>
      </c>
      <c r="J84" s="161" t="s">
        <v>1245</v>
      </c>
    </row>
    <row r="85" spans="1:10" ht="19" customHeight="1" x14ac:dyDescent="0.2">
      <c r="A85" s="227"/>
      <c r="B85" s="215"/>
      <c r="C85" s="91"/>
      <c r="D85" s="92"/>
      <c r="E85" s="93"/>
      <c r="F85" s="47"/>
      <c r="G85" s="59"/>
      <c r="H85" s="59"/>
      <c r="I85" s="47">
        <v>80000</v>
      </c>
      <c r="J85" s="47" t="s">
        <v>1285</v>
      </c>
    </row>
    <row r="86" spans="1:10" ht="19" customHeight="1" x14ac:dyDescent="0.2">
      <c r="A86" s="219"/>
      <c r="B86" s="220"/>
      <c r="C86" s="225"/>
      <c r="D86" s="222"/>
      <c r="E86" s="226"/>
      <c r="F86" s="161"/>
      <c r="G86" s="240"/>
      <c r="H86" s="240"/>
      <c r="I86" s="161">
        <v>125000</v>
      </c>
      <c r="J86" s="161" t="s">
        <v>1296</v>
      </c>
    </row>
    <row r="87" spans="1:10" ht="19" customHeight="1" x14ac:dyDescent="0.2">
      <c r="A87" s="227"/>
      <c r="B87" s="228"/>
      <c r="C87" s="234"/>
      <c r="D87" s="230"/>
      <c r="E87" s="231"/>
      <c r="F87" s="176"/>
      <c r="G87" s="232"/>
      <c r="H87" s="232"/>
      <c r="I87" s="176"/>
      <c r="J87" s="176"/>
    </row>
    <row r="88" spans="1:10" ht="19" customHeight="1" x14ac:dyDescent="0.2">
      <c r="A88" s="219">
        <v>3022000</v>
      </c>
      <c r="B88" s="220">
        <v>45210</v>
      </c>
      <c r="C88" s="225" t="s">
        <v>9</v>
      </c>
      <c r="D88" s="222" t="s">
        <v>565</v>
      </c>
      <c r="E88" s="226">
        <v>1642000</v>
      </c>
      <c r="F88" s="161">
        <v>1380000</v>
      </c>
      <c r="G88" s="240"/>
      <c r="H88" s="240"/>
      <c r="I88" s="161">
        <v>196000</v>
      </c>
      <c r="J88" s="161" t="s">
        <v>2269</v>
      </c>
    </row>
    <row r="89" spans="1:10" ht="19" customHeight="1" x14ac:dyDescent="0.2">
      <c r="A89" s="227"/>
      <c r="B89" s="228"/>
      <c r="C89" s="234"/>
      <c r="D89" s="230"/>
      <c r="E89" s="231"/>
      <c r="F89" s="176"/>
      <c r="G89" s="232"/>
      <c r="H89" s="232"/>
      <c r="I89" s="176"/>
      <c r="J89" s="176"/>
    </row>
    <row r="90" spans="1:10" ht="19" customHeight="1" x14ac:dyDescent="0.2">
      <c r="A90" s="219">
        <v>2036000</v>
      </c>
      <c r="B90" s="220"/>
      <c r="C90" s="225" t="s">
        <v>10</v>
      </c>
      <c r="D90" s="222" t="s">
        <v>685</v>
      </c>
      <c r="E90" s="226">
        <v>1692000</v>
      </c>
      <c r="F90" s="161">
        <v>344000</v>
      </c>
      <c r="G90" s="240"/>
      <c r="H90" s="240"/>
      <c r="I90" s="161"/>
      <c r="J90" s="161"/>
    </row>
    <row r="91" spans="1:10" ht="19" customHeight="1" x14ac:dyDescent="0.2">
      <c r="A91" s="227"/>
      <c r="B91" s="228"/>
      <c r="C91" s="234"/>
      <c r="D91" s="230"/>
      <c r="E91" s="231"/>
      <c r="F91" s="176"/>
      <c r="G91" s="232"/>
      <c r="H91" s="232"/>
      <c r="I91" s="176"/>
      <c r="J91" s="176"/>
    </row>
    <row r="92" spans="1:10" ht="19" customHeight="1" x14ac:dyDescent="0.2">
      <c r="A92" s="219">
        <v>2809000</v>
      </c>
      <c r="B92" s="220">
        <v>45211</v>
      </c>
      <c r="C92" s="225" t="s">
        <v>9</v>
      </c>
      <c r="D92" s="222" t="s">
        <v>565</v>
      </c>
      <c r="E92" s="226">
        <v>1741000</v>
      </c>
      <c r="F92" s="161">
        <v>1068000</v>
      </c>
      <c r="G92" s="161">
        <v>3690000</v>
      </c>
      <c r="H92" s="161" t="s">
        <v>2310</v>
      </c>
      <c r="I92" s="161">
        <v>6000</v>
      </c>
      <c r="J92" s="161" t="s">
        <v>1667</v>
      </c>
    </row>
    <row r="93" spans="1:10" ht="19" customHeight="1" x14ac:dyDescent="0.2">
      <c r="A93" s="227"/>
      <c r="B93" s="215"/>
      <c r="C93" s="91"/>
      <c r="D93" s="92"/>
      <c r="E93" s="93"/>
      <c r="F93" s="47"/>
      <c r="G93" s="59"/>
      <c r="H93" s="59"/>
      <c r="I93" s="47">
        <v>40000</v>
      </c>
      <c r="J93" s="47" t="s">
        <v>1493</v>
      </c>
    </row>
    <row r="94" spans="1:10" ht="19" customHeight="1" x14ac:dyDescent="0.2">
      <c r="A94" s="219"/>
      <c r="B94" s="220"/>
      <c r="C94" s="225"/>
      <c r="D94" s="222"/>
      <c r="E94" s="226"/>
      <c r="F94" s="161"/>
      <c r="G94" s="240"/>
      <c r="H94" s="240"/>
      <c r="I94" s="161">
        <v>18000</v>
      </c>
      <c r="J94" s="161" t="s">
        <v>2270</v>
      </c>
    </row>
    <row r="95" spans="1:10" ht="19" customHeight="1" x14ac:dyDescent="0.2">
      <c r="A95" s="227"/>
      <c r="B95" s="228"/>
      <c r="C95" s="234"/>
      <c r="D95" s="230"/>
      <c r="E95" s="231"/>
      <c r="F95" s="176"/>
      <c r="G95" s="232"/>
      <c r="H95" s="232"/>
      <c r="I95" s="176">
        <v>46000</v>
      </c>
      <c r="J95" s="176" t="s">
        <v>2271</v>
      </c>
    </row>
    <row r="96" spans="1:10" ht="19" customHeight="1" x14ac:dyDescent="0.2">
      <c r="A96" s="219">
        <v>2155000</v>
      </c>
      <c r="B96" s="220"/>
      <c r="C96" s="225" t="s">
        <v>10</v>
      </c>
      <c r="D96" s="222" t="s">
        <v>685</v>
      </c>
      <c r="E96" s="226">
        <v>1472000</v>
      </c>
      <c r="F96" s="161">
        <v>683000</v>
      </c>
      <c r="G96" s="240"/>
      <c r="H96" s="240"/>
      <c r="I96" s="161">
        <v>308000</v>
      </c>
      <c r="J96" s="161" t="s">
        <v>1781</v>
      </c>
    </row>
    <row r="97" spans="1:10" ht="19" customHeight="1" x14ac:dyDescent="0.2">
      <c r="A97" s="227"/>
      <c r="B97" s="228"/>
      <c r="C97" s="234"/>
      <c r="D97" s="230"/>
      <c r="E97" s="231"/>
      <c r="F97" s="176"/>
      <c r="G97" s="232"/>
      <c r="H97" s="232"/>
      <c r="I97" s="176">
        <v>120000</v>
      </c>
      <c r="J97" s="176" t="s">
        <v>1710</v>
      </c>
    </row>
    <row r="98" spans="1:10" ht="19" customHeight="1" x14ac:dyDescent="0.2">
      <c r="A98" s="219"/>
      <c r="B98" s="220"/>
      <c r="C98" s="225"/>
      <c r="D98" s="222"/>
      <c r="E98" s="226"/>
      <c r="F98" s="161"/>
      <c r="G98" s="240"/>
      <c r="H98" s="240"/>
      <c r="I98" s="161">
        <v>35000</v>
      </c>
      <c r="J98" s="161" t="s">
        <v>1467</v>
      </c>
    </row>
    <row r="99" spans="1:10" ht="19" customHeight="1" x14ac:dyDescent="0.2">
      <c r="A99" s="227"/>
      <c r="B99" s="228"/>
      <c r="C99" s="260"/>
      <c r="D99" s="230"/>
      <c r="E99" s="231"/>
      <c r="F99" s="176"/>
      <c r="G99" s="176"/>
      <c r="H99" s="176"/>
      <c r="I99" s="176">
        <v>200000</v>
      </c>
      <c r="J99" s="176" t="s">
        <v>2204</v>
      </c>
    </row>
    <row r="100" spans="1:10" ht="19" customHeight="1" x14ac:dyDescent="0.2">
      <c r="A100" s="219">
        <v>3368000</v>
      </c>
      <c r="B100" s="220">
        <v>45212</v>
      </c>
      <c r="C100" s="225" t="s">
        <v>9</v>
      </c>
      <c r="D100" s="222" t="s">
        <v>565</v>
      </c>
      <c r="E100" s="226">
        <v>2421000</v>
      </c>
      <c r="F100" s="161">
        <v>947000</v>
      </c>
      <c r="G100" s="161">
        <v>2500000</v>
      </c>
      <c r="H100" s="161" t="s">
        <v>1475</v>
      </c>
      <c r="I100" s="161">
        <v>182000</v>
      </c>
      <c r="J100" s="161" t="s">
        <v>2255</v>
      </c>
    </row>
    <row r="101" spans="1:10" ht="19" customHeight="1" x14ac:dyDescent="0.2">
      <c r="A101" s="227"/>
      <c r="B101" s="228"/>
      <c r="C101" s="234"/>
      <c r="D101" s="230"/>
      <c r="E101" s="231"/>
      <c r="F101" s="176"/>
      <c r="G101" s="176"/>
      <c r="H101" s="176"/>
      <c r="I101" s="176">
        <v>520000</v>
      </c>
      <c r="J101" s="176" t="s">
        <v>1517</v>
      </c>
    </row>
    <row r="102" spans="1:10" ht="19" customHeight="1" x14ac:dyDescent="0.2">
      <c r="A102" s="219"/>
      <c r="B102" s="220"/>
      <c r="C102" s="225"/>
      <c r="D102" s="222"/>
      <c r="E102" s="226"/>
      <c r="F102" s="161"/>
      <c r="G102" s="161"/>
      <c r="H102" s="161"/>
      <c r="I102" s="161">
        <v>120000</v>
      </c>
      <c r="J102" s="161" t="s">
        <v>1668</v>
      </c>
    </row>
    <row r="103" spans="1:10" ht="19" customHeight="1" x14ac:dyDescent="0.2">
      <c r="A103" s="227"/>
      <c r="B103" s="228"/>
      <c r="C103" s="234"/>
      <c r="D103" s="230"/>
      <c r="E103" s="231"/>
      <c r="F103" s="176"/>
      <c r="G103" s="176"/>
      <c r="H103" s="176"/>
      <c r="I103" s="176">
        <v>29000</v>
      </c>
      <c r="J103" s="176" t="s">
        <v>2307</v>
      </c>
    </row>
    <row r="104" spans="1:10" ht="19" customHeight="1" x14ac:dyDescent="0.2">
      <c r="A104" s="219">
        <v>1603000</v>
      </c>
      <c r="B104" s="220"/>
      <c r="C104" s="225" t="s">
        <v>10</v>
      </c>
      <c r="D104" s="222" t="s">
        <v>685</v>
      </c>
      <c r="E104" s="226">
        <v>987000</v>
      </c>
      <c r="F104" s="161">
        <v>616000</v>
      </c>
      <c r="G104" s="161"/>
      <c r="H104" s="161"/>
      <c r="I104" s="161">
        <v>144000</v>
      </c>
      <c r="J104" s="161" t="s">
        <v>1245</v>
      </c>
    </row>
    <row r="105" spans="1:10" ht="19" customHeight="1" x14ac:dyDescent="0.2">
      <c r="A105" s="227"/>
      <c r="B105" s="228"/>
      <c r="C105" s="234"/>
      <c r="D105" s="230"/>
      <c r="E105" s="231"/>
      <c r="F105" s="176"/>
      <c r="G105" s="176"/>
      <c r="H105" s="176"/>
      <c r="I105" s="176">
        <v>80000</v>
      </c>
      <c r="J105" s="176" t="s">
        <v>1285</v>
      </c>
    </row>
    <row r="106" spans="1:10" ht="19" customHeight="1" x14ac:dyDescent="0.2">
      <c r="A106" s="219"/>
      <c r="B106" s="220"/>
      <c r="C106" s="225"/>
      <c r="D106" s="222"/>
      <c r="E106" s="226"/>
      <c r="F106" s="161"/>
      <c r="G106" s="161"/>
      <c r="H106" s="161"/>
      <c r="I106" s="161">
        <v>125000</v>
      </c>
      <c r="J106" s="161" t="s">
        <v>1296</v>
      </c>
    </row>
    <row r="107" spans="1:10" ht="19" customHeight="1" x14ac:dyDescent="0.2">
      <c r="A107" s="227"/>
      <c r="B107" s="228"/>
      <c r="C107" s="234"/>
      <c r="D107" s="230"/>
      <c r="E107" s="231"/>
      <c r="F107" s="176"/>
      <c r="G107" s="176"/>
      <c r="H107" s="176"/>
      <c r="I107" s="176">
        <v>75000</v>
      </c>
      <c r="J107" s="176" t="s">
        <v>2272</v>
      </c>
    </row>
    <row r="108" spans="1:10" ht="19" customHeight="1" x14ac:dyDescent="0.2">
      <c r="A108" s="219"/>
      <c r="B108" s="220"/>
      <c r="C108" s="225"/>
      <c r="D108" s="222"/>
      <c r="E108" s="226"/>
      <c r="F108" s="161"/>
      <c r="G108" s="161"/>
      <c r="H108" s="161"/>
      <c r="I108" s="161">
        <v>75000</v>
      </c>
      <c r="J108" s="161" t="s">
        <v>2273</v>
      </c>
    </row>
    <row r="109" spans="1:10" ht="19" customHeight="1" x14ac:dyDescent="0.2">
      <c r="A109" s="227">
        <v>2628000</v>
      </c>
      <c r="B109" s="228">
        <v>45213</v>
      </c>
      <c r="C109" s="234" t="s">
        <v>9</v>
      </c>
      <c r="D109" s="230" t="s">
        <v>565</v>
      </c>
      <c r="E109" s="231">
        <v>1726000</v>
      </c>
      <c r="F109" s="176">
        <v>902000</v>
      </c>
      <c r="G109" s="176"/>
      <c r="H109" s="176"/>
      <c r="I109" s="176">
        <v>150000</v>
      </c>
      <c r="J109" s="176" t="s">
        <v>2274</v>
      </c>
    </row>
    <row r="110" spans="1:10" ht="19" customHeight="1" x14ac:dyDescent="0.2">
      <c r="A110" s="219">
        <v>1976000</v>
      </c>
      <c r="B110" s="220"/>
      <c r="C110" s="225" t="s">
        <v>10</v>
      </c>
      <c r="D110" s="222" t="s">
        <v>685</v>
      </c>
      <c r="E110" s="226">
        <v>1568000</v>
      </c>
      <c r="F110" s="161">
        <v>408000</v>
      </c>
      <c r="G110" s="161"/>
      <c r="H110" s="161"/>
      <c r="I110" s="161">
        <v>50000</v>
      </c>
      <c r="J110" s="161" t="s">
        <v>123</v>
      </c>
    </row>
    <row r="111" spans="1:10" ht="19" customHeight="1" x14ac:dyDescent="0.2">
      <c r="A111" s="227"/>
      <c r="B111" s="228"/>
      <c r="C111" s="234"/>
      <c r="D111" s="230"/>
      <c r="E111" s="231"/>
      <c r="F111" s="176"/>
      <c r="G111" s="176"/>
      <c r="H111" s="176"/>
      <c r="I111" s="176"/>
      <c r="J111" s="176"/>
    </row>
    <row r="112" spans="1:10" ht="19" customHeight="1" x14ac:dyDescent="0.2">
      <c r="A112" s="219"/>
      <c r="B112" s="220">
        <v>45214</v>
      </c>
      <c r="C112" s="225"/>
      <c r="D112" s="222"/>
      <c r="E112" s="226"/>
      <c r="F112" s="161"/>
      <c r="G112" s="161"/>
      <c r="H112" s="161" t="s">
        <v>737</v>
      </c>
      <c r="I112" s="161"/>
      <c r="J112" s="161"/>
    </row>
    <row r="113" spans="1:10" s="94" customFormat="1" ht="34" customHeight="1" x14ac:dyDescent="0.2">
      <c r="A113" s="227"/>
      <c r="B113" s="228"/>
      <c r="C113" s="234"/>
      <c r="D113" s="230"/>
      <c r="E113" s="231"/>
      <c r="F113" s="176"/>
      <c r="G113" s="176">
        <v>964000</v>
      </c>
      <c r="H113" s="176" t="s">
        <v>2275</v>
      </c>
      <c r="I113" s="176"/>
      <c r="J113" s="176"/>
    </row>
    <row r="114" spans="1:10" ht="19" customHeight="1" x14ac:dyDescent="0.2">
      <c r="A114" s="219"/>
      <c r="B114" s="220"/>
      <c r="C114" s="225"/>
      <c r="D114" s="222"/>
      <c r="E114" s="226"/>
      <c r="F114" s="161"/>
      <c r="G114" s="161">
        <v>1547000</v>
      </c>
      <c r="H114" s="161" t="s">
        <v>2276</v>
      </c>
      <c r="I114" s="161"/>
      <c r="J114" s="161"/>
    </row>
    <row r="115" spans="1:10" ht="19" customHeight="1" x14ac:dyDescent="0.2">
      <c r="A115" s="227"/>
      <c r="B115" s="228"/>
      <c r="C115" s="234"/>
      <c r="D115" s="230"/>
      <c r="E115" s="231"/>
      <c r="F115" s="176"/>
      <c r="G115" s="176">
        <v>640000</v>
      </c>
      <c r="H115" s="176" t="s">
        <v>2277</v>
      </c>
      <c r="I115" s="176"/>
      <c r="J115" s="176"/>
    </row>
    <row r="116" spans="1:10" s="94" customFormat="1" ht="28" customHeight="1" x14ac:dyDescent="0.2">
      <c r="A116" s="219"/>
      <c r="B116" s="220"/>
      <c r="C116" s="225"/>
      <c r="D116" s="222"/>
      <c r="E116" s="226"/>
      <c r="F116" s="161"/>
      <c r="G116" s="161">
        <v>900000</v>
      </c>
      <c r="H116" s="161" t="s">
        <v>2278</v>
      </c>
      <c r="I116" s="161"/>
      <c r="J116" s="161"/>
    </row>
    <row r="117" spans="1:10" ht="19" customHeight="1" x14ac:dyDescent="0.2">
      <c r="A117" s="227">
        <v>2789000</v>
      </c>
      <c r="B117" s="228">
        <v>45215</v>
      </c>
      <c r="C117" s="234" t="s">
        <v>9</v>
      </c>
      <c r="D117" s="230" t="s">
        <v>565</v>
      </c>
      <c r="E117" s="231">
        <v>1916000</v>
      </c>
      <c r="F117" s="176">
        <v>873000</v>
      </c>
      <c r="G117" s="176"/>
      <c r="H117" s="176"/>
      <c r="I117" s="176">
        <v>345000</v>
      </c>
      <c r="J117" s="176" t="s">
        <v>2279</v>
      </c>
    </row>
    <row r="118" spans="1:10" ht="28" customHeight="1" x14ac:dyDescent="0.2">
      <c r="A118" s="219"/>
      <c r="B118" s="220"/>
      <c r="C118" s="225"/>
      <c r="D118" s="222"/>
      <c r="E118" s="226"/>
      <c r="F118" s="161"/>
      <c r="G118" s="161"/>
      <c r="H118" s="161"/>
      <c r="I118" s="161">
        <v>390000</v>
      </c>
      <c r="J118" s="161" t="s">
        <v>2280</v>
      </c>
    </row>
    <row r="119" spans="1:10" ht="19" customHeight="1" x14ac:dyDescent="0.2">
      <c r="A119" s="227">
        <v>1665000</v>
      </c>
      <c r="B119" s="228"/>
      <c r="C119" s="234" t="s">
        <v>1787</v>
      </c>
      <c r="D119" s="230" t="s">
        <v>685</v>
      </c>
      <c r="E119" s="231">
        <v>1173000</v>
      </c>
      <c r="F119" s="176">
        <v>492000</v>
      </c>
      <c r="G119" s="176"/>
      <c r="H119" s="176"/>
      <c r="I119" s="176">
        <v>440000</v>
      </c>
      <c r="J119" s="176" t="s">
        <v>2281</v>
      </c>
    </row>
    <row r="120" spans="1:10" ht="19" customHeight="1" x14ac:dyDescent="0.2">
      <c r="A120" s="219"/>
      <c r="B120" s="220"/>
      <c r="C120" s="225"/>
      <c r="D120" s="222"/>
      <c r="E120" s="226"/>
      <c r="F120" s="161"/>
      <c r="G120" s="161"/>
      <c r="H120" s="161"/>
      <c r="I120" s="161">
        <v>144000</v>
      </c>
      <c r="J120" s="161" t="s">
        <v>1245</v>
      </c>
    </row>
    <row r="121" spans="1:10" ht="19" customHeight="1" x14ac:dyDescent="0.2">
      <c r="A121" s="227"/>
      <c r="B121" s="228"/>
      <c r="C121" s="234"/>
      <c r="D121" s="230"/>
      <c r="E121" s="231"/>
      <c r="F121" s="176"/>
      <c r="G121" s="176"/>
      <c r="H121" s="176"/>
      <c r="I121" s="176">
        <v>108000</v>
      </c>
      <c r="J121" s="176" t="s">
        <v>1303</v>
      </c>
    </row>
    <row r="122" spans="1:10" ht="19" customHeight="1" x14ac:dyDescent="0.2">
      <c r="A122" s="219"/>
      <c r="B122" s="220"/>
      <c r="C122" s="225"/>
      <c r="D122" s="222"/>
      <c r="E122" s="226"/>
      <c r="F122" s="161"/>
      <c r="G122" s="161"/>
      <c r="H122" s="161"/>
      <c r="I122" s="161">
        <v>9000</v>
      </c>
      <c r="J122" s="161" t="s">
        <v>1734</v>
      </c>
    </row>
    <row r="123" spans="1:10" ht="19" customHeight="1" x14ac:dyDescent="0.2">
      <c r="A123" s="227">
        <v>2337000</v>
      </c>
      <c r="B123" s="215">
        <v>45216</v>
      </c>
      <c r="C123" s="91" t="s">
        <v>9</v>
      </c>
      <c r="D123" s="92" t="s">
        <v>565</v>
      </c>
      <c r="E123" s="93">
        <v>1670000</v>
      </c>
      <c r="F123" s="47">
        <v>667000</v>
      </c>
      <c r="G123" s="47"/>
      <c r="H123" s="47"/>
      <c r="I123" s="47">
        <v>140000</v>
      </c>
      <c r="J123" s="47" t="s">
        <v>881</v>
      </c>
    </row>
    <row r="124" spans="1:10" ht="19" customHeight="1" x14ac:dyDescent="0.2">
      <c r="A124" s="219">
        <v>1336000</v>
      </c>
      <c r="B124" s="244"/>
      <c r="C124" s="233" t="s">
        <v>10</v>
      </c>
      <c r="D124" s="222" t="s">
        <v>685</v>
      </c>
      <c r="E124" s="226">
        <v>1164000</v>
      </c>
      <c r="F124" s="161">
        <v>172000</v>
      </c>
      <c r="G124" s="161"/>
      <c r="H124" s="161"/>
      <c r="I124" s="245">
        <v>264000</v>
      </c>
      <c r="J124" s="245" t="s">
        <v>1397</v>
      </c>
    </row>
    <row r="125" spans="1:10" ht="19" customHeight="1" x14ac:dyDescent="0.2">
      <c r="A125" s="227"/>
      <c r="B125" s="215"/>
      <c r="C125" s="246"/>
      <c r="D125" s="92"/>
      <c r="E125" s="93"/>
      <c r="F125" s="47"/>
      <c r="G125" s="47"/>
      <c r="H125" s="47"/>
      <c r="I125" s="247"/>
      <c r="J125" s="247"/>
    </row>
    <row r="126" spans="1:10" ht="19" customHeight="1" x14ac:dyDescent="0.2">
      <c r="A126" s="219">
        <v>3001000</v>
      </c>
      <c r="B126" s="220">
        <v>45217</v>
      </c>
      <c r="C126" s="233" t="s">
        <v>9</v>
      </c>
      <c r="D126" s="222" t="s">
        <v>565</v>
      </c>
      <c r="E126" s="226">
        <v>2307000</v>
      </c>
      <c r="F126" s="161">
        <v>694000</v>
      </c>
      <c r="G126" s="161"/>
      <c r="H126" s="161"/>
      <c r="I126" s="245">
        <v>58500</v>
      </c>
      <c r="J126" s="245" t="s">
        <v>2282</v>
      </c>
    </row>
    <row r="127" spans="1:10" ht="19" customHeight="1" x14ac:dyDescent="0.2">
      <c r="A127" s="227"/>
      <c r="B127" s="228"/>
      <c r="C127" s="229"/>
      <c r="D127" s="230"/>
      <c r="E127" s="231"/>
      <c r="F127" s="176"/>
      <c r="G127" s="176"/>
      <c r="H127" s="176"/>
      <c r="I127" s="243">
        <v>40000</v>
      </c>
      <c r="J127" s="243" t="s">
        <v>2283</v>
      </c>
    </row>
    <row r="128" spans="1:10" ht="19" customHeight="1" x14ac:dyDescent="0.2">
      <c r="A128" s="224"/>
      <c r="B128" s="220"/>
      <c r="C128" s="241"/>
      <c r="D128" s="222"/>
      <c r="E128" s="226"/>
      <c r="F128" s="161"/>
      <c r="G128" s="161"/>
      <c r="H128" s="161"/>
      <c r="I128" s="161">
        <v>10000</v>
      </c>
      <c r="J128" s="161" t="s">
        <v>1018</v>
      </c>
    </row>
    <row r="129" spans="1:10" ht="19" customHeight="1" x14ac:dyDescent="0.2">
      <c r="A129" s="223"/>
      <c r="B129" s="248"/>
      <c r="C129" s="249"/>
      <c r="D129" s="250"/>
      <c r="E129" s="93"/>
      <c r="F129" s="47"/>
      <c r="G129" s="47"/>
      <c r="H129" s="47"/>
      <c r="I129" s="47">
        <v>150000</v>
      </c>
      <c r="J129" s="47" t="s">
        <v>2284</v>
      </c>
    </row>
    <row r="130" spans="1:10" ht="19" customHeight="1" x14ac:dyDescent="0.2">
      <c r="A130" s="219"/>
      <c r="B130" s="220"/>
      <c r="C130" s="233"/>
      <c r="D130" s="222"/>
      <c r="E130" s="226"/>
      <c r="F130" s="161"/>
      <c r="G130" s="161"/>
      <c r="H130" s="161"/>
      <c r="I130" s="161">
        <v>150000</v>
      </c>
      <c r="J130" s="161" t="s">
        <v>2285</v>
      </c>
    </row>
    <row r="131" spans="1:10" ht="19" customHeight="1" x14ac:dyDescent="0.2">
      <c r="A131" s="227">
        <v>1764000</v>
      </c>
      <c r="B131" s="228"/>
      <c r="C131" s="229" t="s">
        <v>10</v>
      </c>
      <c r="D131" s="230" t="s">
        <v>685</v>
      </c>
      <c r="E131" s="176">
        <v>1231000</v>
      </c>
      <c r="F131" s="176">
        <v>533000</v>
      </c>
      <c r="G131" s="176"/>
      <c r="H131" s="176"/>
      <c r="I131" s="176">
        <v>144000</v>
      </c>
      <c r="J131" s="176" t="s">
        <v>615</v>
      </c>
    </row>
    <row r="132" spans="1:10" ht="19" customHeight="1" x14ac:dyDescent="0.2">
      <c r="A132" s="219"/>
      <c r="B132" s="220"/>
      <c r="C132" s="233"/>
      <c r="D132" s="222"/>
      <c r="E132" s="226"/>
      <c r="F132" s="161"/>
      <c r="G132" s="161"/>
      <c r="H132" s="161"/>
      <c r="I132" s="161">
        <v>125000</v>
      </c>
      <c r="J132" s="161" t="s">
        <v>889</v>
      </c>
    </row>
    <row r="133" spans="1:10" ht="19" customHeight="1" x14ac:dyDescent="0.2">
      <c r="A133" s="227"/>
      <c r="B133" s="228"/>
      <c r="C133" s="229"/>
      <c r="D133" s="230"/>
      <c r="E133" s="231"/>
      <c r="F133" s="176"/>
      <c r="G133" s="176"/>
      <c r="H133" s="176"/>
      <c r="I133" s="176">
        <v>80000</v>
      </c>
      <c r="J133" s="176" t="s">
        <v>751</v>
      </c>
    </row>
    <row r="134" spans="1:10" ht="19" customHeight="1" x14ac:dyDescent="0.2">
      <c r="A134" s="219">
        <v>2957000</v>
      </c>
      <c r="B134" s="220">
        <v>45218</v>
      </c>
      <c r="C134" s="233" t="s">
        <v>9</v>
      </c>
      <c r="D134" s="222" t="s">
        <v>565</v>
      </c>
      <c r="E134" s="226">
        <v>2320000</v>
      </c>
      <c r="F134" s="161">
        <v>637000</v>
      </c>
      <c r="G134" s="161">
        <v>2500000</v>
      </c>
      <c r="H134" s="161" t="s">
        <v>812</v>
      </c>
      <c r="I134" s="161">
        <v>140000</v>
      </c>
      <c r="J134" s="161" t="s">
        <v>2098</v>
      </c>
    </row>
    <row r="135" spans="1:10" ht="19" customHeight="1" x14ac:dyDescent="0.2">
      <c r="A135" s="227"/>
      <c r="B135" s="228"/>
      <c r="C135" s="229"/>
      <c r="D135" s="230"/>
      <c r="E135" s="231"/>
      <c r="F135" s="176"/>
      <c r="G135" s="176"/>
      <c r="H135" s="176"/>
      <c r="I135" s="176">
        <v>338000</v>
      </c>
      <c r="J135" s="176" t="s">
        <v>2286</v>
      </c>
    </row>
    <row r="136" spans="1:10" ht="26" customHeight="1" x14ac:dyDescent="0.2">
      <c r="A136" s="219"/>
      <c r="B136" s="220"/>
      <c r="C136" s="233"/>
      <c r="D136" s="222"/>
      <c r="E136" s="226"/>
      <c r="F136" s="161"/>
      <c r="G136" s="161"/>
      <c r="H136" s="161"/>
      <c r="I136" s="161">
        <v>200000</v>
      </c>
      <c r="J136" s="161" t="s">
        <v>2287</v>
      </c>
    </row>
    <row r="137" spans="1:10" ht="19" customHeight="1" x14ac:dyDescent="0.2">
      <c r="A137" s="227"/>
      <c r="B137" s="248"/>
      <c r="C137" s="246"/>
      <c r="D137" s="92"/>
      <c r="E137" s="93"/>
      <c r="F137" s="47"/>
      <c r="G137" s="47"/>
      <c r="H137" s="47"/>
      <c r="I137" s="47">
        <v>35000</v>
      </c>
      <c r="J137" s="47" t="s">
        <v>655</v>
      </c>
    </row>
    <row r="138" spans="1:10" ht="19" customHeight="1" x14ac:dyDescent="0.2">
      <c r="A138" s="219"/>
      <c r="B138" s="244"/>
      <c r="C138" s="233"/>
      <c r="D138" s="222"/>
      <c r="E138" s="226"/>
      <c r="F138" s="161"/>
      <c r="G138" s="161"/>
      <c r="H138" s="161"/>
      <c r="I138" s="161">
        <v>120000</v>
      </c>
      <c r="J138" s="161" t="s">
        <v>886</v>
      </c>
    </row>
    <row r="139" spans="1:10" ht="19" customHeight="1" x14ac:dyDescent="0.2">
      <c r="A139" s="227">
        <v>2030000</v>
      </c>
      <c r="B139" s="215"/>
      <c r="C139" s="246" t="s">
        <v>10</v>
      </c>
      <c r="D139" s="92" t="s">
        <v>685</v>
      </c>
      <c r="E139" s="93">
        <v>1465000</v>
      </c>
      <c r="F139" s="47">
        <v>565000</v>
      </c>
      <c r="G139" s="47"/>
      <c r="H139" s="47"/>
      <c r="I139" s="47">
        <v>308000</v>
      </c>
      <c r="J139" s="47" t="s">
        <v>1413</v>
      </c>
    </row>
    <row r="140" spans="1:10" ht="19" customHeight="1" x14ac:dyDescent="0.2">
      <c r="A140" s="219">
        <v>2776000</v>
      </c>
      <c r="B140" s="215">
        <v>45219</v>
      </c>
      <c r="C140" s="233" t="s">
        <v>9</v>
      </c>
      <c r="D140" s="222" t="s">
        <v>565</v>
      </c>
      <c r="E140" s="226">
        <v>1960000</v>
      </c>
      <c r="F140" s="161">
        <v>816000</v>
      </c>
      <c r="G140" s="161">
        <v>260000</v>
      </c>
      <c r="H140" s="161" t="s">
        <v>1800</v>
      </c>
      <c r="I140" s="161">
        <v>86000</v>
      </c>
      <c r="J140" s="161" t="s">
        <v>2288</v>
      </c>
    </row>
    <row r="141" spans="1:10" ht="19" customHeight="1" x14ac:dyDescent="0.2">
      <c r="A141" s="227"/>
      <c r="B141" s="248"/>
      <c r="C141" s="246"/>
      <c r="D141" s="92"/>
      <c r="E141" s="93"/>
      <c r="F141" s="47"/>
      <c r="G141" s="47"/>
      <c r="H141" s="47"/>
      <c r="I141" s="47">
        <v>140000</v>
      </c>
      <c r="J141" s="47" t="s">
        <v>2289</v>
      </c>
    </row>
    <row r="142" spans="1:10" ht="19" customHeight="1" x14ac:dyDescent="0.2">
      <c r="A142" s="219"/>
      <c r="B142" s="244"/>
      <c r="C142" s="241"/>
      <c r="D142" s="222"/>
      <c r="E142" s="226"/>
      <c r="F142" s="161"/>
      <c r="G142" s="161">
        <v>50000</v>
      </c>
      <c r="H142" s="161" t="s">
        <v>2309</v>
      </c>
      <c r="I142" s="161">
        <v>41000</v>
      </c>
      <c r="J142" s="161" t="s">
        <v>2290</v>
      </c>
    </row>
    <row r="143" spans="1:10" ht="19" customHeight="1" x14ac:dyDescent="0.2">
      <c r="A143" s="227"/>
      <c r="B143" s="248"/>
      <c r="C143" s="246"/>
      <c r="D143" s="92"/>
      <c r="E143" s="93"/>
      <c r="F143" s="47"/>
      <c r="G143" s="47"/>
      <c r="H143" s="47"/>
      <c r="I143" s="47">
        <v>66000</v>
      </c>
      <c r="J143" s="47" t="s">
        <v>2291</v>
      </c>
    </row>
    <row r="144" spans="1:10" ht="19" customHeight="1" x14ac:dyDescent="0.2">
      <c r="A144" s="219"/>
      <c r="B144" s="220"/>
      <c r="C144" s="233"/>
      <c r="D144" s="242"/>
      <c r="E144" s="226"/>
      <c r="F144" s="161"/>
      <c r="G144" s="161"/>
      <c r="H144" s="161"/>
      <c r="I144" s="161">
        <v>24500</v>
      </c>
      <c r="J144" s="161" t="s">
        <v>2292</v>
      </c>
    </row>
    <row r="145" spans="1:10" ht="19" customHeight="1" x14ac:dyDescent="0.2">
      <c r="A145" s="227"/>
      <c r="B145" s="248"/>
      <c r="C145" s="246"/>
      <c r="D145" s="92"/>
      <c r="E145" s="93"/>
      <c r="F145" s="47"/>
      <c r="G145" s="47"/>
      <c r="H145" s="47"/>
      <c r="I145" s="47"/>
      <c r="J145" s="47"/>
    </row>
    <row r="146" spans="1:10" ht="19" customHeight="1" x14ac:dyDescent="0.2">
      <c r="A146" s="224">
        <v>2288000</v>
      </c>
      <c r="B146" s="220"/>
      <c r="C146" s="221" t="s">
        <v>10</v>
      </c>
      <c r="D146" s="222" t="s">
        <v>685</v>
      </c>
      <c r="E146" s="226">
        <v>1549000</v>
      </c>
      <c r="F146" s="161">
        <v>739000</v>
      </c>
      <c r="G146" s="161"/>
      <c r="H146" s="161"/>
      <c r="I146" s="161"/>
      <c r="J146" s="161"/>
    </row>
    <row r="147" spans="1:10" ht="19" customHeight="1" x14ac:dyDescent="0.2">
      <c r="A147" s="223"/>
      <c r="B147" s="228"/>
      <c r="C147" s="229"/>
      <c r="D147" s="251"/>
      <c r="E147" s="231"/>
      <c r="F147" s="176"/>
      <c r="G147" s="176"/>
      <c r="H147" s="176"/>
      <c r="I147" s="176"/>
      <c r="J147" s="176"/>
    </row>
    <row r="148" spans="1:10" ht="19" customHeight="1" x14ac:dyDescent="0.2">
      <c r="A148" s="224">
        <v>2683000</v>
      </c>
      <c r="B148" s="220">
        <v>45220</v>
      </c>
      <c r="C148" s="233" t="s">
        <v>9</v>
      </c>
      <c r="D148" s="242" t="s">
        <v>565</v>
      </c>
      <c r="E148" s="226">
        <v>1950000</v>
      </c>
      <c r="F148" s="161">
        <v>733000</v>
      </c>
      <c r="G148" s="161"/>
      <c r="H148" s="161"/>
      <c r="I148" s="161"/>
      <c r="J148" s="161"/>
    </row>
    <row r="149" spans="1:10" ht="19" customHeight="1" x14ac:dyDescent="0.2">
      <c r="A149" s="223"/>
      <c r="B149" s="248"/>
      <c r="C149" s="246"/>
      <c r="D149" s="250"/>
      <c r="E149" s="93"/>
      <c r="F149" s="47"/>
      <c r="G149" s="47"/>
      <c r="H149" s="47"/>
      <c r="I149" s="176"/>
      <c r="J149" s="176"/>
    </row>
    <row r="150" spans="1:10" ht="19" customHeight="1" x14ac:dyDescent="0.2">
      <c r="A150" s="224">
        <v>2214000</v>
      </c>
      <c r="B150" s="220"/>
      <c r="C150" s="233" t="s">
        <v>10</v>
      </c>
      <c r="D150" s="242" t="s">
        <v>685</v>
      </c>
      <c r="E150" s="226">
        <v>1593000</v>
      </c>
      <c r="F150" s="161">
        <v>621000</v>
      </c>
      <c r="G150" s="161"/>
      <c r="H150" s="161"/>
      <c r="I150" s="161">
        <v>50000</v>
      </c>
      <c r="J150" s="161" t="s">
        <v>206</v>
      </c>
    </row>
    <row r="151" spans="1:10" ht="19" customHeight="1" x14ac:dyDescent="0.2">
      <c r="A151" s="223"/>
      <c r="B151" s="228">
        <v>45221</v>
      </c>
      <c r="C151" s="229"/>
      <c r="D151" s="251"/>
      <c r="E151" s="231"/>
      <c r="F151" s="176"/>
      <c r="G151" s="176"/>
      <c r="H151" s="176" t="s">
        <v>737</v>
      </c>
      <c r="I151" s="176"/>
      <c r="J151" s="176"/>
    </row>
    <row r="152" spans="1:10" ht="19" customHeight="1" x14ac:dyDescent="0.2">
      <c r="A152" s="219">
        <v>2281000</v>
      </c>
      <c r="B152" s="220">
        <v>45222</v>
      </c>
      <c r="C152" s="233" t="s">
        <v>9</v>
      </c>
      <c r="D152" s="222" t="s">
        <v>565</v>
      </c>
      <c r="E152" s="226">
        <v>1728000</v>
      </c>
      <c r="F152" s="161">
        <v>553000</v>
      </c>
      <c r="G152" s="161">
        <v>2500000</v>
      </c>
      <c r="H152" s="161" t="s">
        <v>812</v>
      </c>
      <c r="I152" s="161">
        <v>9000</v>
      </c>
      <c r="J152" s="161" t="s">
        <v>642</v>
      </c>
    </row>
    <row r="153" spans="1:10" ht="19" customHeight="1" x14ac:dyDescent="0.2">
      <c r="A153" s="227"/>
      <c r="B153" s="261"/>
      <c r="C153" s="229"/>
      <c r="D153" s="230"/>
      <c r="E153" s="231"/>
      <c r="F153" s="176"/>
      <c r="G153" s="176"/>
      <c r="H153" s="176"/>
      <c r="I153" s="176">
        <v>157500</v>
      </c>
      <c r="J153" s="176" t="s">
        <v>2293</v>
      </c>
    </row>
    <row r="154" spans="1:10" ht="19" customHeight="1" x14ac:dyDescent="0.2">
      <c r="A154" s="219"/>
      <c r="B154" s="220"/>
      <c r="C154" s="221"/>
      <c r="D154" s="222"/>
      <c r="E154" s="226"/>
      <c r="F154" s="161"/>
      <c r="G154" s="161"/>
      <c r="H154" s="161"/>
      <c r="I154" s="161">
        <v>73000</v>
      </c>
      <c r="J154" s="161" t="s">
        <v>2294</v>
      </c>
    </row>
    <row r="155" spans="1:10" ht="19" customHeight="1" x14ac:dyDescent="0.2">
      <c r="A155" s="227"/>
      <c r="B155" s="228"/>
      <c r="C155" s="234"/>
      <c r="D155" s="230"/>
      <c r="E155" s="231"/>
      <c r="F155" s="176"/>
      <c r="G155" s="176"/>
      <c r="H155" s="176"/>
      <c r="I155" s="176">
        <v>29000</v>
      </c>
      <c r="J155" s="176" t="s">
        <v>2295</v>
      </c>
    </row>
    <row r="156" spans="1:10" ht="19" customHeight="1" x14ac:dyDescent="0.2">
      <c r="A156" s="219"/>
      <c r="B156" s="220"/>
      <c r="C156" s="225"/>
      <c r="D156" s="222"/>
      <c r="E156" s="226"/>
      <c r="F156" s="161"/>
      <c r="G156" s="161"/>
      <c r="H156" s="161"/>
      <c r="I156" s="161">
        <v>108000</v>
      </c>
      <c r="J156" s="161" t="s">
        <v>1282</v>
      </c>
    </row>
    <row r="157" spans="1:10" ht="19" customHeight="1" x14ac:dyDescent="0.2">
      <c r="A157" s="227"/>
      <c r="B157" s="215"/>
      <c r="C157" s="91"/>
      <c r="D157" s="92"/>
      <c r="E157" s="93"/>
      <c r="F157" s="47"/>
      <c r="G157" s="47"/>
      <c r="H157" s="47"/>
      <c r="I157" s="47">
        <v>40000</v>
      </c>
      <c r="J157" s="47" t="s">
        <v>802</v>
      </c>
    </row>
    <row r="158" spans="1:10" ht="19" customHeight="1" x14ac:dyDescent="0.2">
      <c r="A158" s="219">
        <v>1350000</v>
      </c>
      <c r="B158" s="220"/>
      <c r="C158" s="233" t="s">
        <v>10</v>
      </c>
      <c r="D158" s="222" t="s">
        <v>685</v>
      </c>
      <c r="E158" s="226">
        <v>954000</v>
      </c>
      <c r="F158" s="161">
        <v>396000</v>
      </c>
      <c r="G158" s="161"/>
      <c r="H158" s="161"/>
      <c r="I158" s="161">
        <v>200000</v>
      </c>
      <c r="J158" s="161" t="s">
        <v>2049</v>
      </c>
    </row>
    <row r="159" spans="1:10" ht="19" customHeight="1" x14ac:dyDescent="0.2">
      <c r="A159" s="227"/>
      <c r="B159" s="228"/>
      <c r="C159" s="257"/>
      <c r="D159" s="230"/>
      <c r="E159" s="231"/>
      <c r="F159" s="176"/>
      <c r="G159" s="176"/>
      <c r="H159" s="258"/>
      <c r="I159" s="176">
        <v>35000</v>
      </c>
      <c r="J159" s="176" t="s">
        <v>655</v>
      </c>
    </row>
    <row r="160" spans="1:10" ht="19" customHeight="1" x14ac:dyDescent="0.2">
      <c r="A160" s="227"/>
      <c r="B160" s="215"/>
      <c r="C160" s="246"/>
      <c r="D160" s="92"/>
      <c r="E160" s="93"/>
      <c r="F160" s="47"/>
      <c r="G160" s="47"/>
      <c r="H160" s="78"/>
      <c r="I160" s="47">
        <v>120000</v>
      </c>
      <c r="J160" s="47" t="s">
        <v>827</v>
      </c>
    </row>
    <row r="161" spans="1:10" ht="19" customHeight="1" x14ac:dyDescent="0.2">
      <c r="A161" s="219"/>
      <c r="B161" s="220"/>
      <c r="C161" s="221"/>
      <c r="D161" s="222"/>
      <c r="E161" s="226"/>
      <c r="F161" s="161"/>
      <c r="G161" s="161"/>
      <c r="H161" s="253"/>
      <c r="I161" s="161">
        <v>80000</v>
      </c>
      <c r="J161" s="161" t="s">
        <v>751</v>
      </c>
    </row>
    <row r="162" spans="1:10" ht="19" customHeight="1" x14ac:dyDescent="0.2">
      <c r="A162" s="227"/>
      <c r="B162" s="215"/>
      <c r="C162" s="252"/>
      <c r="D162" s="92"/>
      <c r="E162" s="93"/>
      <c r="F162" s="47"/>
      <c r="G162" s="47"/>
      <c r="H162" s="78"/>
      <c r="I162" s="47">
        <v>125000</v>
      </c>
      <c r="J162" s="47" t="s">
        <v>889</v>
      </c>
    </row>
    <row r="163" spans="1:10" ht="19" customHeight="1" x14ac:dyDescent="0.2">
      <c r="A163" s="254"/>
      <c r="B163" s="220"/>
      <c r="C163" s="233"/>
      <c r="D163" s="222"/>
      <c r="E163" s="226"/>
      <c r="F163" s="161"/>
      <c r="G163" s="161"/>
      <c r="H163" s="253"/>
      <c r="I163" s="161">
        <v>144000</v>
      </c>
      <c r="J163" s="161" t="s">
        <v>615</v>
      </c>
    </row>
    <row r="164" spans="1:10" ht="19" customHeight="1" x14ac:dyDescent="0.2">
      <c r="A164" s="227"/>
      <c r="B164" s="215"/>
      <c r="C164" s="246"/>
      <c r="D164" s="92"/>
      <c r="E164" s="93"/>
      <c r="F164" s="47"/>
      <c r="G164" s="47"/>
      <c r="H164" s="78"/>
      <c r="I164" s="47">
        <v>308000</v>
      </c>
      <c r="J164" s="47" t="s">
        <v>1413</v>
      </c>
    </row>
    <row r="165" spans="1:10" ht="19" customHeight="1" x14ac:dyDescent="0.2">
      <c r="A165" s="224">
        <v>2713000</v>
      </c>
      <c r="B165" s="220">
        <v>45223</v>
      </c>
      <c r="C165" s="233" t="s">
        <v>9</v>
      </c>
      <c r="D165" s="242" t="s">
        <v>565</v>
      </c>
      <c r="E165" s="226">
        <v>2143000</v>
      </c>
      <c r="F165" s="161">
        <v>570000</v>
      </c>
      <c r="G165" s="161"/>
      <c r="H165" s="253"/>
      <c r="I165" s="161">
        <v>168000</v>
      </c>
      <c r="J165" s="161" t="s">
        <v>2028</v>
      </c>
    </row>
    <row r="166" spans="1:10" ht="19" customHeight="1" x14ac:dyDescent="0.2">
      <c r="A166" s="223"/>
      <c r="B166" s="215"/>
      <c r="C166" s="246"/>
      <c r="D166" s="250"/>
      <c r="E166" s="93"/>
      <c r="F166" s="47"/>
      <c r="G166" s="47"/>
      <c r="H166" s="78"/>
      <c r="I166" s="47">
        <v>345000</v>
      </c>
      <c r="J166" s="47" t="s">
        <v>2279</v>
      </c>
    </row>
    <row r="167" spans="1:10" ht="19" customHeight="1" x14ac:dyDescent="0.2">
      <c r="A167" s="219"/>
      <c r="B167" s="220"/>
      <c r="C167" s="241"/>
      <c r="D167" s="222"/>
      <c r="E167" s="226"/>
      <c r="F167" s="161"/>
      <c r="G167" s="161"/>
      <c r="H167" s="253"/>
      <c r="I167" s="161">
        <v>440000</v>
      </c>
      <c r="J167" s="255" t="s">
        <v>2296</v>
      </c>
    </row>
    <row r="168" spans="1:10" ht="27" customHeight="1" x14ac:dyDescent="0.2">
      <c r="A168" s="227"/>
      <c r="B168" s="215"/>
      <c r="C168" s="91"/>
      <c r="D168" s="92"/>
      <c r="E168" s="93"/>
      <c r="F168" s="47"/>
      <c r="G168" s="47"/>
      <c r="H168" s="78"/>
      <c r="I168" s="47">
        <v>390000</v>
      </c>
      <c r="J168" s="47" t="s">
        <v>2280</v>
      </c>
    </row>
    <row r="169" spans="1:10" ht="19" customHeight="1" x14ac:dyDescent="0.2">
      <c r="A169" s="219">
        <v>1810000</v>
      </c>
      <c r="B169" s="220"/>
      <c r="C169" s="221" t="s">
        <v>10</v>
      </c>
      <c r="D169" s="222" t="s">
        <v>685</v>
      </c>
      <c r="E169" s="226">
        <v>1502000</v>
      </c>
      <c r="F169" s="161">
        <v>308000</v>
      </c>
      <c r="G169" s="161"/>
      <c r="H169" s="253"/>
      <c r="I169" s="161"/>
      <c r="J169" s="161"/>
    </row>
    <row r="170" spans="1:10" ht="19" customHeight="1" x14ac:dyDescent="0.2">
      <c r="A170" s="227"/>
      <c r="B170" s="215"/>
      <c r="C170" s="91"/>
      <c r="D170" s="92"/>
      <c r="E170" s="93"/>
      <c r="F170" s="47"/>
      <c r="G170" s="47"/>
      <c r="H170" s="78"/>
      <c r="I170" s="47"/>
      <c r="J170" s="47"/>
    </row>
    <row r="171" spans="1:10" ht="19" customHeight="1" x14ac:dyDescent="0.2">
      <c r="A171" s="219">
        <v>2966000</v>
      </c>
      <c r="B171" s="220">
        <v>45224</v>
      </c>
      <c r="C171" s="256" t="s">
        <v>9</v>
      </c>
      <c r="D171" s="222" t="s">
        <v>565</v>
      </c>
      <c r="E171" s="226">
        <v>1988000</v>
      </c>
      <c r="F171" s="161">
        <v>978000</v>
      </c>
      <c r="G171" s="161"/>
      <c r="H171" s="161"/>
      <c r="I171" s="161">
        <v>520000</v>
      </c>
      <c r="J171" s="161" t="s">
        <v>984</v>
      </c>
    </row>
    <row r="172" spans="1:10" ht="19" customHeight="1" x14ac:dyDescent="0.2">
      <c r="A172" s="227"/>
      <c r="B172" s="228"/>
      <c r="C172" s="257"/>
      <c r="D172" s="230"/>
      <c r="E172" s="231"/>
      <c r="F172" s="176"/>
      <c r="G172" s="176"/>
      <c r="H172" s="176"/>
      <c r="I172" s="176"/>
      <c r="J172" s="176"/>
    </row>
    <row r="173" spans="1:10" ht="19" customHeight="1" x14ac:dyDescent="0.2">
      <c r="A173" s="219">
        <v>1451000</v>
      </c>
      <c r="B173" s="220"/>
      <c r="C173" s="233" t="s">
        <v>10</v>
      </c>
      <c r="D173" s="222" t="s">
        <v>685</v>
      </c>
      <c r="E173" s="226">
        <v>1026000</v>
      </c>
      <c r="F173" s="161">
        <v>425000</v>
      </c>
      <c r="G173" s="161"/>
      <c r="H173" s="253"/>
      <c r="I173" s="161"/>
      <c r="J173" s="161"/>
    </row>
    <row r="174" spans="1:10" ht="19" customHeight="1" x14ac:dyDescent="0.2">
      <c r="A174" s="227"/>
      <c r="B174" s="228"/>
      <c r="C174" s="229"/>
      <c r="D174" s="230"/>
      <c r="E174" s="231"/>
      <c r="F174" s="176"/>
      <c r="G174" s="176"/>
      <c r="H174" s="258"/>
      <c r="I174" s="176"/>
      <c r="J174" s="176"/>
    </row>
    <row r="175" spans="1:10" ht="19" customHeight="1" x14ac:dyDescent="0.2">
      <c r="A175" s="219">
        <v>3040000</v>
      </c>
      <c r="B175" s="220">
        <v>45225</v>
      </c>
      <c r="C175" s="233" t="s">
        <v>9</v>
      </c>
      <c r="D175" s="222" t="s">
        <v>565</v>
      </c>
      <c r="E175" s="226">
        <v>2071000</v>
      </c>
      <c r="F175" s="161">
        <v>969000</v>
      </c>
      <c r="G175" s="161"/>
      <c r="H175" s="253"/>
      <c r="I175" s="161">
        <v>9000</v>
      </c>
      <c r="J175" s="161" t="s">
        <v>642</v>
      </c>
    </row>
    <row r="176" spans="1:10" ht="19" customHeight="1" x14ac:dyDescent="0.2">
      <c r="A176" s="227"/>
      <c r="B176" s="228"/>
      <c r="C176" s="229"/>
      <c r="D176" s="230"/>
      <c r="E176" s="231"/>
      <c r="F176" s="176"/>
      <c r="G176" s="176"/>
      <c r="H176" s="258"/>
      <c r="I176" s="176">
        <v>21000</v>
      </c>
      <c r="J176" s="176" t="s">
        <v>989</v>
      </c>
    </row>
    <row r="177" spans="1:10" ht="19" customHeight="1" x14ac:dyDescent="0.2">
      <c r="A177" s="219"/>
      <c r="B177" s="220"/>
      <c r="C177" s="225"/>
      <c r="D177" s="222"/>
      <c r="E177" s="226"/>
      <c r="F177" s="161"/>
      <c r="G177" s="161"/>
      <c r="H177" s="161"/>
      <c r="I177" s="161">
        <v>210000</v>
      </c>
      <c r="J177" s="161" t="s">
        <v>2203</v>
      </c>
    </row>
    <row r="178" spans="1:10" ht="19" customHeight="1" x14ac:dyDescent="0.2">
      <c r="A178" s="227"/>
      <c r="B178" s="228"/>
      <c r="C178" s="234"/>
      <c r="D178" s="230"/>
      <c r="E178" s="231"/>
      <c r="F178" s="176"/>
      <c r="G178" s="176"/>
      <c r="H178" s="176"/>
      <c r="I178" s="258">
        <v>75000</v>
      </c>
      <c r="J178" s="258" t="s">
        <v>2297</v>
      </c>
    </row>
    <row r="179" spans="1:10" ht="19" customHeight="1" x14ac:dyDescent="0.2">
      <c r="A179" s="219"/>
      <c r="B179" s="220"/>
      <c r="C179" s="225"/>
      <c r="D179" s="222"/>
      <c r="E179" s="226"/>
      <c r="F179" s="161"/>
      <c r="G179" s="161"/>
      <c r="H179" s="161"/>
      <c r="I179" s="253">
        <v>75000</v>
      </c>
      <c r="J179" s="253" t="s">
        <v>2298</v>
      </c>
    </row>
    <row r="180" spans="1:10" ht="19" customHeight="1" x14ac:dyDescent="0.2">
      <c r="A180" s="227">
        <v>1547000</v>
      </c>
      <c r="B180" s="215"/>
      <c r="C180" s="91" t="s">
        <v>10</v>
      </c>
      <c r="D180" s="92" t="s">
        <v>685</v>
      </c>
      <c r="E180" s="93">
        <v>1250000</v>
      </c>
      <c r="F180" s="47">
        <v>297000</v>
      </c>
      <c r="G180" s="47"/>
      <c r="H180" s="47"/>
      <c r="I180" s="78"/>
      <c r="J180" s="78"/>
    </row>
    <row r="181" spans="1:10" ht="19" customHeight="1" x14ac:dyDescent="0.2">
      <c r="A181" s="219"/>
      <c r="B181" s="220"/>
      <c r="C181" s="225"/>
      <c r="D181" s="222"/>
      <c r="E181" s="226"/>
      <c r="F181" s="161"/>
      <c r="G181" s="161"/>
      <c r="H181" s="161"/>
      <c r="I181" s="253"/>
      <c r="J181" s="253"/>
    </row>
    <row r="182" spans="1:10" ht="19" customHeight="1" x14ac:dyDescent="0.2">
      <c r="A182" s="227">
        <v>2390000</v>
      </c>
      <c r="B182" s="215">
        <v>45226</v>
      </c>
      <c r="C182" s="91" t="s">
        <v>9</v>
      </c>
      <c r="D182" s="92" t="s">
        <v>565</v>
      </c>
      <c r="E182" s="93">
        <v>1727000</v>
      </c>
      <c r="F182" s="47">
        <v>663000</v>
      </c>
      <c r="G182" s="47"/>
      <c r="H182" s="47"/>
      <c r="I182" s="78"/>
      <c r="J182" s="78"/>
    </row>
    <row r="183" spans="1:10" ht="19" customHeight="1" x14ac:dyDescent="0.2">
      <c r="A183" s="219"/>
      <c r="B183" s="220"/>
      <c r="C183" s="225"/>
      <c r="D183" s="222"/>
      <c r="E183" s="226"/>
      <c r="F183" s="161"/>
      <c r="G183" s="161"/>
      <c r="H183" s="161"/>
      <c r="I183" s="253">
        <v>144000</v>
      </c>
      <c r="J183" s="253" t="s">
        <v>1245</v>
      </c>
    </row>
    <row r="184" spans="1:10" ht="19" customHeight="1" x14ac:dyDescent="0.2">
      <c r="A184" s="227"/>
      <c r="B184" s="215"/>
      <c r="C184" s="91"/>
      <c r="D184" s="92"/>
      <c r="E184" s="93"/>
      <c r="F184" s="47"/>
      <c r="G184" s="47"/>
      <c r="H184" s="47"/>
      <c r="I184" s="78">
        <v>80000</v>
      </c>
      <c r="J184" s="78" t="s">
        <v>2299</v>
      </c>
    </row>
    <row r="185" spans="1:10" ht="19" customHeight="1" x14ac:dyDescent="0.2">
      <c r="A185" s="219"/>
      <c r="B185" s="220"/>
      <c r="C185" s="225"/>
      <c r="D185" s="222"/>
      <c r="E185" s="226"/>
      <c r="F185" s="161"/>
      <c r="G185" s="161"/>
      <c r="H185" s="161"/>
      <c r="I185" s="253">
        <v>125000</v>
      </c>
      <c r="J185" s="253" t="s">
        <v>1296</v>
      </c>
    </row>
    <row r="186" spans="1:10" ht="19" customHeight="1" x14ac:dyDescent="0.2">
      <c r="A186" s="227"/>
      <c r="B186" s="215"/>
      <c r="C186" s="249"/>
      <c r="D186" s="92"/>
      <c r="E186" s="93"/>
      <c r="F186" s="47"/>
      <c r="G186" s="47"/>
      <c r="H186" s="47"/>
      <c r="I186" s="78"/>
      <c r="J186" s="78"/>
    </row>
    <row r="187" spans="1:10" ht="19" customHeight="1" x14ac:dyDescent="0.2">
      <c r="A187" s="219">
        <v>2557000</v>
      </c>
      <c r="B187" s="220"/>
      <c r="C187" s="225" t="s">
        <v>10</v>
      </c>
      <c r="D187" s="222" t="s">
        <v>685</v>
      </c>
      <c r="E187" s="226">
        <v>2149000</v>
      </c>
      <c r="F187" s="161">
        <v>408000</v>
      </c>
      <c r="G187" s="161"/>
      <c r="H187" s="161"/>
      <c r="I187" s="253">
        <v>220000</v>
      </c>
      <c r="J187" s="253" t="s">
        <v>1543</v>
      </c>
    </row>
    <row r="188" spans="1:10" ht="19" customHeight="1" x14ac:dyDescent="0.2">
      <c r="A188" s="227"/>
      <c r="B188" s="215"/>
      <c r="C188" s="252"/>
      <c r="D188" s="92"/>
      <c r="E188" s="93"/>
      <c r="F188" s="47"/>
      <c r="G188" s="47"/>
      <c r="H188" s="47"/>
      <c r="I188" s="78">
        <v>69000</v>
      </c>
      <c r="J188" s="78" t="s">
        <v>2300</v>
      </c>
    </row>
    <row r="189" spans="1:10" ht="19" customHeight="1" x14ac:dyDescent="0.2">
      <c r="A189" s="219"/>
      <c r="B189" s="220"/>
      <c r="C189" s="225"/>
      <c r="D189" s="222"/>
      <c r="E189" s="226"/>
      <c r="F189" s="161"/>
      <c r="G189" s="161"/>
      <c r="H189" s="161"/>
      <c r="I189" s="161">
        <v>160000</v>
      </c>
      <c r="J189" s="161" t="s">
        <v>2301</v>
      </c>
    </row>
    <row r="190" spans="1:10" ht="19" customHeight="1" x14ac:dyDescent="0.2">
      <c r="A190" s="227"/>
      <c r="B190" s="215"/>
      <c r="C190" s="91"/>
      <c r="D190" s="92"/>
      <c r="E190" s="93"/>
      <c r="F190" s="47"/>
      <c r="G190" s="47"/>
      <c r="H190" s="47"/>
      <c r="I190" s="47">
        <v>41000</v>
      </c>
      <c r="J190" s="47" t="s">
        <v>1646</v>
      </c>
    </row>
    <row r="191" spans="1:10" ht="19" customHeight="1" x14ac:dyDescent="0.2">
      <c r="A191" s="219">
        <v>2001000</v>
      </c>
      <c r="B191" s="220">
        <v>45227</v>
      </c>
      <c r="C191" s="225" t="s">
        <v>9</v>
      </c>
      <c r="D191" s="222" t="s">
        <v>565</v>
      </c>
      <c r="E191" s="226">
        <v>1446000</v>
      </c>
      <c r="F191" s="161">
        <v>555000</v>
      </c>
      <c r="G191" s="161"/>
      <c r="H191" s="161"/>
      <c r="I191" s="161">
        <v>140000</v>
      </c>
      <c r="J191" s="161" t="s">
        <v>881</v>
      </c>
    </row>
    <row r="192" spans="1:10" ht="19" customHeight="1" x14ac:dyDescent="0.2">
      <c r="A192" s="227"/>
      <c r="B192" s="215"/>
      <c r="C192" s="246"/>
      <c r="D192" s="92"/>
      <c r="E192" s="93"/>
      <c r="F192" s="47"/>
      <c r="G192" s="47"/>
      <c r="H192" s="47"/>
      <c r="I192" s="47"/>
      <c r="J192" s="47"/>
    </row>
    <row r="193" spans="1:10" ht="19" customHeight="1" x14ac:dyDescent="0.2">
      <c r="A193" s="219">
        <v>1286000</v>
      </c>
      <c r="B193" s="220"/>
      <c r="C193" s="225" t="s">
        <v>10</v>
      </c>
      <c r="D193" s="222" t="s">
        <v>685</v>
      </c>
      <c r="E193" s="226">
        <v>1046000</v>
      </c>
      <c r="F193" s="161">
        <v>240000</v>
      </c>
      <c r="G193" s="161"/>
      <c r="H193" s="161"/>
      <c r="I193" s="161">
        <v>50000</v>
      </c>
      <c r="J193" s="161" t="s">
        <v>206</v>
      </c>
    </row>
    <row r="194" spans="1:10" ht="19" customHeight="1" x14ac:dyDescent="0.2">
      <c r="A194" s="227"/>
      <c r="B194" s="215"/>
      <c r="C194" s="246"/>
      <c r="D194" s="92"/>
      <c r="E194" s="93"/>
      <c r="F194" s="47"/>
      <c r="G194" s="47"/>
      <c r="H194" s="47"/>
      <c r="I194" s="47"/>
      <c r="J194" s="47"/>
    </row>
    <row r="195" spans="1:10" ht="19" customHeight="1" x14ac:dyDescent="0.2">
      <c r="A195" s="219"/>
      <c r="B195" s="220">
        <v>45228</v>
      </c>
      <c r="C195" s="225"/>
      <c r="D195" s="222"/>
      <c r="E195" s="226"/>
      <c r="F195" s="161"/>
      <c r="G195" s="161"/>
      <c r="H195" s="161" t="s">
        <v>737</v>
      </c>
      <c r="I195" s="161"/>
      <c r="J195" s="161"/>
    </row>
    <row r="196" spans="1:10" ht="19" customHeight="1" x14ac:dyDescent="0.2">
      <c r="A196" s="227"/>
      <c r="B196" s="228"/>
      <c r="C196" s="234"/>
      <c r="D196" s="230"/>
      <c r="E196" s="231"/>
      <c r="F196" s="176"/>
      <c r="G196" s="176"/>
      <c r="H196" s="176"/>
      <c r="I196" s="176"/>
      <c r="J196" s="176"/>
    </row>
    <row r="197" spans="1:10" ht="19" customHeight="1" x14ac:dyDescent="0.2">
      <c r="A197" s="219">
        <v>2279000</v>
      </c>
      <c r="B197" s="220">
        <v>45229</v>
      </c>
      <c r="C197" s="225" t="s">
        <v>9</v>
      </c>
      <c r="D197" s="222" t="s">
        <v>565</v>
      </c>
      <c r="E197" s="226">
        <v>1704000</v>
      </c>
      <c r="F197" s="161">
        <v>575000</v>
      </c>
      <c r="G197" s="161">
        <v>2500000</v>
      </c>
      <c r="H197" s="161" t="s">
        <v>1045</v>
      </c>
      <c r="I197" s="253">
        <v>31000</v>
      </c>
      <c r="J197" s="253" t="s">
        <v>2302</v>
      </c>
    </row>
    <row r="198" spans="1:10" ht="19" customHeight="1" x14ac:dyDescent="0.2">
      <c r="A198" s="227"/>
      <c r="B198" s="215"/>
      <c r="C198" s="91"/>
      <c r="D198" s="92"/>
      <c r="E198" s="93"/>
      <c r="F198" s="47"/>
      <c r="G198" s="47"/>
      <c r="H198" s="47"/>
      <c r="I198" s="47">
        <v>108000</v>
      </c>
      <c r="J198" s="47" t="s">
        <v>1282</v>
      </c>
    </row>
    <row r="199" spans="1:10" ht="19" customHeight="1" x14ac:dyDescent="0.2">
      <c r="A199" s="219"/>
      <c r="B199" s="244"/>
      <c r="C199" s="241"/>
      <c r="D199" s="222"/>
      <c r="E199" s="226"/>
      <c r="F199" s="161"/>
      <c r="G199" s="161"/>
      <c r="H199" s="161"/>
      <c r="I199" s="161">
        <v>37000</v>
      </c>
      <c r="J199" s="161" t="s">
        <v>2303</v>
      </c>
    </row>
    <row r="200" spans="1:10" ht="19" customHeight="1" x14ac:dyDescent="0.2">
      <c r="A200" s="227"/>
      <c r="B200" s="215"/>
      <c r="C200" s="246"/>
      <c r="D200" s="92"/>
      <c r="E200" s="93"/>
      <c r="F200" s="47"/>
      <c r="G200" s="47"/>
      <c r="H200" s="47"/>
      <c r="I200" s="47">
        <v>98000</v>
      </c>
      <c r="J200" s="47" t="s">
        <v>821</v>
      </c>
    </row>
    <row r="201" spans="1:10" ht="19" customHeight="1" x14ac:dyDescent="0.2">
      <c r="A201" s="219">
        <v>1647000</v>
      </c>
      <c r="B201" s="220"/>
      <c r="C201" s="221" t="s">
        <v>10</v>
      </c>
      <c r="D201" s="222" t="s">
        <v>685</v>
      </c>
      <c r="E201" s="161">
        <v>1349000</v>
      </c>
      <c r="F201" s="161">
        <v>298000</v>
      </c>
      <c r="G201" s="161"/>
      <c r="H201" s="161"/>
      <c r="I201" s="245"/>
      <c r="J201" s="161"/>
    </row>
    <row r="202" spans="1:10" ht="19" customHeight="1" x14ac:dyDescent="0.2">
      <c r="A202" s="227"/>
      <c r="B202" s="215"/>
      <c r="C202" s="249"/>
      <c r="D202" s="92"/>
      <c r="E202" s="93"/>
      <c r="F202" s="47"/>
      <c r="G202" s="47"/>
      <c r="H202" s="47"/>
      <c r="I202" s="47"/>
      <c r="J202" s="47"/>
    </row>
    <row r="203" spans="1:10" ht="61" customHeight="1" x14ac:dyDescent="0.2">
      <c r="A203" s="219">
        <v>3012000</v>
      </c>
      <c r="B203" s="220">
        <v>45230</v>
      </c>
      <c r="C203" s="221" t="s">
        <v>9</v>
      </c>
      <c r="D203" s="222" t="s">
        <v>565</v>
      </c>
      <c r="E203" s="161">
        <v>2264000</v>
      </c>
      <c r="F203" s="161">
        <v>748000</v>
      </c>
      <c r="G203" s="161">
        <v>2462000</v>
      </c>
      <c r="H203" s="161" t="s">
        <v>2304</v>
      </c>
      <c r="I203" s="245">
        <v>150000</v>
      </c>
      <c r="J203" s="259" t="s">
        <v>2305</v>
      </c>
    </row>
    <row r="204" spans="1:10" ht="19" customHeight="1" x14ac:dyDescent="0.2">
      <c r="A204" s="227">
        <v>1742000</v>
      </c>
      <c r="B204" s="228"/>
      <c r="C204" s="260" t="s">
        <v>10</v>
      </c>
      <c r="D204" s="230" t="s">
        <v>685</v>
      </c>
      <c r="E204" s="231">
        <v>1392000</v>
      </c>
      <c r="F204" s="176">
        <v>350000</v>
      </c>
      <c r="G204" s="176">
        <v>2380000</v>
      </c>
      <c r="H204" s="176" t="s">
        <v>1205</v>
      </c>
      <c r="I204" s="176">
        <v>150000</v>
      </c>
      <c r="J204" s="176" t="s">
        <v>2306</v>
      </c>
    </row>
    <row r="205" spans="1:10" ht="35" customHeight="1" x14ac:dyDescent="0.2">
      <c r="A205" s="227"/>
      <c r="B205" s="228"/>
      <c r="C205" s="260"/>
      <c r="D205" s="230"/>
      <c r="E205" s="231"/>
      <c r="F205" s="176"/>
      <c r="G205" s="176">
        <v>1000000</v>
      </c>
      <c r="H205" s="176" t="s">
        <v>2319</v>
      </c>
      <c r="I205" s="176"/>
      <c r="J205" s="176"/>
    </row>
    <row r="206" spans="1:10" ht="19" customHeight="1" x14ac:dyDescent="0.2">
      <c r="A206" s="219"/>
      <c r="B206" s="220"/>
      <c r="C206" s="241"/>
      <c r="D206" s="222"/>
      <c r="E206" s="226"/>
      <c r="F206" s="161"/>
      <c r="G206" s="161">
        <v>1200000</v>
      </c>
      <c r="H206" s="161" t="s">
        <v>785</v>
      </c>
      <c r="I206" s="161">
        <v>220000</v>
      </c>
      <c r="J206" s="161" t="s">
        <v>1090</v>
      </c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L218"/>
  <sheetViews>
    <sheetView zoomScale="92" zoomScaleNormal="92" workbookViewId="0">
      <selection activeCell="L157" sqref="L157"/>
    </sheetView>
  </sheetViews>
  <sheetFormatPr baseColWidth="10" defaultColWidth="11.5" defaultRowHeight="15" x14ac:dyDescent="0.2"/>
  <cols>
    <col min="1" max="1" width="22.5" bestFit="1" customWidth="1"/>
    <col min="3" max="3" width="13.5" bestFit="1" customWidth="1"/>
    <col min="5" max="7" width="21" bestFit="1" customWidth="1"/>
    <col min="8" max="8" width="31.1640625" customWidth="1"/>
    <col min="9" max="9" width="22.33203125" customWidth="1"/>
    <col min="10" max="10" width="31" bestFit="1" customWidth="1"/>
  </cols>
  <sheetData>
    <row r="3" spans="1:12" ht="21" x14ac:dyDescent="0.2">
      <c r="G3" s="73"/>
      <c r="H3" s="71" t="s">
        <v>174</v>
      </c>
      <c r="I3" s="71" t="e">
        <f>#REF!/A10</f>
        <v>#REF!</v>
      </c>
    </row>
    <row r="4" spans="1:12" ht="21" x14ac:dyDescent="0.2">
      <c r="F4" s="306" t="s">
        <v>2413</v>
      </c>
      <c r="G4" s="307"/>
      <c r="H4" s="71" t="s">
        <v>2314</v>
      </c>
      <c r="I4" s="71">
        <v>21387000</v>
      </c>
      <c r="J4" s="72">
        <f>I4/10820</f>
        <v>1976.6173752310535</v>
      </c>
    </row>
    <row r="5" spans="1:12" ht="24" x14ac:dyDescent="0.3">
      <c r="B5" s="99" t="s">
        <v>2411</v>
      </c>
      <c r="G5" s="73"/>
      <c r="H5" s="71" t="s">
        <v>2315</v>
      </c>
      <c r="I5" s="71">
        <v>21387000</v>
      </c>
      <c r="J5" s="72">
        <f>I5/10820</f>
        <v>1976.6173752310535</v>
      </c>
    </row>
    <row r="6" spans="1:12" ht="24" x14ac:dyDescent="0.3">
      <c r="B6" s="99"/>
      <c r="G6" s="73"/>
      <c r="H6" s="71" t="s">
        <v>178</v>
      </c>
      <c r="I6" s="71">
        <v>22590707</v>
      </c>
      <c r="J6" s="72" t="s">
        <v>2410</v>
      </c>
      <c r="L6" s="85"/>
    </row>
    <row r="7" spans="1:12" ht="26" x14ac:dyDescent="0.3">
      <c r="B7" s="100" t="s">
        <v>2412</v>
      </c>
    </row>
    <row r="9" spans="1:12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2" ht="21" x14ac:dyDescent="0.2">
      <c r="A10" s="69">
        <f>SUM(A11:A246)</f>
        <v>122005000</v>
      </c>
      <c r="B10" s="65"/>
      <c r="C10" s="66" t="s">
        <v>13</v>
      </c>
      <c r="D10" s="67"/>
      <c r="E10" s="68">
        <f>SUM(E11:E246)</f>
        <v>90482000</v>
      </c>
      <c r="F10" s="69">
        <f>SUM(F11:F246)</f>
        <v>31523000</v>
      </c>
      <c r="G10" s="69">
        <f>SUM(G11:G246)</f>
        <v>27460000</v>
      </c>
      <c r="H10" s="69"/>
      <c r="I10" s="69">
        <f>SUM(I11:I246)</f>
        <v>21820000</v>
      </c>
      <c r="J10" s="69"/>
    </row>
    <row r="11" spans="1:12" ht="19" x14ac:dyDescent="0.2">
      <c r="A11" s="144">
        <v>2570000</v>
      </c>
      <c r="B11" s="145">
        <v>45231</v>
      </c>
      <c r="C11" s="146" t="s">
        <v>9</v>
      </c>
      <c r="D11" s="147" t="s">
        <v>565</v>
      </c>
      <c r="E11" s="139">
        <v>2152000</v>
      </c>
      <c r="F11" s="139">
        <v>418000</v>
      </c>
      <c r="G11" s="139">
        <v>444000</v>
      </c>
      <c r="H11" s="139" t="s">
        <v>2408</v>
      </c>
      <c r="I11" s="139">
        <v>27000</v>
      </c>
      <c r="J11" s="139" t="s">
        <v>2321</v>
      </c>
    </row>
    <row r="12" spans="1:12" ht="19" x14ac:dyDescent="0.2">
      <c r="A12" s="142"/>
      <c r="B12" s="32"/>
      <c r="C12" s="49"/>
      <c r="D12" s="13"/>
      <c r="E12" s="15"/>
      <c r="F12" s="9"/>
      <c r="G12" s="9"/>
      <c r="H12" s="9"/>
      <c r="I12" s="9">
        <v>65000</v>
      </c>
      <c r="J12" s="9" t="s">
        <v>1436</v>
      </c>
    </row>
    <row r="13" spans="1:12" ht="19" x14ac:dyDescent="0.2">
      <c r="A13" s="148"/>
      <c r="B13" s="145"/>
      <c r="C13" s="149"/>
      <c r="D13" s="147"/>
      <c r="E13" s="150"/>
      <c r="F13" s="139"/>
      <c r="G13" s="139"/>
      <c r="H13" s="139"/>
      <c r="I13" s="139">
        <v>64500</v>
      </c>
      <c r="J13" s="139" t="s">
        <v>2322</v>
      </c>
    </row>
    <row r="14" spans="1:12" ht="19" x14ac:dyDescent="0.2">
      <c r="A14" s="142"/>
      <c r="B14" s="32"/>
      <c r="C14" s="49"/>
      <c r="D14" s="13"/>
      <c r="E14" s="15"/>
      <c r="F14" s="9"/>
      <c r="G14" s="9"/>
      <c r="H14" s="9"/>
      <c r="I14" s="9">
        <v>112500</v>
      </c>
      <c r="J14" s="9" t="s">
        <v>2323</v>
      </c>
    </row>
    <row r="15" spans="1:12" ht="19" x14ac:dyDescent="0.2">
      <c r="A15" s="148"/>
      <c r="B15" s="145"/>
      <c r="C15" s="149"/>
      <c r="D15" s="147"/>
      <c r="E15" s="150"/>
      <c r="F15" s="139"/>
      <c r="G15" s="139"/>
      <c r="H15" s="139"/>
      <c r="I15" s="139">
        <v>12000</v>
      </c>
      <c r="J15" s="139" t="s">
        <v>971</v>
      </c>
    </row>
    <row r="16" spans="1:12" ht="19" x14ac:dyDescent="0.2">
      <c r="A16" s="143">
        <v>1781000</v>
      </c>
      <c r="B16" s="153"/>
      <c r="C16" s="163" t="s">
        <v>10</v>
      </c>
      <c r="D16" s="155" t="s">
        <v>685</v>
      </c>
      <c r="E16" s="164">
        <v>1390000</v>
      </c>
      <c r="F16" s="119">
        <v>391000</v>
      </c>
      <c r="G16" s="175"/>
      <c r="H16" s="175"/>
      <c r="I16" s="175">
        <v>15000</v>
      </c>
      <c r="J16" s="119" t="s">
        <v>2324</v>
      </c>
    </row>
    <row r="17" spans="1:10" ht="19" x14ac:dyDescent="0.2">
      <c r="A17" s="144"/>
      <c r="B17" s="145"/>
      <c r="C17" s="151"/>
      <c r="D17" s="147"/>
      <c r="E17" s="150"/>
      <c r="F17" s="139"/>
      <c r="G17" s="139"/>
      <c r="H17" s="139"/>
      <c r="I17" s="139">
        <v>182000</v>
      </c>
      <c r="J17" s="139" t="s">
        <v>1484</v>
      </c>
    </row>
    <row r="18" spans="1:10" ht="19" x14ac:dyDescent="0.2">
      <c r="A18" s="143"/>
      <c r="B18" s="153"/>
      <c r="C18" s="163"/>
      <c r="D18" s="155"/>
      <c r="E18" s="164"/>
      <c r="F18" s="119"/>
      <c r="G18" s="119"/>
      <c r="H18" s="119"/>
      <c r="I18" s="119">
        <v>75000</v>
      </c>
      <c r="J18" s="119" t="s">
        <v>2325</v>
      </c>
    </row>
    <row r="19" spans="1:10" ht="19" x14ac:dyDescent="0.2">
      <c r="A19" s="144"/>
      <c r="B19" s="145"/>
      <c r="C19" s="151"/>
      <c r="D19" s="147"/>
      <c r="E19" s="150"/>
      <c r="F19" s="139"/>
      <c r="G19" s="139"/>
      <c r="H19" s="139"/>
      <c r="I19" s="139">
        <v>75000</v>
      </c>
      <c r="J19" s="139" t="s">
        <v>2326</v>
      </c>
    </row>
    <row r="20" spans="1:10" ht="19" x14ac:dyDescent="0.2">
      <c r="A20" s="143"/>
      <c r="B20" s="153"/>
      <c r="C20" s="163"/>
      <c r="D20" s="155"/>
      <c r="E20" s="164"/>
      <c r="F20" s="119"/>
      <c r="G20" s="119"/>
      <c r="H20" s="119"/>
      <c r="I20" s="119">
        <v>200000</v>
      </c>
      <c r="J20" s="119" t="s">
        <v>2049</v>
      </c>
    </row>
    <row r="21" spans="1:10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35000</v>
      </c>
      <c r="J21" s="139" t="s">
        <v>2327</v>
      </c>
    </row>
    <row r="22" spans="1:10" ht="19" x14ac:dyDescent="0.2">
      <c r="A22" s="143"/>
      <c r="B22" s="153"/>
      <c r="C22" s="163"/>
      <c r="D22" s="155"/>
      <c r="E22" s="164"/>
      <c r="F22" s="119"/>
      <c r="G22" s="119"/>
      <c r="H22" s="119"/>
      <c r="I22" s="119">
        <v>120000</v>
      </c>
      <c r="J22" s="119" t="s">
        <v>827</v>
      </c>
    </row>
    <row r="23" spans="1:10" ht="19" x14ac:dyDescent="0.2">
      <c r="A23" s="144"/>
      <c r="B23" s="145"/>
      <c r="C23" s="149"/>
      <c r="D23" s="147"/>
      <c r="E23" s="150"/>
      <c r="F23" s="139"/>
      <c r="G23" s="139"/>
      <c r="H23" s="139"/>
      <c r="I23" s="139">
        <v>144000</v>
      </c>
      <c r="J23" s="139" t="s">
        <v>2328</v>
      </c>
    </row>
    <row r="24" spans="1:10" ht="19" x14ac:dyDescent="0.2">
      <c r="A24" s="143"/>
      <c r="B24" s="32"/>
      <c r="C24" s="49"/>
      <c r="D24" s="13"/>
      <c r="E24" s="15"/>
      <c r="F24" s="9"/>
      <c r="G24" s="9"/>
      <c r="H24" s="9"/>
      <c r="I24" s="9">
        <v>125000</v>
      </c>
      <c r="J24" s="9" t="s">
        <v>889</v>
      </c>
    </row>
    <row r="25" spans="1:10" ht="19" x14ac:dyDescent="0.2">
      <c r="A25" s="144"/>
      <c r="B25" s="145"/>
      <c r="C25" s="149"/>
      <c r="D25" s="147"/>
      <c r="E25" s="150"/>
      <c r="F25" s="139"/>
      <c r="G25" s="139"/>
      <c r="H25" s="139"/>
      <c r="I25" s="139">
        <v>80000</v>
      </c>
      <c r="J25" s="139" t="s">
        <v>2329</v>
      </c>
    </row>
    <row r="26" spans="1:10" ht="19" x14ac:dyDescent="0.2">
      <c r="A26" s="142"/>
      <c r="B26" s="32"/>
      <c r="C26" s="49"/>
      <c r="D26" s="13"/>
      <c r="E26" s="15"/>
      <c r="F26" s="9"/>
      <c r="G26" s="9"/>
      <c r="H26" s="9"/>
      <c r="I26" s="9">
        <v>338000</v>
      </c>
      <c r="J26" s="9" t="s">
        <v>2154</v>
      </c>
    </row>
    <row r="27" spans="1:10" ht="19" x14ac:dyDescent="0.2">
      <c r="A27" s="148">
        <v>2612000</v>
      </c>
      <c r="B27" s="145">
        <v>45232</v>
      </c>
      <c r="C27" s="149" t="s">
        <v>1228</v>
      </c>
      <c r="D27" s="147" t="s">
        <v>565</v>
      </c>
      <c r="E27" s="150">
        <v>2152000</v>
      </c>
      <c r="F27" s="139">
        <v>460000</v>
      </c>
      <c r="G27" s="139"/>
      <c r="H27" s="139"/>
      <c r="I27" s="139">
        <v>150000</v>
      </c>
      <c r="J27" s="139" t="s">
        <v>2330</v>
      </c>
    </row>
    <row r="28" spans="1:10" ht="19" x14ac:dyDescent="0.2">
      <c r="A28" s="148"/>
      <c r="B28" s="145"/>
      <c r="C28" s="149"/>
      <c r="D28" s="147"/>
      <c r="E28" s="150"/>
      <c r="F28" s="139"/>
      <c r="G28" s="139"/>
      <c r="H28" s="139"/>
      <c r="I28" s="139">
        <v>900000</v>
      </c>
      <c r="J28" s="139" t="s">
        <v>2331</v>
      </c>
    </row>
    <row r="29" spans="1:10" ht="19" x14ac:dyDescent="0.2">
      <c r="A29" s="142"/>
      <c r="B29" s="153"/>
      <c r="C29" s="171"/>
      <c r="D29" s="155"/>
      <c r="E29" s="164"/>
      <c r="F29" s="119"/>
      <c r="G29" s="119"/>
      <c r="H29" s="119"/>
      <c r="I29" s="119">
        <v>25000</v>
      </c>
      <c r="J29" s="119" t="s">
        <v>2332</v>
      </c>
    </row>
    <row r="30" spans="1:10" ht="19" x14ac:dyDescent="0.2">
      <c r="A30" s="148">
        <v>1913000</v>
      </c>
      <c r="B30" s="145"/>
      <c r="C30" s="149" t="s">
        <v>10</v>
      </c>
      <c r="D30" s="147" t="s">
        <v>685</v>
      </c>
      <c r="E30" s="150">
        <v>1722000</v>
      </c>
      <c r="F30" s="139">
        <v>191000</v>
      </c>
      <c r="G30" s="139"/>
      <c r="H30" s="139"/>
      <c r="I30" s="139">
        <v>40000</v>
      </c>
      <c r="J30" s="139" t="s">
        <v>1337</v>
      </c>
    </row>
    <row r="31" spans="1:10" ht="19" x14ac:dyDescent="0.2">
      <c r="A31" s="143"/>
      <c r="B31" s="32"/>
      <c r="C31" s="49"/>
      <c r="D31" s="13"/>
      <c r="E31" s="15"/>
      <c r="F31" s="9"/>
      <c r="G31" s="9"/>
      <c r="H31" s="9"/>
      <c r="I31" s="9">
        <v>30000</v>
      </c>
      <c r="J31" s="9" t="s">
        <v>2333</v>
      </c>
    </row>
    <row r="32" spans="1:10" ht="19" x14ac:dyDescent="0.2">
      <c r="A32" s="144"/>
      <c r="B32" s="145"/>
      <c r="C32" s="149"/>
      <c r="D32" s="147"/>
      <c r="E32" s="150"/>
      <c r="F32" s="139"/>
      <c r="G32" s="139"/>
      <c r="H32" s="139"/>
      <c r="I32" s="139">
        <v>113500</v>
      </c>
      <c r="J32" s="139" t="s">
        <v>2334</v>
      </c>
    </row>
    <row r="33" spans="1:10" ht="19" x14ac:dyDescent="0.2">
      <c r="A33" s="143">
        <v>2697000</v>
      </c>
      <c r="B33" s="32">
        <v>45233</v>
      </c>
      <c r="C33" s="49" t="s">
        <v>9</v>
      </c>
      <c r="D33" s="13" t="s">
        <v>565</v>
      </c>
      <c r="E33" s="15">
        <v>1952000</v>
      </c>
      <c r="F33" s="9">
        <v>745000</v>
      </c>
      <c r="G33" s="9"/>
      <c r="H33" s="9"/>
      <c r="I33" s="9">
        <v>182000</v>
      </c>
      <c r="J33" s="9" t="s">
        <v>1484</v>
      </c>
    </row>
    <row r="34" spans="1:10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/>
    </row>
    <row r="35" spans="1:10" ht="19" x14ac:dyDescent="0.2">
      <c r="A35" s="143">
        <v>2385000</v>
      </c>
      <c r="B35" s="32"/>
      <c r="C35" s="49" t="s">
        <v>10</v>
      </c>
      <c r="D35" s="13" t="s">
        <v>685</v>
      </c>
      <c r="E35" s="15">
        <v>1396000</v>
      </c>
      <c r="F35" s="9">
        <v>989000</v>
      </c>
      <c r="G35" s="9"/>
      <c r="H35" s="9"/>
      <c r="I35" s="9">
        <v>264000</v>
      </c>
      <c r="J35" s="9" t="s">
        <v>1397</v>
      </c>
    </row>
    <row r="36" spans="1:10" ht="19" x14ac:dyDescent="0.2">
      <c r="A36" s="143"/>
      <c r="B36" s="32"/>
      <c r="C36" s="49"/>
      <c r="D36" s="13"/>
      <c r="E36" s="15"/>
      <c r="F36" s="9"/>
      <c r="G36" s="9"/>
      <c r="H36" s="9"/>
      <c r="I36" s="9">
        <v>661000</v>
      </c>
      <c r="J36" s="9" t="s">
        <v>2335</v>
      </c>
    </row>
    <row r="37" spans="1:10" ht="19" x14ac:dyDescent="0.2">
      <c r="A37" s="144">
        <v>3198000</v>
      </c>
      <c r="B37" s="145">
        <v>45234</v>
      </c>
      <c r="C37" s="149" t="s">
        <v>9</v>
      </c>
      <c r="D37" s="147" t="s">
        <v>565</v>
      </c>
      <c r="E37" s="150">
        <v>2529000</v>
      </c>
      <c r="F37" s="139">
        <v>669000</v>
      </c>
      <c r="G37" s="139"/>
      <c r="H37" s="139"/>
      <c r="I37" s="139">
        <v>245000</v>
      </c>
      <c r="J37" s="139" t="s">
        <v>2336</v>
      </c>
    </row>
    <row r="38" spans="1:10" ht="19" x14ac:dyDescent="0.2">
      <c r="A38" s="143"/>
      <c r="B38" s="32"/>
      <c r="C38" s="49"/>
      <c r="D38" s="13"/>
      <c r="E38" s="15"/>
      <c r="F38" s="9"/>
      <c r="G38" s="9"/>
      <c r="H38" s="135"/>
      <c r="I38" s="9">
        <v>49000</v>
      </c>
      <c r="J38" s="9" t="s">
        <v>2337</v>
      </c>
    </row>
    <row r="39" spans="1:10" ht="19" x14ac:dyDescent="0.2">
      <c r="A39" s="143">
        <v>1529000</v>
      </c>
      <c r="B39" s="32"/>
      <c r="C39" s="49" t="s">
        <v>10</v>
      </c>
      <c r="D39" s="13" t="s">
        <v>685</v>
      </c>
      <c r="E39" s="15">
        <v>1311000</v>
      </c>
      <c r="F39" s="9">
        <v>218000</v>
      </c>
      <c r="G39" s="9"/>
      <c r="H39" s="135"/>
      <c r="I39" s="9">
        <v>50000</v>
      </c>
      <c r="J39" s="9" t="s">
        <v>59</v>
      </c>
    </row>
    <row r="40" spans="1:10" ht="19" x14ac:dyDescent="0.2">
      <c r="A40" s="144"/>
      <c r="B40" s="145">
        <v>45235</v>
      </c>
      <c r="C40" s="149"/>
      <c r="D40" s="147"/>
      <c r="E40" s="150"/>
      <c r="F40" s="139"/>
      <c r="G40" s="139"/>
      <c r="H40" s="139" t="s">
        <v>737</v>
      </c>
      <c r="I40" s="139">
        <v>500000</v>
      </c>
      <c r="J40" s="139" t="s">
        <v>2338</v>
      </c>
    </row>
    <row r="41" spans="1:10" ht="19" x14ac:dyDescent="0.2">
      <c r="A41" s="143"/>
      <c r="B41" s="32"/>
      <c r="C41" s="49"/>
      <c r="D41" s="13"/>
      <c r="E41" s="15"/>
      <c r="F41" s="9"/>
      <c r="G41" s="9"/>
      <c r="H41" s="9"/>
      <c r="I41" s="9"/>
      <c r="J41" s="9"/>
    </row>
    <row r="42" spans="1:10" ht="19" x14ac:dyDescent="0.2">
      <c r="A42" s="144">
        <v>2643000</v>
      </c>
      <c r="B42" s="145">
        <v>45236</v>
      </c>
      <c r="C42" s="149" t="s">
        <v>9</v>
      </c>
      <c r="D42" s="147" t="s">
        <v>565</v>
      </c>
      <c r="E42" s="150">
        <v>1677000</v>
      </c>
      <c r="F42" s="139">
        <v>966000</v>
      </c>
      <c r="G42" s="139">
        <v>1180000</v>
      </c>
      <c r="H42" s="139" t="s">
        <v>2339</v>
      </c>
      <c r="I42" s="139">
        <v>108000</v>
      </c>
      <c r="J42" s="139" t="s">
        <v>1282</v>
      </c>
    </row>
    <row r="43" spans="1:10" ht="19" x14ac:dyDescent="0.2">
      <c r="A43" s="143"/>
      <c r="B43" s="153"/>
      <c r="C43" s="171"/>
      <c r="D43" s="155"/>
      <c r="E43" s="164"/>
      <c r="F43" s="119"/>
      <c r="G43" s="119"/>
      <c r="H43" s="119"/>
      <c r="I43" s="119">
        <v>46000</v>
      </c>
      <c r="J43" s="119" t="s">
        <v>2101</v>
      </c>
    </row>
    <row r="44" spans="1:10" ht="19" x14ac:dyDescent="0.2">
      <c r="A44" s="144"/>
      <c r="B44" s="145"/>
      <c r="C44" s="149"/>
      <c r="D44" s="147"/>
      <c r="E44" s="150"/>
      <c r="F44" s="139"/>
      <c r="G44" s="139">
        <v>2500000</v>
      </c>
      <c r="H44" s="139" t="s">
        <v>812</v>
      </c>
      <c r="I44" s="139">
        <v>120500</v>
      </c>
      <c r="J44" s="139" t="s">
        <v>2340</v>
      </c>
    </row>
    <row r="45" spans="1:10" ht="19" x14ac:dyDescent="0.2">
      <c r="A45" s="143"/>
      <c r="B45" s="153"/>
      <c r="C45" s="171"/>
      <c r="D45" s="155"/>
      <c r="E45" s="164"/>
      <c r="F45" s="119"/>
      <c r="G45" s="119"/>
      <c r="H45" s="119"/>
      <c r="I45" s="119">
        <v>12000</v>
      </c>
      <c r="J45" s="119" t="s">
        <v>2341</v>
      </c>
    </row>
    <row r="46" spans="1:10" ht="19" x14ac:dyDescent="0.2">
      <c r="A46" s="143"/>
      <c r="B46" s="153"/>
      <c r="C46" s="171"/>
      <c r="D46" s="155"/>
      <c r="E46" s="164"/>
      <c r="F46" s="119"/>
      <c r="G46" s="119"/>
      <c r="H46" s="119"/>
      <c r="I46" s="119">
        <v>18500</v>
      </c>
      <c r="J46" s="119" t="s">
        <v>2342</v>
      </c>
    </row>
    <row r="47" spans="1:10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520000</v>
      </c>
      <c r="J47" s="139" t="s">
        <v>741</v>
      </c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120000</v>
      </c>
      <c r="J48" s="119" t="s">
        <v>703</v>
      </c>
    </row>
    <row r="49" spans="1:10" ht="19" x14ac:dyDescent="0.2">
      <c r="A49" s="144">
        <v>2020000</v>
      </c>
      <c r="B49" s="145"/>
      <c r="C49" s="149" t="s">
        <v>10</v>
      </c>
      <c r="D49" s="147" t="s">
        <v>685</v>
      </c>
      <c r="E49" s="150">
        <v>1570000</v>
      </c>
      <c r="F49" s="139">
        <v>450000</v>
      </c>
      <c r="G49" s="139"/>
      <c r="H49" s="139"/>
      <c r="I49" s="139">
        <v>50000</v>
      </c>
      <c r="J49" s="139" t="s">
        <v>2343</v>
      </c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26000</v>
      </c>
      <c r="J50" s="119" t="s">
        <v>2344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10000</v>
      </c>
      <c r="J51" s="139" t="s">
        <v>2345</v>
      </c>
    </row>
    <row r="52" spans="1:10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55000</v>
      </c>
      <c r="J52" s="119" t="s">
        <v>1093</v>
      </c>
    </row>
    <row r="53" spans="1:10" ht="19" x14ac:dyDescent="0.2">
      <c r="A53" s="144"/>
      <c r="B53" s="145"/>
      <c r="C53" s="149"/>
      <c r="D53" s="147"/>
      <c r="E53" s="150"/>
      <c r="F53" s="139"/>
      <c r="G53" s="139"/>
      <c r="H53" s="139"/>
      <c r="I53" s="139">
        <v>100000</v>
      </c>
      <c r="J53" s="139" t="s">
        <v>2346</v>
      </c>
    </row>
    <row r="54" spans="1:10" ht="19" x14ac:dyDescent="0.2">
      <c r="A54" s="143"/>
      <c r="B54" s="153"/>
      <c r="C54" s="171"/>
      <c r="D54" s="155"/>
      <c r="E54" s="164"/>
      <c r="F54" s="119"/>
      <c r="G54" s="119"/>
      <c r="H54" s="119"/>
      <c r="I54" s="119">
        <v>100000</v>
      </c>
      <c r="J54" s="119" t="s">
        <v>2347</v>
      </c>
    </row>
    <row r="55" spans="1:10" ht="19" x14ac:dyDescent="0.2">
      <c r="A55" s="144"/>
      <c r="B55" s="145"/>
      <c r="C55" s="149"/>
      <c r="D55" s="147"/>
      <c r="E55" s="150"/>
      <c r="F55" s="139"/>
      <c r="G55" s="139"/>
      <c r="H55" s="139"/>
      <c r="I55" s="139">
        <v>330000</v>
      </c>
      <c r="J55" s="139" t="s">
        <v>2348</v>
      </c>
    </row>
    <row r="56" spans="1:10" ht="19" x14ac:dyDescent="0.2">
      <c r="A56" s="143"/>
      <c r="B56" s="153"/>
      <c r="C56" s="171"/>
      <c r="D56" s="155"/>
      <c r="E56" s="164"/>
      <c r="F56" s="119"/>
      <c r="G56" s="119"/>
      <c r="H56" s="119"/>
      <c r="I56" s="119">
        <v>168000</v>
      </c>
      <c r="J56" s="119" t="s">
        <v>2028</v>
      </c>
    </row>
    <row r="57" spans="1:10" ht="19" x14ac:dyDescent="0.2">
      <c r="A57" s="144"/>
      <c r="B57" s="145"/>
      <c r="C57" s="149"/>
      <c r="D57" s="147"/>
      <c r="E57" s="150"/>
      <c r="F57" s="139"/>
      <c r="G57" s="157"/>
      <c r="H57" s="139"/>
      <c r="I57" s="139">
        <v>200000</v>
      </c>
      <c r="J57" s="139" t="s">
        <v>2049</v>
      </c>
    </row>
    <row r="58" spans="1:10" ht="19" x14ac:dyDescent="0.2">
      <c r="A58" s="143"/>
      <c r="B58" s="153"/>
      <c r="C58" s="171"/>
      <c r="D58" s="155"/>
      <c r="E58" s="164"/>
      <c r="F58" s="119"/>
      <c r="G58" s="173"/>
      <c r="H58" s="119"/>
      <c r="I58" s="119">
        <v>120000</v>
      </c>
      <c r="J58" s="119" t="s">
        <v>827</v>
      </c>
    </row>
    <row r="59" spans="1:10" ht="19" x14ac:dyDescent="0.2">
      <c r="A59" s="144"/>
      <c r="B59" s="145"/>
      <c r="C59" s="149"/>
      <c r="D59" s="147"/>
      <c r="E59" s="150"/>
      <c r="F59" s="139"/>
      <c r="G59" s="157"/>
      <c r="H59" s="139"/>
      <c r="I59" s="139">
        <v>264000</v>
      </c>
      <c r="J59" s="139" t="s">
        <v>2349</v>
      </c>
    </row>
    <row r="60" spans="1:10" ht="19" x14ac:dyDescent="0.2">
      <c r="A60" s="144">
        <v>3252000</v>
      </c>
      <c r="B60" s="145">
        <v>45237</v>
      </c>
      <c r="C60" s="149" t="s">
        <v>9</v>
      </c>
      <c r="D60" s="147" t="s">
        <v>565</v>
      </c>
      <c r="E60" s="150">
        <v>2538000</v>
      </c>
      <c r="F60" s="139">
        <v>714000</v>
      </c>
      <c r="G60" s="157"/>
      <c r="H60" s="139"/>
      <c r="I60" s="139">
        <v>75000</v>
      </c>
      <c r="J60" s="139" t="s">
        <v>2350</v>
      </c>
    </row>
    <row r="61" spans="1:10" ht="19" x14ac:dyDescent="0.2">
      <c r="A61" s="143"/>
      <c r="B61" s="153"/>
      <c r="C61" s="171"/>
      <c r="D61" s="155"/>
      <c r="E61" s="164"/>
      <c r="F61" s="119"/>
      <c r="G61" s="119"/>
      <c r="H61" s="119"/>
      <c r="I61" s="119">
        <v>41000</v>
      </c>
      <c r="J61" s="119" t="s">
        <v>1441</v>
      </c>
    </row>
    <row r="62" spans="1:10" ht="19" x14ac:dyDescent="0.2">
      <c r="A62" s="144"/>
      <c r="B62" s="145"/>
      <c r="C62" s="149"/>
      <c r="D62" s="147"/>
      <c r="E62" s="150"/>
      <c r="F62" s="139"/>
      <c r="G62" s="139"/>
      <c r="H62" s="139"/>
      <c r="I62" s="139">
        <v>191500</v>
      </c>
      <c r="J62" s="139" t="s">
        <v>1176</v>
      </c>
    </row>
    <row r="63" spans="1:10" ht="19" x14ac:dyDescent="0.2">
      <c r="A63" s="143"/>
      <c r="B63" s="153"/>
      <c r="C63" s="171"/>
      <c r="D63" s="155"/>
      <c r="E63" s="164"/>
      <c r="F63" s="119"/>
      <c r="G63" s="119"/>
      <c r="H63" s="119"/>
      <c r="I63" s="119">
        <v>67000</v>
      </c>
      <c r="J63" s="119" t="s">
        <v>2262</v>
      </c>
    </row>
    <row r="64" spans="1:10" ht="19" x14ac:dyDescent="0.2">
      <c r="A64" s="144"/>
      <c r="B64" s="145"/>
      <c r="C64" s="149"/>
      <c r="D64" s="147"/>
      <c r="E64" s="150"/>
      <c r="F64" s="139"/>
      <c r="G64" s="139"/>
      <c r="H64" s="139"/>
      <c r="I64" s="139">
        <v>27000</v>
      </c>
      <c r="J64" s="139" t="s">
        <v>972</v>
      </c>
    </row>
    <row r="65" spans="1:10" ht="19" x14ac:dyDescent="0.2">
      <c r="A65" s="143"/>
      <c r="B65" s="153"/>
      <c r="C65" s="171"/>
      <c r="D65" s="155"/>
      <c r="E65" s="164"/>
      <c r="F65" s="119"/>
      <c r="G65" s="119"/>
      <c r="H65" s="119"/>
      <c r="I65" s="119">
        <v>150000</v>
      </c>
      <c r="J65" s="119" t="s">
        <v>2351</v>
      </c>
    </row>
    <row r="66" spans="1:10" ht="19" x14ac:dyDescent="0.2">
      <c r="A66" s="144"/>
      <c r="B66" s="145"/>
      <c r="C66" s="149"/>
      <c r="D66" s="147"/>
      <c r="E66" s="150"/>
      <c r="F66" s="139"/>
      <c r="G66" s="139"/>
      <c r="H66" s="139"/>
      <c r="I66" s="139">
        <v>200000</v>
      </c>
      <c r="J66" s="139" t="s">
        <v>2352</v>
      </c>
    </row>
    <row r="67" spans="1:10" ht="19" x14ac:dyDescent="0.2">
      <c r="A67" s="143">
        <v>2153000</v>
      </c>
      <c r="B67" s="153"/>
      <c r="C67" s="171" t="s">
        <v>10</v>
      </c>
      <c r="D67" s="155" t="s">
        <v>685</v>
      </c>
      <c r="E67" s="164">
        <v>1822000</v>
      </c>
      <c r="F67" s="119">
        <v>331000</v>
      </c>
      <c r="G67" s="119"/>
      <c r="H67" s="119"/>
      <c r="I67" s="119">
        <v>144000</v>
      </c>
      <c r="J67" s="119" t="s">
        <v>615</v>
      </c>
    </row>
    <row r="68" spans="1:10" ht="19" x14ac:dyDescent="0.2">
      <c r="A68" s="144"/>
      <c r="B68" s="145"/>
      <c r="C68" s="149"/>
      <c r="D68" s="147"/>
      <c r="E68" s="150"/>
      <c r="F68" s="139"/>
      <c r="G68" s="139"/>
      <c r="H68" s="139"/>
      <c r="I68" s="139">
        <v>125000</v>
      </c>
      <c r="J68" s="139" t="s">
        <v>889</v>
      </c>
    </row>
    <row r="69" spans="1:10" ht="19" x14ac:dyDescent="0.2">
      <c r="A69" s="206"/>
      <c r="B69" s="207"/>
      <c r="C69" s="171"/>
      <c r="D69" s="155"/>
      <c r="E69" s="210"/>
      <c r="F69" s="211"/>
      <c r="G69" s="211"/>
      <c r="H69" s="211"/>
      <c r="I69" s="211">
        <v>80000</v>
      </c>
      <c r="J69" s="119" t="s">
        <v>751</v>
      </c>
    </row>
    <row r="70" spans="1:10" ht="19" x14ac:dyDescent="0.2">
      <c r="A70" s="144">
        <v>2461000</v>
      </c>
      <c r="B70" s="145" t="s">
        <v>2353</v>
      </c>
      <c r="C70" s="149" t="s">
        <v>9</v>
      </c>
      <c r="D70" s="147" t="s">
        <v>565</v>
      </c>
      <c r="E70" s="150">
        <v>1707000</v>
      </c>
      <c r="F70" s="139">
        <v>754000</v>
      </c>
      <c r="G70" s="139"/>
      <c r="H70" s="139"/>
      <c r="I70" s="139">
        <v>168000</v>
      </c>
      <c r="J70" s="139" t="s">
        <v>2028</v>
      </c>
    </row>
    <row r="71" spans="1:10" ht="19" x14ac:dyDescent="0.2">
      <c r="A71" s="143"/>
      <c r="B71" s="153"/>
      <c r="C71" s="171"/>
      <c r="D71" s="155"/>
      <c r="E71" s="164"/>
      <c r="F71" s="119"/>
      <c r="G71" s="119"/>
      <c r="H71" s="119"/>
      <c r="I71" s="119">
        <v>150000</v>
      </c>
      <c r="J71" s="119" t="s">
        <v>2354</v>
      </c>
    </row>
    <row r="72" spans="1:10" ht="19" x14ac:dyDescent="0.2">
      <c r="A72" s="143">
        <v>2215000</v>
      </c>
      <c r="B72" s="32"/>
      <c r="C72" s="49" t="s">
        <v>10</v>
      </c>
      <c r="D72" s="13" t="s">
        <v>685</v>
      </c>
      <c r="E72" s="15">
        <v>1600000</v>
      </c>
      <c r="F72" s="9">
        <v>615000</v>
      </c>
      <c r="G72" s="135"/>
      <c r="H72" s="135"/>
      <c r="I72" s="9">
        <v>264000</v>
      </c>
      <c r="J72" s="9" t="s">
        <v>2349</v>
      </c>
    </row>
    <row r="73" spans="1:10" ht="19" x14ac:dyDescent="0.2">
      <c r="A73" s="144"/>
      <c r="B73" s="145"/>
      <c r="C73" s="149"/>
      <c r="D73" s="147"/>
      <c r="E73" s="150"/>
      <c r="F73" s="139"/>
      <c r="G73" s="139"/>
      <c r="H73" s="139"/>
      <c r="I73" s="139">
        <v>200000</v>
      </c>
      <c r="J73" s="139" t="s">
        <v>2049</v>
      </c>
    </row>
    <row r="74" spans="1:10" ht="19" x14ac:dyDescent="0.2">
      <c r="A74" s="143"/>
      <c r="B74" s="32"/>
      <c r="C74" s="49"/>
      <c r="D74" s="13"/>
      <c r="E74" s="15"/>
      <c r="F74" s="9"/>
      <c r="G74" s="9"/>
      <c r="H74" s="9"/>
      <c r="I74" s="9">
        <v>120000</v>
      </c>
      <c r="J74" s="9" t="s">
        <v>827</v>
      </c>
    </row>
    <row r="75" spans="1:10" ht="19" x14ac:dyDescent="0.2">
      <c r="A75" s="144">
        <v>3143000</v>
      </c>
      <c r="B75" s="145">
        <v>45239</v>
      </c>
      <c r="C75" s="149" t="s">
        <v>9</v>
      </c>
      <c r="D75" s="147" t="s">
        <v>565</v>
      </c>
      <c r="E75" s="150">
        <v>2427000</v>
      </c>
      <c r="F75" s="139">
        <v>716000</v>
      </c>
      <c r="G75" s="139">
        <v>3700000</v>
      </c>
      <c r="H75" s="139" t="s">
        <v>2409</v>
      </c>
      <c r="I75" s="139">
        <v>56000</v>
      </c>
      <c r="J75" s="139" t="s">
        <v>2355</v>
      </c>
    </row>
    <row r="76" spans="1:10" ht="19" x14ac:dyDescent="0.2">
      <c r="A76" s="143"/>
      <c r="B76" s="32"/>
      <c r="C76" s="49"/>
      <c r="D76" s="13"/>
      <c r="E76" s="15"/>
      <c r="F76" s="9"/>
      <c r="G76" s="9"/>
      <c r="H76" s="9"/>
      <c r="I76" s="9">
        <v>12000</v>
      </c>
      <c r="J76" s="9" t="s">
        <v>2341</v>
      </c>
    </row>
    <row r="77" spans="1:10" ht="19" x14ac:dyDescent="0.2">
      <c r="A77" s="142">
        <v>2093000</v>
      </c>
      <c r="B77" s="153"/>
      <c r="C77" s="163" t="s">
        <v>10</v>
      </c>
      <c r="D77" s="155" t="s">
        <v>685</v>
      </c>
      <c r="E77" s="164">
        <v>1317000</v>
      </c>
      <c r="F77" s="119">
        <v>776000</v>
      </c>
      <c r="G77" s="119"/>
      <c r="H77" s="119"/>
      <c r="I77" s="119">
        <v>264000</v>
      </c>
      <c r="J77" s="119" t="s">
        <v>2349</v>
      </c>
    </row>
    <row r="78" spans="1:10" ht="19" x14ac:dyDescent="0.2">
      <c r="A78" s="144"/>
      <c r="B78" s="145"/>
      <c r="C78" s="151"/>
      <c r="D78" s="147"/>
      <c r="E78" s="150"/>
      <c r="F78" s="139"/>
      <c r="G78" s="139"/>
      <c r="H78" s="139"/>
      <c r="I78" s="139"/>
      <c r="J78" s="139"/>
    </row>
    <row r="79" spans="1:10" ht="19" x14ac:dyDescent="0.2">
      <c r="A79" s="144">
        <v>2773000</v>
      </c>
      <c r="B79" s="145">
        <v>45240</v>
      </c>
      <c r="C79" s="149" t="s">
        <v>9</v>
      </c>
      <c r="D79" s="147" t="s">
        <v>565</v>
      </c>
      <c r="E79" s="150">
        <v>2362000</v>
      </c>
      <c r="F79" s="139">
        <v>411000</v>
      </c>
      <c r="G79" s="152"/>
      <c r="H79" s="152"/>
      <c r="I79" s="139"/>
      <c r="J79" s="139"/>
    </row>
    <row r="80" spans="1:10" ht="19" x14ac:dyDescent="0.2">
      <c r="A80" s="143"/>
      <c r="B80" s="32"/>
      <c r="C80" s="49"/>
      <c r="D80" s="13"/>
      <c r="E80" s="15"/>
      <c r="F80" s="9"/>
      <c r="G80" s="60"/>
      <c r="H80" s="60"/>
      <c r="I80" s="9"/>
      <c r="J80" s="9"/>
    </row>
    <row r="81" spans="1:10" ht="19" x14ac:dyDescent="0.2">
      <c r="A81" s="144">
        <v>2222000</v>
      </c>
      <c r="B81" s="145"/>
      <c r="C81" s="149" t="s">
        <v>10</v>
      </c>
      <c r="D81" s="147" t="s">
        <v>685</v>
      </c>
      <c r="E81" s="150">
        <v>1559000</v>
      </c>
      <c r="F81" s="139">
        <v>663000</v>
      </c>
      <c r="G81" s="152"/>
      <c r="H81" s="152"/>
      <c r="I81" s="139">
        <v>125000</v>
      </c>
      <c r="J81" s="139" t="s">
        <v>889</v>
      </c>
    </row>
    <row r="82" spans="1:10" ht="19" x14ac:dyDescent="0.2">
      <c r="A82" s="143"/>
      <c r="B82" s="153"/>
      <c r="C82" s="171"/>
      <c r="D82" s="155"/>
      <c r="E82" s="164"/>
      <c r="F82" s="119"/>
      <c r="G82" s="175"/>
      <c r="H82" s="175"/>
      <c r="I82" s="139">
        <v>80000</v>
      </c>
      <c r="J82" s="139" t="s">
        <v>751</v>
      </c>
    </row>
    <row r="83" spans="1:10" ht="19" x14ac:dyDescent="0.2">
      <c r="A83" s="144"/>
      <c r="B83" s="145"/>
      <c r="C83" s="149"/>
      <c r="D83" s="147"/>
      <c r="E83" s="150"/>
      <c r="F83" s="139"/>
      <c r="G83" s="152"/>
      <c r="H83" s="152"/>
      <c r="I83" s="139">
        <v>144000</v>
      </c>
      <c r="J83" s="139" t="s">
        <v>615</v>
      </c>
    </row>
    <row r="84" spans="1:10" ht="19" x14ac:dyDescent="0.2">
      <c r="A84" s="144">
        <v>2422000</v>
      </c>
      <c r="B84" s="145">
        <v>45241</v>
      </c>
      <c r="C84" s="149" t="s">
        <v>9</v>
      </c>
      <c r="D84" s="147" t="s">
        <v>565</v>
      </c>
      <c r="E84" s="150">
        <v>1634000</v>
      </c>
      <c r="F84" s="139">
        <v>788000</v>
      </c>
      <c r="G84" s="139">
        <v>2500000</v>
      </c>
      <c r="H84" s="139" t="s">
        <v>812</v>
      </c>
      <c r="I84" s="139">
        <v>126000</v>
      </c>
      <c r="J84" s="139" t="s">
        <v>895</v>
      </c>
    </row>
    <row r="85" spans="1:10" ht="19" x14ac:dyDescent="0.2">
      <c r="A85" s="144"/>
      <c r="B85" s="145"/>
      <c r="C85" s="149"/>
      <c r="D85" s="147"/>
      <c r="E85" s="150"/>
      <c r="F85" s="139"/>
      <c r="G85" s="152"/>
      <c r="H85" s="152"/>
      <c r="I85" s="139"/>
      <c r="J85" s="139"/>
    </row>
    <row r="86" spans="1:10" ht="19" x14ac:dyDescent="0.2">
      <c r="A86" s="143">
        <v>1745000</v>
      </c>
      <c r="B86" s="32"/>
      <c r="C86" s="49" t="s">
        <v>10</v>
      </c>
      <c r="D86" s="13" t="s">
        <v>685</v>
      </c>
      <c r="E86" s="15">
        <v>1535000</v>
      </c>
      <c r="F86" s="9">
        <v>210000</v>
      </c>
      <c r="G86" s="9"/>
      <c r="H86" s="9"/>
      <c r="I86" s="9">
        <v>50000</v>
      </c>
      <c r="J86" s="9" t="s">
        <v>59</v>
      </c>
    </row>
    <row r="87" spans="1:10" ht="19" x14ac:dyDescent="0.2">
      <c r="A87" s="144"/>
      <c r="B87" s="145"/>
      <c r="C87" s="149"/>
      <c r="D87" s="147"/>
      <c r="E87" s="150"/>
      <c r="F87" s="139"/>
      <c r="G87" s="152"/>
      <c r="H87" s="152"/>
      <c r="I87" s="139">
        <v>150000</v>
      </c>
      <c r="J87" s="139" t="s">
        <v>2356</v>
      </c>
    </row>
    <row r="88" spans="1:10" ht="19" x14ac:dyDescent="0.2">
      <c r="A88" s="143"/>
      <c r="B88" s="32"/>
      <c r="C88" s="49"/>
      <c r="D88" s="13"/>
      <c r="E88" s="15"/>
      <c r="F88" s="9"/>
      <c r="G88" s="60"/>
      <c r="H88" s="60"/>
      <c r="I88" s="9">
        <v>150000</v>
      </c>
      <c r="J88" s="9" t="s">
        <v>2357</v>
      </c>
    </row>
    <row r="89" spans="1:10" ht="19" x14ac:dyDescent="0.2">
      <c r="A89" s="144"/>
      <c r="B89" s="145"/>
      <c r="C89" s="149"/>
      <c r="D89" s="147"/>
      <c r="E89" s="150"/>
      <c r="F89" s="139"/>
      <c r="G89" s="152"/>
      <c r="H89" s="152"/>
      <c r="I89" s="139">
        <v>150000</v>
      </c>
      <c r="J89" s="139" t="s">
        <v>2358</v>
      </c>
    </row>
    <row r="90" spans="1:10" ht="19" x14ac:dyDescent="0.2">
      <c r="A90" s="143"/>
      <c r="B90" s="153"/>
      <c r="C90" s="171"/>
      <c r="D90" s="155"/>
      <c r="E90" s="164"/>
      <c r="F90" s="119"/>
      <c r="G90" s="175"/>
      <c r="H90" s="175"/>
      <c r="I90" s="119">
        <v>150000</v>
      </c>
      <c r="J90" s="119" t="s">
        <v>2359</v>
      </c>
    </row>
    <row r="91" spans="1:10" ht="19" x14ac:dyDescent="0.2">
      <c r="A91" s="144"/>
      <c r="B91" s="145"/>
      <c r="C91" s="149"/>
      <c r="D91" s="147"/>
      <c r="E91" s="150"/>
      <c r="F91" s="139"/>
      <c r="G91" s="152"/>
      <c r="H91" s="152"/>
      <c r="I91" s="139">
        <v>150000</v>
      </c>
      <c r="J91" s="139" t="s">
        <v>2360</v>
      </c>
    </row>
    <row r="92" spans="1:10" ht="19" x14ac:dyDescent="0.2">
      <c r="A92" s="143"/>
      <c r="B92" s="153">
        <v>45242</v>
      </c>
      <c r="C92" s="171"/>
      <c r="D92" s="155"/>
      <c r="E92" s="164"/>
      <c r="F92" s="119"/>
      <c r="G92" s="175"/>
      <c r="H92" s="175" t="s">
        <v>737</v>
      </c>
      <c r="I92" s="119"/>
      <c r="J92" s="119"/>
    </row>
    <row r="93" spans="1:10" ht="19" x14ac:dyDescent="0.2">
      <c r="A93" s="144">
        <v>2239000</v>
      </c>
      <c r="B93" s="145">
        <v>45243</v>
      </c>
      <c r="C93" s="149" t="s">
        <v>9</v>
      </c>
      <c r="D93" s="147" t="s">
        <v>565</v>
      </c>
      <c r="E93" s="150">
        <v>1691000</v>
      </c>
      <c r="F93" s="139">
        <v>548000</v>
      </c>
      <c r="G93" s="152"/>
      <c r="H93" s="152"/>
      <c r="I93" s="139">
        <v>182000</v>
      </c>
      <c r="J93" s="139" t="s">
        <v>1484</v>
      </c>
    </row>
    <row r="94" spans="1:10" ht="19" x14ac:dyDescent="0.2">
      <c r="A94" s="143"/>
      <c r="B94" s="153"/>
      <c r="C94" s="171"/>
      <c r="D94" s="155"/>
      <c r="E94" s="164"/>
      <c r="F94" s="119"/>
      <c r="G94" s="175"/>
      <c r="H94" s="175"/>
      <c r="I94" s="119"/>
      <c r="J94" s="119"/>
    </row>
    <row r="95" spans="1:10" ht="19" x14ac:dyDescent="0.2">
      <c r="A95" s="144">
        <v>1899000</v>
      </c>
      <c r="B95" s="145"/>
      <c r="C95" s="149" t="s">
        <v>10</v>
      </c>
      <c r="D95" s="147" t="s">
        <v>685</v>
      </c>
      <c r="E95" s="150">
        <v>1261000</v>
      </c>
      <c r="F95" s="139">
        <v>638000</v>
      </c>
      <c r="G95" s="152"/>
      <c r="H95" s="152"/>
      <c r="I95" s="139">
        <v>198000</v>
      </c>
      <c r="J95" s="139" t="s">
        <v>1066</v>
      </c>
    </row>
    <row r="96" spans="1:10" ht="19" x14ac:dyDescent="0.2">
      <c r="A96" s="143"/>
      <c r="B96" s="32"/>
      <c r="C96" s="49"/>
      <c r="D96" s="13"/>
      <c r="E96" s="15"/>
      <c r="F96" s="9"/>
      <c r="G96" s="60"/>
      <c r="H96" s="60"/>
      <c r="I96" s="9">
        <v>200000</v>
      </c>
      <c r="J96" s="9" t="s">
        <v>2361</v>
      </c>
    </row>
    <row r="97" spans="1:10" ht="19" x14ac:dyDescent="0.2">
      <c r="A97" s="143">
        <v>3373000</v>
      </c>
      <c r="B97" s="153">
        <v>45244</v>
      </c>
      <c r="C97" s="49" t="s">
        <v>9</v>
      </c>
      <c r="D97" s="13" t="s">
        <v>565</v>
      </c>
      <c r="E97" s="15">
        <v>2216000</v>
      </c>
      <c r="F97" s="9">
        <v>1157000</v>
      </c>
      <c r="G97" s="60"/>
      <c r="H97" s="60"/>
      <c r="I97" s="9">
        <v>46000</v>
      </c>
      <c r="J97" s="9" t="s">
        <v>2362</v>
      </c>
    </row>
    <row r="98" spans="1:10" ht="19" x14ac:dyDescent="0.2">
      <c r="A98" s="144"/>
      <c r="B98" s="145"/>
      <c r="C98" s="149"/>
      <c r="D98" s="147"/>
      <c r="E98" s="150"/>
      <c r="F98" s="139"/>
      <c r="G98" s="152"/>
      <c r="H98" s="152"/>
      <c r="I98" s="139">
        <v>27000</v>
      </c>
      <c r="J98" s="139" t="s">
        <v>2363</v>
      </c>
    </row>
    <row r="99" spans="1:10" ht="19" x14ac:dyDescent="0.2">
      <c r="A99" s="143"/>
      <c r="B99" s="32"/>
      <c r="C99" s="49"/>
      <c r="D99" s="13"/>
      <c r="E99" s="15"/>
      <c r="F99" s="9"/>
      <c r="G99" s="60"/>
      <c r="H99" s="60"/>
      <c r="I99" s="9">
        <v>9000</v>
      </c>
      <c r="J99" s="9" t="s">
        <v>2364</v>
      </c>
    </row>
    <row r="100" spans="1:10" ht="19" x14ac:dyDescent="0.2">
      <c r="A100" s="144">
        <v>2129000</v>
      </c>
      <c r="B100" s="145"/>
      <c r="C100" s="149" t="s">
        <v>10</v>
      </c>
      <c r="D100" s="147" t="s">
        <v>685</v>
      </c>
      <c r="E100" s="150">
        <v>1595000</v>
      </c>
      <c r="F100" s="139">
        <v>534000</v>
      </c>
      <c r="G100" s="152"/>
      <c r="H100" s="152"/>
      <c r="I100" s="139">
        <v>105000</v>
      </c>
      <c r="J100" s="139" t="s">
        <v>2365</v>
      </c>
    </row>
    <row r="101" spans="1:10" ht="19" x14ac:dyDescent="0.2">
      <c r="A101" s="143"/>
      <c r="B101" s="32"/>
      <c r="C101" s="49"/>
      <c r="D101" s="13"/>
      <c r="E101" s="15"/>
      <c r="F101" s="9"/>
      <c r="G101" s="60"/>
      <c r="H101" s="60"/>
      <c r="I101" s="9">
        <v>57000</v>
      </c>
      <c r="J101" s="9" t="s">
        <v>2366</v>
      </c>
    </row>
    <row r="102" spans="1:10" ht="19" x14ac:dyDescent="0.2">
      <c r="A102" s="144"/>
      <c r="B102" s="145"/>
      <c r="C102" s="159"/>
      <c r="D102" s="147"/>
      <c r="E102" s="150"/>
      <c r="F102" s="139"/>
      <c r="G102" s="139"/>
      <c r="H102" s="139"/>
      <c r="I102" s="139">
        <v>108000</v>
      </c>
      <c r="J102" s="139" t="s">
        <v>1282</v>
      </c>
    </row>
    <row r="103" spans="1:10" ht="19" x14ac:dyDescent="0.2">
      <c r="A103" s="143"/>
      <c r="B103" s="32"/>
      <c r="C103" s="49"/>
      <c r="D103" s="13"/>
      <c r="E103" s="15"/>
      <c r="F103" s="9"/>
      <c r="G103" s="9"/>
      <c r="H103" s="9"/>
      <c r="I103" s="9">
        <v>19000</v>
      </c>
      <c r="J103" s="9" t="s">
        <v>2367</v>
      </c>
    </row>
    <row r="104" spans="1:10" ht="19" x14ac:dyDescent="0.2">
      <c r="A104" s="143"/>
      <c r="B104" s="32"/>
      <c r="C104" s="49"/>
      <c r="D104" s="13"/>
      <c r="E104" s="15"/>
      <c r="F104" s="9"/>
      <c r="G104" s="9"/>
      <c r="H104" s="9"/>
      <c r="I104" s="9">
        <v>40000</v>
      </c>
      <c r="J104" s="9" t="s">
        <v>640</v>
      </c>
    </row>
    <row r="105" spans="1:10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>
        <v>19000</v>
      </c>
      <c r="J105" s="139" t="s">
        <v>2368</v>
      </c>
    </row>
    <row r="106" spans="1:10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>
        <v>48000</v>
      </c>
      <c r="J106" s="119" t="s">
        <v>982</v>
      </c>
    </row>
    <row r="107" spans="1:10" ht="32" x14ac:dyDescent="0.2">
      <c r="A107" s="144">
        <v>2588000</v>
      </c>
      <c r="B107" s="145">
        <v>45245</v>
      </c>
      <c r="C107" s="149" t="s">
        <v>9</v>
      </c>
      <c r="D107" s="147" t="s">
        <v>565</v>
      </c>
      <c r="E107" s="150">
        <v>1827000</v>
      </c>
      <c r="F107" s="139">
        <v>761000</v>
      </c>
      <c r="G107" s="139">
        <v>1242000</v>
      </c>
      <c r="H107" s="161" t="s">
        <v>2369</v>
      </c>
      <c r="I107" s="139">
        <v>25000</v>
      </c>
      <c r="J107" s="139" t="s">
        <v>2370</v>
      </c>
    </row>
    <row r="108" spans="1:10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>
        <v>130000</v>
      </c>
      <c r="J108" s="119" t="s">
        <v>2371</v>
      </c>
    </row>
    <row r="109" spans="1:10" ht="32" x14ac:dyDescent="0.2">
      <c r="A109" s="144">
        <v>1647000</v>
      </c>
      <c r="B109" s="145"/>
      <c r="C109" s="149" t="s">
        <v>10</v>
      </c>
      <c r="D109" s="147" t="s">
        <v>685</v>
      </c>
      <c r="E109" s="150">
        <v>1143000</v>
      </c>
      <c r="F109" s="139">
        <v>504000</v>
      </c>
      <c r="G109" s="139">
        <v>1224000</v>
      </c>
      <c r="H109" s="161" t="s">
        <v>2372</v>
      </c>
      <c r="I109" s="139">
        <v>196000</v>
      </c>
      <c r="J109" s="139" t="s">
        <v>2098</v>
      </c>
    </row>
    <row r="110" spans="1:10" ht="19" x14ac:dyDescent="0.2">
      <c r="A110" s="144"/>
      <c r="B110" s="145"/>
      <c r="C110" s="149"/>
      <c r="D110" s="147"/>
      <c r="E110" s="150"/>
      <c r="F110" s="139"/>
      <c r="G110" s="139">
        <v>500000</v>
      </c>
      <c r="H110" s="139" t="s">
        <v>2373</v>
      </c>
      <c r="I110" s="139">
        <v>200000</v>
      </c>
      <c r="J110" s="139" t="s">
        <v>2049</v>
      </c>
    </row>
    <row r="111" spans="1:10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>
        <v>35000</v>
      </c>
      <c r="J111" s="119" t="s">
        <v>655</v>
      </c>
    </row>
    <row r="112" spans="1:10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>
        <v>120000</v>
      </c>
      <c r="J112" s="139" t="s">
        <v>827</v>
      </c>
    </row>
    <row r="113" spans="1:10" ht="19" x14ac:dyDescent="0.2">
      <c r="A113" s="143"/>
      <c r="B113" s="153"/>
      <c r="C113" s="171"/>
      <c r="D113" s="155"/>
      <c r="E113" s="164"/>
      <c r="F113" s="119"/>
      <c r="G113" s="119"/>
      <c r="H113" s="119"/>
      <c r="I113" s="119">
        <v>264000</v>
      </c>
      <c r="J113" s="119" t="s">
        <v>1397</v>
      </c>
    </row>
    <row r="114" spans="1:10" ht="19" x14ac:dyDescent="0.2">
      <c r="A114" s="148"/>
      <c r="B114" s="145"/>
      <c r="C114" s="149"/>
      <c r="D114" s="160"/>
      <c r="E114" s="150"/>
      <c r="F114" s="139"/>
      <c r="G114" s="139"/>
      <c r="H114" s="139"/>
      <c r="I114" s="139"/>
      <c r="J114" s="139"/>
    </row>
    <row r="115" spans="1:10" ht="19" x14ac:dyDescent="0.2">
      <c r="A115" s="144">
        <v>3074000</v>
      </c>
      <c r="B115" s="145">
        <v>45246</v>
      </c>
      <c r="C115" s="149" t="s">
        <v>1228</v>
      </c>
      <c r="D115" s="147" t="s">
        <v>565</v>
      </c>
      <c r="E115" s="150">
        <v>2243000</v>
      </c>
      <c r="F115" s="139">
        <v>831000</v>
      </c>
      <c r="G115" s="139"/>
      <c r="H115" s="139"/>
      <c r="I115" s="139">
        <v>520000</v>
      </c>
      <c r="J115" s="139" t="s">
        <v>741</v>
      </c>
    </row>
    <row r="116" spans="1:10" ht="19" x14ac:dyDescent="0.2">
      <c r="A116" s="143"/>
      <c r="B116" s="32"/>
      <c r="C116" s="49"/>
      <c r="D116" s="13"/>
      <c r="E116" s="15"/>
      <c r="F116" s="9"/>
      <c r="G116" s="9">
        <v>2500000</v>
      </c>
      <c r="H116" s="9" t="s">
        <v>812</v>
      </c>
      <c r="I116" s="9"/>
      <c r="J116" s="9"/>
    </row>
    <row r="117" spans="1:10" ht="19" x14ac:dyDescent="0.2">
      <c r="A117" s="144"/>
      <c r="B117" s="145"/>
      <c r="C117" s="149"/>
      <c r="D117" s="147"/>
      <c r="E117" s="150"/>
      <c r="F117" s="139"/>
      <c r="G117" s="139"/>
      <c r="H117" s="139"/>
      <c r="I117" s="139"/>
      <c r="J117" s="139"/>
    </row>
    <row r="118" spans="1:10" ht="19" x14ac:dyDescent="0.2">
      <c r="A118" s="143">
        <v>2169000</v>
      </c>
      <c r="B118" s="153"/>
      <c r="C118" s="171" t="s">
        <v>10</v>
      </c>
      <c r="D118" s="155" t="s">
        <v>685</v>
      </c>
      <c r="E118" s="164">
        <v>1569000</v>
      </c>
      <c r="F118" s="119">
        <v>600000</v>
      </c>
      <c r="G118" s="119"/>
      <c r="H118" s="119"/>
      <c r="I118" s="119">
        <v>125000</v>
      </c>
      <c r="J118" s="119" t="s">
        <v>889</v>
      </c>
    </row>
    <row r="119" spans="1:10" ht="19" x14ac:dyDescent="0.2">
      <c r="A119" s="144"/>
      <c r="B119" s="145"/>
      <c r="C119" s="149"/>
      <c r="D119" s="147"/>
      <c r="E119" s="150"/>
      <c r="F119" s="139"/>
      <c r="G119" s="139"/>
      <c r="H119" s="139"/>
      <c r="I119" s="139">
        <v>144000</v>
      </c>
      <c r="J119" s="139" t="s">
        <v>615</v>
      </c>
    </row>
    <row r="120" spans="1:10" ht="19" x14ac:dyDescent="0.2">
      <c r="A120" s="143">
        <v>2722000</v>
      </c>
      <c r="B120" s="153">
        <v>45247</v>
      </c>
      <c r="C120" s="171" t="s">
        <v>9</v>
      </c>
      <c r="D120" s="155" t="s">
        <v>565</v>
      </c>
      <c r="E120" s="164">
        <v>1868000</v>
      </c>
      <c r="F120" s="119">
        <v>854000</v>
      </c>
      <c r="G120" s="119"/>
      <c r="H120" s="175"/>
      <c r="I120" s="119">
        <v>126000</v>
      </c>
      <c r="J120" s="119" t="s">
        <v>895</v>
      </c>
    </row>
    <row r="121" spans="1:10" ht="19" x14ac:dyDescent="0.2">
      <c r="A121" s="144"/>
      <c r="B121" s="145"/>
      <c r="C121" s="149"/>
      <c r="D121" s="147"/>
      <c r="E121" s="150"/>
      <c r="F121" s="139"/>
      <c r="G121" s="139"/>
      <c r="H121" s="139"/>
      <c r="I121" s="139"/>
      <c r="J121" s="139"/>
    </row>
    <row r="122" spans="1:10" ht="19" x14ac:dyDescent="0.2">
      <c r="A122" s="143">
        <v>2338000</v>
      </c>
      <c r="B122" s="153"/>
      <c r="C122" s="171" t="s">
        <v>10</v>
      </c>
      <c r="D122" s="155" t="s">
        <v>685</v>
      </c>
      <c r="E122" s="164">
        <v>1844000</v>
      </c>
      <c r="F122" s="119">
        <v>494000</v>
      </c>
      <c r="G122" s="119"/>
      <c r="H122" s="119"/>
      <c r="I122" s="119"/>
      <c r="J122" s="119"/>
    </row>
    <row r="123" spans="1:10" ht="19" x14ac:dyDescent="0.2">
      <c r="A123" s="144"/>
      <c r="B123" s="145"/>
      <c r="C123" s="149"/>
      <c r="D123" s="147"/>
      <c r="E123" s="150"/>
      <c r="F123" s="139"/>
      <c r="G123" s="139"/>
      <c r="H123" s="139"/>
      <c r="I123" s="139"/>
      <c r="J123" s="139"/>
    </row>
    <row r="124" spans="1:10" ht="19" x14ac:dyDescent="0.2">
      <c r="A124" s="143">
        <v>3104000</v>
      </c>
      <c r="B124" s="153">
        <v>45248</v>
      </c>
      <c r="C124" s="171" t="s">
        <v>9</v>
      </c>
      <c r="D124" s="155" t="s">
        <v>565</v>
      </c>
      <c r="E124" s="164">
        <v>2286000</v>
      </c>
      <c r="F124" s="119">
        <v>818000</v>
      </c>
      <c r="G124" s="119"/>
      <c r="H124" s="175"/>
      <c r="I124" s="119"/>
      <c r="J124" s="119"/>
    </row>
    <row r="125" spans="1:10" ht="19" x14ac:dyDescent="0.2">
      <c r="A125" s="144"/>
      <c r="B125" s="145"/>
      <c r="C125" s="149"/>
      <c r="D125" s="147"/>
      <c r="E125" s="150"/>
      <c r="F125" s="139"/>
      <c r="G125" s="139"/>
      <c r="H125" s="139"/>
      <c r="I125" s="139"/>
      <c r="J125" s="139"/>
    </row>
    <row r="126" spans="1:10" ht="19" x14ac:dyDescent="0.2">
      <c r="A126" s="144">
        <v>2080000</v>
      </c>
      <c r="B126" s="145"/>
      <c r="C126" s="149" t="s">
        <v>10</v>
      </c>
      <c r="D126" s="147" t="s">
        <v>685</v>
      </c>
      <c r="E126" s="150">
        <v>1677000</v>
      </c>
      <c r="F126" s="139">
        <v>403000</v>
      </c>
      <c r="G126" s="139"/>
      <c r="H126" s="152"/>
      <c r="I126" s="139">
        <v>50000</v>
      </c>
      <c r="J126" s="139" t="s">
        <v>59</v>
      </c>
    </row>
    <row r="127" spans="1:10" ht="19" x14ac:dyDescent="0.2">
      <c r="A127" s="143"/>
      <c r="B127" s="153"/>
      <c r="C127" s="171"/>
      <c r="D127" s="155"/>
      <c r="E127" s="164"/>
      <c r="F127" s="119"/>
      <c r="G127" s="119"/>
      <c r="H127" s="119"/>
      <c r="I127" s="119"/>
      <c r="J127" s="119"/>
    </row>
    <row r="128" spans="1:10" ht="19" x14ac:dyDescent="0.2">
      <c r="A128" s="144"/>
      <c r="B128" s="145">
        <v>45249</v>
      </c>
      <c r="C128" s="149"/>
      <c r="D128" s="147"/>
      <c r="E128" s="150"/>
      <c r="F128" s="139"/>
      <c r="G128" s="139"/>
      <c r="H128" s="139" t="s">
        <v>737</v>
      </c>
      <c r="I128" s="139"/>
      <c r="J128" s="139"/>
    </row>
    <row r="129" spans="1:10" ht="19" x14ac:dyDescent="0.2">
      <c r="A129" s="144"/>
      <c r="B129" s="145"/>
      <c r="C129" s="149"/>
      <c r="D129" s="147"/>
      <c r="E129" s="150"/>
      <c r="F129" s="139"/>
      <c r="G129" s="139"/>
      <c r="H129" s="139"/>
      <c r="I129" s="139"/>
      <c r="J129" s="139"/>
    </row>
    <row r="130" spans="1:10" ht="19" x14ac:dyDescent="0.2">
      <c r="A130" s="143">
        <v>2141000</v>
      </c>
      <c r="B130" s="32">
        <v>45250</v>
      </c>
      <c r="C130" s="49" t="s">
        <v>9</v>
      </c>
      <c r="D130" s="13" t="s">
        <v>565</v>
      </c>
      <c r="E130" s="15">
        <v>1506000</v>
      </c>
      <c r="F130" s="9">
        <v>635000</v>
      </c>
      <c r="G130" s="9"/>
      <c r="H130" s="9"/>
      <c r="I130" s="9">
        <v>108000</v>
      </c>
      <c r="J130" s="9" t="s">
        <v>1282</v>
      </c>
    </row>
    <row r="131" spans="1:10" ht="19" x14ac:dyDescent="0.2">
      <c r="A131" s="143"/>
      <c r="B131" s="153"/>
      <c r="C131" s="163"/>
      <c r="D131" s="155"/>
      <c r="E131" s="164"/>
      <c r="F131" s="119"/>
      <c r="G131" s="119"/>
      <c r="H131" s="119"/>
      <c r="I131" s="174">
        <v>74000</v>
      </c>
      <c r="J131" s="174" t="s">
        <v>2374</v>
      </c>
    </row>
    <row r="132" spans="1:10" ht="19" x14ac:dyDescent="0.2">
      <c r="A132" s="144"/>
      <c r="B132" s="158"/>
      <c r="C132" s="151"/>
      <c r="D132" s="147"/>
      <c r="E132" s="150"/>
      <c r="F132" s="139"/>
      <c r="G132" s="139"/>
      <c r="H132" s="139"/>
      <c r="I132" s="162">
        <v>30500</v>
      </c>
      <c r="J132" s="162" t="s">
        <v>2375</v>
      </c>
    </row>
    <row r="133" spans="1:10" ht="19" x14ac:dyDescent="0.2">
      <c r="A133" s="143"/>
      <c r="B133" s="32"/>
      <c r="C133" s="35"/>
      <c r="D133" s="13"/>
      <c r="E133" s="15"/>
      <c r="F133" s="9"/>
      <c r="G133" s="9"/>
      <c r="H133" s="9"/>
      <c r="I133" s="106">
        <v>120000</v>
      </c>
      <c r="J133" s="106" t="s">
        <v>703</v>
      </c>
    </row>
    <row r="134" spans="1:10" ht="19" x14ac:dyDescent="0.2">
      <c r="A134" s="144"/>
      <c r="B134" s="145"/>
      <c r="C134" s="151"/>
      <c r="D134" s="147"/>
      <c r="E134" s="150"/>
      <c r="F134" s="139"/>
      <c r="G134" s="139"/>
      <c r="H134" s="139"/>
      <c r="I134" s="162">
        <v>55000</v>
      </c>
      <c r="J134" s="162" t="s">
        <v>1093</v>
      </c>
    </row>
    <row r="135" spans="1:10" ht="19" x14ac:dyDescent="0.2">
      <c r="A135" s="143"/>
      <c r="B135" s="153"/>
      <c r="C135" s="163"/>
      <c r="D135" s="155"/>
      <c r="E135" s="164"/>
      <c r="F135" s="119"/>
      <c r="G135" s="119"/>
      <c r="H135" s="119"/>
      <c r="I135" s="174">
        <v>9000</v>
      </c>
      <c r="J135" s="174" t="s">
        <v>642</v>
      </c>
    </row>
    <row r="136" spans="1:10" ht="19" x14ac:dyDescent="0.2">
      <c r="A136" s="148">
        <v>1866000</v>
      </c>
      <c r="B136" s="145"/>
      <c r="C136" s="159" t="s">
        <v>10</v>
      </c>
      <c r="D136" s="147" t="s">
        <v>685</v>
      </c>
      <c r="E136" s="150">
        <v>1342000</v>
      </c>
      <c r="F136" s="139">
        <v>524000</v>
      </c>
      <c r="G136" s="139"/>
      <c r="H136" s="139"/>
      <c r="I136" s="139">
        <v>10000</v>
      </c>
      <c r="J136" s="139" t="s">
        <v>2376</v>
      </c>
    </row>
    <row r="137" spans="1:10" ht="19" x14ac:dyDescent="0.2">
      <c r="A137" s="142"/>
      <c r="B137" s="33"/>
      <c r="C137" s="2"/>
      <c r="D137" s="102"/>
      <c r="E137" s="15"/>
      <c r="F137" s="9"/>
      <c r="G137" s="9"/>
      <c r="H137" s="9"/>
      <c r="I137" s="9">
        <v>136000</v>
      </c>
      <c r="J137" s="9" t="s">
        <v>2377</v>
      </c>
    </row>
    <row r="138" spans="1:10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>
        <v>40000</v>
      </c>
      <c r="J138" s="139" t="s">
        <v>802</v>
      </c>
    </row>
    <row r="139" spans="1:10" ht="19" x14ac:dyDescent="0.2">
      <c r="A139" s="143"/>
      <c r="B139" s="153"/>
      <c r="C139" s="163"/>
      <c r="D139" s="155"/>
      <c r="E139" s="119"/>
      <c r="F139" s="119"/>
      <c r="G139" s="119"/>
      <c r="H139" s="119"/>
      <c r="I139" s="119">
        <v>22500</v>
      </c>
      <c r="J139" s="119" t="s">
        <v>2378</v>
      </c>
    </row>
    <row r="140" spans="1:10" ht="19" x14ac:dyDescent="0.2">
      <c r="A140" s="144"/>
      <c r="B140" s="145"/>
      <c r="C140" s="151"/>
      <c r="D140" s="147"/>
      <c r="E140" s="150"/>
      <c r="F140" s="139"/>
      <c r="G140" s="139"/>
      <c r="H140" s="139"/>
      <c r="I140" s="139">
        <v>154000</v>
      </c>
      <c r="J140" s="139" t="s">
        <v>1076</v>
      </c>
    </row>
    <row r="141" spans="1:10" ht="19" x14ac:dyDescent="0.2">
      <c r="A141" s="143"/>
      <c r="B141" s="153"/>
      <c r="C141" s="163"/>
      <c r="D141" s="155"/>
      <c r="E141" s="164"/>
      <c r="F141" s="119"/>
      <c r="G141" s="119"/>
      <c r="H141" s="119"/>
      <c r="I141" s="119">
        <v>126000</v>
      </c>
      <c r="J141" s="119" t="s">
        <v>895</v>
      </c>
    </row>
    <row r="142" spans="1:10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>
        <v>120000</v>
      </c>
      <c r="J142" s="139" t="s">
        <v>2379</v>
      </c>
    </row>
    <row r="143" spans="1:10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>
        <v>80000</v>
      </c>
      <c r="J143" s="119" t="s">
        <v>751</v>
      </c>
    </row>
    <row r="144" spans="1:10" ht="19" x14ac:dyDescent="0.2">
      <c r="A144" s="144"/>
      <c r="B144" s="145"/>
      <c r="C144" s="151"/>
      <c r="D144" s="147"/>
      <c r="E144" s="150"/>
      <c r="F144" s="139"/>
      <c r="G144" s="139"/>
      <c r="H144" s="139"/>
      <c r="I144" s="139">
        <v>144000</v>
      </c>
      <c r="J144" s="139" t="s">
        <v>615</v>
      </c>
    </row>
    <row r="145" spans="1:10" ht="19" x14ac:dyDescent="0.2">
      <c r="A145" s="143">
        <v>2422000</v>
      </c>
      <c r="B145" s="32">
        <v>45251</v>
      </c>
      <c r="C145" s="35" t="s">
        <v>9</v>
      </c>
      <c r="D145" s="13" t="s">
        <v>565</v>
      </c>
      <c r="E145" s="15">
        <v>1722000</v>
      </c>
      <c r="F145" s="9">
        <v>700000</v>
      </c>
      <c r="G145" s="9"/>
      <c r="H145" s="9"/>
      <c r="I145" s="9">
        <v>150000</v>
      </c>
      <c r="J145" s="9" t="s">
        <v>2380</v>
      </c>
    </row>
    <row r="146" spans="1:10" ht="19" x14ac:dyDescent="0.2">
      <c r="A146" s="144"/>
      <c r="B146" s="158"/>
      <c r="C146" s="151"/>
      <c r="D146" s="147"/>
      <c r="E146" s="150"/>
      <c r="F146" s="139"/>
      <c r="G146" s="139"/>
      <c r="H146" s="139"/>
      <c r="I146" s="139">
        <v>150000</v>
      </c>
      <c r="J146" s="139" t="s">
        <v>2381</v>
      </c>
    </row>
    <row r="147" spans="1:10" ht="19" x14ac:dyDescent="0.2">
      <c r="A147" s="143"/>
      <c r="B147" s="32"/>
      <c r="C147" s="35"/>
      <c r="D147" s="13"/>
      <c r="E147" s="15"/>
      <c r="F147" s="9"/>
      <c r="G147" s="9"/>
      <c r="H147" s="9"/>
      <c r="I147" s="9">
        <v>200000</v>
      </c>
      <c r="J147" s="9" t="s">
        <v>2049</v>
      </c>
    </row>
    <row r="148" spans="1:10" ht="19" x14ac:dyDescent="0.2">
      <c r="A148" s="143"/>
      <c r="B148" s="33"/>
      <c r="C148" s="35"/>
      <c r="D148" s="13"/>
      <c r="E148" s="15"/>
      <c r="F148" s="9"/>
      <c r="G148" s="9"/>
      <c r="H148" s="9"/>
      <c r="I148" s="9">
        <v>35000</v>
      </c>
      <c r="J148" s="9" t="s">
        <v>655</v>
      </c>
    </row>
    <row r="149" spans="1:10" ht="19" x14ac:dyDescent="0.2">
      <c r="A149" s="144">
        <v>2186000</v>
      </c>
      <c r="B149" s="32"/>
      <c r="C149" s="151" t="s">
        <v>10</v>
      </c>
      <c r="D149" s="147" t="s">
        <v>685</v>
      </c>
      <c r="E149" s="150">
        <v>1661000</v>
      </c>
      <c r="F149" s="139">
        <v>525000</v>
      </c>
      <c r="G149" s="139"/>
      <c r="H149" s="139"/>
      <c r="I149" s="139">
        <v>120000</v>
      </c>
      <c r="J149" s="139" t="s">
        <v>827</v>
      </c>
    </row>
    <row r="150" spans="1:10" ht="19" x14ac:dyDescent="0.2">
      <c r="A150" s="143"/>
      <c r="B150" s="33"/>
      <c r="C150" s="35"/>
      <c r="D150" s="13"/>
      <c r="E150" s="15"/>
      <c r="F150" s="9"/>
      <c r="G150" s="9"/>
      <c r="H150" s="9"/>
      <c r="I150" s="9">
        <v>264000</v>
      </c>
      <c r="J150" s="9" t="s">
        <v>1397</v>
      </c>
    </row>
    <row r="151" spans="1:10" ht="19" x14ac:dyDescent="0.2">
      <c r="A151" s="144"/>
      <c r="B151" s="158"/>
      <c r="C151" s="159"/>
      <c r="D151" s="147"/>
      <c r="E151" s="150"/>
      <c r="F151" s="139"/>
      <c r="G151" s="139"/>
      <c r="H151" s="139"/>
      <c r="I151" s="139"/>
      <c r="J151" s="139"/>
    </row>
    <row r="152" spans="1:10" ht="19" x14ac:dyDescent="0.2">
      <c r="A152" s="143">
        <v>3140000</v>
      </c>
      <c r="B152" s="32">
        <v>45252</v>
      </c>
      <c r="C152" s="35" t="s">
        <v>9</v>
      </c>
      <c r="D152" s="13" t="s">
        <v>565</v>
      </c>
      <c r="E152" s="15">
        <v>1774000</v>
      </c>
      <c r="F152" s="9">
        <v>1366000</v>
      </c>
      <c r="G152" s="9">
        <v>2500000</v>
      </c>
      <c r="H152" s="9" t="s">
        <v>812</v>
      </c>
      <c r="I152" s="9">
        <v>191500</v>
      </c>
      <c r="J152" s="9" t="s">
        <v>1176</v>
      </c>
    </row>
    <row r="153" spans="1:10" ht="19" x14ac:dyDescent="0.2">
      <c r="A153" s="144"/>
      <c r="B153" s="153"/>
      <c r="C153" s="163"/>
      <c r="D153" s="172"/>
      <c r="E153" s="150"/>
      <c r="F153" s="139"/>
      <c r="G153" s="139"/>
      <c r="H153" s="139"/>
      <c r="I153" s="139">
        <v>33000</v>
      </c>
      <c r="J153" s="139" t="s">
        <v>640</v>
      </c>
    </row>
    <row r="154" spans="1:10" ht="19" x14ac:dyDescent="0.2">
      <c r="A154" s="143"/>
      <c r="B154" s="33"/>
      <c r="C154" s="35"/>
      <c r="D154" s="13"/>
      <c r="E154" s="15"/>
      <c r="F154" s="9"/>
      <c r="G154" s="9"/>
      <c r="H154" s="9"/>
      <c r="I154" s="9">
        <v>39000</v>
      </c>
      <c r="J154" s="9" t="s">
        <v>2382</v>
      </c>
    </row>
    <row r="155" spans="1:10" ht="19" x14ac:dyDescent="0.2">
      <c r="A155" s="148"/>
      <c r="B155" s="145"/>
      <c r="C155" s="146"/>
      <c r="D155" s="147"/>
      <c r="E155" s="150"/>
      <c r="F155" s="139"/>
      <c r="G155" s="139"/>
      <c r="H155" s="139"/>
      <c r="I155" s="139">
        <v>41000</v>
      </c>
      <c r="J155" s="139" t="s">
        <v>2383</v>
      </c>
    </row>
    <row r="156" spans="1:10" ht="19" x14ac:dyDescent="0.2">
      <c r="A156" s="142"/>
      <c r="B156" s="153"/>
      <c r="C156" s="163"/>
      <c r="D156" s="172"/>
      <c r="E156" s="164"/>
      <c r="F156" s="119"/>
      <c r="G156" s="119"/>
      <c r="H156" s="119"/>
      <c r="I156" s="119">
        <v>28500</v>
      </c>
      <c r="J156" s="119" t="s">
        <v>972</v>
      </c>
    </row>
    <row r="157" spans="1:10" ht="19" x14ac:dyDescent="0.2">
      <c r="A157" s="148"/>
      <c r="B157" s="158"/>
      <c r="C157" s="151"/>
      <c r="D157" s="160"/>
      <c r="E157" s="150"/>
      <c r="F157" s="139"/>
      <c r="G157" s="139"/>
      <c r="H157" s="139"/>
      <c r="I157" s="139">
        <v>67500</v>
      </c>
      <c r="J157" s="139" t="s">
        <v>2384</v>
      </c>
    </row>
    <row r="158" spans="1:10" ht="19" x14ac:dyDescent="0.2">
      <c r="A158" s="148"/>
      <c r="B158" s="145"/>
      <c r="C158" s="151"/>
      <c r="D158" s="160"/>
      <c r="E158" s="150"/>
      <c r="F158" s="139"/>
      <c r="G158" s="139"/>
      <c r="H158" s="139"/>
      <c r="I158" s="139">
        <v>67000</v>
      </c>
      <c r="J158" s="139" t="s">
        <v>2262</v>
      </c>
    </row>
    <row r="159" spans="1:10" ht="19" x14ac:dyDescent="0.2">
      <c r="A159" s="142">
        <v>1713000</v>
      </c>
      <c r="B159" s="33"/>
      <c r="C159" s="35" t="s">
        <v>10</v>
      </c>
      <c r="D159" s="102" t="s">
        <v>685</v>
      </c>
      <c r="E159" s="15">
        <v>1340000</v>
      </c>
      <c r="F159" s="9">
        <v>373000</v>
      </c>
      <c r="G159" s="9"/>
      <c r="H159" s="9"/>
      <c r="I159" s="119">
        <v>140000</v>
      </c>
      <c r="J159" s="119" t="s">
        <v>881</v>
      </c>
    </row>
    <row r="160" spans="1:10" ht="19" x14ac:dyDescent="0.2">
      <c r="A160" s="142"/>
      <c r="B160" s="153"/>
      <c r="C160" s="163"/>
      <c r="D160" s="172"/>
      <c r="E160" s="164"/>
      <c r="F160" s="119"/>
      <c r="G160" s="119"/>
      <c r="H160" s="119"/>
      <c r="I160" s="119">
        <v>65000</v>
      </c>
      <c r="J160" s="119" t="s">
        <v>2385</v>
      </c>
    </row>
    <row r="161" spans="1:10" ht="19" x14ac:dyDescent="0.2">
      <c r="A161" s="148"/>
      <c r="B161" s="145"/>
      <c r="C161" s="151"/>
      <c r="D161" s="160"/>
      <c r="E161" s="150"/>
      <c r="F161" s="139"/>
      <c r="G161" s="139"/>
      <c r="H161" s="139"/>
      <c r="I161" s="139">
        <v>65000</v>
      </c>
      <c r="J161" s="139" t="s">
        <v>2386</v>
      </c>
    </row>
    <row r="162" spans="1:10" ht="19" x14ac:dyDescent="0.2">
      <c r="A162" s="143"/>
      <c r="B162" s="32"/>
      <c r="C162" s="35"/>
      <c r="D162" s="13"/>
      <c r="E162" s="15"/>
      <c r="F162" s="9"/>
      <c r="G162" s="9"/>
      <c r="H162" s="9"/>
      <c r="I162" s="9">
        <v>65000</v>
      </c>
      <c r="J162" s="9" t="s">
        <v>2387</v>
      </c>
    </row>
    <row r="163" spans="1:10" ht="19" x14ac:dyDescent="0.2">
      <c r="A163" s="144"/>
      <c r="B163" s="158"/>
      <c r="C163" s="151"/>
      <c r="D163" s="147"/>
      <c r="E163" s="150"/>
      <c r="F163" s="139"/>
      <c r="G163" s="139"/>
      <c r="H163" s="139"/>
      <c r="I163" s="139">
        <v>10000</v>
      </c>
      <c r="J163" s="139" t="s">
        <v>1018</v>
      </c>
    </row>
    <row r="164" spans="1:10" ht="19" x14ac:dyDescent="0.2">
      <c r="A164" s="143">
        <v>2878000</v>
      </c>
      <c r="B164" s="32">
        <v>45253</v>
      </c>
      <c r="C164" s="3" t="s">
        <v>9</v>
      </c>
      <c r="D164" s="13" t="s">
        <v>565</v>
      </c>
      <c r="E164" s="15">
        <v>1658000</v>
      </c>
      <c r="F164" s="9">
        <v>1220000</v>
      </c>
      <c r="G164" s="9"/>
      <c r="H164" s="9"/>
      <c r="I164" s="9">
        <v>124000</v>
      </c>
      <c r="J164" s="60" t="s">
        <v>2388</v>
      </c>
    </row>
    <row r="165" spans="1:10" ht="19" x14ac:dyDescent="0.2">
      <c r="A165" s="144"/>
      <c r="B165" s="145"/>
      <c r="C165" s="149"/>
      <c r="D165" s="147"/>
      <c r="E165" s="150"/>
      <c r="F165" s="139"/>
      <c r="G165" s="139"/>
      <c r="H165" s="139"/>
      <c r="I165" s="139">
        <v>12000</v>
      </c>
      <c r="J165" s="152" t="s">
        <v>971</v>
      </c>
    </row>
    <row r="166" spans="1:10" ht="19" x14ac:dyDescent="0.2">
      <c r="A166" s="143"/>
      <c r="B166" s="153"/>
      <c r="C166" s="171"/>
      <c r="D166" s="155"/>
      <c r="E166" s="164"/>
      <c r="F166" s="119"/>
      <c r="G166" s="119"/>
      <c r="H166" s="119"/>
      <c r="I166" s="119">
        <v>125000</v>
      </c>
      <c r="J166" s="119" t="s">
        <v>889</v>
      </c>
    </row>
    <row r="167" spans="1:10" ht="19" x14ac:dyDescent="0.2">
      <c r="A167" s="144">
        <v>1941000</v>
      </c>
      <c r="B167" s="145"/>
      <c r="C167" s="149" t="s">
        <v>10</v>
      </c>
      <c r="D167" s="147" t="s">
        <v>685</v>
      </c>
      <c r="E167" s="150">
        <v>1649000</v>
      </c>
      <c r="F167" s="139">
        <v>292000</v>
      </c>
      <c r="G167" s="139"/>
      <c r="H167" s="139"/>
      <c r="I167" s="139">
        <v>60000</v>
      </c>
      <c r="J167" s="139" t="s">
        <v>617</v>
      </c>
    </row>
    <row r="168" spans="1:10" ht="19" x14ac:dyDescent="0.2">
      <c r="A168" s="143"/>
      <c r="B168" s="153"/>
      <c r="C168" s="163"/>
      <c r="D168" s="155"/>
      <c r="E168" s="164"/>
      <c r="F168" s="119"/>
      <c r="G168" s="119"/>
      <c r="H168" s="119"/>
      <c r="I168" s="119">
        <v>144000</v>
      </c>
      <c r="J168" s="119" t="s">
        <v>615</v>
      </c>
    </row>
    <row r="169" spans="1:10" ht="19" x14ac:dyDescent="0.2">
      <c r="A169" s="144"/>
      <c r="B169" s="145"/>
      <c r="C169" s="146"/>
      <c r="D169" s="147"/>
      <c r="E169" s="150"/>
      <c r="F169" s="139"/>
      <c r="G169" s="139"/>
      <c r="H169" s="165"/>
      <c r="I169" s="139">
        <v>264000</v>
      </c>
      <c r="J169" s="139" t="s">
        <v>1397</v>
      </c>
    </row>
    <row r="170" spans="1:10" ht="19" x14ac:dyDescent="0.2">
      <c r="A170" s="143"/>
      <c r="B170" s="32"/>
      <c r="C170" s="35"/>
      <c r="D170" s="13"/>
      <c r="E170" s="15"/>
      <c r="F170" s="9"/>
      <c r="G170" s="9"/>
      <c r="H170" s="77"/>
      <c r="I170" s="9"/>
      <c r="J170" s="9"/>
    </row>
    <row r="171" spans="1:10" ht="19" x14ac:dyDescent="0.2">
      <c r="A171" s="144">
        <v>3699000</v>
      </c>
      <c r="B171" s="145">
        <v>45254</v>
      </c>
      <c r="C171" s="146" t="s">
        <v>9</v>
      </c>
      <c r="D171" s="147" t="s">
        <v>565</v>
      </c>
      <c r="E171" s="150">
        <v>2724000</v>
      </c>
      <c r="F171" s="139">
        <v>975000</v>
      </c>
      <c r="G171" s="139"/>
      <c r="H171" s="165"/>
      <c r="I171" s="139">
        <v>45000</v>
      </c>
      <c r="J171" s="139" t="s">
        <v>2389</v>
      </c>
    </row>
    <row r="172" spans="1:10" ht="19" x14ac:dyDescent="0.2">
      <c r="A172" s="143"/>
      <c r="B172" s="32"/>
      <c r="C172" s="3"/>
      <c r="D172" s="13"/>
      <c r="E172" s="15"/>
      <c r="F172" s="9"/>
      <c r="G172" s="9"/>
      <c r="H172" s="77"/>
      <c r="I172" s="9">
        <v>168000</v>
      </c>
      <c r="J172" s="9" t="s">
        <v>2028</v>
      </c>
    </row>
    <row r="173" spans="1:10" ht="19" x14ac:dyDescent="0.2">
      <c r="A173" s="205">
        <v>1866000</v>
      </c>
      <c r="B173" s="145"/>
      <c r="C173" s="151" t="s">
        <v>10</v>
      </c>
      <c r="D173" s="147" t="s">
        <v>685</v>
      </c>
      <c r="E173" s="150">
        <v>1476000</v>
      </c>
      <c r="F173" s="139">
        <v>390000</v>
      </c>
      <c r="G173" s="139"/>
      <c r="H173" s="165"/>
      <c r="I173" s="139"/>
      <c r="J173" s="139"/>
    </row>
    <row r="174" spans="1:10" ht="19" x14ac:dyDescent="0.2">
      <c r="A174" s="143"/>
      <c r="B174" s="32"/>
      <c r="C174" s="35"/>
      <c r="D174" s="13"/>
      <c r="E174" s="15"/>
      <c r="F174" s="9"/>
      <c r="G174" s="9"/>
      <c r="H174" s="77"/>
      <c r="I174" s="9"/>
      <c r="J174" s="9"/>
    </row>
    <row r="175" spans="1:10" ht="19" x14ac:dyDescent="0.2">
      <c r="A175" s="148">
        <v>1967000</v>
      </c>
      <c r="B175" s="145">
        <v>45255</v>
      </c>
      <c r="C175" s="151" t="s">
        <v>9</v>
      </c>
      <c r="D175" s="160" t="s">
        <v>565</v>
      </c>
      <c r="E175" s="150">
        <v>1559000</v>
      </c>
      <c r="F175" s="139">
        <v>408000</v>
      </c>
      <c r="G175" s="139"/>
      <c r="H175" s="165"/>
      <c r="I175" s="139">
        <v>127000</v>
      </c>
      <c r="J175" s="139" t="s">
        <v>2390</v>
      </c>
    </row>
    <row r="176" spans="1:10" ht="19" x14ac:dyDescent="0.2">
      <c r="A176" s="142"/>
      <c r="B176" s="32"/>
      <c r="C176" s="35"/>
      <c r="D176" s="102"/>
      <c r="E176" s="15"/>
      <c r="F176" s="9"/>
      <c r="G176" s="9"/>
      <c r="H176" s="77"/>
      <c r="I176" s="9">
        <v>200000</v>
      </c>
      <c r="J176" s="9" t="s">
        <v>2049</v>
      </c>
    </row>
    <row r="177" spans="1:10" ht="19" x14ac:dyDescent="0.2">
      <c r="A177" s="144"/>
      <c r="B177" s="145"/>
      <c r="C177" s="159"/>
      <c r="D177" s="147"/>
      <c r="E177" s="150"/>
      <c r="F177" s="139"/>
      <c r="G177" s="139"/>
      <c r="H177" s="165"/>
      <c r="I177" s="139">
        <v>35000</v>
      </c>
      <c r="J177" s="262" t="s">
        <v>655</v>
      </c>
    </row>
    <row r="178" spans="1:10" ht="19" x14ac:dyDescent="0.2">
      <c r="A178" s="143">
        <v>1625000</v>
      </c>
      <c r="B178" s="32"/>
      <c r="C178" s="49" t="s">
        <v>10</v>
      </c>
      <c r="D178" s="13" t="s">
        <v>685</v>
      </c>
      <c r="E178" s="15">
        <v>1166000</v>
      </c>
      <c r="F178" s="9">
        <v>459000</v>
      </c>
      <c r="G178" s="9"/>
      <c r="H178" s="77"/>
      <c r="I178" s="9"/>
      <c r="J178" s="9"/>
    </row>
    <row r="179" spans="1:10" ht="19" x14ac:dyDescent="0.2">
      <c r="A179" s="144"/>
      <c r="B179" s="145"/>
      <c r="C179" s="146"/>
      <c r="D179" s="147"/>
      <c r="E179" s="150"/>
      <c r="F179" s="139"/>
      <c r="G179" s="139"/>
      <c r="H179" s="165"/>
      <c r="I179" s="139"/>
      <c r="J179" s="139"/>
    </row>
    <row r="180" spans="1:10" ht="19" x14ac:dyDescent="0.2">
      <c r="A180" s="143"/>
      <c r="B180" s="32">
        <v>45256</v>
      </c>
      <c r="C180" s="49"/>
      <c r="D180" s="13"/>
      <c r="E180" s="15"/>
      <c r="F180" s="9"/>
      <c r="G180" s="9"/>
      <c r="H180" s="77" t="s">
        <v>2391</v>
      </c>
      <c r="I180" s="9"/>
      <c r="J180" s="9"/>
    </row>
    <row r="181" spans="1:10" ht="19" x14ac:dyDescent="0.2">
      <c r="A181" s="144"/>
      <c r="B181" s="145"/>
      <c r="C181" s="263"/>
      <c r="D181" s="147"/>
      <c r="E181" s="150"/>
      <c r="F181" s="139"/>
      <c r="G181" s="139"/>
      <c r="H181" s="139"/>
      <c r="I181" s="139"/>
      <c r="J181" s="139"/>
    </row>
    <row r="182" spans="1:10" ht="19" x14ac:dyDescent="0.2">
      <c r="A182" s="143">
        <v>2340000</v>
      </c>
      <c r="B182" s="153">
        <v>45257</v>
      </c>
      <c r="C182" s="154" t="s">
        <v>9</v>
      </c>
      <c r="D182" s="155" t="s">
        <v>565</v>
      </c>
      <c r="E182" s="164">
        <v>1836000</v>
      </c>
      <c r="F182" s="119">
        <v>504000</v>
      </c>
      <c r="G182" s="119"/>
      <c r="H182" s="119"/>
      <c r="I182" s="119">
        <v>60000</v>
      </c>
      <c r="J182" s="119" t="s">
        <v>2392</v>
      </c>
    </row>
    <row r="183" spans="1:10" ht="19" x14ac:dyDescent="0.2">
      <c r="A183" s="144"/>
      <c r="B183" s="145"/>
      <c r="C183" s="151"/>
      <c r="D183" s="147"/>
      <c r="E183" s="150"/>
      <c r="F183" s="139"/>
      <c r="G183" s="139"/>
      <c r="H183" s="165"/>
      <c r="I183" s="139">
        <v>43000</v>
      </c>
      <c r="J183" s="139" t="s">
        <v>2024</v>
      </c>
    </row>
    <row r="184" spans="1:10" ht="19" x14ac:dyDescent="0.2">
      <c r="A184" s="144"/>
      <c r="B184" s="145"/>
      <c r="C184" s="151"/>
      <c r="D184" s="147"/>
      <c r="E184" s="150"/>
      <c r="F184" s="139"/>
      <c r="G184" s="139"/>
      <c r="H184" s="165"/>
      <c r="I184" s="139">
        <v>40000</v>
      </c>
      <c r="J184" s="139" t="s">
        <v>640</v>
      </c>
    </row>
    <row r="185" spans="1:10" ht="19" x14ac:dyDescent="0.2">
      <c r="A185" s="144"/>
      <c r="B185" s="145"/>
      <c r="C185" s="151"/>
      <c r="D185" s="147"/>
      <c r="E185" s="150"/>
      <c r="F185" s="139"/>
      <c r="G185" s="139"/>
      <c r="H185" s="165"/>
      <c r="I185" s="139">
        <v>46000</v>
      </c>
      <c r="J185" s="139" t="s">
        <v>2101</v>
      </c>
    </row>
    <row r="186" spans="1:10" ht="19" x14ac:dyDescent="0.2">
      <c r="A186" s="144"/>
      <c r="B186" s="145"/>
      <c r="C186" s="151"/>
      <c r="D186" s="147"/>
      <c r="E186" s="150"/>
      <c r="F186" s="139"/>
      <c r="G186" s="139"/>
      <c r="H186" s="165"/>
      <c r="I186" s="139">
        <v>108000</v>
      </c>
      <c r="J186" s="139" t="s">
        <v>1282</v>
      </c>
    </row>
    <row r="187" spans="1:10" ht="19" x14ac:dyDescent="0.2">
      <c r="A187" s="143">
        <v>1752000</v>
      </c>
      <c r="B187" s="32"/>
      <c r="C187" s="49" t="s">
        <v>10</v>
      </c>
      <c r="D187" s="13" t="s">
        <v>685</v>
      </c>
      <c r="E187" s="15">
        <v>1288000</v>
      </c>
      <c r="F187" s="9">
        <v>464000</v>
      </c>
      <c r="G187" s="9"/>
      <c r="H187" s="9"/>
      <c r="I187" s="9">
        <v>264000</v>
      </c>
      <c r="J187" s="9" t="s">
        <v>1397</v>
      </c>
    </row>
    <row r="188" spans="1:10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>
        <v>50000</v>
      </c>
      <c r="J188" s="165" t="s">
        <v>206</v>
      </c>
    </row>
    <row r="189" spans="1:10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>
        <v>56000</v>
      </c>
      <c r="J189" s="168" t="s">
        <v>1011</v>
      </c>
    </row>
    <row r="190" spans="1:10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>
        <v>125000</v>
      </c>
      <c r="J190" s="165" t="s">
        <v>889</v>
      </c>
    </row>
    <row r="191" spans="1:10" ht="19" x14ac:dyDescent="0.2">
      <c r="A191" s="143"/>
      <c r="B191" s="32"/>
      <c r="C191" s="49"/>
      <c r="D191" s="13"/>
      <c r="E191" s="15"/>
      <c r="F191" s="9"/>
      <c r="G191" s="9"/>
      <c r="H191" s="9"/>
      <c r="I191" s="77">
        <v>80000</v>
      </c>
      <c r="J191" s="77" t="s">
        <v>751</v>
      </c>
    </row>
    <row r="192" spans="1:10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>
        <v>144000</v>
      </c>
      <c r="J192" s="165" t="s">
        <v>615</v>
      </c>
    </row>
    <row r="193" spans="1:10" ht="19" x14ac:dyDescent="0.2">
      <c r="A193" s="143">
        <v>2512000</v>
      </c>
      <c r="B193" s="32">
        <v>45258</v>
      </c>
      <c r="C193" s="49" t="s">
        <v>9</v>
      </c>
      <c r="D193" s="13" t="s">
        <v>565</v>
      </c>
      <c r="E193" s="15">
        <v>2044000</v>
      </c>
      <c r="F193" s="9">
        <v>468000</v>
      </c>
      <c r="G193" s="9">
        <v>2500000</v>
      </c>
      <c r="H193" s="9" t="s">
        <v>812</v>
      </c>
      <c r="I193" s="77">
        <v>520000</v>
      </c>
      <c r="J193" s="77" t="s">
        <v>741</v>
      </c>
    </row>
    <row r="194" spans="1:10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>
        <v>120000</v>
      </c>
      <c r="J194" s="165" t="s">
        <v>2393</v>
      </c>
    </row>
    <row r="195" spans="1:10" ht="19" x14ac:dyDescent="0.2">
      <c r="A195" s="143"/>
      <c r="B195" s="32"/>
      <c r="C195" s="49"/>
      <c r="D195" s="13"/>
      <c r="E195" s="15"/>
      <c r="F195" s="9"/>
      <c r="G195" s="9"/>
      <c r="H195" s="9"/>
      <c r="I195" s="77">
        <v>25000</v>
      </c>
      <c r="J195" s="77" t="s">
        <v>2394</v>
      </c>
    </row>
    <row r="196" spans="1:10" ht="19" x14ac:dyDescent="0.2">
      <c r="A196" s="144"/>
      <c r="B196" s="145"/>
      <c r="C196" s="149"/>
      <c r="D196" s="147"/>
      <c r="E196" s="150"/>
      <c r="F196" s="139"/>
      <c r="G196" s="139"/>
      <c r="H196" s="139"/>
      <c r="I196" s="165">
        <v>29000</v>
      </c>
      <c r="J196" s="165" t="s">
        <v>2307</v>
      </c>
    </row>
    <row r="197" spans="1:10" ht="19" x14ac:dyDescent="0.2">
      <c r="A197" s="143"/>
      <c r="B197" s="32"/>
      <c r="C197" s="2"/>
      <c r="D197" s="13"/>
      <c r="E197" s="15"/>
      <c r="F197" s="9"/>
      <c r="G197" s="9"/>
      <c r="H197" s="9"/>
      <c r="I197" s="77">
        <v>338000</v>
      </c>
      <c r="J197" s="77" t="s">
        <v>2395</v>
      </c>
    </row>
    <row r="198" spans="1:10" ht="19" x14ac:dyDescent="0.2">
      <c r="A198" s="144">
        <v>2157000</v>
      </c>
      <c r="B198" s="145"/>
      <c r="C198" s="149" t="s">
        <v>1787</v>
      </c>
      <c r="D198" s="147" t="s">
        <v>685</v>
      </c>
      <c r="E198" s="150">
        <v>1619000</v>
      </c>
      <c r="F198" s="139">
        <v>538000</v>
      </c>
      <c r="G198" s="139"/>
      <c r="H198" s="139"/>
      <c r="I198" s="165"/>
      <c r="J198" s="165"/>
    </row>
    <row r="199" spans="1:10" ht="19" x14ac:dyDescent="0.2">
      <c r="A199" s="143"/>
      <c r="B199" s="32"/>
      <c r="C199" s="3"/>
      <c r="D199" s="13"/>
      <c r="E199" s="15"/>
      <c r="F199" s="9"/>
      <c r="G199" s="9"/>
      <c r="H199" s="9"/>
      <c r="I199" s="77"/>
      <c r="J199" s="77"/>
    </row>
    <row r="200" spans="1:10" ht="19" x14ac:dyDescent="0.2">
      <c r="A200" s="144">
        <v>2440000</v>
      </c>
      <c r="B200" s="145">
        <v>45259</v>
      </c>
      <c r="C200" s="149" t="s">
        <v>9</v>
      </c>
      <c r="D200" s="147" t="s">
        <v>565</v>
      </c>
      <c r="E200" s="150">
        <v>1878000</v>
      </c>
      <c r="F200" s="139">
        <v>562000</v>
      </c>
      <c r="G200" s="139"/>
      <c r="H200" s="139"/>
      <c r="I200" s="139">
        <v>25000</v>
      </c>
      <c r="J200" s="139" t="s">
        <v>2396</v>
      </c>
    </row>
    <row r="201" spans="1:10" ht="19" x14ac:dyDescent="0.2">
      <c r="A201" s="143"/>
      <c r="B201" s="32"/>
      <c r="C201" s="49"/>
      <c r="D201" s="13"/>
      <c r="E201" s="15"/>
      <c r="F201" s="9"/>
      <c r="G201" s="9"/>
      <c r="H201" s="9"/>
      <c r="I201" s="9">
        <v>168000</v>
      </c>
      <c r="J201" s="9" t="s">
        <v>2028</v>
      </c>
    </row>
    <row r="202" spans="1:10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/>
      <c r="J202" s="139"/>
    </row>
    <row r="203" spans="1:10" ht="19" x14ac:dyDescent="0.2">
      <c r="A203" s="143">
        <v>2148000</v>
      </c>
      <c r="B203" s="32"/>
      <c r="C203" s="35" t="s">
        <v>10</v>
      </c>
      <c r="D203" s="13" t="s">
        <v>685</v>
      </c>
      <c r="E203" s="15">
        <v>1475000</v>
      </c>
      <c r="F203" s="9">
        <v>673000</v>
      </c>
      <c r="G203" s="9"/>
      <c r="H203" s="9"/>
      <c r="I203" s="9">
        <v>264000</v>
      </c>
      <c r="J203" s="9" t="s">
        <v>1397</v>
      </c>
    </row>
    <row r="204" spans="1:10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/>
      <c r="J204" s="139"/>
    </row>
    <row r="205" spans="1:10" ht="19" x14ac:dyDescent="0.2">
      <c r="A205" s="143">
        <v>2391000</v>
      </c>
      <c r="B205" s="32">
        <v>45260</v>
      </c>
      <c r="C205" s="35" t="s">
        <v>9</v>
      </c>
      <c r="D205" s="13" t="s">
        <v>565</v>
      </c>
      <c r="E205" s="15">
        <v>1970000</v>
      </c>
      <c r="F205" s="9">
        <v>421000</v>
      </c>
      <c r="G205" s="9"/>
      <c r="H205" s="9"/>
      <c r="I205" s="9">
        <v>40000</v>
      </c>
      <c r="J205" s="9" t="s">
        <v>640</v>
      </c>
    </row>
    <row r="206" spans="1:10" ht="19" x14ac:dyDescent="0.2">
      <c r="A206" s="144"/>
      <c r="B206" s="145"/>
      <c r="C206" s="149"/>
      <c r="D206" s="147"/>
      <c r="E206" s="150"/>
      <c r="F206" s="139"/>
      <c r="G206" s="139"/>
      <c r="H206" s="139"/>
      <c r="I206" s="139">
        <v>123500</v>
      </c>
      <c r="J206" s="139" t="s">
        <v>2397</v>
      </c>
    </row>
    <row r="207" spans="1:10" ht="19" x14ac:dyDescent="0.2">
      <c r="A207" s="143"/>
      <c r="B207" s="153"/>
      <c r="C207" s="171"/>
      <c r="D207" s="155"/>
      <c r="E207" s="164"/>
      <c r="F207" s="119"/>
      <c r="G207" s="119"/>
      <c r="H207" s="119"/>
      <c r="I207" s="119">
        <v>48500</v>
      </c>
      <c r="J207" s="119" t="s">
        <v>2398</v>
      </c>
    </row>
    <row r="208" spans="1:10" ht="19" x14ac:dyDescent="0.2">
      <c r="A208" s="144"/>
      <c r="B208" s="145"/>
      <c r="C208" s="149"/>
      <c r="D208" s="147"/>
      <c r="E208" s="150"/>
      <c r="F208" s="139"/>
      <c r="G208" s="139">
        <v>2210000</v>
      </c>
      <c r="H208" s="139" t="s">
        <v>710</v>
      </c>
      <c r="I208" s="165">
        <v>21500</v>
      </c>
      <c r="J208" s="165" t="s">
        <v>2399</v>
      </c>
    </row>
    <row r="209" spans="1:10" ht="19" x14ac:dyDescent="0.2">
      <c r="A209" s="143"/>
      <c r="B209" s="32"/>
      <c r="C209" s="49"/>
      <c r="D209" s="13"/>
      <c r="E209" s="15"/>
      <c r="F209" s="9"/>
      <c r="G209" s="9">
        <v>2210000</v>
      </c>
      <c r="H209" s="9" t="s">
        <v>2400</v>
      </c>
      <c r="I209" s="9">
        <v>35000</v>
      </c>
      <c r="J209" s="9" t="s">
        <v>2401</v>
      </c>
    </row>
    <row r="210" spans="1:10" ht="19" x14ac:dyDescent="0.2">
      <c r="A210" s="144">
        <v>1632000</v>
      </c>
      <c r="B210" s="158"/>
      <c r="C210" s="159" t="s">
        <v>1787</v>
      </c>
      <c r="D210" s="147" t="s">
        <v>685</v>
      </c>
      <c r="E210" s="150">
        <v>1223000</v>
      </c>
      <c r="F210" s="139">
        <v>409000</v>
      </c>
      <c r="G210" s="139">
        <v>1050000</v>
      </c>
      <c r="H210" s="139" t="s">
        <v>2402</v>
      </c>
      <c r="I210" s="139">
        <v>12000</v>
      </c>
      <c r="J210" s="139" t="s">
        <v>971</v>
      </c>
    </row>
    <row r="211" spans="1:10" ht="19" x14ac:dyDescent="0.2">
      <c r="A211" s="143"/>
      <c r="B211" s="32"/>
      <c r="C211" s="35"/>
      <c r="D211" s="13"/>
      <c r="E211" s="15"/>
      <c r="F211" s="9"/>
      <c r="G211" s="9"/>
      <c r="H211" s="9"/>
      <c r="I211" s="9">
        <v>150000</v>
      </c>
      <c r="J211" s="9" t="s">
        <v>2403</v>
      </c>
    </row>
    <row r="212" spans="1:10" ht="19" x14ac:dyDescent="0.2">
      <c r="A212" s="144"/>
      <c r="B212" s="145"/>
      <c r="C212" s="146"/>
      <c r="D212" s="147"/>
      <c r="E212" s="139"/>
      <c r="F212" s="139"/>
      <c r="G212" s="139"/>
      <c r="H212" s="139"/>
      <c r="I212" s="162">
        <v>150000</v>
      </c>
      <c r="J212" s="139" t="s">
        <v>2404</v>
      </c>
    </row>
    <row r="213" spans="1:10" ht="19" x14ac:dyDescent="0.2">
      <c r="A213" s="143"/>
      <c r="B213" s="32"/>
      <c r="C213" s="2"/>
      <c r="D213" s="13"/>
      <c r="E213" s="15"/>
      <c r="F213" s="9"/>
      <c r="G213" s="9">
        <v>1200000</v>
      </c>
      <c r="H213" s="9" t="s">
        <v>785</v>
      </c>
      <c r="I213" s="9">
        <v>150000</v>
      </c>
      <c r="J213" s="9" t="s">
        <v>2405</v>
      </c>
    </row>
    <row r="214" spans="1:10" ht="19" x14ac:dyDescent="0.2">
      <c r="A214" s="144"/>
      <c r="B214" s="145"/>
      <c r="C214" s="146"/>
      <c r="D214" s="147"/>
      <c r="E214" s="139"/>
      <c r="F214" s="139"/>
      <c r="G214" s="139"/>
      <c r="H214" s="139"/>
      <c r="I214" s="162">
        <v>150000</v>
      </c>
      <c r="J214" s="169" t="s">
        <v>2406</v>
      </c>
    </row>
    <row r="215" spans="1:10" ht="19" x14ac:dyDescent="0.2">
      <c r="A215" s="143"/>
      <c r="B215" s="153"/>
      <c r="C215" s="170"/>
      <c r="D215" s="155"/>
      <c r="E215" s="164"/>
      <c r="F215" s="119"/>
      <c r="G215" s="119"/>
      <c r="H215" s="119"/>
      <c r="I215" s="119">
        <v>200000</v>
      </c>
      <c r="J215" s="119" t="s">
        <v>2049</v>
      </c>
    </row>
    <row r="216" spans="1:10" ht="19" x14ac:dyDescent="0.2">
      <c r="A216" s="144"/>
      <c r="B216" s="145"/>
      <c r="C216" s="159"/>
      <c r="D216" s="147"/>
      <c r="E216" s="150"/>
      <c r="F216" s="139"/>
      <c r="G216" s="139"/>
      <c r="H216" s="139"/>
      <c r="I216" s="139">
        <v>120000</v>
      </c>
      <c r="J216" s="139" t="s">
        <v>2407</v>
      </c>
    </row>
    <row r="217" spans="1:10" ht="19" x14ac:dyDescent="0.2">
      <c r="A217" s="143"/>
      <c r="B217" s="153"/>
      <c r="C217" s="170"/>
      <c r="D217" s="155"/>
      <c r="E217" s="164"/>
      <c r="F217" s="119"/>
      <c r="G217" s="119"/>
      <c r="H217" s="119"/>
      <c r="I217" s="119"/>
      <c r="J217" s="119"/>
    </row>
    <row r="218" spans="1:10" ht="19" x14ac:dyDescent="0.2">
      <c r="A218" s="144"/>
      <c r="B218" s="145"/>
      <c r="C218" s="159"/>
      <c r="D218" s="147"/>
      <c r="E218" s="150"/>
      <c r="F218" s="139"/>
      <c r="G218" s="139"/>
      <c r="H218" s="139"/>
      <c r="I218" s="139"/>
      <c r="J218" s="139"/>
    </row>
  </sheetData>
  <mergeCells count="1">
    <mergeCell ref="F4:G4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L262"/>
  <sheetViews>
    <sheetView workbookViewId="0">
      <selection activeCell="J225" sqref="J225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0" bestFit="1" customWidth="1"/>
    <col min="5" max="5" width="21.83203125" bestFit="1" customWidth="1"/>
    <col min="6" max="6" width="22" customWidth="1"/>
    <col min="7" max="7" width="20.33203125" bestFit="1" customWidth="1"/>
    <col min="8" max="8" width="27" bestFit="1" customWidth="1"/>
    <col min="9" max="9" width="20.33203125" bestFit="1" customWidth="1"/>
    <col min="10" max="10" width="29" bestFit="1" customWidth="1"/>
  </cols>
  <sheetData>
    <row r="3" spans="1:12" ht="21" x14ac:dyDescent="0.2">
      <c r="G3" s="73"/>
      <c r="H3" s="71" t="s">
        <v>174</v>
      </c>
      <c r="I3" s="71"/>
    </row>
    <row r="4" spans="1:12" ht="21" x14ac:dyDescent="0.2">
      <c r="F4" s="212" t="s">
        <v>1802</v>
      </c>
      <c r="G4" s="213"/>
      <c r="H4" s="71" t="s">
        <v>2314</v>
      </c>
      <c r="I4" s="71">
        <v>30768000</v>
      </c>
      <c r="J4" s="72">
        <f>I4/10820</f>
        <v>2843.62292051756</v>
      </c>
    </row>
    <row r="5" spans="1:12" ht="24" x14ac:dyDescent="0.3">
      <c r="B5" s="99" t="s">
        <v>2528</v>
      </c>
      <c r="G5" s="73"/>
      <c r="H5" s="71" t="s">
        <v>2315</v>
      </c>
      <c r="I5" s="71">
        <v>30768000</v>
      </c>
      <c r="J5" s="72">
        <f>I5/10820</f>
        <v>2843.62292051756</v>
      </c>
    </row>
    <row r="6" spans="1:12" ht="24" x14ac:dyDescent="0.3">
      <c r="B6" s="99"/>
      <c r="G6" s="73"/>
      <c r="H6" s="71" t="s">
        <v>178</v>
      </c>
      <c r="I6" s="71">
        <v>31656654</v>
      </c>
      <c r="J6" s="72" t="s">
        <v>2527</v>
      </c>
      <c r="L6" s="85"/>
    </row>
    <row r="7" spans="1:12" ht="26" x14ac:dyDescent="0.3">
      <c r="B7" s="100" t="s">
        <v>2534</v>
      </c>
    </row>
    <row r="9" spans="1:12" ht="19" x14ac:dyDescent="0.2">
      <c r="A9" s="271" t="s">
        <v>0</v>
      </c>
      <c r="B9" s="271" t="s">
        <v>6</v>
      </c>
      <c r="C9" s="272" t="s">
        <v>5</v>
      </c>
      <c r="D9" s="273" t="s">
        <v>7</v>
      </c>
      <c r="E9" s="274" t="s">
        <v>4</v>
      </c>
      <c r="F9" s="275" t="s">
        <v>2</v>
      </c>
      <c r="G9" s="275" t="s">
        <v>8</v>
      </c>
      <c r="H9" s="275" t="s">
        <v>11</v>
      </c>
      <c r="I9" s="275" t="s">
        <v>3</v>
      </c>
      <c r="J9" s="275" t="s">
        <v>12</v>
      </c>
    </row>
    <row r="10" spans="1:12" ht="21" x14ac:dyDescent="0.2">
      <c r="A10" s="69">
        <f>SUM(A11:A290)</f>
        <v>139547000</v>
      </c>
      <c r="B10" s="65"/>
      <c r="C10" s="66" t="s">
        <v>13</v>
      </c>
      <c r="D10" s="67"/>
      <c r="E10" s="68">
        <f>SUM(E11:E290)</f>
        <v>106042000</v>
      </c>
      <c r="F10" s="69">
        <f>SUM(F11:F290)</f>
        <v>33505000</v>
      </c>
      <c r="G10" s="69">
        <f>SUM(G11:G290)</f>
        <v>36472000</v>
      </c>
      <c r="H10" s="69"/>
      <c r="I10" s="69">
        <f>SUM(I11:I290)</f>
        <v>24669000</v>
      </c>
      <c r="J10" s="69"/>
    </row>
    <row r="11" spans="1:12" ht="19" x14ac:dyDescent="0.2">
      <c r="A11" s="144">
        <v>2979000</v>
      </c>
      <c r="B11" s="145" t="s">
        <v>2414</v>
      </c>
      <c r="C11" s="146" t="s">
        <v>9</v>
      </c>
      <c r="D11" s="147" t="s">
        <v>565</v>
      </c>
      <c r="E11" s="139">
        <v>2546000</v>
      </c>
      <c r="F11" s="139">
        <v>433000</v>
      </c>
      <c r="G11" s="139">
        <v>446000</v>
      </c>
      <c r="H11" s="139" t="s">
        <v>2532</v>
      </c>
      <c r="I11" s="139">
        <v>168000</v>
      </c>
      <c r="J11" s="139" t="s">
        <v>2028</v>
      </c>
    </row>
    <row r="12" spans="1:12" ht="19" x14ac:dyDescent="0.2">
      <c r="A12" s="142"/>
      <c r="B12" s="32"/>
      <c r="C12" s="49"/>
      <c r="D12" s="13"/>
      <c r="E12" s="15"/>
      <c r="F12" s="9"/>
      <c r="G12" s="9"/>
      <c r="H12" s="9"/>
      <c r="I12" s="9"/>
      <c r="J12" s="9"/>
    </row>
    <row r="13" spans="1:12" ht="19" x14ac:dyDescent="0.2">
      <c r="A13" s="148">
        <v>1674000</v>
      </c>
      <c r="B13" s="145"/>
      <c r="C13" s="149" t="s">
        <v>10</v>
      </c>
      <c r="D13" s="147" t="s">
        <v>685</v>
      </c>
      <c r="E13" s="150">
        <v>1135000</v>
      </c>
      <c r="F13" s="139">
        <v>539000</v>
      </c>
      <c r="G13" s="139"/>
      <c r="H13" s="139"/>
      <c r="I13" s="139">
        <v>264000</v>
      </c>
      <c r="J13" s="139" t="s">
        <v>1397</v>
      </c>
    </row>
    <row r="14" spans="1:12" ht="19" x14ac:dyDescent="0.2">
      <c r="A14" s="142"/>
      <c r="B14" s="32"/>
      <c r="C14" s="49"/>
      <c r="D14" s="13"/>
      <c r="E14" s="15"/>
      <c r="F14" s="9"/>
      <c r="G14" s="9"/>
      <c r="H14" s="9"/>
      <c r="I14" s="9"/>
      <c r="J14" s="9"/>
    </row>
    <row r="15" spans="1:12" ht="19" x14ac:dyDescent="0.2">
      <c r="A15" s="148">
        <v>2437000</v>
      </c>
      <c r="B15" s="145" t="s">
        <v>2415</v>
      </c>
      <c r="C15" s="149" t="s">
        <v>9</v>
      </c>
      <c r="D15" s="147" t="s">
        <v>565</v>
      </c>
      <c r="E15" s="150">
        <v>1803000</v>
      </c>
      <c r="F15" s="139">
        <v>634000</v>
      </c>
      <c r="G15" s="139"/>
      <c r="H15" s="139"/>
      <c r="I15" s="139"/>
      <c r="J15" s="139"/>
    </row>
    <row r="16" spans="1:12" ht="19" x14ac:dyDescent="0.2">
      <c r="A16" s="143"/>
      <c r="B16" s="153"/>
      <c r="C16" s="163"/>
      <c r="D16" s="155"/>
      <c r="E16" s="164"/>
      <c r="F16" s="119"/>
      <c r="G16" s="175"/>
      <c r="H16" s="175"/>
      <c r="I16" s="175"/>
      <c r="J16" s="119"/>
    </row>
    <row r="17" spans="1:10" ht="19" x14ac:dyDescent="0.2">
      <c r="A17" s="144">
        <v>1801000</v>
      </c>
      <c r="B17" s="145"/>
      <c r="C17" s="151" t="s">
        <v>10</v>
      </c>
      <c r="D17" s="147" t="s">
        <v>685</v>
      </c>
      <c r="E17" s="150">
        <v>1380000</v>
      </c>
      <c r="F17" s="139">
        <v>421000</v>
      </c>
      <c r="G17" s="139"/>
      <c r="H17" s="139"/>
      <c r="I17" s="139">
        <v>50000</v>
      </c>
      <c r="J17" s="139" t="s">
        <v>206</v>
      </c>
    </row>
    <row r="18" spans="1:10" ht="19" x14ac:dyDescent="0.2">
      <c r="A18" s="143"/>
      <c r="B18" s="153"/>
      <c r="C18" s="163"/>
      <c r="D18" s="155"/>
      <c r="E18" s="164"/>
      <c r="F18" s="119"/>
      <c r="G18" s="119"/>
      <c r="H18" s="119"/>
      <c r="I18" s="119">
        <v>144000</v>
      </c>
      <c r="J18" s="119" t="s">
        <v>615</v>
      </c>
    </row>
    <row r="19" spans="1:10" ht="19" x14ac:dyDescent="0.2">
      <c r="A19" s="144">
        <v>2331000</v>
      </c>
      <c r="B19" s="145" t="s">
        <v>2416</v>
      </c>
      <c r="C19" s="151" t="s">
        <v>9</v>
      </c>
      <c r="D19" s="147" t="s">
        <v>2417</v>
      </c>
      <c r="E19" s="150">
        <v>1743000</v>
      </c>
      <c r="F19" s="139">
        <v>588000</v>
      </c>
      <c r="G19" s="139"/>
      <c r="H19" s="139"/>
      <c r="I19" s="139">
        <v>80000</v>
      </c>
      <c r="J19" s="139" t="s">
        <v>751</v>
      </c>
    </row>
    <row r="20" spans="1:10" ht="19" x14ac:dyDescent="0.2">
      <c r="A20" s="143"/>
      <c r="B20" s="153"/>
      <c r="C20" s="163"/>
      <c r="D20" s="155"/>
      <c r="E20" s="164"/>
      <c r="F20" s="119"/>
      <c r="G20" s="119"/>
      <c r="H20" s="119"/>
      <c r="I20" s="119">
        <v>125000</v>
      </c>
      <c r="J20" s="119" t="s">
        <v>889</v>
      </c>
    </row>
    <row r="21" spans="1:10" ht="19" x14ac:dyDescent="0.2">
      <c r="A21" s="144"/>
      <c r="B21" s="145"/>
      <c r="C21" s="151" t="s">
        <v>10</v>
      </c>
      <c r="D21" s="147"/>
      <c r="E21" s="150"/>
      <c r="F21" s="139"/>
      <c r="G21" s="139"/>
      <c r="H21" s="139" t="s">
        <v>737</v>
      </c>
      <c r="I21" s="139"/>
      <c r="J21" s="139"/>
    </row>
    <row r="22" spans="1:10" ht="19" x14ac:dyDescent="0.2">
      <c r="A22" s="143"/>
      <c r="B22" s="153"/>
      <c r="C22" s="163"/>
      <c r="D22" s="155"/>
      <c r="E22" s="164"/>
      <c r="F22" s="119"/>
      <c r="G22" s="119"/>
      <c r="H22" s="119"/>
      <c r="I22" s="119"/>
      <c r="J22" s="119"/>
    </row>
    <row r="23" spans="1:10" ht="19" x14ac:dyDescent="0.2">
      <c r="A23" s="144">
        <v>3124000</v>
      </c>
      <c r="B23" s="145" t="s">
        <v>2418</v>
      </c>
      <c r="C23" s="149" t="s">
        <v>9</v>
      </c>
      <c r="D23" s="147" t="s">
        <v>2417</v>
      </c>
      <c r="E23" s="150">
        <v>2399000</v>
      </c>
      <c r="F23" s="139">
        <v>725000</v>
      </c>
      <c r="G23" s="139">
        <v>2600000</v>
      </c>
      <c r="H23" s="139" t="s">
        <v>812</v>
      </c>
      <c r="I23" s="139">
        <v>150000</v>
      </c>
      <c r="J23" s="139" t="s">
        <v>2419</v>
      </c>
    </row>
    <row r="24" spans="1:10" ht="19" x14ac:dyDescent="0.2">
      <c r="A24" s="143"/>
      <c r="B24" s="32"/>
      <c r="C24" s="49"/>
      <c r="D24" s="13"/>
      <c r="E24" s="15"/>
      <c r="F24" s="9"/>
      <c r="G24" s="9"/>
      <c r="H24" s="9"/>
      <c r="I24" s="9">
        <v>112000</v>
      </c>
      <c r="J24" s="9" t="s">
        <v>807</v>
      </c>
    </row>
    <row r="25" spans="1:10" ht="19" x14ac:dyDescent="0.2">
      <c r="A25" s="144"/>
      <c r="B25" s="145"/>
      <c r="C25" s="149"/>
      <c r="D25" s="147"/>
      <c r="E25" s="150"/>
      <c r="F25" s="139"/>
      <c r="G25" s="139"/>
      <c r="H25" s="139"/>
      <c r="I25" s="139">
        <v>65000</v>
      </c>
      <c r="J25" s="139" t="s">
        <v>2420</v>
      </c>
    </row>
    <row r="26" spans="1:10" ht="19" x14ac:dyDescent="0.2">
      <c r="A26" s="142">
        <v>2008000</v>
      </c>
      <c r="B26" s="32"/>
      <c r="C26" s="49" t="s">
        <v>10</v>
      </c>
      <c r="D26" s="13" t="s">
        <v>685</v>
      </c>
      <c r="E26" s="15">
        <v>1474000</v>
      </c>
      <c r="F26" s="9">
        <v>534000</v>
      </c>
      <c r="G26" s="9"/>
      <c r="H26" s="9"/>
      <c r="I26" s="9">
        <v>65000</v>
      </c>
      <c r="J26" s="9" t="s">
        <v>2421</v>
      </c>
    </row>
    <row r="27" spans="1:10" ht="19" x14ac:dyDescent="0.2">
      <c r="A27" s="148"/>
      <c r="B27" s="145"/>
      <c r="C27" s="149"/>
      <c r="D27" s="147"/>
      <c r="E27" s="150"/>
      <c r="F27" s="139"/>
      <c r="G27" s="139">
        <v>1141000</v>
      </c>
      <c r="H27" s="139" t="s">
        <v>2422</v>
      </c>
      <c r="I27" s="139">
        <v>200000</v>
      </c>
      <c r="J27" s="139" t="s">
        <v>2049</v>
      </c>
    </row>
    <row r="28" spans="1:10" ht="19" x14ac:dyDescent="0.2">
      <c r="A28" s="142"/>
      <c r="B28" s="153"/>
      <c r="C28" s="171"/>
      <c r="D28" s="155"/>
      <c r="E28" s="164"/>
      <c r="F28" s="119"/>
      <c r="G28" s="119"/>
      <c r="H28" s="119"/>
      <c r="I28" s="119">
        <v>35000</v>
      </c>
      <c r="J28" s="119" t="s">
        <v>655</v>
      </c>
    </row>
    <row r="29" spans="1:10" ht="19" x14ac:dyDescent="0.2">
      <c r="A29" s="148"/>
      <c r="B29" s="145"/>
      <c r="C29" s="149"/>
      <c r="D29" s="147"/>
      <c r="E29" s="150"/>
      <c r="F29" s="139"/>
      <c r="G29" s="139"/>
      <c r="H29" s="139"/>
      <c r="I29" s="139">
        <v>120000</v>
      </c>
      <c r="J29" s="139" t="s">
        <v>2407</v>
      </c>
    </row>
    <row r="30" spans="1:10" ht="19" x14ac:dyDescent="0.2">
      <c r="A30" s="142"/>
      <c r="B30" s="153"/>
      <c r="C30" s="171"/>
      <c r="D30" s="155"/>
      <c r="E30" s="164"/>
      <c r="F30" s="119"/>
      <c r="G30" s="119"/>
      <c r="H30" s="119"/>
      <c r="I30" s="119">
        <v>264000</v>
      </c>
      <c r="J30" s="119" t="s">
        <v>1397</v>
      </c>
    </row>
    <row r="31" spans="1:10" ht="19" x14ac:dyDescent="0.2">
      <c r="A31" s="144">
        <v>2694000</v>
      </c>
      <c r="B31" s="145" t="s">
        <v>2423</v>
      </c>
      <c r="C31" s="149" t="s">
        <v>9</v>
      </c>
      <c r="D31" s="147" t="s">
        <v>565</v>
      </c>
      <c r="E31" s="150">
        <v>1887000</v>
      </c>
      <c r="F31" s="139">
        <v>807000</v>
      </c>
      <c r="G31" s="139"/>
      <c r="H31" s="139"/>
      <c r="I31" s="139">
        <v>43500</v>
      </c>
      <c r="J31" s="139" t="s">
        <v>2424</v>
      </c>
    </row>
    <row r="32" spans="1:10" ht="19" x14ac:dyDescent="0.2">
      <c r="A32" s="143"/>
      <c r="B32" s="32"/>
      <c r="C32" s="49"/>
      <c r="D32" s="13"/>
      <c r="E32" s="15"/>
      <c r="F32" s="9"/>
      <c r="G32" s="9"/>
      <c r="H32" s="9"/>
      <c r="I32" s="9">
        <v>94000</v>
      </c>
      <c r="J32" s="9" t="s">
        <v>2425</v>
      </c>
    </row>
    <row r="33" spans="1:10" ht="19" x14ac:dyDescent="0.2">
      <c r="A33" s="144"/>
      <c r="B33" s="145"/>
      <c r="C33" s="149"/>
      <c r="D33" s="147"/>
      <c r="E33" s="150"/>
      <c r="F33" s="139"/>
      <c r="G33" s="139"/>
      <c r="H33" s="139"/>
      <c r="I33" s="139">
        <v>40000</v>
      </c>
      <c r="J33" s="139" t="s">
        <v>739</v>
      </c>
    </row>
    <row r="34" spans="1:10" ht="19" x14ac:dyDescent="0.2">
      <c r="A34" s="143"/>
      <c r="B34" s="32"/>
      <c r="C34" s="49"/>
      <c r="D34" s="13"/>
      <c r="E34" s="15"/>
      <c r="F34" s="9"/>
      <c r="G34" s="9"/>
      <c r="H34" s="9"/>
      <c r="I34" s="9">
        <v>41000</v>
      </c>
      <c r="J34" s="9" t="s">
        <v>1441</v>
      </c>
    </row>
    <row r="35" spans="1:10" ht="19" x14ac:dyDescent="0.2">
      <c r="A35" s="144"/>
      <c r="B35" s="145"/>
      <c r="C35" s="149"/>
      <c r="D35" s="147"/>
      <c r="E35" s="150"/>
      <c r="F35" s="139"/>
      <c r="G35" s="139"/>
      <c r="H35" s="139"/>
      <c r="I35" s="139">
        <v>2500</v>
      </c>
      <c r="J35" s="139" t="s">
        <v>681</v>
      </c>
    </row>
    <row r="36" spans="1:10" ht="19" x14ac:dyDescent="0.2">
      <c r="A36" s="143"/>
      <c r="B36" s="32"/>
      <c r="C36" s="49"/>
      <c r="D36" s="13"/>
      <c r="E36" s="15"/>
      <c r="F36" s="9"/>
      <c r="G36" s="9"/>
      <c r="H36" s="9"/>
      <c r="I36" s="9">
        <v>10500</v>
      </c>
      <c r="J36" s="9" t="s">
        <v>1135</v>
      </c>
    </row>
    <row r="37" spans="1:10" ht="19" x14ac:dyDescent="0.2">
      <c r="A37" s="144"/>
      <c r="B37" s="145"/>
      <c r="C37" s="149"/>
      <c r="D37" s="147"/>
      <c r="E37" s="150"/>
      <c r="F37" s="139"/>
      <c r="G37" s="139"/>
      <c r="H37" s="139"/>
      <c r="I37" s="139">
        <v>44500</v>
      </c>
      <c r="J37" s="139" t="s">
        <v>974</v>
      </c>
    </row>
    <row r="38" spans="1:10" ht="19" x14ac:dyDescent="0.2">
      <c r="A38" s="143">
        <v>1659000</v>
      </c>
      <c r="B38" s="32"/>
      <c r="C38" s="49" t="s">
        <v>10</v>
      </c>
      <c r="D38" s="13" t="s">
        <v>685</v>
      </c>
      <c r="E38" s="15">
        <v>1205000</v>
      </c>
      <c r="F38" s="9">
        <v>454000</v>
      </c>
      <c r="G38" s="9"/>
      <c r="H38" s="135"/>
      <c r="I38" s="9">
        <v>39000</v>
      </c>
      <c r="J38" s="9" t="s">
        <v>2426</v>
      </c>
    </row>
    <row r="39" spans="1:10" ht="19" x14ac:dyDescent="0.2">
      <c r="A39" s="144"/>
      <c r="B39" s="145"/>
      <c r="C39" s="149"/>
      <c r="D39" s="147"/>
      <c r="E39" s="150"/>
      <c r="F39" s="139"/>
      <c r="G39" s="139"/>
      <c r="H39" s="157"/>
      <c r="I39" s="139">
        <v>30000</v>
      </c>
      <c r="J39" s="139" t="s">
        <v>972</v>
      </c>
    </row>
    <row r="40" spans="1:10" ht="19" x14ac:dyDescent="0.2">
      <c r="A40" s="143"/>
      <c r="B40" s="153"/>
      <c r="C40" s="171"/>
      <c r="D40" s="155"/>
      <c r="E40" s="164"/>
      <c r="F40" s="119"/>
      <c r="G40" s="119"/>
      <c r="H40" s="119"/>
      <c r="I40" s="119">
        <v>108000</v>
      </c>
      <c r="J40" s="119" t="s">
        <v>2427</v>
      </c>
    </row>
    <row r="41" spans="1:10" ht="19" x14ac:dyDescent="0.2">
      <c r="A41" s="144">
        <v>2870000</v>
      </c>
      <c r="B41" s="145" t="s">
        <v>2428</v>
      </c>
      <c r="C41" s="149" t="s">
        <v>9</v>
      </c>
      <c r="D41" s="147" t="s">
        <v>565</v>
      </c>
      <c r="E41" s="150">
        <v>2227000</v>
      </c>
      <c r="F41" s="139">
        <v>643000</v>
      </c>
      <c r="G41" s="139"/>
      <c r="H41" s="139"/>
      <c r="I41" s="139">
        <v>40000</v>
      </c>
      <c r="J41" s="139" t="s">
        <v>640</v>
      </c>
    </row>
    <row r="42" spans="1:10" ht="19" x14ac:dyDescent="0.2">
      <c r="A42" s="143"/>
      <c r="B42" s="153"/>
      <c r="C42" s="171"/>
      <c r="D42" s="155"/>
      <c r="E42" s="164"/>
      <c r="F42" s="119"/>
      <c r="G42" s="119"/>
      <c r="H42" s="119"/>
      <c r="I42" s="119">
        <v>520000</v>
      </c>
      <c r="J42" s="119" t="s">
        <v>741</v>
      </c>
    </row>
    <row r="43" spans="1:10" ht="19" x14ac:dyDescent="0.2">
      <c r="A43" s="144"/>
      <c r="B43" s="145"/>
      <c r="C43" s="149"/>
      <c r="D43" s="147"/>
      <c r="E43" s="150"/>
      <c r="F43" s="139"/>
      <c r="G43" s="139"/>
      <c r="H43" s="139"/>
      <c r="I43" s="139">
        <v>120000</v>
      </c>
      <c r="J43" s="139" t="s">
        <v>703</v>
      </c>
    </row>
    <row r="44" spans="1:10" ht="19" x14ac:dyDescent="0.2">
      <c r="A44" s="143"/>
      <c r="B44" s="153"/>
      <c r="C44" s="171"/>
      <c r="D44" s="155"/>
      <c r="E44" s="164"/>
      <c r="F44" s="119"/>
      <c r="G44" s="119"/>
      <c r="H44" s="119"/>
      <c r="I44" s="119">
        <v>55000</v>
      </c>
      <c r="J44" s="119" t="s">
        <v>2429</v>
      </c>
    </row>
    <row r="45" spans="1:10" ht="19" x14ac:dyDescent="0.2">
      <c r="A45" s="144"/>
      <c r="B45" s="145"/>
      <c r="C45" s="149"/>
      <c r="D45" s="147"/>
      <c r="E45" s="150"/>
      <c r="F45" s="139"/>
      <c r="G45" s="139"/>
      <c r="H45" s="139"/>
      <c r="I45" s="139">
        <v>65000</v>
      </c>
      <c r="J45" s="139" t="s">
        <v>2430</v>
      </c>
    </row>
    <row r="46" spans="1:10" ht="19" x14ac:dyDescent="0.2">
      <c r="A46" s="143"/>
      <c r="B46" s="153"/>
      <c r="C46" s="171"/>
      <c r="D46" s="155"/>
      <c r="E46" s="164"/>
      <c r="F46" s="119"/>
      <c r="G46" s="119"/>
      <c r="H46" s="119"/>
      <c r="I46" s="119">
        <v>65000</v>
      </c>
      <c r="J46" s="119" t="s">
        <v>2431</v>
      </c>
    </row>
    <row r="47" spans="1:10" ht="19" x14ac:dyDescent="0.2">
      <c r="A47" s="144">
        <v>2453000</v>
      </c>
      <c r="B47" s="145"/>
      <c r="C47" s="149" t="s">
        <v>10</v>
      </c>
      <c r="D47" s="147" t="s">
        <v>685</v>
      </c>
      <c r="E47" s="150">
        <v>1868000</v>
      </c>
      <c r="F47" s="139">
        <v>585000</v>
      </c>
      <c r="G47" s="139"/>
      <c r="H47" s="139"/>
      <c r="I47" s="139">
        <v>150000</v>
      </c>
      <c r="J47" s="139" t="s">
        <v>2432</v>
      </c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150000</v>
      </c>
      <c r="J48" s="119" t="s">
        <v>2433</v>
      </c>
    </row>
    <row r="49" spans="1:10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150000</v>
      </c>
      <c r="J49" s="139" t="s">
        <v>2434</v>
      </c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196000</v>
      </c>
      <c r="J50" s="119" t="s">
        <v>2098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264000</v>
      </c>
      <c r="J51" s="139" t="s">
        <v>1397</v>
      </c>
    </row>
    <row r="52" spans="1:10" ht="19" x14ac:dyDescent="0.2">
      <c r="A52" s="143">
        <v>3046000</v>
      </c>
      <c r="B52" s="153" t="s">
        <v>2435</v>
      </c>
      <c r="C52" s="171" t="s">
        <v>9</v>
      </c>
      <c r="D52" s="155" t="s">
        <v>565</v>
      </c>
      <c r="E52" s="164">
        <v>2277000</v>
      </c>
      <c r="F52" s="119">
        <v>769000</v>
      </c>
      <c r="G52" s="119"/>
      <c r="H52" s="119"/>
      <c r="I52" s="119">
        <v>37000</v>
      </c>
      <c r="J52" s="119" t="s">
        <v>543</v>
      </c>
    </row>
    <row r="53" spans="1:10" ht="19" x14ac:dyDescent="0.2">
      <c r="A53" s="144"/>
      <c r="B53" s="145"/>
      <c r="C53" s="149"/>
      <c r="D53" s="147"/>
      <c r="E53" s="150"/>
      <c r="F53" s="139"/>
      <c r="G53" s="139"/>
      <c r="H53" s="139"/>
      <c r="I53" s="139">
        <v>200000</v>
      </c>
      <c r="J53" s="139" t="s">
        <v>2049</v>
      </c>
    </row>
    <row r="54" spans="1:10" ht="19" x14ac:dyDescent="0.2">
      <c r="A54" s="143">
        <v>2300000</v>
      </c>
      <c r="B54" s="153"/>
      <c r="C54" s="171" t="s">
        <v>10</v>
      </c>
      <c r="D54" s="155" t="s">
        <v>685</v>
      </c>
      <c r="E54" s="164">
        <v>1604000</v>
      </c>
      <c r="F54" s="119">
        <v>696000</v>
      </c>
      <c r="G54" s="119"/>
      <c r="H54" s="119"/>
      <c r="I54" s="119">
        <v>35000</v>
      </c>
      <c r="J54" s="119" t="s">
        <v>655</v>
      </c>
    </row>
    <row r="55" spans="1:10" ht="19" x14ac:dyDescent="0.2">
      <c r="A55" s="144"/>
      <c r="B55" s="145"/>
      <c r="C55" s="149"/>
      <c r="D55" s="147"/>
      <c r="E55" s="150"/>
      <c r="F55" s="139"/>
      <c r="G55" s="139"/>
      <c r="H55" s="139"/>
      <c r="I55" s="139">
        <v>120000</v>
      </c>
      <c r="J55" s="139" t="s">
        <v>2407</v>
      </c>
    </row>
    <row r="56" spans="1:10" ht="19" x14ac:dyDescent="0.2">
      <c r="A56" s="143"/>
      <c r="B56" s="153"/>
      <c r="C56" s="171"/>
      <c r="D56" s="155"/>
      <c r="E56" s="164"/>
      <c r="F56" s="119"/>
      <c r="G56" s="119"/>
      <c r="H56" s="119"/>
      <c r="I56" s="119">
        <v>100000</v>
      </c>
      <c r="J56" s="119" t="s">
        <v>651</v>
      </c>
    </row>
    <row r="57" spans="1:10" ht="19" x14ac:dyDescent="0.2">
      <c r="A57" s="144"/>
      <c r="B57" s="145"/>
      <c r="C57" s="149"/>
      <c r="D57" s="147"/>
      <c r="E57" s="150"/>
      <c r="F57" s="139"/>
      <c r="G57" s="157"/>
      <c r="H57" s="139"/>
      <c r="I57" s="139">
        <v>80000</v>
      </c>
      <c r="J57" s="139" t="s">
        <v>751</v>
      </c>
    </row>
    <row r="58" spans="1:10" ht="19" x14ac:dyDescent="0.2">
      <c r="A58" s="143"/>
      <c r="B58" s="153"/>
      <c r="C58" s="171"/>
      <c r="D58" s="155"/>
      <c r="E58" s="164"/>
      <c r="F58" s="119"/>
      <c r="G58" s="173"/>
      <c r="H58" s="119"/>
      <c r="I58" s="119">
        <v>144000</v>
      </c>
      <c r="J58" s="119" t="s">
        <v>615</v>
      </c>
    </row>
    <row r="59" spans="1:10" ht="19" x14ac:dyDescent="0.2">
      <c r="A59" s="144"/>
      <c r="B59" s="145"/>
      <c r="C59" s="149"/>
      <c r="D59" s="147"/>
      <c r="E59" s="150"/>
      <c r="F59" s="139"/>
      <c r="G59" s="157"/>
      <c r="H59" s="139"/>
      <c r="I59" s="139">
        <v>108000</v>
      </c>
      <c r="J59" s="139" t="s">
        <v>2427</v>
      </c>
    </row>
    <row r="60" spans="1:10" ht="19" x14ac:dyDescent="0.2">
      <c r="A60" s="143"/>
      <c r="B60" s="153"/>
      <c r="C60" s="171"/>
      <c r="D60" s="155"/>
      <c r="E60" s="164"/>
      <c r="F60" s="119"/>
      <c r="G60" s="173"/>
      <c r="H60" s="119"/>
      <c r="I60" s="119">
        <v>39500</v>
      </c>
      <c r="J60" s="119" t="s">
        <v>2436</v>
      </c>
    </row>
    <row r="61" spans="1:10" ht="19" x14ac:dyDescent="0.2">
      <c r="A61" s="264"/>
      <c r="B61" s="265"/>
      <c r="C61" s="266"/>
      <c r="D61" s="267"/>
      <c r="E61" s="268"/>
      <c r="F61" s="269"/>
      <c r="G61" s="269"/>
      <c r="H61" s="269"/>
      <c r="I61" s="269">
        <v>89500</v>
      </c>
      <c r="J61" s="269" t="s">
        <v>2437</v>
      </c>
    </row>
    <row r="62" spans="1:10" ht="19" x14ac:dyDescent="0.2">
      <c r="A62" s="143"/>
      <c r="B62" s="153"/>
      <c r="C62" s="171"/>
      <c r="D62" s="155"/>
      <c r="E62" s="164"/>
      <c r="F62" s="119"/>
      <c r="G62" s="119"/>
      <c r="H62" s="119"/>
      <c r="I62" s="119">
        <v>9000</v>
      </c>
      <c r="J62" s="119" t="s">
        <v>642</v>
      </c>
    </row>
    <row r="63" spans="1:10" ht="19" x14ac:dyDescent="0.2">
      <c r="A63" s="144">
        <v>3287000</v>
      </c>
      <c r="B63" s="145" t="s">
        <v>2438</v>
      </c>
      <c r="C63" s="149" t="s">
        <v>9</v>
      </c>
      <c r="D63" s="147" t="s">
        <v>565</v>
      </c>
      <c r="E63" s="150">
        <v>2706000</v>
      </c>
      <c r="F63" s="139">
        <v>581000</v>
      </c>
      <c r="G63" s="139"/>
      <c r="H63" s="139"/>
      <c r="I63" s="139">
        <v>35000</v>
      </c>
      <c r="J63" s="139" t="s">
        <v>2439</v>
      </c>
    </row>
    <row r="64" spans="1:10" ht="19" x14ac:dyDescent="0.2">
      <c r="A64" s="143"/>
      <c r="B64" s="153"/>
      <c r="C64" s="171"/>
      <c r="D64" s="155"/>
      <c r="E64" s="164"/>
      <c r="F64" s="119"/>
      <c r="G64" s="119"/>
      <c r="H64" s="119"/>
      <c r="I64" s="119">
        <v>140000</v>
      </c>
      <c r="J64" s="119" t="s">
        <v>1518</v>
      </c>
    </row>
    <row r="65" spans="1:10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264000</v>
      </c>
      <c r="J65" s="139" t="s">
        <v>1509</v>
      </c>
    </row>
    <row r="66" spans="1:10" ht="19" x14ac:dyDescent="0.2">
      <c r="A66" s="143"/>
      <c r="B66" s="153"/>
      <c r="C66" s="171"/>
      <c r="D66" s="155"/>
      <c r="E66" s="164"/>
      <c r="F66" s="119"/>
      <c r="G66" s="119"/>
      <c r="H66" s="119"/>
      <c r="I66" s="119"/>
      <c r="J66" s="119"/>
    </row>
    <row r="67" spans="1:10" ht="19" x14ac:dyDescent="0.2">
      <c r="A67" s="144">
        <v>2453000</v>
      </c>
      <c r="B67" s="145"/>
      <c r="C67" s="149" t="s">
        <v>10</v>
      </c>
      <c r="D67" s="147" t="s">
        <v>685</v>
      </c>
      <c r="E67" s="150">
        <v>1389000</v>
      </c>
      <c r="F67" s="139">
        <v>1064000</v>
      </c>
      <c r="G67" s="139"/>
      <c r="H67" s="139"/>
      <c r="I67" s="139"/>
      <c r="J67" s="139"/>
    </row>
    <row r="68" spans="1:10" ht="19" x14ac:dyDescent="0.2">
      <c r="A68" s="206"/>
      <c r="B68" s="207"/>
      <c r="C68" s="171"/>
      <c r="D68" s="155"/>
      <c r="E68" s="210"/>
      <c r="F68" s="211"/>
      <c r="G68" s="211"/>
      <c r="H68" s="211"/>
      <c r="I68" s="211"/>
      <c r="J68" s="119"/>
    </row>
    <row r="69" spans="1:10" ht="19" x14ac:dyDescent="0.2">
      <c r="A69" s="144">
        <v>3617000</v>
      </c>
      <c r="B69" s="145">
        <v>45269</v>
      </c>
      <c r="C69" s="149" t="s">
        <v>9</v>
      </c>
      <c r="D69" s="147" t="s">
        <v>565</v>
      </c>
      <c r="E69" s="150">
        <v>2508000</v>
      </c>
      <c r="F69" s="139">
        <v>1109000</v>
      </c>
      <c r="G69" s="139"/>
      <c r="H69" s="139"/>
      <c r="I69" s="139">
        <v>264000</v>
      </c>
      <c r="J69" s="139" t="s">
        <v>1509</v>
      </c>
    </row>
    <row r="70" spans="1:10" ht="19" x14ac:dyDescent="0.2">
      <c r="A70" s="143">
        <v>1789000</v>
      </c>
      <c r="B70" s="32"/>
      <c r="C70" s="49" t="s">
        <v>10</v>
      </c>
      <c r="D70" s="13" t="s">
        <v>685</v>
      </c>
      <c r="E70" s="15">
        <v>1670000</v>
      </c>
      <c r="F70" s="9">
        <v>119000</v>
      </c>
      <c r="G70" s="135"/>
      <c r="H70" s="135"/>
      <c r="I70" s="9">
        <v>50000</v>
      </c>
      <c r="J70" s="9" t="s">
        <v>123</v>
      </c>
    </row>
    <row r="71" spans="1:10" ht="19" x14ac:dyDescent="0.2">
      <c r="A71" s="144"/>
      <c r="B71" s="145"/>
      <c r="C71" s="149"/>
      <c r="D71" s="147"/>
      <c r="E71" s="150"/>
      <c r="F71" s="139"/>
      <c r="G71" s="139"/>
      <c r="H71" s="139"/>
      <c r="I71" s="139">
        <v>125000</v>
      </c>
      <c r="J71" s="139" t="s">
        <v>1296</v>
      </c>
    </row>
    <row r="72" spans="1:10" ht="19" x14ac:dyDescent="0.2">
      <c r="A72" s="143"/>
      <c r="B72" s="32"/>
      <c r="C72" s="49"/>
      <c r="D72" s="13"/>
      <c r="E72" s="15"/>
      <c r="F72" s="9"/>
      <c r="G72" s="9"/>
      <c r="H72" s="9"/>
      <c r="I72" s="9">
        <v>100000</v>
      </c>
      <c r="J72" s="9" t="s">
        <v>2440</v>
      </c>
    </row>
    <row r="73" spans="1:10" ht="19" x14ac:dyDescent="0.2">
      <c r="A73" s="144"/>
      <c r="B73" s="145"/>
      <c r="C73" s="149"/>
      <c r="D73" s="147"/>
      <c r="E73" s="150"/>
      <c r="F73" s="139"/>
      <c r="G73" s="139"/>
      <c r="H73" s="139"/>
      <c r="I73" s="139">
        <v>144000</v>
      </c>
      <c r="J73" s="139" t="s">
        <v>1245</v>
      </c>
    </row>
    <row r="74" spans="1:10" ht="19" x14ac:dyDescent="0.2">
      <c r="A74" s="143"/>
      <c r="B74" s="32"/>
      <c r="C74" s="49"/>
      <c r="D74" s="13"/>
      <c r="E74" s="15"/>
      <c r="F74" s="9"/>
      <c r="G74" s="9"/>
      <c r="H74" s="9"/>
      <c r="I74" s="9"/>
      <c r="J74" s="9"/>
    </row>
    <row r="75" spans="1:10" ht="19" x14ac:dyDescent="0.2">
      <c r="A75" s="148">
        <v>1666000</v>
      </c>
      <c r="B75" s="145">
        <v>45270</v>
      </c>
      <c r="C75" s="151" t="s">
        <v>9</v>
      </c>
      <c r="D75" s="147" t="s">
        <v>2417</v>
      </c>
      <c r="E75" s="150">
        <v>1360000</v>
      </c>
      <c r="F75" s="139">
        <v>306000</v>
      </c>
      <c r="G75" s="139"/>
      <c r="H75" s="139"/>
      <c r="I75" s="139">
        <v>200000</v>
      </c>
      <c r="J75" s="139" t="s">
        <v>1614</v>
      </c>
    </row>
    <row r="76" spans="1:10" ht="19" x14ac:dyDescent="0.2">
      <c r="A76" s="143"/>
      <c r="B76" s="153"/>
      <c r="C76" s="163"/>
      <c r="D76" s="155"/>
      <c r="E76" s="164"/>
      <c r="F76" s="119"/>
      <c r="G76" s="119"/>
      <c r="H76" s="119"/>
      <c r="I76" s="119">
        <v>35000</v>
      </c>
      <c r="J76" s="119" t="s">
        <v>1467</v>
      </c>
    </row>
    <row r="77" spans="1:10" ht="19" x14ac:dyDescent="0.2">
      <c r="A77" s="144"/>
      <c r="B77" s="145"/>
      <c r="C77" s="149"/>
      <c r="D77" s="147"/>
      <c r="E77" s="150"/>
      <c r="F77" s="139"/>
      <c r="G77" s="152"/>
      <c r="H77" s="152"/>
      <c r="I77" s="139">
        <v>120000</v>
      </c>
      <c r="J77" s="139" t="s">
        <v>1710</v>
      </c>
    </row>
    <row r="78" spans="1:10" ht="19" x14ac:dyDescent="0.2">
      <c r="A78" s="143"/>
      <c r="B78" s="32"/>
      <c r="C78" s="49" t="s">
        <v>10</v>
      </c>
      <c r="D78" s="13"/>
      <c r="E78" s="15"/>
      <c r="F78" s="9"/>
      <c r="G78" s="60"/>
      <c r="H78" s="9" t="s">
        <v>737</v>
      </c>
      <c r="I78" s="9"/>
      <c r="J78" s="9"/>
    </row>
    <row r="79" spans="1:10" ht="19" x14ac:dyDescent="0.2">
      <c r="A79" s="144"/>
      <c r="B79" s="145"/>
      <c r="C79" s="149"/>
      <c r="D79" s="147"/>
      <c r="E79" s="150"/>
      <c r="F79" s="139"/>
      <c r="G79" s="152"/>
      <c r="H79" s="152"/>
      <c r="I79" s="139"/>
      <c r="J79" s="139"/>
    </row>
    <row r="80" spans="1:10" ht="19" x14ac:dyDescent="0.2">
      <c r="A80" s="143">
        <v>3419000</v>
      </c>
      <c r="B80" s="153" t="s">
        <v>2441</v>
      </c>
      <c r="C80" s="171" t="s">
        <v>9</v>
      </c>
      <c r="D80" s="155" t="s">
        <v>2442</v>
      </c>
      <c r="E80" s="164">
        <v>2578000</v>
      </c>
      <c r="F80" s="119">
        <v>841000</v>
      </c>
      <c r="G80" s="119">
        <v>2600000</v>
      </c>
      <c r="H80" s="119" t="s">
        <v>812</v>
      </c>
      <c r="I80" s="9">
        <v>52000</v>
      </c>
      <c r="J80" s="119" t="s">
        <v>2443</v>
      </c>
    </row>
    <row r="81" spans="1:10" ht="19" x14ac:dyDescent="0.2">
      <c r="A81" s="144"/>
      <c r="B81" s="145"/>
      <c r="C81" s="149"/>
      <c r="D81" s="147"/>
      <c r="E81" s="150"/>
      <c r="F81" s="139"/>
      <c r="G81" s="152"/>
      <c r="H81" s="152"/>
      <c r="I81" s="139">
        <v>191500</v>
      </c>
      <c r="J81" s="139" t="s">
        <v>1176</v>
      </c>
    </row>
    <row r="82" spans="1:10" ht="19" x14ac:dyDescent="0.2">
      <c r="A82" s="143"/>
      <c r="B82" s="153"/>
      <c r="C82" s="171"/>
      <c r="D82" s="155"/>
      <c r="E82" s="164"/>
      <c r="F82" s="119"/>
      <c r="G82" s="119"/>
      <c r="H82" s="119"/>
      <c r="I82" s="9">
        <v>32500</v>
      </c>
      <c r="J82" s="119" t="s">
        <v>1177</v>
      </c>
    </row>
    <row r="83" spans="1:10" ht="19" x14ac:dyDescent="0.2">
      <c r="A83" s="144"/>
      <c r="B83" s="145"/>
      <c r="C83" s="149"/>
      <c r="D83" s="147"/>
      <c r="E83" s="150"/>
      <c r="F83" s="139"/>
      <c r="G83" s="152"/>
      <c r="H83" s="152"/>
      <c r="I83" s="139">
        <v>110000</v>
      </c>
      <c r="J83" s="139" t="s">
        <v>2444</v>
      </c>
    </row>
    <row r="84" spans="1:10" ht="19" x14ac:dyDescent="0.2">
      <c r="A84" s="143"/>
      <c r="B84" s="32"/>
      <c r="C84" s="49"/>
      <c r="D84" s="13"/>
      <c r="E84" s="15"/>
      <c r="F84" s="9"/>
      <c r="G84" s="9"/>
      <c r="H84" s="9"/>
      <c r="I84" s="9">
        <v>23000</v>
      </c>
      <c r="J84" s="9" t="s">
        <v>2445</v>
      </c>
    </row>
    <row r="85" spans="1:10" ht="19" x14ac:dyDescent="0.2">
      <c r="A85" s="144"/>
      <c r="B85" s="145"/>
      <c r="C85" s="149"/>
      <c r="D85" s="147"/>
      <c r="E85" s="150"/>
      <c r="F85" s="139"/>
      <c r="G85" s="152"/>
      <c r="H85" s="152"/>
      <c r="I85" s="139">
        <v>41000</v>
      </c>
      <c r="J85" s="139" t="s">
        <v>1441</v>
      </c>
    </row>
    <row r="86" spans="1:10" ht="19" x14ac:dyDescent="0.2">
      <c r="A86" s="143"/>
      <c r="B86" s="32"/>
      <c r="C86" s="49"/>
      <c r="D86" s="13"/>
      <c r="E86" s="15"/>
      <c r="F86" s="9"/>
      <c r="G86" s="60"/>
      <c r="H86" s="60"/>
      <c r="I86" s="9">
        <v>31000</v>
      </c>
      <c r="J86" s="9" t="s">
        <v>2446</v>
      </c>
    </row>
    <row r="87" spans="1:10" ht="19" x14ac:dyDescent="0.2">
      <c r="A87" s="144"/>
      <c r="B87" s="145"/>
      <c r="C87" s="149"/>
      <c r="D87" s="147"/>
      <c r="E87" s="150"/>
      <c r="F87" s="139"/>
      <c r="G87" s="152"/>
      <c r="H87" s="152"/>
      <c r="I87" s="139">
        <v>108000</v>
      </c>
      <c r="J87" s="139" t="s">
        <v>2447</v>
      </c>
    </row>
    <row r="88" spans="1:10" ht="19" x14ac:dyDescent="0.2">
      <c r="A88" s="143"/>
      <c r="B88" s="153"/>
      <c r="C88" s="171"/>
      <c r="D88" s="155"/>
      <c r="E88" s="164"/>
      <c r="F88" s="119"/>
      <c r="G88" s="175"/>
      <c r="H88" s="175"/>
      <c r="I88" s="9">
        <v>44500</v>
      </c>
      <c r="J88" s="119" t="s">
        <v>974</v>
      </c>
    </row>
    <row r="89" spans="1:10" ht="19" x14ac:dyDescent="0.2">
      <c r="A89" s="144"/>
      <c r="B89" s="145"/>
      <c r="C89" s="149"/>
      <c r="D89" s="147"/>
      <c r="E89" s="150"/>
      <c r="F89" s="139"/>
      <c r="G89" s="152"/>
      <c r="H89" s="152"/>
      <c r="I89" s="139">
        <v>65000</v>
      </c>
      <c r="J89" s="139" t="s">
        <v>2448</v>
      </c>
    </row>
    <row r="90" spans="1:10" ht="19" x14ac:dyDescent="0.2">
      <c r="A90" s="143"/>
      <c r="B90" s="153"/>
      <c r="C90" s="171"/>
      <c r="D90" s="155"/>
      <c r="E90" s="164"/>
      <c r="F90" s="119"/>
      <c r="G90" s="175"/>
      <c r="H90" s="175"/>
      <c r="I90" s="119">
        <v>65000</v>
      </c>
      <c r="J90" s="119" t="s">
        <v>2449</v>
      </c>
    </row>
    <row r="91" spans="1:10" ht="19" x14ac:dyDescent="0.2">
      <c r="A91" s="144"/>
      <c r="B91" s="145"/>
      <c r="C91" s="149"/>
      <c r="D91" s="147"/>
      <c r="E91" s="150"/>
      <c r="F91" s="139"/>
      <c r="G91" s="152"/>
      <c r="H91" s="152"/>
      <c r="I91" s="139">
        <v>140000</v>
      </c>
      <c r="J91" s="139" t="s">
        <v>1518</v>
      </c>
    </row>
    <row r="92" spans="1:10" ht="19" x14ac:dyDescent="0.2">
      <c r="A92" s="143"/>
      <c r="B92" s="153"/>
      <c r="C92" s="171"/>
      <c r="D92" s="155"/>
      <c r="E92" s="164"/>
      <c r="F92" s="119"/>
      <c r="G92" s="175"/>
      <c r="H92" s="175"/>
      <c r="I92" s="119">
        <v>150000</v>
      </c>
      <c r="J92" s="119" t="s">
        <v>2450</v>
      </c>
    </row>
    <row r="93" spans="1:10" ht="19" x14ac:dyDescent="0.2">
      <c r="A93" s="144"/>
      <c r="B93" s="145"/>
      <c r="C93" s="149"/>
      <c r="D93" s="147"/>
      <c r="E93" s="150"/>
      <c r="F93" s="139"/>
      <c r="G93" s="152"/>
      <c r="H93" s="152"/>
      <c r="I93" s="139"/>
      <c r="J93" s="139"/>
    </row>
    <row r="94" spans="1:10" ht="19" x14ac:dyDescent="0.2">
      <c r="A94" s="143">
        <v>2692000</v>
      </c>
      <c r="B94" s="32"/>
      <c r="C94" s="49" t="s">
        <v>10</v>
      </c>
      <c r="D94" s="13" t="s">
        <v>685</v>
      </c>
      <c r="E94" s="15">
        <v>2225000</v>
      </c>
      <c r="F94" s="9">
        <v>467000</v>
      </c>
      <c r="G94" s="60"/>
      <c r="H94" s="60"/>
      <c r="I94" s="9"/>
      <c r="J94" s="9"/>
    </row>
    <row r="95" spans="1:10" ht="19" x14ac:dyDescent="0.2">
      <c r="A95" s="144">
        <v>3256000</v>
      </c>
      <c r="B95" s="145">
        <v>45272</v>
      </c>
      <c r="C95" s="149" t="s">
        <v>9</v>
      </c>
      <c r="D95" s="147" t="s">
        <v>2417</v>
      </c>
      <c r="E95" s="150">
        <v>2641000</v>
      </c>
      <c r="F95" s="139">
        <v>615000</v>
      </c>
      <c r="G95" s="139">
        <v>3720000</v>
      </c>
      <c r="H95" s="139" t="s">
        <v>861</v>
      </c>
      <c r="I95" s="139">
        <v>10000</v>
      </c>
      <c r="J95" s="139" t="s">
        <v>2451</v>
      </c>
    </row>
    <row r="96" spans="1:10" ht="19" x14ac:dyDescent="0.2">
      <c r="A96" s="143"/>
      <c r="B96" s="32"/>
      <c r="C96" s="49"/>
      <c r="D96" s="13"/>
      <c r="E96" s="15"/>
      <c r="F96" s="9"/>
      <c r="G96" s="60"/>
      <c r="H96" s="60"/>
      <c r="I96" s="9">
        <v>40000</v>
      </c>
      <c r="J96" s="9" t="s">
        <v>2452</v>
      </c>
    </row>
    <row r="97" spans="1:10" ht="19" x14ac:dyDescent="0.2">
      <c r="A97" s="144"/>
      <c r="B97" s="145"/>
      <c r="C97" s="149"/>
      <c r="D97" s="147"/>
      <c r="E97" s="150"/>
      <c r="F97" s="139"/>
      <c r="G97" s="152"/>
      <c r="H97" s="152"/>
      <c r="I97" s="139">
        <v>9000</v>
      </c>
      <c r="J97" s="139" t="s">
        <v>1826</v>
      </c>
    </row>
    <row r="98" spans="1:10" ht="19" x14ac:dyDescent="0.2">
      <c r="A98" s="143"/>
      <c r="B98" s="32"/>
      <c r="C98" s="49"/>
      <c r="D98" s="13"/>
      <c r="E98" s="15"/>
      <c r="F98" s="9"/>
      <c r="G98" s="60"/>
      <c r="H98" s="60"/>
      <c r="I98" s="9">
        <v>7000</v>
      </c>
      <c r="J98" s="9" t="s">
        <v>2453</v>
      </c>
    </row>
    <row r="99" spans="1:10" ht="19" x14ac:dyDescent="0.2">
      <c r="A99" s="144"/>
      <c r="B99" s="145"/>
      <c r="C99" s="159"/>
      <c r="D99" s="147"/>
      <c r="E99" s="150"/>
      <c r="F99" s="139"/>
      <c r="G99" s="139"/>
      <c r="H99" s="139"/>
      <c r="I99" s="139">
        <v>8000</v>
      </c>
      <c r="J99" s="139" t="s">
        <v>2454</v>
      </c>
    </row>
    <row r="100" spans="1:10" ht="19" x14ac:dyDescent="0.2">
      <c r="A100" s="143"/>
      <c r="B100" s="32"/>
      <c r="C100" s="49"/>
      <c r="D100" s="13"/>
      <c r="E100" s="15"/>
      <c r="F100" s="9"/>
      <c r="G100" s="9"/>
      <c r="H100" s="9"/>
      <c r="I100" s="9">
        <v>39000</v>
      </c>
      <c r="J100" s="9" t="s">
        <v>2455</v>
      </c>
    </row>
    <row r="101" spans="1:10" ht="19" x14ac:dyDescent="0.2">
      <c r="A101" s="144">
        <v>1969000</v>
      </c>
      <c r="B101" s="145"/>
      <c r="C101" s="149" t="s">
        <v>10</v>
      </c>
      <c r="D101" s="147" t="s">
        <v>685</v>
      </c>
      <c r="E101" s="150">
        <v>1531000</v>
      </c>
      <c r="F101" s="139">
        <v>438000</v>
      </c>
      <c r="G101" s="139"/>
      <c r="H101" s="139"/>
      <c r="I101" s="139">
        <v>308000</v>
      </c>
      <c r="J101" s="139" t="s">
        <v>1781</v>
      </c>
    </row>
    <row r="102" spans="1:10" ht="19" x14ac:dyDescent="0.2">
      <c r="A102" s="143"/>
      <c r="B102" s="153"/>
      <c r="C102" s="171"/>
      <c r="D102" s="155"/>
      <c r="E102" s="164"/>
      <c r="F102" s="119"/>
      <c r="G102" s="119"/>
      <c r="H102" s="119"/>
      <c r="I102" s="119">
        <v>125000</v>
      </c>
      <c r="J102" s="119" t="s">
        <v>1296</v>
      </c>
    </row>
    <row r="103" spans="1:10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>
        <v>80000</v>
      </c>
      <c r="J103" s="139" t="s">
        <v>1285</v>
      </c>
    </row>
    <row r="104" spans="1:10" ht="19" x14ac:dyDescent="0.2">
      <c r="A104" s="143"/>
      <c r="B104" s="153"/>
      <c r="C104" s="171"/>
      <c r="D104" s="155"/>
      <c r="E104" s="164"/>
      <c r="F104" s="119"/>
      <c r="G104" s="119"/>
      <c r="H104" s="119"/>
      <c r="I104" s="119">
        <v>144000</v>
      </c>
      <c r="J104" s="119" t="s">
        <v>1245</v>
      </c>
    </row>
    <row r="105" spans="1:10" ht="19" x14ac:dyDescent="0.2">
      <c r="A105" s="144">
        <v>3759000</v>
      </c>
      <c r="B105" s="145">
        <v>45273</v>
      </c>
      <c r="C105" s="149" t="s">
        <v>9</v>
      </c>
      <c r="D105" s="147" t="s">
        <v>2417</v>
      </c>
      <c r="E105" s="150">
        <v>2974000</v>
      </c>
      <c r="F105" s="139">
        <v>785000</v>
      </c>
      <c r="G105" s="139">
        <v>2600000</v>
      </c>
      <c r="H105" s="139" t="s">
        <v>812</v>
      </c>
      <c r="I105" s="139">
        <v>330000</v>
      </c>
      <c r="J105" s="139" t="s">
        <v>2456</v>
      </c>
    </row>
    <row r="106" spans="1:10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>
        <v>196000</v>
      </c>
      <c r="J106" s="119" t="s">
        <v>2269</v>
      </c>
    </row>
    <row r="107" spans="1:10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>
        <v>32000</v>
      </c>
      <c r="J107" s="139" t="s">
        <v>2457</v>
      </c>
    </row>
    <row r="108" spans="1:10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/>
      <c r="J108" s="119"/>
    </row>
    <row r="109" spans="1:10" ht="19" x14ac:dyDescent="0.2">
      <c r="A109" s="148">
        <v>1983000</v>
      </c>
      <c r="B109" s="145"/>
      <c r="C109" s="149" t="s">
        <v>10</v>
      </c>
      <c r="D109" s="160" t="s">
        <v>685</v>
      </c>
      <c r="E109" s="150">
        <v>1701000</v>
      </c>
      <c r="F109" s="139">
        <v>282000</v>
      </c>
      <c r="G109" s="139"/>
      <c r="H109" s="139"/>
      <c r="I109" s="139"/>
      <c r="J109" s="139"/>
    </row>
    <row r="110" spans="1:10" ht="19" x14ac:dyDescent="0.2">
      <c r="A110" s="143">
        <v>3386000</v>
      </c>
      <c r="B110" s="32">
        <v>45274</v>
      </c>
      <c r="C110" s="49" t="s">
        <v>9</v>
      </c>
      <c r="D110" s="13" t="s">
        <v>2417</v>
      </c>
      <c r="E110" s="15">
        <v>2475000</v>
      </c>
      <c r="F110" s="9">
        <v>911000</v>
      </c>
      <c r="G110" s="9"/>
      <c r="H110" s="9"/>
      <c r="I110" s="9">
        <v>81000</v>
      </c>
      <c r="J110" s="9" t="s">
        <v>1491</v>
      </c>
    </row>
    <row r="111" spans="1:10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>
        <v>46000</v>
      </c>
      <c r="J111" s="139" t="s">
        <v>1533</v>
      </c>
    </row>
    <row r="112" spans="1:10" ht="19" x14ac:dyDescent="0.2">
      <c r="A112" s="143"/>
      <c r="B112" s="153"/>
      <c r="C112" s="171"/>
      <c r="D112" s="155"/>
      <c r="E112" s="164"/>
      <c r="F112" s="119"/>
      <c r="G112" s="119"/>
      <c r="H112" s="119"/>
      <c r="I112" s="119">
        <v>920000</v>
      </c>
      <c r="J112" s="119" t="s">
        <v>2458</v>
      </c>
    </row>
    <row r="113" spans="1:10" ht="19" x14ac:dyDescent="0.2">
      <c r="A113" s="144">
        <v>1835000</v>
      </c>
      <c r="B113" s="145"/>
      <c r="C113" s="149" t="s">
        <v>10</v>
      </c>
      <c r="D113" s="147" t="s">
        <v>565</v>
      </c>
      <c r="E113" s="150">
        <v>1271000</v>
      </c>
      <c r="F113" s="139">
        <v>564000</v>
      </c>
      <c r="G113" s="139"/>
      <c r="H113" s="139"/>
      <c r="I113" s="139">
        <v>20000</v>
      </c>
      <c r="J113" s="139" t="s">
        <v>2459</v>
      </c>
    </row>
    <row r="114" spans="1:10" ht="19" x14ac:dyDescent="0.2">
      <c r="A114" s="143"/>
      <c r="B114" s="153"/>
      <c r="C114" s="171"/>
      <c r="D114" s="155"/>
      <c r="E114" s="164"/>
      <c r="F114" s="119"/>
      <c r="G114" s="119"/>
      <c r="H114" s="175"/>
      <c r="I114" s="119">
        <v>75000</v>
      </c>
      <c r="J114" s="119" t="s">
        <v>2460</v>
      </c>
    </row>
    <row r="115" spans="1:10" ht="19" x14ac:dyDescent="0.2">
      <c r="A115" s="144">
        <v>2504000</v>
      </c>
      <c r="B115" s="145">
        <v>45275</v>
      </c>
      <c r="C115" s="149" t="s">
        <v>2461</v>
      </c>
      <c r="D115" s="147" t="s">
        <v>2417</v>
      </c>
      <c r="E115" s="150">
        <v>1874000</v>
      </c>
      <c r="F115" s="139">
        <v>630000</v>
      </c>
      <c r="G115" s="139">
        <v>1752000</v>
      </c>
      <c r="H115" s="139" t="s">
        <v>2462</v>
      </c>
      <c r="I115" s="139">
        <v>20000</v>
      </c>
      <c r="J115" s="139" t="s">
        <v>2463</v>
      </c>
    </row>
    <row r="116" spans="1:10" ht="32" x14ac:dyDescent="0.2">
      <c r="A116" s="143"/>
      <c r="B116" s="153"/>
      <c r="C116" s="171"/>
      <c r="D116" s="155"/>
      <c r="E116" s="164"/>
      <c r="F116" s="119"/>
      <c r="G116" s="119">
        <v>1002000</v>
      </c>
      <c r="H116" s="176" t="s">
        <v>2464</v>
      </c>
      <c r="I116" s="119">
        <v>100000</v>
      </c>
      <c r="J116" s="119" t="s">
        <v>2465</v>
      </c>
    </row>
    <row r="117" spans="1:10" ht="19" x14ac:dyDescent="0.2">
      <c r="A117" s="144"/>
      <c r="B117" s="145"/>
      <c r="C117" s="149"/>
      <c r="D117" s="147"/>
      <c r="E117" s="150"/>
      <c r="F117" s="139"/>
      <c r="G117" s="139">
        <v>1360000</v>
      </c>
      <c r="H117" s="139" t="s">
        <v>1154</v>
      </c>
      <c r="I117" s="139">
        <v>20000</v>
      </c>
      <c r="J117" s="139" t="s">
        <v>2466</v>
      </c>
    </row>
    <row r="118" spans="1:10" ht="19" x14ac:dyDescent="0.2">
      <c r="A118" s="143"/>
      <c r="B118" s="153"/>
      <c r="C118" s="171"/>
      <c r="D118" s="155"/>
      <c r="E118" s="164"/>
      <c r="F118" s="119"/>
      <c r="G118" s="119"/>
      <c r="H118" s="175"/>
      <c r="I118" s="119">
        <v>60000</v>
      </c>
      <c r="J118" s="119" t="s">
        <v>2467</v>
      </c>
    </row>
    <row r="119" spans="1:10" ht="19" x14ac:dyDescent="0.2">
      <c r="A119" s="144"/>
      <c r="B119" s="145"/>
      <c r="C119" s="149"/>
      <c r="D119" s="147"/>
      <c r="E119" s="150"/>
      <c r="F119" s="139"/>
      <c r="G119" s="139"/>
      <c r="H119" s="139"/>
      <c r="I119" s="139">
        <v>50500</v>
      </c>
      <c r="J119" s="139" t="s">
        <v>2468</v>
      </c>
    </row>
    <row r="120" spans="1:10" ht="19" x14ac:dyDescent="0.2">
      <c r="A120" s="143"/>
      <c r="B120" s="153"/>
      <c r="C120" s="171"/>
      <c r="D120" s="155"/>
      <c r="E120" s="164"/>
      <c r="F120" s="119"/>
      <c r="G120" s="119"/>
      <c r="H120" s="175"/>
      <c r="I120" s="119">
        <v>24000</v>
      </c>
      <c r="J120" s="119" t="s">
        <v>2469</v>
      </c>
    </row>
    <row r="121" spans="1:10" ht="19" x14ac:dyDescent="0.2">
      <c r="A121" s="144"/>
      <c r="B121" s="145"/>
      <c r="C121" s="149"/>
      <c r="D121" s="147"/>
      <c r="E121" s="150"/>
      <c r="F121" s="139"/>
      <c r="G121" s="139"/>
      <c r="H121" s="139"/>
      <c r="I121" s="139">
        <v>12000</v>
      </c>
      <c r="J121" s="139" t="s">
        <v>2470</v>
      </c>
    </row>
    <row r="122" spans="1:10" ht="19" x14ac:dyDescent="0.2">
      <c r="A122" s="143"/>
      <c r="B122" s="153"/>
      <c r="C122" s="171"/>
      <c r="D122" s="155"/>
      <c r="E122" s="164"/>
      <c r="F122" s="119"/>
      <c r="G122" s="119"/>
      <c r="H122" s="119"/>
      <c r="I122" s="119">
        <v>16000</v>
      </c>
      <c r="J122" s="119" t="s">
        <v>2471</v>
      </c>
    </row>
    <row r="123" spans="1:10" ht="19" x14ac:dyDescent="0.2">
      <c r="A123" s="144"/>
      <c r="B123" s="145"/>
      <c r="C123" s="149"/>
      <c r="D123" s="147"/>
      <c r="E123" s="150"/>
      <c r="F123" s="139"/>
      <c r="G123" s="139"/>
      <c r="H123" s="139"/>
      <c r="I123" s="139">
        <v>520000</v>
      </c>
      <c r="J123" s="139" t="s">
        <v>741</v>
      </c>
    </row>
    <row r="124" spans="1:10" ht="19" x14ac:dyDescent="0.2">
      <c r="A124" s="143"/>
      <c r="B124" s="153"/>
      <c r="C124" s="171"/>
      <c r="D124" s="155"/>
      <c r="E124" s="164"/>
      <c r="F124" s="119"/>
      <c r="G124" s="119"/>
      <c r="H124" s="119"/>
      <c r="I124" s="119">
        <v>55000</v>
      </c>
      <c r="J124" s="119" t="s">
        <v>1093</v>
      </c>
    </row>
    <row r="125" spans="1:10" ht="19" x14ac:dyDescent="0.2">
      <c r="A125" s="144"/>
      <c r="B125" s="145"/>
      <c r="C125" s="151"/>
      <c r="D125" s="147"/>
      <c r="E125" s="150"/>
      <c r="F125" s="139"/>
      <c r="G125" s="139"/>
      <c r="H125" s="139"/>
      <c r="I125" s="162">
        <v>50000</v>
      </c>
      <c r="J125" s="162" t="s">
        <v>2472</v>
      </c>
    </row>
    <row r="126" spans="1:10" ht="19" x14ac:dyDescent="0.2">
      <c r="A126" s="143"/>
      <c r="B126" s="270"/>
      <c r="C126" s="163"/>
      <c r="D126" s="155"/>
      <c r="E126" s="164"/>
      <c r="F126" s="119"/>
      <c r="G126" s="119"/>
      <c r="H126" s="119"/>
      <c r="I126" s="174">
        <v>130000</v>
      </c>
      <c r="J126" s="174" t="s">
        <v>2473</v>
      </c>
    </row>
    <row r="127" spans="1:10" ht="19" x14ac:dyDescent="0.2">
      <c r="A127" s="144"/>
      <c r="B127" s="145"/>
      <c r="C127" s="149"/>
      <c r="D127" s="147"/>
      <c r="E127" s="150"/>
      <c r="F127" s="139"/>
      <c r="G127" s="139"/>
      <c r="H127" s="139"/>
      <c r="I127" s="162">
        <v>224000</v>
      </c>
      <c r="J127" s="162" t="s">
        <v>2474</v>
      </c>
    </row>
    <row r="128" spans="1:10" ht="19" x14ac:dyDescent="0.2">
      <c r="A128" s="143">
        <v>2259000</v>
      </c>
      <c r="B128" s="153"/>
      <c r="C128" s="171" t="s">
        <v>10</v>
      </c>
      <c r="D128" s="155" t="s">
        <v>685</v>
      </c>
      <c r="E128" s="164">
        <v>1654000</v>
      </c>
      <c r="F128" s="119">
        <v>605000</v>
      </c>
      <c r="G128" s="119"/>
      <c r="H128" s="119"/>
      <c r="I128" s="174">
        <v>144000</v>
      </c>
      <c r="J128" s="174" t="s">
        <v>1245</v>
      </c>
    </row>
    <row r="129" spans="1:10" ht="19" x14ac:dyDescent="0.2">
      <c r="A129" s="144"/>
      <c r="B129" s="145"/>
      <c r="C129" s="151"/>
      <c r="D129" s="147"/>
      <c r="E129" s="150"/>
      <c r="F129" s="139"/>
      <c r="G129" s="139"/>
      <c r="H129" s="139"/>
      <c r="I129" s="162">
        <v>80000</v>
      </c>
      <c r="J129" s="162" t="s">
        <v>1285</v>
      </c>
    </row>
    <row r="130" spans="1:10" ht="19" x14ac:dyDescent="0.2">
      <c r="A130" s="142"/>
      <c r="B130" s="153"/>
      <c r="C130" s="170"/>
      <c r="D130" s="155"/>
      <c r="E130" s="164"/>
      <c r="F130" s="119"/>
      <c r="G130" s="119"/>
      <c r="H130" s="119"/>
      <c r="I130" s="119">
        <v>125000</v>
      </c>
      <c r="J130" s="119" t="s">
        <v>1296</v>
      </c>
    </row>
    <row r="131" spans="1:10" ht="19" x14ac:dyDescent="0.2">
      <c r="A131" s="148"/>
      <c r="B131" s="158"/>
      <c r="C131" s="159"/>
      <c r="D131" s="160"/>
      <c r="E131" s="150"/>
      <c r="F131" s="139"/>
      <c r="G131" s="139"/>
      <c r="H131" s="139"/>
      <c r="I131" s="139">
        <v>264000</v>
      </c>
      <c r="J131" s="139" t="s">
        <v>1509</v>
      </c>
    </row>
    <row r="132" spans="1:10" ht="19" x14ac:dyDescent="0.2">
      <c r="A132" s="143"/>
      <c r="B132" s="153"/>
      <c r="C132" s="163"/>
      <c r="D132" s="155"/>
      <c r="E132" s="164"/>
      <c r="F132" s="119"/>
      <c r="G132" s="119"/>
      <c r="H132" s="119"/>
      <c r="I132" s="119">
        <v>200000</v>
      </c>
      <c r="J132" s="119" t="s">
        <v>1614</v>
      </c>
    </row>
    <row r="133" spans="1:10" ht="19" x14ac:dyDescent="0.2">
      <c r="A133" s="144">
        <v>2619000</v>
      </c>
      <c r="B133" s="145">
        <v>45276</v>
      </c>
      <c r="C133" s="151" t="s">
        <v>9</v>
      </c>
      <c r="D133" s="147" t="s">
        <v>565</v>
      </c>
      <c r="E133" s="150">
        <v>2182000</v>
      </c>
      <c r="F133" s="139">
        <v>437000</v>
      </c>
      <c r="G133" s="139"/>
      <c r="H133" s="139"/>
      <c r="I133" s="139"/>
      <c r="J133" s="139"/>
    </row>
    <row r="134" spans="1:10" ht="19" x14ac:dyDescent="0.2">
      <c r="A134" s="143"/>
      <c r="B134" s="153"/>
      <c r="C134" s="163"/>
      <c r="D134" s="155"/>
      <c r="E134" s="164"/>
      <c r="F134" s="119"/>
      <c r="G134" s="119"/>
      <c r="H134" s="119"/>
      <c r="I134" s="119"/>
      <c r="J134" s="119"/>
    </row>
    <row r="135" spans="1:10" ht="19" x14ac:dyDescent="0.2">
      <c r="A135" s="144">
        <v>1654000</v>
      </c>
      <c r="B135" s="145"/>
      <c r="C135" s="151" t="s">
        <v>10</v>
      </c>
      <c r="D135" s="147" t="s">
        <v>685</v>
      </c>
      <c r="E135" s="150">
        <v>1058000</v>
      </c>
      <c r="F135" s="139">
        <v>596000</v>
      </c>
      <c r="G135" s="139"/>
      <c r="H135" s="139"/>
      <c r="I135" s="139">
        <v>50000</v>
      </c>
      <c r="J135" s="139" t="s">
        <v>123</v>
      </c>
    </row>
    <row r="136" spans="1:10" ht="19" x14ac:dyDescent="0.2">
      <c r="A136" s="143"/>
      <c r="B136" s="153"/>
      <c r="C136" s="163"/>
      <c r="D136" s="155"/>
      <c r="E136" s="164"/>
      <c r="F136" s="119"/>
      <c r="G136" s="119"/>
      <c r="H136" s="119"/>
      <c r="I136" s="119"/>
      <c r="J136" s="119"/>
    </row>
    <row r="137" spans="1:10" ht="19" x14ac:dyDescent="0.2">
      <c r="A137" s="144">
        <v>1561000</v>
      </c>
      <c r="B137" s="145">
        <v>45277</v>
      </c>
      <c r="C137" s="151" t="s">
        <v>9</v>
      </c>
      <c r="D137" s="147" t="s">
        <v>2417</v>
      </c>
      <c r="E137" s="150">
        <v>1274000</v>
      </c>
      <c r="F137" s="139">
        <v>287000</v>
      </c>
      <c r="G137" s="139"/>
      <c r="H137" s="139"/>
      <c r="I137" s="139">
        <v>12000</v>
      </c>
      <c r="J137" s="139" t="s">
        <v>2475</v>
      </c>
    </row>
    <row r="138" spans="1:10" ht="19" x14ac:dyDescent="0.2">
      <c r="A138" s="143"/>
      <c r="B138" s="32"/>
      <c r="C138" s="35"/>
      <c r="D138" s="13"/>
      <c r="E138" s="15"/>
      <c r="F138" s="9"/>
      <c r="G138" s="9"/>
      <c r="H138" s="9"/>
      <c r="I138" s="9"/>
      <c r="J138" s="9"/>
    </row>
    <row r="139" spans="1:10" ht="19" x14ac:dyDescent="0.2">
      <c r="A139" s="144"/>
      <c r="B139" s="158"/>
      <c r="C139" s="151" t="s">
        <v>10</v>
      </c>
      <c r="D139" s="147"/>
      <c r="E139" s="150"/>
      <c r="F139" s="139"/>
      <c r="G139" s="139"/>
      <c r="H139" s="139" t="s">
        <v>2476</v>
      </c>
      <c r="I139" s="139"/>
      <c r="J139" s="139"/>
    </row>
    <row r="140" spans="1:10" ht="19" x14ac:dyDescent="0.2">
      <c r="A140" s="143">
        <v>2556000</v>
      </c>
      <c r="B140" s="32">
        <v>45278</v>
      </c>
      <c r="C140" s="35" t="s">
        <v>9</v>
      </c>
      <c r="D140" s="13" t="s">
        <v>2417</v>
      </c>
      <c r="E140" s="15">
        <v>2191000</v>
      </c>
      <c r="F140" s="9">
        <v>365000</v>
      </c>
      <c r="G140" s="9">
        <v>2600000</v>
      </c>
      <c r="H140" s="9" t="s">
        <v>812</v>
      </c>
      <c r="I140" s="9">
        <v>81500</v>
      </c>
      <c r="J140" s="9" t="s">
        <v>2477</v>
      </c>
    </row>
    <row r="141" spans="1:10" ht="19" x14ac:dyDescent="0.2">
      <c r="A141" s="144"/>
      <c r="B141" s="145"/>
      <c r="C141" s="151"/>
      <c r="D141" s="147"/>
      <c r="E141" s="150"/>
      <c r="F141" s="139"/>
      <c r="G141" s="139"/>
      <c r="H141" s="139"/>
      <c r="I141" s="139">
        <v>25000</v>
      </c>
      <c r="J141" s="139" t="s">
        <v>2478</v>
      </c>
    </row>
    <row r="142" spans="1:10" ht="19" x14ac:dyDescent="0.2">
      <c r="A142" s="143"/>
      <c r="B142" s="33"/>
      <c r="C142" s="35"/>
      <c r="D142" s="13"/>
      <c r="E142" s="15"/>
      <c r="F142" s="9"/>
      <c r="G142" s="9"/>
      <c r="H142" s="9"/>
      <c r="I142" s="9">
        <v>81000</v>
      </c>
      <c r="J142" s="9" t="s">
        <v>1491</v>
      </c>
    </row>
    <row r="143" spans="1:10" ht="19" x14ac:dyDescent="0.2">
      <c r="A143" s="144"/>
      <c r="B143" s="158"/>
      <c r="C143" s="159"/>
      <c r="D143" s="147"/>
      <c r="E143" s="150"/>
      <c r="F143" s="139"/>
      <c r="G143" s="139"/>
      <c r="H143" s="139"/>
      <c r="I143" s="139">
        <v>28000</v>
      </c>
      <c r="J143" s="139" t="s">
        <v>2479</v>
      </c>
    </row>
    <row r="144" spans="1:10" ht="19" x14ac:dyDescent="0.2">
      <c r="A144" s="143"/>
      <c r="B144" s="32"/>
      <c r="C144" s="35"/>
      <c r="D144" s="13"/>
      <c r="E144" s="15"/>
      <c r="F144" s="9"/>
      <c r="G144" s="9"/>
      <c r="H144" s="9"/>
      <c r="I144" s="9">
        <v>45000</v>
      </c>
      <c r="J144" s="9" t="s">
        <v>2480</v>
      </c>
    </row>
    <row r="145" spans="1:10" ht="19" x14ac:dyDescent="0.2">
      <c r="A145" s="144"/>
      <c r="B145" s="145"/>
      <c r="C145" s="151"/>
      <c r="D145" s="160"/>
      <c r="E145" s="150"/>
      <c r="F145" s="139"/>
      <c r="G145" s="139"/>
      <c r="H145" s="139"/>
      <c r="I145" s="139">
        <v>24000</v>
      </c>
      <c r="J145" s="139" t="s">
        <v>2481</v>
      </c>
    </row>
    <row r="146" spans="1:10" ht="19" x14ac:dyDescent="0.2">
      <c r="A146" s="143"/>
      <c r="B146" s="33"/>
      <c r="C146" s="35"/>
      <c r="D146" s="13"/>
      <c r="E146" s="15"/>
      <c r="F146" s="9"/>
      <c r="G146" s="9"/>
      <c r="H146" s="9"/>
      <c r="I146" s="9">
        <v>84000</v>
      </c>
      <c r="J146" s="9" t="s">
        <v>1310</v>
      </c>
    </row>
    <row r="147" spans="1:10" ht="19" x14ac:dyDescent="0.2">
      <c r="A147" s="148"/>
      <c r="B147" s="145"/>
      <c r="C147" s="146"/>
      <c r="D147" s="147"/>
      <c r="E147" s="150"/>
      <c r="F147" s="139"/>
      <c r="G147" s="139"/>
      <c r="H147" s="139"/>
      <c r="I147" s="139">
        <v>65000</v>
      </c>
      <c r="J147" s="139" t="s">
        <v>2482</v>
      </c>
    </row>
    <row r="148" spans="1:10" ht="19" x14ac:dyDescent="0.2">
      <c r="A148" s="142"/>
      <c r="B148" s="153"/>
      <c r="C148" s="163"/>
      <c r="D148" s="172"/>
      <c r="E148" s="164"/>
      <c r="F148" s="119"/>
      <c r="G148" s="119"/>
      <c r="H148" s="119"/>
      <c r="I148" s="119">
        <v>65000</v>
      </c>
      <c r="J148" s="119" t="s">
        <v>2483</v>
      </c>
    </row>
    <row r="149" spans="1:10" ht="19" x14ac:dyDescent="0.2">
      <c r="A149" s="148"/>
      <c r="B149" s="158"/>
      <c r="C149" s="151"/>
      <c r="D149" s="160"/>
      <c r="E149" s="150"/>
      <c r="F149" s="139"/>
      <c r="G149" s="139"/>
      <c r="H149" s="139"/>
      <c r="I149" s="139">
        <v>65000</v>
      </c>
      <c r="J149" s="139" t="s">
        <v>2484</v>
      </c>
    </row>
    <row r="150" spans="1:10" ht="19" x14ac:dyDescent="0.2">
      <c r="A150" s="142"/>
      <c r="B150" s="153"/>
      <c r="C150" s="163"/>
      <c r="D150" s="172"/>
      <c r="E150" s="164"/>
      <c r="F150" s="119"/>
      <c r="G150" s="119"/>
      <c r="H150" s="119"/>
      <c r="I150" s="119">
        <v>150000</v>
      </c>
      <c r="J150" s="119" t="s">
        <v>2485</v>
      </c>
    </row>
    <row r="151" spans="1:10" ht="19" x14ac:dyDescent="0.2">
      <c r="A151" s="142"/>
      <c r="B151" s="33"/>
      <c r="C151" s="35"/>
      <c r="D151" s="102"/>
      <c r="E151" s="15"/>
      <c r="F151" s="9"/>
      <c r="G151" s="9"/>
      <c r="H151" s="9"/>
      <c r="I151" s="119">
        <v>150000</v>
      </c>
      <c r="J151" s="119" t="s">
        <v>2486</v>
      </c>
    </row>
    <row r="152" spans="1:10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>
        <v>150000</v>
      </c>
      <c r="J152" s="139" t="s">
        <v>2487</v>
      </c>
    </row>
    <row r="153" spans="1:10" ht="19" x14ac:dyDescent="0.2">
      <c r="A153" s="142"/>
      <c r="B153" s="153"/>
      <c r="C153" s="163"/>
      <c r="D153" s="172"/>
      <c r="E153" s="164"/>
      <c r="F153" s="119"/>
      <c r="G153" s="119"/>
      <c r="H153" s="119"/>
      <c r="I153" s="119">
        <v>200000</v>
      </c>
      <c r="J153" s="119" t="s">
        <v>2488</v>
      </c>
    </row>
    <row r="154" spans="1:10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>
        <v>30000</v>
      </c>
      <c r="J154" s="139" t="s">
        <v>2489</v>
      </c>
    </row>
    <row r="155" spans="1:10" ht="19" x14ac:dyDescent="0.2">
      <c r="A155" s="143">
        <v>1712000</v>
      </c>
      <c r="B155" s="270"/>
      <c r="C155" s="163" t="s">
        <v>10</v>
      </c>
      <c r="D155" s="155" t="s">
        <v>685</v>
      </c>
      <c r="E155" s="164">
        <v>1304000</v>
      </c>
      <c r="F155" s="119">
        <v>408000</v>
      </c>
      <c r="G155" s="119"/>
      <c r="H155" s="119"/>
      <c r="I155" s="119">
        <v>308000</v>
      </c>
      <c r="J155" s="119" t="s">
        <v>1781</v>
      </c>
    </row>
    <row r="156" spans="1:10" ht="19" x14ac:dyDescent="0.2">
      <c r="A156" s="144"/>
      <c r="B156" s="145"/>
      <c r="C156" s="146"/>
      <c r="D156" s="147"/>
      <c r="E156" s="150"/>
      <c r="F156" s="139"/>
      <c r="G156" s="139"/>
      <c r="H156" s="139"/>
      <c r="I156" s="139"/>
      <c r="J156" s="152"/>
    </row>
    <row r="157" spans="1:10" ht="19" x14ac:dyDescent="0.2">
      <c r="A157" s="143">
        <v>4098000</v>
      </c>
      <c r="B157" s="153">
        <v>45279</v>
      </c>
      <c r="C157" s="171" t="s">
        <v>9</v>
      </c>
      <c r="D157" s="155" t="s">
        <v>2417</v>
      </c>
      <c r="E157" s="164">
        <v>2995000</v>
      </c>
      <c r="F157" s="119">
        <v>1103000</v>
      </c>
      <c r="G157" s="119"/>
      <c r="H157" s="119"/>
      <c r="I157" s="119"/>
      <c r="J157" s="175"/>
    </row>
    <row r="158" spans="1:10" ht="19" x14ac:dyDescent="0.2">
      <c r="A158" s="144"/>
      <c r="B158" s="145"/>
      <c r="C158" s="149"/>
      <c r="D158" s="147"/>
      <c r="E158" s="150"/>
      <c r="F158" s="139"/>
      <c r="G158" s="139"/>
      <c r="H158" s="139"/>
      <c r="I158" s="139"/>
      <c r="J158" s="139"/>
    </row>
    <row r="159" spans="1:10" ht="19" x14ac:dyDescent="0.2">
      <c r="A159" s="143">
        <v>1795000</v>
      </c>
      <c r="B159" s="32"/>
      <c r="C159" s="49" t="s">
        <v>10</v>
      </c>
      <c r="D159" s="13" t="s">
        <v>685</v>
      </c>
      <c r="E159" s="15">
        <v>1324000</v>
      </c>
      <c r="F159" s="9">
        <v>471000</v>
      </c>
      <c r="G159" s="9"/>
      <c r="H159" s="9"/>
      <c r="I159" s="9">
        <v>330000</v>
      </c>
      <c r="J159" s="9" t="s">
        <v>1648</v>
      </c>
    </row>
    <row r="160" spans="1:10" ht="19" x14ac:dyDescent="0.2">
      <c r="A160" s="144"/>
      <c r="B160" s="145"/>
      <c r="C160" s="151"/>
      <c r="D160" s="147"/>
      <c r="E160" s="150"/>
      <c r="F160" s="139"/>
      <c r="G160" s="139"/>
      <c r="H160" s="139"/>
      <c r="I160" s="139">
        <v>200000</v>
      </c>
      <c r="J160" s="139" t="s">
        <v>1614</v>
      </c>
    </row>
    <row r="161" spans="1:10" ht="19" x14ac:dyDescent="0.2">
      <c r="A161" s="143">
        <v>3207000</v>
      </c>
      <c r="B161" s="32">
        <v>45280</v>
      </c>
      <c r="C161" s="35" t="s">
        <v>9</v>
      </c>
      <c r="D161" s="13" t="s">
        <v>2417</v>
      </c>
      <c r="E161" s="15">
        <v>2181000</v>
      </c>
      <c r="F161" s="9">
        <v>1026000</v>
      </c>
      <c r="G161" s="9"/>
      <c r="H161" s="77"/>
      <c r="I161" s="9">
        <v>44500</v>
      </c>
      <c r="J161" s="9" t="s">
        <v>1500</v>
      </c>
    </row>
    <row r="162" spans="1:10" ht="19" x14ac:dyDescent="0.2">
      <c r="A162" s="144"/>
      <c r="B162" s="145"/>
      <c r="C162" s="146"/>
      <c r="D162" s="147"/>
      <c r="E162" s="150"/>
      <c r="F162" s="139"/>
      <c r="G162" s="139"/>
      <c r="H162" s="165"/>
      <c r="I162" s="139">
        <v>83000</v>
      </c>
      <c r="J162" s="139" t="s">
        <v>2490</v>
      </c>
    </row>
    <row r="163" spans="1:10" ht="19" x14ac:dyDescent="0.2">
      <c r="A163" s="143"/>
      <c r="B163" s="32"/>
      <c r="C163" s="3"/>
      <c r="D163" s="13"/>
      <c r="E163" s="15"/>
      <c r="F163" s="9"/>
      <c r="G163" s="9"/>
      <c r="H163" s="77"/>
      <c r="I163" s="9">
        <v>59500</v>
      </c>
      <c r="J163" s="9" t="s">
        <v>2491</v>
      </c>
    </row>
    <row r="164" spans="1:10" ht="19" x14ac:dyDescent="0.2">
      <c r="A164" s="205"/>
      <c r="B164" s="145"/>
      <c r="C164" s="151"/>
      <c r="D164" s="147"/>
      <c r="E164" s="150"/>
      <c r="F164" s="139"/>
      <c r="G164" s="139"/>
      <c r="H164" s="165"/>
      <c r="I164" s="139">
        <v>63000</v>
      </c>
      <c r="J164" s="139" t="s">
        <v>2492</v>
      </c>
    </row>
    <row r="165" spans="1:10" ht="19" x14ac:dyDescent="0.2">
      <c r="A165" s="143"/>
      <c r="B165" s="32"/>
      <c r="C165" s="35"/>
      <c r="D165" s="13"/>
      <c r="E165" s="15"/>
      <c r="F165" s="9"/>
      <c r="G165" s="9"/>
      <c r="H165" s="77"/>
      <c r="I165" s="9">
        <v>106000</v>
      </c>
      <c r="J165" s="9" t="s">
        <v>2493</v>
      </c>
    </row>
    <row r="166" spans="1:10" ht="19" x14ac:dyDescent="0.2">
      <c r="A166" s="148"/>
      <c r="B166" s="145"/>
      <c r="C166" s="151"/>
      <c r="D166" s="160"/>
      <c r="E166" s="150"/>
      <c r="F166" s="139"/>
      <c r="G166" s="139"/>
      <c r="H166" s="165"/>
      <c r="I166" s="139">
        <v>81500</v>
      </c>
      <c r="J166" s="139" t="s">
        <v>2494</v>
      </c>
    </row>
    <row r="167" spans="1:10" ht="19" x14ac:dyDescent="0.2">
      <c r="A167" s="142"/>
      <c r="B167" s="32"/>
      <c r="C167" s="35"/>
      <c r="D167" s="102"/>
      <c r="E167" s="15"/>
      <c r="F167" s="9"/>
      <c r="G167" s="9"/>
      <c r="H167" s="77"/>
      <c r="I167" s="9">
        <v>105000</v>
      </c>
      <c r="J167" s="9" t="s">
        <v>2495</v>
      </c>
    </row>
    <row r="168" spans="1:10" ht="19" x14ac:dyDescent="0.2">
      <c r="A168" s="144"/>
      <c r="B168" s="145"/>
      <c r="C168" s="159"/>
      <c r="D168" s="147"/>
      <c r="E168" s="150"/>
      <c r="F168" s="139"/>
      <c r="G168" s="139"/>
      <c r="H168" s="165"/>
      <c r="I168" s="139">
        <v>140000</v>
      </c>
      <c r="J168" s="262" t="s">
        <v>1518</v>
      </c>
    </row>
    <row r="169" spans="1:10" ht="19" x14ac:dyDescent="0.2">
      <c r="A169" s="143"/>
      <c r="B169" s="32"/>
      <c r="C169" s="49"/>
      <c r="D169" s="13"/>
      <c r="E169" s="15"/>
      <c r="F169" s="9"/>
      <c r="G169" s="9"/>
      <c r="H169" s="77"/>
      <c r="I169" s="9">
        <v>135000</v>
      </c>
      <c r="J169" s="9" t="s">
        <v>2496</v>
      </c>
    </row>
    <row r="170" spans="1:10" ht="19" x14ac:dyDescent="0.2">
      <c r="A170" s="144"/>
      <c r="B170" s="145"/>
      <c r="C170" s="146"/>
      <c r="D170" s="147"/>
      <c r="E170" s="150"/>
      <c r="F170" s="139"/>
      <c r="G170" s="139"/>
      <c r="H170" s="165"/>
      <c r="I170" s="139">
        <v>80000</v>
      </c>
      <c r="J170" s="139" t="s">
        <v>1285</v>
      </c>
    </row>
    <row r="171" spans="1:10" ht="19" x14ac:dyDescent="0.2">
      <c r="A171" s="143"/>
      <c r="B171" s="32"/>
      <c r="C171" s="49"/>
      <c r="D171" s="13"/>
      <c r="E171" s="15"/>
      <c r="F171" s="9"/>
      <c r="G171" s="9"/>
      <c r="H171" s="77"/>
      <c r="I171" s="9">
        <v>125000</v>
      </c>
      <c r="J171" s="9" t="s">
        <v>2497</v>
      </c>
    </row>
    <row r="172" spans="1:10" ht="19" x14ac:dyDescent="0.2">
      <c r="A172" s="144"/>
      <c r="B172" s="145"/>
      <c r="C172" s="263"/>
      <c r="D172" s="147"/>
      <c r="E172" s="150"/>
      <c r="F172" s="139"/>
      <c r="G172" s="139"/>
      <c r="H172" s="139"/>
      <c r="I172" s="139"/>
      <c r="J172" s="139"/>
    </row>
    <row r="173" spans="1:10" ht="19" x14ac:dyDescent="0.2">
      <c r="A173" s="143">
        <v>1909000</v>
      </c>
      <c r="B173" s="153"/>
      <c r="C173" s="154" t="s">
        <v>10</v>
      </c>
      <c r="D173" s="155" t="s">
        <v>685</v>
      </c>
      <c r="E173" s="164">
        <v>1509000</v>
      </c>
      <c r="F173" s="119">
        <v>400000</v>
      </c>
      <c r="G173" s="119"/>
      <c r="H173" s="119"/>
      <c r="I173" s="119">
        <v>120000</v>
      </c>
      <c r="J173" s="119" t="s">
        <v>1710</v>
      </c>
    </row>
    <row r="174" spans="1:10" ht="19" x14ac:dyDescent="0.2">
      <c r="A174" s="144"/>
      <c r="B174" s="145"/>
      <c r="C174" s="151"/>
      <c r="D174" s="147"/>
      <c r="E174" s="150"/>
      <c r="F174" s="139"/>
      <c r="G174" s="139"/>
      <c r="H174" s="165"/>
      <c r="I174" s="139"/>
      <c r="J174" s="139"/>
    </row>
    <row r="175" spans="1:10" ht="19" x14ac:dyDescent="0.2">
      <c r="A175" s="143">
        <v>3027000</v>
      </c>
      <c r="B175" s="153">
        <v>45281</v>
      </c>
      <c r="C175" s="163" t="s">
        <v>9</v>
      </c>
      <c r="D175" s="155" t="s">
        <v>2417</v>
      </c>
      <c r="E175" s="164">
        <v>2174000</v>
      </c>
      <c r="F175" s="119">
        <v>853000</v>
      </c>
      <c r="G175" s="119"/>
      <c r="H175" s="168"/>
      <c r="I175" s="119"/>
      <c r="J175" s="119"/>
    </row>
    <row r="176" spans="1:10" ht="19" x14ac:dyDescent="0.2">
      <c r="A176" s="144"/>
      <c r="B176" s="145"/>
      <c r="C176" s="151"/>
      <c r="D176" s="147"/>
      <c r="E176" s="150"/>
      <c r="F176" s="139"/>
      <c r="G176" s="139"/>
      <c r="H176" s="165"/>
      <c r="I176" s="139"/>
      <c r="J176" s="139"/>
    </row>
    <row r="177" spans="1:10" ht="19" x14ac:dyDescent="0.2">
      <c r="A177" s="143">
        <v>1752000</v>
      </c>
      <c r="B177" s="153"/>
      <c r="C177" s="163" t="s">
        <v>10</v>
      </c>
      <c r="D177" s="155" t="s">
        <v>685</v>
      </c>
      <c r="E177" s="164">
        <v>1329000</v>
      </c>
      <c r="F177" s="119">
        <v>423000</v>
      </c>
      <c r="G177" s="119"/>
      <c r="H177" s="168"/>
      <c r="I177" s="119">
        <v>330000</v>
      </c>
      <c r="J177" s="119" t="s">
        <v>1648</v>
      </c>
    </row>
    <row r="178" spans="1:10" ht="19" x14ac:dyDescent="0.2">
      <c r="A178" s="144">
        <v>2706000</v>
      </c>
      <c r="B178" s="145">
        <v>45282</v>
      </c>
      <c r="C178" s="149" t="s">
        <v>9</v>
      </c>
      <c r="D178" s="147" t="s">
        <v>2417</v>
      </c>
      <c r="E178" s="150">
        <v>2107000</v>
      </c>
      <c r="F178" s="139">
        <v>599000</v>
      </c>
      <c r="G178" s="139"/>
      <c r="H178" s="139"/>
      <c r="I178" s="165">
        <v>96000</v>
      </c>
      <c r="J178" s="165" t="s">
        <v>2498</v>
      </c>
    </row>
    <row r="179" spans="1:10" ht="19" x14ac:dyDescent="0.2">
      <c r="A179" s="143"/>
      <c r="B179" s="153"/>
      <c r="C179" s="171"/>
      <c r="D179" s="155"/>
      <c r="E179" s="164"/>
      <c r="F179" s="119"/>
      <c r="G179" s="119"/>
      <c r="H179" s="119"/>
      <c r="I179" s="168">
        <v>27000</v>
      </c>
      <c r="J179" s="168" t="s">
        <v>1859</v>
      </c>
    </row>
    <row r="180" spans="1:10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>
        <v>38000</v>
      </c>
      <c r="J180" s="165" t="s">
        <v>2499</v>
      </c>
    </row>
    <row r="181" spans="1:10" ht="19" x14ac:dyDescent="0.2">
      <c r="A181" s="143"/>
      <c r="B181" s="32"/>
      <c r="C181" s="49"/>
      <c r="D181" s="13"/>
      <c r="E181" s="15"/>
      <c r="F181" s="9"/>
      <c r="G181" s="9"/>
      <c r="H181" s="9"/>
      <c r="I181" s="77">
        <v>29000</v>
      </c>
      <c r="J181" s="77" t="s">
        <v>2500</v>
      </c>
    </row>
    <row r="182" spans="1:10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>
        <v>69000</v>
      </c>
      <c r="J182" s="165" t="s">
        <v>1595</v>
      </c>
    </row>
    <row r="183" spans="1:10" ht="19" x14ac:dyDescent="0.2">
      <c r="A183" s="143"/>
      <c r="B183" s="32"/>
      <c r="C183" s="49"/>
      <c r="D183" s="13"/>
      <c r="E183" s="15"/>
      <c r="F183" s="9"/>
      <c r="G183" s="9"/>
      <c r="H183" s="9"/>
      <c r="I183" s="77"/>
      <c r="J183" s="77"/>
    </row>
    <row r="184" spans="1:10" ht="19" x14ac:dyDescent="0.2">
      <c r="A184" s="144">
        <v>2493000</v>
      </c>
      <c r="B184" s="145"/>
      <c r="C184" s="149" t="s">
        <v>10</v>
      </c>
      <c r="D184" s="147" t="s">
        <v>685</v>
      </c>
      <c r="E184" s="150">
        <v>1965000</v>
      </c>
      <c r="F184" s="139">
        <v>528000</v>
      </c>
      <c r="G184" s="139"/>
      <c r="H184" s="139"/>
      <c r="I184" s="165"/>
      <c r="J184" s="165"/>
    </row>
    <row r="185" spans="1:10" ht="19" x14ac:dyDescent="0.2">
      <c r="A185" s="143"/>
      <c r="B185" s="32"/>
      <c r="C185" s="49"/>
      <c r="D185" s="13"/>
      <c r="E185" s="15"/>
      <c r="F185" s="9"/>
      <c r="G185" s="9"/>
      <c r="H185" s="9"/>
      <c r="I185" s="77"/>
      <c r="J185" s="77"/>
    </row>
    <row r="186" spans="1:10" ht="19" x14ac:dyDescent="0.2">
      <c r="A186" s="144">
        <v>2315000</v>
      </c>
      <c r="B186" s="145">
        <v>45283</v>
      </c>
      <c r="C186" s="149" t="s">
        <v>9</v>
      </c>
      <c r="D186" s="147" t="s">
        <v>2417</v>
      </c>
      <c r="E186" s="150">
        <v>1921000</v>
      </c>
      <c r="F186" s="139">
        <v>394000</v>
      </c>
      <c r="G186" s="139"/>
      <c r="H186" s="139"/>
      <c r="I186" s="165">
        <v>42000</v>
      </c>
      <c r="J186" s="165" t="s">
        <v>2501</v>
      </c>
    </row>
    <row r="187" spans="1:10" ht="19" x14ac:dyDescent="0.2">
      <c r="A187" s="143"/>
      <c r="B187" s="32"/>
      <c r="C187" s="2"/>
      <c r="D187" s="13"/>
      <c r="E187" s="15"/>
      <c r="F187" s="9"/>
      <c r="G187" s="9"/>
      <c r="H187" s="9"/>
      <c r="I187" s="77">
        <v>23000</v>
      </c>
      <c r="J187" s="77" t="s">
        <v>2502</v>
      </c>
    </row>
    <row r="188" spans="1:10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>
        <v>130000</v>
      </c>
      <c r="J188" s="165" t="s">
        <v>2503</v>
      </c>
    </row>
    <row r="189" spans="1:10" ht="19" x14ac:dyDescent="0.2">
      <c r="A189" s="143"/>
      <c r="B189" s="32"/>
      <c r="C189" s="3"/>
      <c r="D189" s="13"/>
      <c r="E189" s="15"/>
      <c r="F189" s="9"/>
      <c r="G189" s="9"/>
      <c r="H189" s="9"/>
      <c r="I189" s="77"/>
      <c r="J189" s="77"/>
    </row>
    <row r="190" spans="1:10" ht="19" x14ac:dyDescent="0.2">
      <c r="A190" s="144">
        <v>2098000</v>
      </c>
      <c r="B190" s="145"/>
      <c r="C190" s="149" t="s">
        <v>10</v>
      </c>
      <c r="D190" s="147" t="s">
        <v>685</v>
      </c>
      <c r="E190" s="150">
        <v>1332000</v>
      </c>
      <c r="F190" s="139">
        <v>766000</v>
      </c>
      <c r="G190" s="139"/>
      <c r="H190" s="139"/>
      <c r="I190" s="139">
        <v>50000</v>
      </c>
      <c r="J190" s="139" t="s">
        <v>123</v>
      </c>
    </row>
    <row r="191" spans="1:10" ht="19" x14ac:dyDescent="0.2">
      <c r="A191" s="143"/>
      <c r="B191" s="32"/>
      <c r="C191" s="49"/>
      <c r="D191" s="13"/>
      <c r="E191" s="15"/>
      <c r="F191" s="9"/>
      <c r="G191" s="9"/>
      <c r="H191" s="9"/>
      <c r="I191" s="9">
        <v>120000</v>
      </c>
      <c r="J191" s="9" t="s">
        <v>1710</v>
      </c>
    </row>
    <row r="192" spans="1:10" ht="19" x14ac:dyDescent="0.2">
      <c r="A192" s="144"/>
      <c r="B192" s="145"/>
      <c r="C192" s="149"/>
      <c r="D192" s="147"/>
      <c r="E192" s="150"/>
      <c r="F192" s="139"/>
      <c r="G192" s="139"/>
      <c r="H192" s="139"/>
      <c r="I192" s="139">
        <v>35000</v>
      </c>
      <c r="J192" s="139" t="s">
        <v>1467</v>
      </c>
    </row>
    <row r="193" spans="1:10" ht="19" x14ac:dyDescent="0.2">
      <c r="A193" s="143"/>
      <c r="B193" s="32"/>
      <c r="C193" s="35"/>
      <c r="D193" s="13"/>
      <c r="E193" s="15"/>
      <c r="F193" s="9"/>
      <c r="G193" s="9"/>
      <c r="H193" s="9"/>
      <c r="I193" s="9">
        <v>200000</v>
      </c>
      <c r="J193" s="9" t="s">
        <v>1614</v>
      </c>
    </row>
    <row r="194" spans="1:10" ht="19" x14ac:dyDescent="0.2">
      <c r="A194" s="144"/>
      <c r="B194" s="145"/>
      <c r="C194" s="149"/>
      <c r="D194" s="147"/>
      <c r="E194" s="150"/>
      <c r="F194" s="139"/>
      <c r="G194" s="139"/>
      <c r="H194" s="139"/>
      <c r="I194" s="139">
        <v>308000</v>
      </c>
      <c r="J194" s="139" t="s">
        <v>1781</v>
      </c>
    </row>
    <row r="195" spans="1:10" ht="19" x14ac:dyDescent="0.2">
      <c r="A195" s="143"/>
      <c r="B195" s="32"/>
      <c r="C195" s="35"/>
      <c r="D195" s="13"/>
      <c r="E195" s="15"/>
      <c r="F195" s="9"/>
      <c r="G195" s="9"/>
      <c r="H195" s="9"/>
      <c r="I195" s="9"/>
      <c r="J195" s="9"/>
    </row>
    <row r="196" spans="1:10" ht="19" x14ac:dyDescent="0.2">
      <c r="A196" s="144">
        <v>2105000</v>
      </c>
      <c r="B196" s="145">
        <v>45284</v>
      </c>
      <c r="C196" s="149" t="s">
        <v>9</v>
      </c>
      <c r="D196" s="147" t="s">
        <v>2417</v>
      </c>
      <c r="E196" s="150">
        <v>1693000</v>
      </c>
      <c r="F196" s="139">
        <v>412000</v>
      </c>
      <c r="G196" s="139"/>
      <c r="H196" s="139"/>
      <c r="I196" s="139">
        <v>125000</v>
      </c>
      <c r="J196" s="139" t="s">
        <v>1296</v>
      </c>
    </row>
    <row r="197" spans="1:10" ht="19" x14ac:dyDescent="0.2">
      <c r="A197" s="143"/>
      <c r="B197" s="153"/>
      <c r="C197" s="171"/>
      <c r="D197" s="155"/>
      <c r="E197" s="164"/>
      <c r="F197" s="119"/>
      <c r="G197" s="119"/>
      <c r="H197" s="119"/>
      <c r="I197" s="119">
        <v>80000</v>
      </c>
      <c r="J197" s="119" t="s">
        <v>1285</v>
      </c>
    </row>
    <row r="198" spans="1:10" ht="19" x14ac:dyDescent="0.2">
      <c r="A198" s="144"/>
      <c r="B198" s="145"/>
      <c r="C198" s="149"/>
      <c r="D198" s="147"/>
      <c r="E198" s="150"/>
      <c r="F198" s="139"/>
      <c r="G198" s="139"/>
      <c r="H198" s="139"/>
      <c r="I198" s="165">
        <v>144000</v>
      </c>
      <c r="J198" s="165" t="s">
        <v>1245</v>
      </c>
    </row>
    <row r="199" spans="1:10" ht="19" x14ac:dyDescent="0.2">
      <c r="A199" s="143"/>
      <c r="B199" s="32"/>
      <c r="C199" s="49"/>
      <c r="D199" s="13"/>
      <c r="E199" s="15"/>
      <c r="F199" s="9"/>
      <c r="G199" s="9"/>
      <c r="H199" s="9"/>
      <c r="I199" s="9">
        <v>150000</v>
      </c>
      <c r="J199" s="9" t="s">
        <v>2504</v>
      </c>
    </row>
    <row r="200" spans="1:10" ht="19" x14ac:dyDescent="0.2">
      <c r="A200" s="144"/>
      <c r="B200" s="158"/>
      <c r="C200" s="159"/>
      <c r="D200" s="147"/>
      <c r="E200" s="150"/>
      <c r="F200" s="139"/>
      <c r="G200" s="139"/>
      <c r="H200" s="139"/>
      <c r="I200" s="139">
        <v>150000</v>
      </c>
      <c r="J200" s="139" t="s">
        <v>2505</v>
      </c>
    </row>
    <row r="201" spans="1:10" ht="19" x14ac:dyDescent="0.2">
      <c r="A201" s="143"/>
      <c r="B201" s="32"/>
      <c r="C201" s="35"/>
      <c r="D201" s="13"/>
      <c r="E201" s="15"/>
      <c r="F201" s="9"/>
      <c r="G201" s="9"/>
      <c r="H201" s="9"/>
      <c r="I201" s="9">
        <v>150000</v>
      </c>
      <c r="J201" s="9" t="s">
        <v>2506</v>
      </c>
    </row>
    <row r="202" spans="1:10" ht="19" x14ac:dyDescent="0.2">
      <c r="A202" s="144"/>
      <c r="B202" s="145"/>
      <c r="C202" s="146"/>
      <c r="D202" s="147"/>
      <c r="E202" s="139"/>
      <c r="F202" s="139"/>
      <c r="G202" s="139"/>
      <c r="H202" s="139"/>
      <c r="I202" s="162">
        <v>79500</v>
      </c>
      <c r="J202" s="139" t="s">
        <v>2507</v>
      </c>
    </row>
    <row r="203" spans="1:10" ht="19" x14ac:dyDescent="0.2">
      <c r="A203" s="143">
        <v>1787000</v>
      </c>
      <c r="B203" s="32"/>
      <c r="C203" s="2" t="s">
        <v>10</v>
      </c>
      <c r="D203" s="13" t="s">
        <v>685</v>
      </c>
      <c r="E203" s="15">
        <v>1505000</v>
      </c>
      <c r="F203" s="9">
        <v>282000</v>
      </c>
      <c r="G203" s="9"/>
      <c r="H203" s="9"/>
      <c r="I203" s="9">
        <v>45000</v>
      </c>
      <c r="J203" s="9" t="s">
        <v>2508</v>
      </c>
    </row>
    <row r="204" spans="1:10" ht="19" x14ac:dyDescent="0.2">
      <c r="A204" s="144"/>
      <c r="B204" s="145"/>
      <c r="C204" s="146"/>
      <c r="D204" s="147"/>
      <c r="E204" s="139"/>
      <c r="F204" s="139"/>
      <c r="G204" s="139"/>
      <c r="H204" s="139"/>
      <c r="I204" s="162">
        <v>81000</v>
      </c>
      <c r="J204" s="169" t="s">
        <v>1491</v>
      </c>
    </row>
    <row r="205" spans="1:10" ht="19" x14ac:dyDescent="0.2">
      <c r="A205" s="143">
        <v>2419000</v>
      </c>
      <c r="B205" s="153">
        <v>45285</v>
      </c>
      <c r="C205" s="170" t="s">
        <v>9</v>
      </c>
      <c r="D205" s="155" t="s">
        <v>2417</v>
      </c>
      <c r="E205" s="164">
        <v>1862000</v>
      </c>
      <c r="F205" s="119">
        <v>557000</v>
      </c>
      <c r="G205" s="119">
        <v>2600000</v>
      </c>
      <c r="H205" s="119" t="s">
        <v>812</v>
      </c>
      <c r="I205" s="174">
        <v>200000</v>
      </c>
      <c r="J205" s="174" t="s">
        <v>2530</v>
      </c>
    </row>
    <row r="206" spans="1:10" ht="19" x14ac:dyDescent="0.2">
      <c r="A206" s="144"/>
      <c r="B206" s="145"/>
      <c r="C206" s="159"/>
      <c r="D206" s="147"/>
      <c r="E206" s="150"/>
      <c r="F206" s="139"/>
      <c r="G206" s="139"/>
      <c r="H206" s="139"/>
      <c r="I206" s="139">
        <v>8500</v>
      </c>
      <c r="J206" s="139" t="s">
        <v>1999</v>
      </c>
    </row>
    <row r="207" spans="1:10" ht="19" x14ac:dyDescent="0.2">
      <c r="A207" s="143"/>
      <c r="B207" s="153"/>
      <c r="C207" s="170"/>
      <c r="D207" s="155"/>
      <c r="E207" s="164"/>
      <c r="F207" s="119"/>
      <c r="G207" s="119"/>
      <c r="H207" s="119"/>
      <c r="I207" s="119">
        <v>140000</v>
      </c>
      <c r="J207" s="119" t="s">
        <v>1583</v>
      </c>
    </row>
    <row r="208" spans="1:10" ht="19" x14ac:dyDescent="0.2">
      <c r="A208" s="144"/>
      <c r="B208" s="145"/>
      <c r="C208" s="159"/>
      <c r="D208" s="147"/>
      <c r="E208" s="150"/>
      <c r="F208" s="139"/>
      <c r="G208" s="139"/>
      <c r="H208" s="139"/>
      <c r="I208" s="139">
        <v>44500</v>
      </c>
      <c r="J208" s="139" t="s">
        <v>1500</v>
      </c>
    </row>
    <row r="209" spans="1:10" ht="19" x14ac:dyDescent="0.2">
      <c r="A209" s="143"/>
      <c r="B209" s="153"/>
      <c r="C209" s="170"/>
      <c r="D209" s="155"/>
      <c r="E209" s="164"/>
      <c r="F209" s="119"/>
      <c r="G209" s="119"/>
      <c r="H209" s="119"/>
      <c r="I209" s="119">
        <v>65000</v>
      </c>
      <c r="J209" s="119" t="s">
        <v>2509</v>
      </c>
    </row>
    <row r="210" spans="1:10" ht="19" x14ac:dyDescent="0.2">
      <c r="A210" s="144"/>
      <c r="B210" s="145"/>
      <c r="C210" s="159"/>
      <c r="D210" s="147"/>
      <c r="E210" s="150"/>
      <c r="F210" s="139"/>
      <c r="G210" s="139"/>
      <c r="H210" s="139"/>
      <c r="I210" s="139">
        <v>149000</v>
      </c>
      <c r="J210" s="139" t="s">
        <v>2510</v>
      </c>
    </row>
    <row r="211" spans="1:10" ht="19" x14ac:dyDescent="0.2">
      <c r="A211" s="143"/>
      <c r="B211" s="153"/>
      <c r="C211" s="170"/>
      <c r="D211" s="155"/>
      <c r="E211" s="164"/>
      <c r="F211" s="119"/>
      <c r="G211" s="119"/>
      <c r="H211" s="119"/>
      <c r="I211" s="119">
        <v>6000</v>
      </c>
      <c r="J211" s="119" t="s">
        <v>1580</v>
      </c>
    </row>
    <row r="212" spans="1:10" ht="19" x14ac:dyDescent="0.2">
      <c r="A212" s="144"/>
      <c r="B212" s="145"/>
      <c r="C212" s="159"/>
      <c r="D212" s="147"/>
      <c r="E212" s="150"/>
      <c r="F212" s="139"/>
      <c r="G212" s="139"/>
      <c r="H212" s="139"/>
      <c r="I212" s="139">
        <v>40000</v>
      </c>
      <c r="J212" s="139" t="s">
        <v>1493</v>
      </c>
    </row>
    <row r="213" spans="1:10" ht="19" x14ac:dyDescent="0.2">
      <c r="A213" s="143"/>
      <c r="B213" s="153"/>
      <c r="C213" s="170"/>
      <c r="D213" s="155"/>
      <c r="E213" s="164"/>
      <c r="F213" s="119"/>
      <c r="G213" s="119"/>
      <c r="H213" s="119"/>
      <c r="I213" s="119">
        <v>168000</v>
      </c>
      <c r="J213" s="119" t="s">
        <v>1838</v>
      </c>
    </row>
    <row r="214" spans="1:10" ht="19" x14ac:dyDescent="0.2">
      <c r="A214" s="144"/>
      <c r="B214" s="145"/>
      <c r="C214" s="159"/>
      <c r="D214" s="147"/>
      <c r="E214" s="150"/>
      <c r="F214" s="139"/>
      <c r="G214" s="139"/>
      <c r="H214" s="139"/>
      <c r="I214" s="139"/>
      <c r="J214" s="139"/>
    </row>
    <row r="215" spans="1:10" ht="19" x14ac:dyDescent="0.2">
      <c r="A215" s="143">
        <v>1650000</v>
      </c>
      <c r="B215" s="153"/>
      <c r="C215" s="170" t="s">
        <v>10</v>
      </c>
      <c r="D215" s="155" t="s">
        <v>685</v>
      </c>
      <c r="E215" s="164">
        <v>1131000</v>
      </c>
      <c r="F215" s="119">
        <v>519000</v>
      </c>
      <c r="G215" s="119"/>
      <c r="H215" s="119"/>
      <c r="I215" s="119">
        <v>330000</v>
      </c>
      <c r="J215" s="119" t="s">
        <v>1648</v>
      </c>
    </row>
    <row r="216" spans="1:10" ht="19" x14ac:dyDescent="0.2">
      <c r="A216" s="144"/>
      <c r="B216" s="145"/>
      <c r="C216" s="159"/>
      <c r="D216" s="147"/>
      <c r="E216" s="150"/>
      <c r="F216" s="139"/>
      <c r="G216" s="139"/>
      <c r="H216" s="139"/>
      <c r="I216" s="139"/>
      <c r="J216" s="139"/>
    </row>
    <row r="217" spans="1:10" ht="19" x14ac:dyDescent="0.2">
      <c r="A217" s="143">
        <v>2449000</v>
      </c>
      <c r="B217" s="153">
        <v>45286</v>
      </c>
      <c r="C217" s="170" t="s">
        <v>9</v>
      </c>
      <c r="D217" s="155" t="s">
        <v>2417</v>
      </c>
      <c r="E217" s="164">
        <v>1745000</v>
      </c>
      <c r="F217" s="119">
        <v>704000</v>
      </c>
      <c r="G217" s="119">
        <v>260000</v>
      </c>
      <c r="H217" s="119" t="s">
        <v>1800</v>
      </c>
      <c r="I217" s="119">
        <v>520000</v>
      </c>
      <c r="J217" s="119" t="s">
        <v>1462</v>
      </c>
    </row>
    <row r="218" spans="1:10" ht="19" x14ac:dyDescent="0.2">
      <c r="A218" s="144"/>
      <c r="B218" s="145"/>
      <c r="C218" s="159"/>
      <c r="D218" s="147"/>
      <c r="E218" s="150"/>
      <c r="F218" s="139"/>
      <c r="G218" s="139"/>
      <c r="H218" s="139"/>
      <c r="I218" s="139">
        <v>120000</v>
      </c>
      <c r="J218" s="139" t="s">
        <v>1668</v>
      </c>
    </row>
    <row r="219" spans="1:10" ht="19" x14ac:dyDescent="0.2">
      <c r="A219" s="143"/>
      <c r="B219" s="153"/>
      <c r="C219" s="170"/>
      <c r="D219" s="155"/>
      <c r="E219" s="164"/>
      <c r="F219" s="119"/>
      <c r="G219" s="119"/>
      <c r="H219" s="119"/>
      <c r="I219" s="119">
        <v>26000</v>
      </c>
      <c r="J219" s="119" t="s">
        <v>2511</v>
      </c>
    </row>
    <row r="220" spans="1:10" ht="19" x14ac:dyDescent="0.2">
      <c r="A220" s="144"/>
      <c r="B220" s="145"/>
      <c r="C220" s="159"/>
      <c r="D220" s="147"/>
      <c r="E220" s="150"/>
      <c r="F220" s="139"/>
      <c r="G220" s="139"/>
      <c r="H220" s="139"/>
      <c r="I220" s="139">
        <v>29000</v>
      </c>
      <c r="J220" s="139" t="s">
        <v>1713</v>
      </c>
    </row>
    <row r="221" spans="1:10" ht="19" x14ac:dyDescent="0.2">
      <c r="A221" s="143"/>
      <c r="B221" s="153"/>
      <c r="C221" s="170"/>
      <c r="D221" s="155"/>
      <c r="E221" s="164"/>
      <c r="F221" s="119"/>
      <c r="G221" s="119"/>
      <c r="H221" s="119"/>
      <c r="I221" s="119">
        <v>25000</v>
      </c>
      <c r="J221" s="119" t="s">
        <v>2512</v>
      </c>
    </row>
    <row r="222" spans="1:10" ht="19" x14ac:dyDescent="0.2">
      <c r="A222" s="144"/>
      <c r="B222" s="145"/>
      <c r="C222" s="159"/>
      <c r="D222" s="147"/>
      <c r="E222" s="150"/>
      <c r="F222" s="139"/>
      <c r="G222" s="139"/>
      <c r="H222" s="139"/>
      <c r="I222" s="139">
        <v>110000</v>
      </c>
      <c r="J222" s="139" t="s">
        <v>2199</v>
      </c>
    </row>
    <row r="223" spans="1:10" ht="19" x14ac:dyDescent="0.2">
      <c r="A223" s="143">
        <v>1747000</v>
      </c>
      <c r="B223" s="153"/>
      <c r="C223" s="170" t="s">
        <v>10</v>
      </c>
      <c r="D223" s="155" t="s">
        <v>685</v>
      </c>
      <c r="E223" s="164">
        <v>1367000</v>
      </c>
      <c r="F223" s="119">
        <v>380000</v>
      </c>
      <c r="G223" s="119"/>
      <c r="H223" s="119"/>
      <c r="I223" s="119">
        <v>60000</v>
      </c>
      <c r="J223" s="119" t="s">
        <v>2529</v>
      </c>
    </row>
    <row r="224" spans="1:10" ht="19" x14ac:dyDescent="0.2">
      <c r="A224" s="144"/>
      <c r="B224" s="145"/>
      <c r="C224" s="159"/>
      <c r="D224" s="147"/>
      <c r="E224" s="150"/>
      <c r="F224" s="139"/>
      <c r="G224" s="139"/>
      <c r="H224" s="139"/>
      <c r="I224" s="139"/>
      <c r="J224" s="139"/>
    </row>
    <row r="225" spans="1:10" ht="32" x14ac:dyDescent="0.2">
      <c r="A225" s="143">
        <v>3054000</v>
      </c>
      <c r="B225" s="153">
        <v>45287</v>
      </c>
      <c r="C225" s="170" t="s">
        <v>9</v>
      </c>
      <c r="D225" s="155" t="s">
        <v>565</v>
      </c>
      <c r="E225" s="164">
        <v>1972000</v>
      </c>
      <c r="F225" s="119">
        <v>1082000</v>
      </c>
      <c r="G225" s="119"/>
      <c r="H225" s="119"/>
      <c r="I225" s="119">
        <v>2500000</v>
      </c>
      <c r="J225" s="176" t="s">
        <v>2533</v>
      </c>
    </row>
    <row r="226" spans="1:10" ht="19" x14ac:dyDescent="0.2">
      <c r="A226" s="144"/>
      <c r="B226" s="145"/>
      <c r="C226" s="159"/>
      <c r="D226" s="147"/>
      <c r="E226" s="150"/>
      <c r="F226" s="139"/>
      <c r="G226" s="139"/>
      <c r="H226" s="139"/>
      <c r="I226" s="139"/>
      <c r="J226" s="139"/>
    </row>
    <row r="227" spans="1:10" ht="19" x14ac:dyDescent="0.2">
      <c r="A227" s="143">
        <v>2043000</v>
      </c>
      <c r="B227" s="153"/>
      <c r="C227" s="170" t="s">
        <v>10</v>
      </c>
      <c r="D227" s="155" t="s">
        <v>685</v>
      </c>
      <c r="E227" s="164">
        <v>1614000</v>
      </c>
      <c r="F227" s="119">
        <v>429000</v>
      </c>
      <c r="G227" s="119"/>
      <c r="H227" s="119"/>
      <c r="I227" s="119"/>
      <c r="J227" s="119"/>
    </row>
    <row r="228" spans="1:10" ht="19" x14ac:dyDescent="0.2">
      <c r="A228" s="144"/>
      <c r="B228" s="145"/>
      <c r="C228" s="159"/>
      <c r="D228" s="147"/>
      <c r="E228" s="150"/>
      <c r="F228" s="139"/>
      <c r="G228" s="139"/>
      <c r="H228" s="139"/>
      <c r="I228" s="139"/>
      <c r="J228" s="139"/>
    </row>
    <row r="229" spans="1:10" ht="19" x14ac:dyDescent="0.2">
      <c r="A229" s="143">
        <v>2414000</v>
      </c>
      <c r="B229" s="153">
        <v>45288</v>
      </c>
      <c r="C229" s="170" t="s">
        <v>9</v>
      </c>
      <c r="D229" s="155" t="s">
        <v>2417</v>
      </c>
      <c r="E229" s="164">
        <v>1724000</v>
      </c>
      <c r="F229" s="119">
        <v>690000</v>
      </c>
      <c r="G229" s="119">
        <v>2600000</v>
      </c>
      <c r="H229" s="119" t="s">
        <v>812</v>
      </c>
      <c r="I229" s="119">
        <v>112000</v>
      </c>
      <c r="J229" s="119" t="s">
        <v>1553</v>
      </c>
    </row>
    <row r="230" spans="1:10" ht="19" x14ac:dyDescent="0.2">
      <c r="A230" s="144"/>
      <c r="B230" s="145"/>
      <c r="C230" s="159"/>
      <c r="D230" s="147"/>
      <c r="E230" s="150"/>
      <c r="F230" s="139"/>
      <c r="G230" s="139"/>
      <c r="H230" s="139"/>
      <c r="I230" s="139">
        <v>130000</v>
      </c>
      <c r="J230" s="139" t="s">
        <v>2513</v>
      </c>
    </row>
    <row r="231" spans="1:10" ht="19" x14ac:dyDescent="0.2">
      <c r="A231" s="143"/>
      <c r="B231" s="153"/>
      <c r="C231" s="170"/>
      <c r="D231" s="155"/>
      <c r="E231" s="164"/>
      <c r="F231" s="119"/>
      <c r="G231" s="119"/>
      <c r="H231" s="119"/>
      <c r="I231" s="119">
        <v>150000</v>
      </c>
      <c r="J231" s="119" t="s">
        <v>2514</v>
      </c>
    </row>
    <row r="232" spans="1:10" ht="19" x14ac:dyDescent="0.2">
      <c r="A232" s="144"/>
      <c r="B232" s="145"/>
      <c r="C232" s="159"/>
      <c r="D232" s="147"/>
      <c r="E232" s="150"/>
      <c r="F232" s="139"/>
      <c r="G232" s="139"/>
      <c r="H232" s="139"/>
      <c r="I232" s="139">
        <v>150000</v>
      </c>
      <c r="J232" s="139" t="s">
        <v>2515</v>
      </c>
    </row>
    <row r="233" spans="1:10" ht="19" x14ac:dyDescent="0.2">
      <c r="A233" s="143"/>
      <c r="B233" s="153"/>
      <c r="C233" s="170"/>
      <c r="D233" s="155"/>
      <c r="E233" s="164"/>
      <c r="F233" s="119"/>
      <c r="G233" s="119"/>
      <c r="H233" s="119"/>
      <c r="I233" s="119">
        <v>47000</v>
      </c>
      <c r="J233" s="119" t="s">
        <v>2516</v>
      </c>
    </row>
    <row r="234" spans="1:10" ht="19" x14ac:dyDescent="0.2">
      <c r="A234" s="144"/>
      <c r="B234" s="145"/>
      <c r="C234" s="159"/>
      <c r="D234" s="147"/>
      <c r="E234" s="150"/>
      <c r="F234" s="139"/>
      <c r="G234" s="139"/>
      <c r="H234" s="139"/>
      <c r="I234" s="139">
        <v>77000</v>
      </c>
      <c r="J234" s="139" t="s">
        <v>2517</v>
      </c>
    </row>
    <row r="235" spans="1:10" ht="19" x14ac:dyDescent="0.2">
      <c r="A235" s="143"/>
      <c r="B235" s="153"/>
      <c r="C235" s="170"/>
      <c r="D235" s="155"/>
      <c r="E235" s="164"/>
      <c r="F235" s="119"/>
      <c r="G235" s="119"/>
      <c r="H235" s="119"/>
      <c r="I235" s="119">
        <v>44500</v>
      </c>
      <c r="J235" s="119" t="s">
        <v>1500</v>
      </c>
    </row>
    <row r="236" spans="1:10" ht="19" x14ac:dyDescent="0.2">
      <c r="A236" s="144"/>
      <c r="B236" s="145"/>
      <c r="C236" s="159"/>
      <c r="D236" s="147"/>
      <c r="E236" s="150"/>
      <c r="F236" s="139"/>
      <c r="G236" s="139"/>
      <c r="H236" s="139"/>
      <c r="I236" s="139"/>
      <c r="J236" s="139"/>
    </row>
    <row r="237" spans="1:10" ht="19" x14ac:dyDescent="0.2">
      <c r="A237" s="143">
        <v>2411000</v>
      </c>
      <c r="B237" s="153"/>
      <c r="C237" s="170" t="s">
        <v>10</v>
      </c>
      <c r="D237" s="155" t="s">
        <v>685</v>
      </c>
      <c r="E237" s="164">
        <v>2152000</v>
      </c>
      <c r="F237" s="119">
        <v>259000</v>
      </c>
      <c r="G237" s="119"/>
      <c r="H237" s="119"/>
      <c r="I237" s="119">
        <v>144000</v>
      </c>
      <c r="J237" s="119" t="s">
        <v>1245</v>
      </c>
    </row>
    <row r="238" spans="1:10" ht="19" x14ac:dyDescent="0.2">
      <c r="A238" s="144"/>
      <c r="B238" s="145"/>
      <c r="C238" s="159"/>
      <c r="D238" s="147"/>
      <c r="E238" s="150"/>
      <c r="F238" s="139"/>
      <c r="G238" s="139"/>
      <c r="H238" s="139"/>
      <c r="I238" s="139">
        <v>80000</v>
      </c>
      <c r="J238" s="139" t="s">
        <v>2518</v>
      </c>
    </row>
    <row r="239" spans="1:10" ht="19" x14ac:dyDescent="0.2">
      <c r="A239" s="143"/>
      <c r="B239" s="153"/>
      <c r="C239" s="170"/>
      <c r="D239" s="155"/>
      <c r="E239" s="164"/>
      <c r="F239" s="119"/>
      <c r="G239" s="119"/>
      <c r="H239" s="119"/>
      <c r="I239" s="119">
        <v>120000</v>
      </c>
      <c r="J239" s="119" t="s">
        <v>2519</v>
      </c>
    </row>
    <row r="240" spans="1:10" ht="19" x14ac:dyDescent="0.2">
      <c r="A240" s="144"/>
      <c r="B240" s="145"/>
      <c r="C240" s="159"/>
      <c r="D240" s="147"/>
      <c r="E240" s="150"/>
      <c r="F240" s="139"/>
      <c r="G240" s="139"/>
      <c r="H240" s="139"/>
      <c r="I240" s="139"/>
      <c r="J240" s="139"/>
    </row>
    <row r="241" spans="1:10" ht="19" x14ac:dyDescent="0.2">
      <c r="A241" s="143">
        <v>2547000</v>
      </c>
      <c r="B241" s="153">
        <v>45289</v>
      </c>
      <c r="C241" s="170" t="s">
        <v>9</v>
      </c>
      <c r="D241" s="155" t="s">
        <v>2417</v>
      </c>
      <c r="E241" s="164">
        <v>2035000</v>
      </c>
      <c r="F241" s="119">
        <v>512000</v>
      </c>
      <c r="G241" s="119"/>
      <c r="H241" s="119"/>
      <c r="I241" s="119">
        <v>130000</v>
      </c>
      <c r="J241" s="119" t="s">
        <v>2520</v>
      </c>
    </row>
    <row r="242" spans="1:10" ht="19" x14ac:dyDescent="0.2">
      <c r="A242" s="144"/>
      <c r="B242" s="145"/>
      <c r="C242" s="159"/>
      <c r="D242" s="147"/>
      <c r="E242" s="150"/>
      <c r="F242" s="139"/>
      <c r="G242" s="139"/>
      <c r="H242" s="139"/>
      <c r="I242" s="139"/>
      <c r="J242" s="139"/>
    </row>
    <row r="243" spans="1:10" ht="19" x14ac:dyDescent="0.2">
      <c r="A243" s="143">
        <v>2161000</v>
      </c>
      <c r="B243" s="153"/>
      <c r="C243" s="170" t="s">
        <v>10</v>
      </c>
      <c r="D243" s="155" t="s">
        <v>565</v>
      </c>
      <c r="E243" s="164">
        <v>1561000</v>
      </c>
      <c r="F243" s="119">
        <v>600000</v>
      </c>
      <c r="G243" s="119"/>
      <c r="H243" s="119"/>
      <c r="I243" s="119">
        <v>330000</v>
      </c>
      <c r="J243" s="119" t="s">
        <v>1648</v>
      </c>
    </row>
    <row r="244" spans="1:10" ht="19" x14ac:dyDescent="0.2">
      <c r="A244" s="144"/>
      <c r="B244" s="145"/>
      <c r="C244" s="159"/>
      <c r="D244" s="147"/>
      <c r="E244" s="150"/>
      <c r="F244" s="139"/>
      <c r="G244" s="139"/>
      <c r="H244" s="139"/>
      <c r="I244" s="139">
        <v>120000</v>
      </c>
      <c r="J244" s="139" t="s">
        <v>1710</v>
      </c>
    </row>
    <row r="245" spans="1:10" ht="19" x14ac:dyDescent="0.2">
      <c r="A245" s="143"/>
      <c r="B245" s="153"/>
      <c r="C245" s="170"/>
      <c r="D245" s="155"/>
      <c r="E245" s="164"/>
      <c r="F245" s="119"/>
      <c r="G245" s="119"/>
      <c r="H245" s="119"/>
      <c r="I245" s="119">
        <v>42000</v>
      </c>
      <c r="J245" s="119" t="s">
        <v>2521</v>
      </c>
    </row>
    <row r="246" spans="1:10" ht="19" x14ac:dyDescent="0.2">
      <c r="A246" s="144"/>
      <c r="B246" s="145"/>
      <c r="C246" s="159"/>
      <c r="D246" s="147"/>
      <c r="E246" s="150"/>
      <c r="F246" s="139"/>
      <c r="G246" s="139"/>
      <c r="H246" s="139"/>
      <c r="I246" s="139">
        <v>200000</v>
      </c>
      <c r="J246" s="139" t="s">
        <v>1614</v>
      </c>
    </row>
    <row r="247" spans="1:10" ht="19" x14ac:dyDescent="0.2">
      <c r="A247" s="143"/>
      <c r="B247" s="153"/>
      <c r="C247" s="170"/>
      <c r="D247" s="155"/>
      <c r="E247" s="164"/>
      <c r="F247" s="119"/>
      <c r="G247" s="119"/>
      <c r="H247" s="119"/>
      <c r="I247" s="119">
        <v>40000</v>
      </c>
      <c r="J247" s="119" t="s">
        <v>1493</v>
      </c>
    </row>
    <row r="248" spans="1:10" ht="19" x14ac:dyDescent="0.2">
      <c r="A248" s="144"/>
      <c r="B248" s="145"/>
      <c r="C248" s="159"/>
      <c r="D248" s="147"/>
      <c r="E248" s="150"/>
      <c r="F248" s="139"/>
      <c r="G248" s="139"/>
      <c r="H248" s="139"/>
      <c r="I248" s="139">
        <v>81000</v>
      </c>
      <c r="J248" s="139" t="s">
        <v>1491</v>
      </c>
    </row>
    <row r="249" spans="1:10" ht="19" x14ac:dyDescent="0.2">
      <c r="A249" s="143"/>
      <c r="B249" s="153"/>
      <c r="C249" s="170"/>
      <c r="D249" s="155"/>
      <c r="E249" s="164"/>
      <c r="F249" s="119"/>
      <c r="G249" s="119"/>
      <c r="H249" s="119"/>
      <c r="I249" s="119">
        <v>23500</v>
      </c>
      <c r="J249" s="119" t="s">
        <v>2522</v>
      </c>
    </row>
    <row r="250" spans="1:10" ht="19" x14ac:dyDescent="0.2">
      <c r="A250" s="144"/>
      <c r="B250" s="145"/>
      <c r="C250" s="159"/>
      <c r="D250" s="147"/>
      <c r="E250" s="150"/>
      <c r="F250" s="139"/>
      <c r="G250" s="139"/>
      <c r="H250" s="139"/>
      <c r="I250" s="139">
        <v>89000</v>
      </c>
      <c r="J250" s="139" t="s">
        <v>2523</v>
      </c>
    </row>
    <row r="251" spans="1:10" ht="19" x14ac:dyDescent="0.2">
      <c r="A251" s="143"/>
      <c r="B251" s="153"/>
      <c r="C251" s="170"/>
      <c r="D251" s="155"/>
      <c r="E251" s="164"/>
      <c r="F251" s="119"/>
      <c r="G251" s="119"/>
      <c r="H251" s="119"/>
      <c r="I251" s="119">
        <v>53500</v>
      </c>
      <c r="J251" s="119" t="s">
        <v>1577</v>
      </c>
    </row>
    <row r="252" spans="1:10" ht="19" x14ac:dyDescent="0.2">
      <c r="A252" s="144"/>
      <c r="B252" s="145"/>
      <c r="C252" s="159"/>
      <c r="D252" s="147"/>
      <c r="E252" s="150"/>
      <c r="F252" s="139"/>
      <c r="G252" s="139"/>
      <c r="H252" s="139"/>
      <c r="I252" s="139"/>
      <c r="J252" s="139"/>
    </row>
    <row r="253" spans="1:10" ht="19" x14ac:dyDescent="0.2">
      <c r="A253" s="143">
        <v>2264000</v>
      </c>
      <c r="B253" s="153">
        <v>45290</v>
      </c>
      <c r="C253" s="170" t="s">
        <v>9</v>
      </c>
      <c r="D253" s="155" t="s">
        <v>2417</v>
      </c>
      <c r="E253" s="164">
        <v>1564000</v>
      </c>
      <c r="F253" s="119">
        <v>700000</v>
      </c>
      <c r="G253" s="119"/>
      <c r="H253" s="119"/>
      <c r="I253" s="119">
        <v>50000</v>
      </c>
      <c r="J253" s="119" t="s">
        <v>123</v>
      </c>
    </row>
    <row r="254" spans="1:10" ht="19" x14ac:dyDescent="0.2">
      <c r="A254" s="144"/>
      <c r="B254" s="145"/>
      <c r="C254" s="159"/>
      <c r="D254" s="147"/>
      <c r="E254" s="150"/>
      <c r="F254" s="139"/>
      <c r="G254" s="139"/>
      <c r="H254" s="139"/>
      <c r="I254" s="139"/>
      <c r="J254" s="139"/>
    </row>
    <row r="255" spans="1:10" ht="19" x14ac:dyDescent="0.2">
      <c r="A255" s="143">
        <v>2498000</v>
      </c>
      <c r="B255" s="153"/>
      <c r="C255" s="170" t="s">
        <v>10</v>
      </c>
      <c r="D255" s="155" t="s">
        <v>685</v>
      </c>
      <c r="E255" s="164">
        <v>2157000</v>
      </c>
      <c r="F255" s="119">
        <v>341000</v>
      </c>
      <c r="G255" s="119"/>
      <c r="H255" s="119"/>
      <c r="I255" s="119"/>
      <c r="J255" s="119"/>
    </row>
    <row r="256" spans="1:10" ht="19" x14ac:dyDescent="0.2">
      <c r="A256" s="144"/>
      <c r="B256" s="145"/>
      <c r="C256" s="159"/>
      <c r="D256" s="147"/>
      <c r="E256" s="150"/>
      <c r="F256" s="139"/>
      <c r="G256" s="139"/>
      <c r="H256" s="139"/>
      <c r="I256" s="139"/>
      <c r="J256" s="139"/>
    </row>
    <row r="257" spans="1:10" ht="19" x14ac:dyDescent="0.2">
      <c r="A257" s="143">
        <v>1246000</v>
      </c>
      <c r="B257" s="153">
        <v>45291</v>
      </c>
      <c r="C257" s="170" t="s">
        <v>9</v>
      </c>
      <c r="D257" s="155" t="s">
        <v>2417</v>
      </c>
      <c r="E257" s="164">
        <v>1009000</v>
      </c>
      <c r="F257" s="119">
        <v>237000</v>
      </c>
      <c r="G257" s="119">
        <v>2031000</v>
      </c>
      <c r="H257" s="119" t="s">
        <v>2524</v>
      </c>
      <c r="I257" s="119"/>
      <c r="J257" s="119"/>
    </row>
    <row r="258" spans="1:10" ht="19" x14ac:dyDescent="0.2">
      <c r="A258" s="144"/>
      <c r="B258" s="145"/>
      <c r="C258" s="159"/>
      <c r="D258" s="147"/>
      <c r="E258" s="150"/>
      <c r="F258" s="139"/>
      <c r="G258" s="139">
        <v>1985000</v>
      </c>
      <c r="H258" s="139" t="s">
        <v>1652</v>
      </c>
      <c r="I258" s="139"/>
      <c r="J258" s="139"/>
    </row>
    <row r="259" spans="1:10" ht="48" x14ac:dyDescent="0.2">
      <c r="A259" s="143"/>
      <c r="B259" s="153"/>
      <c r="C259" s="170"/>
      <c r="D259" s="155"/>
      <c r="E259" s="164"/>
      <c r="F259" s="119"/>
      <c r="G259" s="119">
        <v>1875000</v>
      </c>
      <c r="H259" s="176" t="s">
        <v>2525</v>
      </c>
      <c r="I259" s="119"/>
      <c r="J259" s="119"/>
    </row>
    <row r="260" spans="1:10" ht="19" x14ac:dyDescent="0.2">
      <c r="A260" s="144"/>
      <c r="B260" s="145"/>
      <c r="C260" s="159"/>
      <c r="D260" s="147"/>
      <c r="E260" s="150"/>
      <c r="F260" s="139"/>
      <c r="G260" s="139">
        <v>3600000</v>
      </c>
      <c r="H260" s="139" t="s">
        <v>2526</v>
      </c>
      <c r="I260" s="139"/>
      <c r="J260" s="139"/>
    </row>
    <row r="261" spans="1:10" ht="19" x14ac:dyDescent="0.2">
      <c r="A261" s="143"/>
      <c r="B261" s="153"/>
      <c r="C261" s="170"/>
      <c r="D261" s="155"/>
      <c r="E261" s="164"/>
      <c r="F261" s="119"/>
      <c r="G261" s="119">
        <v>1700000</v>
      </c>
      <c r="H261" s="119" t="s">
        <v>2531</v>
      </c>
      <c r="I261" s="119"/>
      <c r="J261" s="119"/>
    </row>
    <row r="262" spans="1:10" ht="19" x14ac:dyDescent="0.2">
      <c r="A262" s="144"/>
      <c r="B262" s="145"/>
      <c r="C262" s="159"/>
      <c r="D262" s="147"/>
      <c r="E262" s="150"/>
      <c r="F262" s="139"/>
      <c r="G262" s="139"/>
      <c r="H262" s="139"/>
      <c r="I262" s="139"/>
      <c r="J262" s="139"/>
    </row>
  </sheetData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J198"/>
  <sheetViews>
    <sheetView workbookViewId="0">
      <selection activeCell="I9" sqref="I9:J196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0" bestFit="1" customWidth="1"/>
    <col min="5" max="5" width="20.33203125" bestFit="1" customWidth="1"/>
    <col min="6" max="6" width="25.5" customWidth="1"/>
    <col min="7" max="7" width="20.33203125" bestFit="1" customWidth="1"/>
    <col min="8" max="8" width="38.1640625" customWidth="1"/>
    <col min="9" max="9" width="20.33203125" bestFit="1" customWidth="1"/>
    <col min="10" max="10" width="32" bestFit="1" customWidth="1"/>
  </cols>
  <sheetData>
    <row r="3" spans="1:10" ht="21" x14ac:dyDescent="0.2">
      <c r="G3" s="73"/>
      <c r="H3" s="71" t="s">
        <v>174</v>
      </c>
      <c r="I3" s="71">
        <f>K10/A10</f>
        <v>0</v>
      </c>
    </row>
    <row r="4" spans="1:10" ht="21" x14ac:dyDescent="0.2">
      <c r="F4" s="212" t="s">
        <v>2615</v>
      </c>
      <c r="G4" s="213"/>
      <c r="H4" s="71" t="s">
        <v>2314</v>
      </c>
      <c r="I4" s="71">
        <v>26424000</v>
      </c>
      <c r="J4" s="72">
        <f>I4/10820</f>
        <v>2442.1441774491682</v>
      </c>
    </row>
    <row r="5" spans="1:10" ht="24" x14ac:dyDescent="0.3">
      <c r="B5" s="99" t="s">
        <v>2614</v>
      </c>
      <c r="G5" s="73"/>
      <c r="H5" s="71" t="s">
        <v>2315</v>
      </c>
      <c r="I5" s="71">
        <v>26424000</v>
      </c>
      <c r="J5" s="72">
        <f>I5/10820</f>
        <v>2442.1441774491682</v>
      </c>
    </row>
    <row r="6" spans="1:10" ht="24" x14ac:dyDescent="0.3">
      <c r="B6" s="99"/>
      <c r="G6" s="73"/>
      <c r="H6" s="71" t="s">
        <v>178</v>
      </c>
      <c r="I6" s="71">
        <v>16930050</v>
      </c>
      <c r="J6" s="72" t="s">
        <v>2617</v>
      </c>
    </row>
    <row r="7" spans="1:10" ht="26" x14ac:dyDescent="0.3">
      <c r="B7" s="100" t="s">
        <v>2616</v>
      </c>
    </row>
    <row r="9" spans="1:10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0" ht="21" x14ac:dyDescent="0.2">
      <c r="A10" s="69">
        <f>SUM(A11:A294)</f>
        <v>128363000</v>
      </c>
      <c r="B10" s="65"/>
      <c r="C10" s="66" t="s">
        <v>13</v>
      </c>
      <c r="D10" s="67"/>
      <c r="E10" s="68">
        <f>SUM(E11:E294)</f>
        <v>96468000</v>
      </c>
      <c r="F10" s="69">
        <f>SUM(F11:F294)</f>
        <v>31895000</v>
      </c>
      <c r="G10" s="69">
        <f>SUM(G11:G294)</f>
        <v>29150000</v>
      </c>
      <c r="H10" s="69"/>
      <c r="I10" s="69">
        <f>SUM(I11:I294)</f>
        <v>22817000</v>
      </c>
      <c r="J10" s="69"/>
    </row>
    <row r="11" spans="1:10" ht="19" x14ac:dyDescent="0.2">
      <c r="A11" s="276">
        <v>1781000</v>
      </c>
      <c r="B11" s="145">
        <v>45292</v>
      </c>
      <c r="C11" s="146" t="s">
        <v>9</v>
      </c>
      <c r="D11" s="147" t="s">
        <v>2417</v>
      </c>
      <c r="E11" s="139">
        <v>1531000</v>
      </c>
      <c r="F11" s="139">
        <v>250000</v>
      </c>
      <c r="G11" s="139">
        <v>446000</v>
      </c>
      <c r="H11" s="139" t="s">
        <v>2618</v>
      </c>
      <c r="I11" s="139"/>
      <c r="J11" s="139"/>
    </row>
    <row r="12" spans="1:10" ht="19" x14ac:dyDescent="0.2">
      <c r="A12" s="142"/>
      <c r="B12" s="32"/>
      <c r="C12" s="49" t="s">
        <v>10</v>
      </c>
      <c r="D12" s="13"/>
      <c r="E12" s="15"/>
      <c r="F12" s="9"/>
      <c r="G12" s="9"/>
      <c r="H12" s="9" t="s">
        <v>737</v>
      </c>
      <c r="I12" s="9"/>
      <c r="J12" s="9"/>
    </row>
    <row r="13" spans="1:10" ht="19" x14ac:dyDescent="0.2">
      <c r="A13" s="148">
        <v>1915000</v>
      </c>
      <c r="B13" s="145">
        <v>45293</v>
      </c>
      <c r="C13" s="149" t="s">
        <v>9</v>
      </c>
      <c r="D13" s="147" t="s">
        <v>2417</v>
      </c>
      <c r="E13" s="150">
        <v>1727000</v>
      </c>
      <c r="F13" s="139">
        <v>188000</v>
      </c>
      <c r="G13" s="139"/>
      <c r="H13" s="139"/>
      <c r="I13" s="139"/>
      <c r="J13" s="139"/>
    </row>
    <row r="14" spans="1:10" ht="19" x14ac:dyDescent="0.2">
      <c r="A14" s="142"/>
      <c r="B14" s="32"/>
      <c r="C14" s="49"/>
      <c r="D14" s="13"/>
      <c r="E14" s="15"/>
      <c r="F14" s="9"/>
      <c r="G14" s="9"/>
      <c r="H14" s="9"/>
      <c r="I14" s="9"/>
      <c r="J14" s="9"/>
    </row>
    <row r="15" spans="1:10" ht="19" x14ac:dyDescent="0.2">
      <c r="A15" s="148">
        <v>2204000</v>
      </c>
      <c r="B15" s="145"/>
      <c r="C15" s="149" t="s">
        <v>10</v>
      </c>
      <c r="D15" s="147" t="s">
        <v>685</v>
      </c>
      <c r="E15" s="150">
        <v>1693000</v>
      </c>
      <c r="F15" s="139">
        <v>511000</v>
      </c>
      <c r="G15" s="139"/>
      <c r="H15" s="139"/>
      <c r="I15" s="139">
        <v>330000</v>
      </c>
      <c r="J15" s="139" t="s">
        <v>1648</v>
      </c>
    </row>
    <row r="16" spans="1:10" ht="19" x14ac:dyDescent="0.2">
      <c r="A16" s="143"/>
      <c r="B16" s="153"/>
      <c r="C16" s="163"/>
      <c r="D16" s="155"/>
      <c r="E16" s="164"/>
      <c r="F16" s="119"/>
      <c r="G16" s="119"/>
      <c r="H16" s="119"/>
      <c r="I16" s="119"/>
      <c r="J16" s="119"/>
    </row>
    <row r="17" spans="1:10" ht="19" x14ac:dyDescent="0.2">
      <c r="A17" s="144">
        <v>2092000</v>
      </c>
      <c r="B17" s="145">
        <v>45294</v>
      </c>
      <c r="C17" s="151" t="s">
        <v>9</v>
      </c>
      <c r="D17" s="147" t="s">
        <v>2417</v>
      </c>
      <c r="E17" s="150">
        <v>1544000</v>
      </c>
      <c r="F17" s="139">
        <v>548000</v>
      </c>
      <c r="G17" s="139"/>
      <c r="H17" s="139"/>
      <c r="I17" s="139">
        <v>46000</v>
      </c>
      <c r="J17" s="139" t="s">
        <v>2535</v>
      </c>
    </row>
    <row r="18" spans="1:10" ht="19" x14ac:dyDescent="0.2">
      <c r="A18" s="143"/>
      <c r="B18" s="153"/>
      <c r="C18" s="163"/>
      <c r="D18" s="155"/>
      <c r="E18" s="164"/>
      <c r="F18" s="119"/>
      <c r="G18" s="119"/>
      <c r="H18" s="119"/>
      <c r="I18" s="119">
        <v>28000</v>
      </c>
      <c r="J18" s="119" t="s">
        <v>1625</v>
      </c>
    </row>
    <row r="19" spans="1:10" ht="19" x14ac:dyDescent="0.2">
      <c r="A19" s="144"/>
      <c r="B19" s="145"/>
      <c r="C19" s="151"/>
      <c r="D19" s="147"/>
      <c r="E19" s="150"/>
      <c r="F19" s="139"/>
      <c r="G19" s="139"/>
      <c r="H19" s="139"/>
      <c r="I19" s="139">
        <v>200000</v>
      </c>
      <c r="J19" s="139" t="s">
        <v>2536</v>
      </c>
    </row>
    <row r="20" spans="1:10" ht="19" x14ac:dyDescent="0.2">
      <c r="A20" s="143"/>
      <c r="B20" s="153"/>
      <c r="C20" s="163"/>
      <c r="D20" s="155"/>
      <c r="E20" s="164"/>
      <c r="F20" s="119"/>
      <c r="G20" s="119"/>
      <c r="H20" s="119"/>
      <c r="I20" s="119"/>
      <c r="J20" s="119"/>
    </row>
    <row r="21" spans="1:10" ht="19" x14ac:dyDescent="0.2">
      <c r="A21" s="144">
        <v>2550000</v>
      </c>
      <c r="B21" s="145"/>
      <c r="C21" s="151" t="s">
        <v>10</v>
      </c>
      <c r="D21" s="147" t="s">
        <v>685</v>
      </c>
      <c r="E21" s="150">
        <v>1898000</v>
      </c>
      <c r="F21" s="139">
        <v>652000</v>
      </c>
      <c r="G21" s="139"/>
      <c r="H21" s="139"/>
      <c r="I21" s="139">
        <v>144000</v>
      </c>
      <c r="J21" s="139" t="s">
        <v>1245</v>
      </c>
    </row>
    <row r="22" spans="1:10" ht="19" x14ac:dyDescent="0.2">
      <c r="A22" s="143"/>
      <c r="B22" s="153"/>
      <c r="C22" s="163"/>
      <c r="D22" s="155"/>
      <c r="E22" s="164"/>
      <c r="F22" s="119"/>
      <c r="G22" s="119"/>
      <c r="H22" s="119"/>
      <c r="I22" s="119">
        <v>80000</v>
      </c>
      <c r="J22" s="119" t="s">
        <v>2537</v>
      </c>
    </row>
    <row r="23" spans="1:10" ht="19" x14ac:dyDescent="0.2">
      <c r="A23" s="144"/>
      <c r="B23" s="145"/>
      <c r="C23" s="149"/>
      <c r="D23" s="147"/>
      <c r="E23" s="150"/>
      <c r="F23" s="139"/>
      <c r="G23" s="139"/>
      <c r="H23" s="139"/>
      <c r="I23" s="139">
        <v>125000</v>
      </c>
      <c r="J23" s="139" t="s">
        <v>2538</v>
      </c>
    </row>
    <row r="24" spans="1:10" ht="19" x14ac:dyDescent="0.2">
      <c r="A24" s="143"/>
      <c r="B24" s="32"/>
      <c r="C24" s="49"/>
      <c r="D24" s="13"/>
      <c r="E24" s="15"/>
      <c r="F24" s="9"/>
      <c r="G24" s="9"/>
      <c r="H24" s="9"/>
      <c r="I24" s="9"/>
      <c r="J24" s="9"/>
    </row>
    <row r="25" spans="1:10" ht="19" x14ac:dyDescent="0.2">
      <c r="A25" s="144">
        <v>2650000</v>
      </c>
      <c r="B25" s="145">
        <v>45295</v>
      </c>
      <c r="C25" s="149" t="s">
        <v>9</v>
      </c>
      <c r="D25" s="147" t="s">
        <v>2417</v>
      </c>
      <c r="E25" s="150">
        <v>1881000</v>
      </c>
      <c r="F25" s="139">
        <v>769000</v>
      </c>
      <c r="G25" s="139"/>
      <c r="H25" s="139"/>
      <c r="I25" s="139">
        <v>650000</v>
      </c>
      <c r="J25" s="139" t="s">
        <v>2539</v>
      </c>
    </row>
    <row r="26" spans="1:10" ht="19" x14ac:dyDescent="0.2">
      <c r="A26" s="142"/>
      <c r="B26" s="32"/>
      <c r="C26" s="49"/>
      <c r="D26" s="13"/>
      <c r="E26" s="15"/>
      <c r="F26" s="9"/>
      <c r="G26" s="9"/>
      <c r="H26" s="9"/>
      <c r="I26" s="9">
        <v>150000</v>
      </c>
      <c r="J26" s="9" t="s">
        <v>2540</v>
      </c>
    </row>
    <row r="27" spans="1:10" ht="19" x14ac:dyDescent="0.2">
      <c r="A27" s="148"/>
      <c r="B27" s="145"/>
      <c r="C27" s="149"/>
      <c r="D27" s="147"/>
      <c r="E27" s="150"/>
      <c r="F27" s="139"/>
      <c r="G27" s="139"/>
      <c r="H27" s="139"/>
      <c r="I27" s="139">
        <v>110000</v>
      </c>
      <c r="J27" s="139" t="s">
        <v>2541</v>
      </c>
    </row>
    <row r="28" spans="1:10" ht="19" x14ac:dyDescent="0.2">
      <c r="A28" s="142"/>
      <c r="B28" s="153"/>
      <c r="C28" s="171"/>
      <c r="D28" s="155"/>
      <c r="E28" s="164"/>
      <c r="F28" s="119"/>
      <c r="G28" s="119"/>
      <c r="H28" s="119"/>
      <c r="I28" s="119">
        <v>77000</v>
      </c>
      <c r="J28" s="119" t="s">
        <v>2612</v>
      </c>
    </row>
    <row r="29" spans="1:10" ht="19" x14ac:dyDescent="0.2">
      <c r="A29" s="148"/>
      <c r="B29" s="145"/>
      <c r="C29" s="149"/>
      <c r="D29" s="147"/>
      <c r="E29" s="150"/>
      <c r="F29" s="139"/>
      <c r="G29" s="139"/>
      <c r="H29" s="139"/>
      <c r="I29" s="139">
        <v>18000</v>
      </c>
      <c r="J29" s="139" t="s">
        <v>1516</v>
      </c>
    </row>
    <row r="30" spans="1:10" ht="19" x14ac:dyDescent="0.2">
      <c r="A30" s="142"/>
      <c r="B30" s="153"/>
      <c r="C30" s="171"/>
      <c r="D30" s="155"/>
      <c r="E30" s="164"/>
      <c r="F30" s="119"/>
      <c r="G30" s="119"/>
      <c r="H30" s="119"/>
      <c r="I30" s="119">
        <v>81500</v>
      </c>
      <c r="J30" s="119" t="s">
        <v>2494</v>
      </c>
    </row>
    <row r="31" spans="1:10" ht="19" x14ac:dyDescent="0.2">
      <c r="A31" s="144"/>
      <c r="B31" s="145"/>
      <c r="C31" s="149"/>
      <c r="D31" s="147"/>
      <c r="E31" s="150"/>
      <c r="F31" s="139"/>
      <c r="G31" s="139"/>
      <c r="H31" s="139"/>
      <c r="I31" s="139">
        <v>59500</v>
      </c>
      <c r="J31" s="139" t="s">
        <v>2542</v>
      </c>
    </row>
    <row r="32" spans="1:10" ht="19" x14ac:dyDescent="0.2">
      <c r="A32" s="143"/>
      <c r="B32" s="32"/>
      <c r="C32" s="49"/>
      <c r="D32" s="13"/>
      <c r="E32" s="15"/>
      <c r="F32" s="9"/>
      <c r="G32" s="9"/>
      <c r="H32" s="9"/>
      <c r="I32" s="9">
        <v>70500</v>
      </c>
      <c r="J32" s="9" t="s">
        <v>2543</v>
      </c>
    </row>
    <row r="33" spans="1:10" ht="19" x14ac:dyDescent="0.2">
      <c r="A33" s="144"/>
      <c r="B33" s="145"/>
      <c r="C33" s="149"/>
      <c r="D33" s="147"/>
      <c r="E33" s="150"/>
      <c r="F33" s="139"/>
      <c r="G33" s="139"/>
      <c r="H33" s="139"/>
      <c r="I33" s="139">
        <v>29000</v>
      </c>
      <c r="J33" s="139" t="s">
        <v>2544</v>
      </c>
    </row>
    <row r="34" spans="1:10" ht="19" x14ac:dyDescent="0.2">
      <c r="A34" s="143"/>
      <c r="B34" s="32"/>
      <c r="C34" s="49"/>
      <c r="D34" s="13"/>
      <c r="E34" s="15"/>
      <c r="F34" s="9"/>
      <c r="G34" s="9"/>
      <c r="H34" s="9"/>
      <c r="I34" s="9">
        <v>12500</v>
      </c>
      <c r="J34" s="9" t="s">
        <v>2545</v>
      </c>
    </row>
    <row r="35" spans="1:10" ht="19" x14ac:dyDescent="0.2">
      <c r="A35" s="144"/>
      <c r="B35" s="145"/>
      <c r="C35" s="149"/>
      <c r="D35" s="147"/>
      <c r="E35" s="150"/>
      <c r="F35" s="139"/>
      <c r="G35" s="139"/>
      <c r="H35" s="139"/>
      <c r="I35" s="139">
        <v>108000</v>
      </c>
      <c r="J35" s="139" t="s">
        <v>2546</v>
      </c>
    </row>
    <row r="36" spans="1:10" ht="19" x14ac:dyDescent="0.2">
      <c r="A36" s="143"/>
      <c r="B36" s="32"/>
      <c r="C36" s="49"/>
      <c r="D36" s="13"/>
      <c r="E36" s="15"/>
      <c r="F36" s="9"/>
      <c r="G36" s="9"/>
      <c r="H36" s="9"/>
      <c r="I36" s="9">
        <v>8000</v>
      </c>
      <c r="J36" s="9" t="s">
        <v>2547</v>
      </c>
    </row>
    <row r="37" spans="1:10" ht="19" x14ac:dyDescent="0.2">
      <c r="A37" s="144"/>
      <c r="B37" s="145"/>
      <c r="C37" s="149"/>
      <c r="D37" s="147"/>
      <c r="E37" s="150"/>
      <c r="F37" s="139"/>
      <c r="G37" s="139"/>
      <c r="H37" s="139"/>
      <c r="I37" s="139"/>
      <c r="J37" s="139"/>
    </row>
    <row r="38" spans="1:10" ht="19" x14ac:dyDescent="0.2">
      <c r="A38" s="143">
        <v>1486000</v>
      </c>
      <c r="B38" s="32"/>
      <c r="C38" s="49" t="s">
        <v>10</v>
      </c>
      <c r="D38" s="13" t="s">
        <v>685</v>
      </c>
      <c r="E38" s="15">
        <v>1095000</v>
      </c>
      <c r="F38" s="9">
        <v>391000</v>
      </c>
      <c r="G38" s="9"/>
      <c r="H38" s="277"/>
      <c r="I38" s="9">
        <v>330000</v>
      </c>
      <c r="J38" s="9" t="s">
        <v>2548</v>
      </c>
    </row>
    <row r="39" spans="1:10" ht="19" x14ac:dyDescent="0.2">
      <c r="A39" s="144"/>
      <c r="B39" s="145"/>
      <c r="C39" s="149"/>
      <c r="D39" s="147"/>
      <c r="E39" s="150"/>
      <c r="F39" s="139"/>
      <c r="G39" s="139"/>
      <c r="H39" s="278"/>
      <c r="I39" s="139">
        <v>200000</v>
      </c>
      <c r="J39" s="139" t="s">
        <v>1614</v>
      </c>
    </row>
    <row r="40" spans="1:10" ht="19" x14ac:dyDescent="0.2">
      <c r="A40" s="143">
        <v>2115000</v>
      </c>
      <c r="B40" s="32">
        <v>45296</v>
      </c>
      <c r="C40" s="49" t="s">
        <v>9</v>
      </c>
      <c r="D40" s="13" t="s">
        <v>565</v>
      </c>
      <c r="E40" s="15">
        <v>1525000</v>
      </c>
      <c r="F40" s="9">
        <v>590000</v>
      </c>
      <c r="G40" s="9">
        <v>2600000</v>
      </c>
      <c r="H40" s="9" t="s">
        <v>812</v>
      </c>
      <c r="I40" s="9">
        <v>130000</v>
      </c>
      <c r="J40" s="9" t="s">
        <v>2549</v>
      </c>
    </row>
    <row r="41" spans="1:10" ht="19" x14ac:dyDescent="0.2">
      <c r="A41" s="144"/>
      <c r="B41" s="145"/>
      <c r="C41" s="149"/>
      <c r="D41" s="147"/>
      <c r="E41" s="150"/>
      <c r="F41" s="139"/>
      <c r="G41" s="139">
        <v>1750000</v>
      </c>
      <c r="H41" s="139" t="s">
        <v>2613</v>
      </c>
      <c r="I41" s="139"/>
      <c r="J41" s="139"/>
    </row>
    <row r="42" spans="1:10" ht="19" x14ac:dyDescent="0.2">
      <c r="A42" s="143">
        <v>1656000</v>
      </c>
      <c r="B42" s="153"/>
      <c r="C42" s="171" t="s">
        <v>10</v>
      </c>
      <c r="D42" s="155" t="s">
        <v>685</v>
      </c>
      <c r="E42" s="164">
        <v>1229000</v>
      </c>
      <c r="F42" s="119">
        <v>427000</v>
      </c>
      <c r="G42" s="119"/>
      <c r="H42" s="119"/>
      <c r="I42" s="119">
        <v>3166000</v>
      </c>
      <c r="J42" s="119" t="s">
        <v>2162</v>
      </c>
    </row>
    <row r="43" spans="1:10" ht="19" x14ac:dyDescent="0.2">
      <c r="A43" s="144">
        <v>2868000</v>
      </c>
      <c r="B43" s="145">
        <v>45297</v>
      </c>
      <c r="C43" s="149" t="s">
        <v>9</v>
      </c>
      <c r="D43" s="147" t="s">
        <v>2417</v>
      </c>
      <c r="E43" s="150">
        <v>1788000</v>
      </c>
      <c r="F43" s="139">
        <v>1080000</v>
      </c>
      <c r="G43" s="139">
        <v>38000</v>
      </c>
      <c r="H43" s="139" t="s">
        <v>2550</v>
      </c>
      <c r="I43" s="139">
        <v>108000</v>
      </c>
      <c r="J43" s="139" t="s">
        <v>1303</v>
      </c>
    </row>
    <row r="44" spans="1:10" ht="19" x14ac:dyDescent="0.2">
      <c r="A44" s="143"/>
      <c r="B44" s="153"/>
      <c r="C44" s="171"/>
      <c r="D44" s="155"/>
      <c r="E44" s="164"/>
      <c r="F44" s="119"/>
      <c r="G44" s="119"/>
      <c r="H44" s="119"/>
      <c r="I44" s="119">
        <v>45000</v>
      </c>
      <c r="J44" s="119" t="s">
        <v>1493</v>
      </c>
    </row>
    <row r="45" spans="1:10" ht="19" x14ac:dyDescent="0.2">
      <c r="A45" s="144"/>
      <c r="B45" s="145"/>
      <c r="C45" s="149"/>
      <c r="D45" s="147"/>
      <c r="E45" s="150"/>
      <c r="F45" s="139"/>
      <c r="G45" s="139"/>
      <c r="H45" s="139"/>
      <c r="I45" s="139">
        <v>72000</v>
      </c>
      <c r="J45" s="139" t="s">
        <v>2551</v>
      </c>
    </row>
    <row r="46" spans="1:10" ht="19" x14ac:dyDescent="0.2">
      <c r="A46" s="143"/>
      <c r="B46" s="153"/>
      <c r="C46" s="171"/>
      <c r="D46" s="155"/>
      <c r="E46" s="164"/>
      <c r="F46" s="119"/>
      <c r="G46" s="119"/>
      <c r="H46" s="119"/>
      <c r="I46" s="119">
        <v>68000</v>
      </c>
      <c r="J46" s="119" t="s">
        <v>2552</v>
      </c>
    </row>
    <row r="47" spans="1:10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200000</v>
      </c>
      <c r="J47" s="139" t="s">
        <v>1614</v>
      </c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35000</v>
      </c>
      <c r="J48" s="119" t="s">
        <v>1467</v>
      </c>
    </row>
    <row r="49" spans="1:10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120000</v>
      </c>
      <c r="J49" s="139" t="s">
        <v>1710</v>
      </c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35000</v>
      </c>
      <c r="J50" s="119" t="s">
        <v>1818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43500</v>
      </c>
      <c r="J51" s="139" t="s">
        <v>2553</v>
      </c>
    </row>
    <row r="52" spans="1:10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90000</v>
      </c>
      <c r="J52" s="119" t="s">
        <v>2554</v>
      </c>
    </row>
    <row r="53" spans="1:10" ht="19" x14ac:dyDescent="0.2">
      <c r="A53" s="144"/>
      <c r="B53" s="145"/>
      <c r="C53" s="149"/>
      <c r="D53" s="147"/>
      <c r="E53" s="150"/>
      <c r="F53" s="139"/>
      <c r="G53" s="139"/>
      <c r="H53" s="139"/>
      <c r="I53" s="139">
        <v>495000</v>
      </c>
      <c r="J53" s="139" t="s">
        <v>2555</v>
      </c>
    </row>
    <row r="54" spans="1:10" ht="19" x14ac:dyDescent="0.2">
      <c r="A54" s="143"/>
      <c r="B54" s="153"/>
      <c r="C54" s="171" t="s">
        <v>10</v>
      </c>
      <c r="D54" s="155"/>
      <c r="E54" s="164"/>
      <c r="F54" s="119"/>
      <c r="G54" s="119"/>
      <c r="H54" s="119" t="s">
        <v>737</v>
      </c>
      <c r="I54" s="119"/>
      <c r="J54" s="119"/>
    </row>
    <row r="55" spans="1:10" ht="19" x14ac:dyDescent="0.2">
      <c r="A55" s="144"/>
      <c r="B55" s="145"/>
      <c r="C55" s="149"/>
      <c r="D55" s="147"/>
      <c r="E55" s="150"/>
      <c r="F55" s="139"/>
      <c r="G55" s="278"/>
      <c r="H55" s="139"/>
      <c r="I55" s="139"/>
      <c r="J55" s="139"/>
    </row>
    <row r="56" spans="1:10" ht="19" x14ac:dyDescent="0.2">
      <c r="A56" s="143">
        <v>2253000</v>
      </c>
      <c r="B56" s="153">
        <v>45298</v>
      </c>
      <c r="C56" s="171" t="s">
        <v>9</v>
      </c>
      <c r="D56" s="155" t="s">
        <v>2417</v>
      </c>
      <c r="E56" s="164">
        <v>1802000</v>
      </c>
      <c r="F56" s="119">
        <v>451000</v>
      </c>
      <c r="G56" s="279"/>
      <c r="H56" s="119"/>
      <c r="I56" s="119"/>
      <c r="J56" s="119"/>
    </row>
    <row r="57" spans="1:10" ht="19" x14ac:dyDescent="0.2">
      <c r="A57" s="144">
        <v>1664000</v>
      </c>
      <c r="B57" s="145"/>
      <c r="C57" s="149" t="s">
        <v>10</v>
      </c>
      <c r="D57" s="147" t="s">
        <v>685</v>
      </c>
      <c r="E57" s="150">
        <v>1365000</v>
      </c>
      <c r="F57" s="139">
        <v>299000</v>
      </c>
      <c r="G57" s="278"/>
      <c r="H57" s="139"/>
      <c r="I57" s="139">
        <v>210000</v>
      </c>
      <c r="J57" s="139" t="s">
        <v>2203</v>
      </c>
    </row>
    <row r="58" spans="1:10" ht="19" x14ac:dyDescent="0.2">
      <c r="A58" s="143"/>
      <c r="B58" s="153"/>
      <c r="C58" s="171"/>
      <c r="D58" s="155"/>
      <c r="E58" s="164"/>
      <c r="F58" s="119"/>
      <c r="G58" s="119"/>
      <c r="H58" s="119"/>
      <c r="I58" s="119"/>
      <c r="J58" s="119"/>
    </row>
    <row r="59" spans="1:10" ht="19" x14ac:dyDescent="0.2">
      <c r="A59" s="144">
        <v>2884000</v>
      </c>
      <c r="B59" s="145">
        <v>45299</v>
      </c>
      <c r="C59" s="149" t="s">
        <v>9</v>
      </c>
      <c r="D59" s="147" t="s">
        <v>565</v>
      </c>
      <c r="E59" s="150">
        <v>1924000</v>
      </c>
      <c r="F59" s="139">
        <v>960000</v>
      </c>
      <c r="G59" s="139"/>
      <c r="H59" s="139"/>
      <c r="I59" s="139">
        <v>144000</v>
      </c>
      <c r="J59" s="139" t="s">
        <v>1245</v>
      </c>
    </row>
    <row r="60" spans="1:10" ht="19" x14ac:dyDescent="0.2">
      <c r="A60" s="143"/>
      <c r="B60" s="153"/>
      <c r="C60" s="171"/>
      <c r="D60" s="155"/>
      <c r="E60" s="164"/>
      <c r="F60" s="119"/>
      <c r="G60" s="119"/>
      <c r="H60" s="119"/>
      <c r="I60" s="119">
        <v>80000</v>
      </c>
      <c r="J60" s="119" t="s">
        <v>1285</v>
      </c>
    </row>
    <row r="61" spans="1:10" ht="19" x14ac:dyDescent="0.2">
      <c r="A61" s="144"/>
      <c r="B61" s="145"/>
      <c r="C61" s="149"/>
      <c r="D61" s="147"/>
      <c r="E61" s="150"/>
      <c r="F61" s="139"/>
      <c r="G61" s="139"/>
      <c r="H61" s="139"/>
      <c r="I61" s="139">
        <v>125000</v>
      </c>
      <c r="J61" s="139" t="s">
        <v>1296</v>
      </c>
    </row>
    <row r="62" spans="1:10" ht="19" x14ac:dyDescent="0.2">
      <c r="A62" s="143"/>
      <c r="B62" s="153"/>
      <c r="C62" s="171"/>
      <c r="D62" s="155"/>
      <c r="E62" s="164"/>
      <c r="F62" s="119"/>
      <c r="G62" s="119"/>
      <c r="H62" s="119"/>
      <c r="I62" s="119">
        <v>50000</v>
      </c>
      <c r="J62" s="119" t="s">
        <v>123</v>
      </c>
    </row>
    <row r="63" spans="1:10" ht="19" x14ac:dyDescent="0.2">
      <c r="A63" s="144"/>
      <c r="B63" s="145"/>
      <c r="C63" s="149"/>
      <c r="D63" s="147"/>
      <c r="E63" s="150"/>
      <c r="F63" s="139"/>
      <c r="G63" s="139"/>
      <c r="H63" s="139"/>
      <c r="I63" s="139">
        <v>35000</v>
      </c>
      <c r="J63" s="139" t="s">
        <v>2556</v>
      </c>
    </row>
    <row r="64" spans="1:10" ht="19" x14ac:dyDescent="0.2">
      <c r="A64" s="143"/>
      <c r="B64" s="153"/>
      <c r="C64" s="171"/>
      <c r="D64" s="155"/>
      <c r="E64" s="164"/>
      <c r="F64" s="119"/>
      <c r="G64" s="119"/>
      <c r="H64" s="119"/>
      <c r="I64" s="119">
        <v>49000</v>
      </c>
      <c r="J64" s="119" t="s">
        <v>2557</v>
      </c>
    </row>
    <row r="65" spans="1:10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9000</v>
      </c>
      <c r="J65" s="139" t="s">
        <v>1734</v>
      </c>
    </row>
    <row r="66" spans="1:10" ht="19" x14ac:dyDescent="0.2">
      <c r="A66" s="206"/>
      <c r="B66" s="207"/>
      <c r="C66" s="171"/>
      <c r="D66" s="155"/>
      <c r="E66" s="210"/>
      <c r="F66" s="211"/>
      <c r="G66" s="211"/>
      <c r="H66" s="211"/>
      <c r="I66" s="211">
        <v>86000</v>
      </c>
      <c r="J66" s="119" t="s">
        <v>2558</v>
      </c>
    </row>
    <row r="67" spans="1:10" ht="19" x14ac:dyDescent="0.2">
      <c r="A67" s="144"/>
      <c r="B67" s="145"/>
      <c r="C67" s="149"/>
      <c r="D67" s="147"/>
      <c r="E67" s="150"/>
      <c r="F67" s="139"/>
      <c r="G67" s="139"/>
      <c r="H67" s="139"/>
      <c r="I67" s="139">
        <v>45000</v>
      </c>
      <c r="J67" s="139" t="s">
        <v>1493</v>
      </c>
    </row>
    <row r="68" spans="1:10" ht="19" x14ac:dyDescent="0.2">
      <c r="A68" s="143"/>
      <c r="B68" s="32"/>
      <c r="C68" s="49"/>
      <c r="D68" s="13"/>
      <c r="E68" s="15"/>
      <c r="F68" s="9"/>
      <c r="G68" s="9"/>
      <c r="H68" s="9"/>
      <c r="I68" s="9">
        <v>250000</v>
      </c>
      <c r="J68" s="9" t="s">
        <v>2559</v>
      </c>
    </row>
    <row r="69" spans="1:10" ht="19" x14ac:dyDescent="0.2">
      <c r="A69" s="144">
        <v>2085000</v>
      </c>
      <c r="B69" s="145"/>
      <c r="C69" s="149" t="s">
        <v>10</v>
      </c>
      <c r="D69" s="147" t="s">
        <v>685</v>
      </c>
      <c r="E69" s="150">
        <v>1438000</v>
      </c>
      <c r="F69" s="139">
        <v>647000</v>
      </c>
      <c r="G69" s="139"/>
      <c r="H69" s="139"/>
      <c r="I69" s="139">
        <v>286000</v>
      </c>
      <c r="J69" s="139" t="s">
        <v>1696</v>
      </c>
    </row>
    <row r="70" spans="1:10" ht="19" x14ac:dyDescent="0.2">
      <c r="A70" s="143"/>
      <c r="B70" s="32"/>
      <c r="C70" s="49"/>
      <c r="D70" s="13"/>
      <c r="E70" s="15"/>
      <c r="F70" s="9"/>
      <c r="G70" s="9"/>
      <c r="H70" s="9"/>
      <c r="I70" s="9"/>
      <c r="J70" s="9"/>
    </row>
    <row r="71" spans="1:10" ht="19" x14ac:dyDescent="0.2">
      <c r="A71" s="148">
        <v>4079000</v>
      </c>
      <c r="B71" s="145">
        <v>45300</v>
      </c>
      <c r="C71" s="151" t="s">
        <v>9</v>
      </c>
      <c r="D71" s="147" t="s">
        <v>565</v>
      </c>
      <c r="E71" s="150">
        <v>2676000</v>
      </c>
      <c r="F71" s="139">
        <v>1403000</v>
      </c>
      <c r="G71" s="139"/>
      <c r="H71" s="139"/>
      <c r="I71" s="139">
        <v>67000</v>
      </c>
      <c r="J71" s="139" t="s">
        <v>1738</v>
      </c>
    </row>
    <row r="72" spans="1:10" ht="19" x14ac:dyDescent="0.2">
      <c r="A72" s="143"/>
      <c r="B72" s="153"/>
      <c r="C72" s="163"/>
      <c r="D72" s="155"/>
      <c r="E72" s="164"/>
      <c r="F72" s="119"/>
      <c r="G72" s="119"/>
      <c r="H72" s="119"/>
      <c r="I72" s="119">
        <v>75000</v>
      </c>
      <c r="J72" s="119" t="s">
        <v>1789</v>
      </c>
    </row>
    <row r="73" spans="1:10" ht="19" x14ac:dyDescent="0.2">
      <c r="A73" s="144"/>
      <c r="B73" s="145"/>
      <c r="C73" s="149"/>
      <c r="D73" s="147"/>
      <c r="E73" s="150"/>
      <c r="F73" s="139"/>
      <c r="G73" s="139"/>
      <c r="H73" s="139"/>
      <c r="I73" s="139">
        <v>170000</v>
      </c>
      <c r="J73" s="139" t="s">
        <v>2560</v>
      </c>
    </row>
    <row r="74" spans="1:10" ht="19" x14ac:dyDescent="0.2">
      <c r="A74" s="143"/>
      <c r="B74" s="32"/>
      <c r="C74" s="49"/>
      <c r="D74" s="13"/>
      <c r="E74" s="15"/>
      <c r="F74" s="9"/>
      <c r="G74" s="9"/>
      <c r="H74" s="9"/>
      <c r="I74" s="9">
        <v>150000</v>
      </c>
      <c r="J74" s="9" t="s">
        <v>2561</v>
      </c>
    </row>
    <row r="75" spans="1:10" ht="19" x14ac:dyDescent="0.2">
      <c r="A75" s="144"/>
      <c r="B75" s="145"/>
      <c r="C75" s="149"/>
      <c r="D75" s="147"/>
      <c r="E75" s="150"/>
      <c r="F75" s="139"/>
      <c r="G75" s="139"/>
      <c r="H75" s="139"/>
      <c r="I75" s="139">
        <v>150000</v>
      </c>
      <c r="J75" s="139" t="s">
        <v>2562</v>
      </c>
    </row>
    <row r="76" spans="1:10" ht="19" x14ac:dyDescent="0.2">
      <c r="A76" s="143"/>
      <c r="B76" s="153"/>
      <c r="C76" s="171"/>
      <c r="D76" s="155"/>
      <c r="E76" s="164"/>
      <c r="F76" s="119"/>
      <c r="G76" s="119"/>
      <c r="H76" s="119"/>
      <c r="I76" s="9">
        <v>150000</v>
      </c>
      <c r="J76" s="119" t="s">
        <v>2563</v>
      </c>
    </row>
    <row r="77" spans="1:10" ht="19" x14ac:dyDescent="0.2">
      <c r="A77" s="144"/>
      <c r="B77" s="145"/>
      <c r="C77" s="149"/>
      <c r="D77" s="147"/>
      <c r="E77" s="150"/>
      <c r="F77" s="139"/>
      <c r="G77" s="139"/>
      <c r="H77" s="139"/>
      <c r="I77" s="139">
        <v>520000</v>
      </c>
      <c r="J77" s="139" t="s">
        <v>1462</v>
      </c>
    </row>
    <row r="78" spans="1:10" ht="19" x14ac:dyDescent="0.2">
      <c r="A78" s="143">
        <v>2026000</v>
      </c>
      <c r="B78" s="153"/>
      <c r="C78" s="171" t="s">
        <v>10</v>
      </c>
      <c r="D78" s="155" t="s">
        <v>685</v>
      </c>
      <c r="E78" s="164">
        <v>1707000</v>
      </c>
      <c r="F78" s="119">
        <v>319000</v>
      </c>
      <c r="G78" s="119">
        <v>2600000</v>
      </c>
      <c r="H78" s="119" t="s">
        <v>88</v>
      </c>
      <c r="I78" s="9">
        <v>330000</v>
      </c>
      <c r="J78" s="119" t="s">
        <v>1648</v>
      </c>
    </row>
    <row r="79" spans="1:10" ht="19" x14ac:dyDescent="0.2">
      <c r="A79" s="144"/>
      <c r="B79" s="145"/>
      <c r="C79" s="149"/>
      <c r="D79" s="147"/>
      <c r="E79" s="150"/>
      <c r="F79" s="139"/>
      <c r="G79" s="139"/>
      <c r="H79" s="139"/>
      <c r="I79" s="139"/>
      <c r="J79" s="139"/>
    </row>
    <row r="80" spans="1:10" ht="19" x14ac:dyDescent="0.2">
      <c r="A80" s="143">
        <v>2768000</v>
      </c>
      <c r="B80" s="32">
        <v>45301</v>
      </c>
      <c r="C80" s="49" t="s">
        <v>9</v>
      </c>
      <c r="D80" s="13" t="s">
        <v>565</v>
      </c>
      <c r="E80" s="15">
        <v>2126000</v>
      </c>
      <c r="F80" s="9">
        <v>642000</v>
      </c>
      <c r="G80" s="9"/>
      <c r="H80" s="9"/>
      <c r="I80" s="9">
        <v>224000</v>
      </c>
      <c r="J80" s="9" t="s">
        <v>2474</v>
      </c>
    </row>
    <row r="81" spans="1:10" ht="19" x14ac:dyDescent="0.2">
      <c r="A81" s="144"/>
      <c r="B81" s="145"/>
      <c r="C81" s="149"/>
      <c r="D81" s="147"/>
      <c r="E81" s="150"/>
      <c r="F81" s="139"/>
      <c r="G81" s="139"/>
      <c r="H81" s="139"/>
      <c r="I81" s="139"/>
      <c r="J81" s="139"/>
    </row>
    <row r="82" spans="1:10" ht="19" x14ac:dyDescent="0.2">
      <c r="A82" s="143">
        <v>2297000</v>
      </c>
      <c r="B82" s="32"/>
      <c r="C82" s="49" t="s">
        <v>10</v>
      </c>
      <c r="D82" s="13" t="s">
        <v>685</v>
      </c>
      <c r="E82" s="15">
        <v>1350000</v>
      </c>
      <c r="F82" s="9">
        <v>947000</v>
      </c>
      <c r="G82" s="9"/>
      <c r="H82" s="9"/>
      <c r="I82" s="9"/>
      <c r="J82" s="9"/>
    </row>
    <row r="83" spans="1:10" ht="19" x14ac:dyDescent="0.2">
      <c r="A83" s="144"/>
      <c r="B83" s="145"/>
      <c r="C83" s="149"/>
      <c r="D83" s="147"/>
      <c r="E83" s="150"/>
      <c r="F83" s="139"/>
      <c r="G83" s="139"/>
      <c r="H83" s="139"/>
      <c r="I83" s="139"/>
      <c r="J83" s="139"/>
    </row>
    <row r="84" spans="1:10" ht="19" x14ac:dyDescent="0.2">
      <c r="A84" s="143">
        <v>3058000</v>
      </c>
      <c r="B84" s="153">
        <v>45302</v>
      </c>
      <c r="C84" s="171" t="s">
        <v>9</v>
      </c>
      <c r="D84" s="155" t="s">
        <v>565</v>
      </c>
      <c r="E84" s="164">
        <v>2100000</v>
      </c>
      <c r="F84" s="119">
        <v>958000</v>
      </c>
      <c r="G84" s="119"/>
      <c r="H84" s="119"/>
      <c r="I84" s="9">
        <v>150000</v>
      </c>
      <c r="J84" s="119" t="s">
        <v>2564</v>
      </c>
    </row>
    <row r="85" spans="1:10" ht="19" x14ac:dyDescent="0.2">
      <c r="A85" s="144"/>
      <c r="B85" s="145"/>
      <c r="C85" s="149"/>
      <c r="D85" s="147"/>
      <c r="E85" s="150"/>
      <c r="F85" s="139"/>
      <c r="G85" s="139"/>
      <c r="H85" s="139"/>
      <c r="I85" s="139"/>
      <c r="J85" s="139"/>
    </row>
    <row r="86" spans="1:10" ht="19" x14ac:dyDescent="0.2">
      <c r="A86" s="143">
        <v>1560000</v>
      </c>
      <c r="B86" s="153"/>
      <c r="C86" s="171" t="s">
        <v>10</v>
      </c>
      <c r="D86" s="155" t="s">
        <v>685</v>
      </c>
      <c r="E86" s="164">
        <v>1100000</v>
      </c>
      <c r="F86" s="119">
        <v>460000</v>
      </c>
      <c r="G86" s="9"/>
      <c r="H86" s="9"/>
      <c r="I86" s="119">
        <v>144000</v>
      </c>
      <c r="J86" s="119" t="s">
        <v>1245</v>
      </c>
    </row>
    <row r="87" spans="1:10" ht="19" x14ac:dyDescent="0.2">
      <c r="A87" s="144"/>
      <c r="B87" s="145"/>
      <c r="C87" s="149"/>
      <c r="D87" s="147"/>
      <c r="E87" s="150"/>
      <c r="F87" s="139"/>
      <c r="G87" s="139"/>
      <c r="H87" s="139"/>
      <c r="I87" s="139">
        <v>80000</v>
      </c>
      <c r="J87" s="139" t="s">
        <v>1285</v>
      </c>
    </row>
    <row r="88" spans="1:10" ht="19" x14ac:dyDescent="0.2">
      <c r="A88" s="143"/>
      <c r="B88" s="153"/>
      <c r="C88" s="171"/>
      <c r="D88" s="155"/>
      <c r="E88" s="164"/>
      <c r="F88" s="119"/>
      <c r="G88" s="119"/>
      <c r="H88" s="119"/>
      <c r="I88" s="119">
        <v>125000</v>
      </c>
      <c r="J88" s="119" t="s">
        <v>1296</v>
      </c>
    </row>
    <row r="89" spans="1:10" ht="19" x14ac:dyDescent="0.2">
      <c r="A89" s="144">
        <v>3018000</v>
      </c>
      <c r="B89" s="145">
        <v>45303</v>
      </c>
      <c r="C89" s="149" t="s">
        <v>9</v>
      </c>
      <c r="D89" s="147" t="s">
        <v>565</v>
      </c>
      <c r="E89" s="150">
        <v>2348000</v>
      </c>
      <c r="F89" s="139">
        <v>670000</v>
      </c>
      <c r="G89" s="139"/>
      <c r="H89" s="139"/>
      <c r="I89" s="139">
        <v>41000</v>
      </c>
      <c r="J89" s="139" t="s">
        <v>2565</v>
      </c>
    </row>
    <row r="90" spans="1:10" ht="19" x14ac:dyDescent="0.2">
      <c r="A90" s="143"/>
      <c r="B90" s="153"/>
      <c r="C90" s="49"/>
      <c r="D90" s="13"/>
      <c r="E90" s="15"/>
      <c r="F90" s="9"/>
      <c r="G90" s="9"/>
      <c r="H90" s="9"/>
      <c r="I90" s="9">
        <v>12000</v>
      </c>
      <c r="J90" s="9" t="s">
        <v>1934</v>
      </c>
    </row>
    <row r="91" spans="1:10" ht="19" x14ac:dyDescent="0.2">
      <c r="A91" s="144"/>
      <c r="B91" s="145"/>
      <c r="C91" s="149"/>
      <c r="D91" s="147"/>
      <c r="E91" s="150"/>
      <c r="F91" s="139"/>
      <c r="G91" s="139"/>
      <c r="H91" s="139"/>
      <c r="I91" s="139">
        <v>75000</v>
      </c>
      <c r="J91" s="139" t="s">
        <v>2566</v>
      </c>
    </row>
    <row r="92" spans="1:10" ht="19" x14ac:dyDescent="0.2">
      <c r="A92" s="143"/>
      <c r="B92" s="32"/>
      <c r="C92" s="49"/>
      <c r="D92" s="13"/>
      <c r="E92" s="15"/>
      <c r="F92" s="9"/>
      <c r="G92" s="9"/>
      <c r="H92" s="9"/>
      <c r="I92" s="9"/>
      <c r="J92" s="9"/>
    </row>
    <row r="93" spans="1:10" ht="19" x14ac:dyDescent="0.2">
      <c r="A93" s="144">
        <v>2623000</v>
      </c>
      <c r="B93" s="145"/>
      <c r="C93" s="149" t="s">
        <v>10</v>
      </c>
      <c r="D93" s="147" t="s">
        <v>685</v>
      </c>
      <c r="E93" s="150">
        <v>1994000</v>
      </c>
      <c r="F93" s="139">
        <v>629000</v>
      </c>
      <c r="G93" s="139">
        <v>300000</v>
      </c>
      <c r="H93" s="139" t="s">
        <v>2239</v>
      </c>
      <c r="I93" s="139">
        <v>330000</v>
      </c>
      <c r="J93" s="139" t="s">
        <v>1648</v>
      </c>
    </row>
    <row r="94" spans="1:10" ht="19" x14ac:dyDescent="0.2">
      <c r="A94" s="143"/>
      <c r="B94" s="32"/>
      <c r="C94" s="49"/>
      <c r="D94" s="13"/>
      <c r="E94" s="15"/>
      <c r="F94" s="9"/>
      <c r="G94" s="9"/>
      <c r="H94" s="9"/>
      <c r="I94" s="9">
        <v>120000</v>
      </c>
      <c r="J94" s="9" t="s">
        <v>2567</v>
      </c>
    </row>
    <row r="95" spans="1:10" ht="19" x14ac:dyDescent="0.2">
      <c r="A95" s="144"/>
      <c r="B95" s="145"/>
      <c r="C95" s="159"/>
      <c r="D95" s="147"/>
      <c r="E95" s="150"/>
      <c r="F95" s="139"/>
      <c r="G95" s="139"/>
      <c r="H95" s="139"/>
      <c r="I95" s="139">
        <v>35000</v>
      </c>
      <c r="J95" s="139" t="s">
        <v>1467</v>
      </c>
    </row>
    <row r="96" spans="1:10" ht="19" x14ac:dyDescent="0.2">
      <c r="A96" s="143"/>
      <c r="B96" s="32"/>
      <c r="C96" s="49"/>
      <c r="D96" s="13"/>
      <c r="E96" s="15"/>
      <c r="F96" s="9"/>
      <c r="G96" s="9"/>
      <c r="H96" s="9"/>
      <c r="I96" s="9">
        <v>200000</v>
      </c>
      <c r="J96" s="9" t="s">
        <v>1614</v>
      </c>
    </row>
    <row r="97" spans="1:10" ht="19" x14ac:dyDescent="0.2">
      <c r="A97" s="144">
        <v>2415000</v>
      </c>
      <c r="B97" s="145">
        <v>45304</v>
      </c>
      <c r="C97" s="149" t="s">
        <v>9</v>
      </c>
      <c r="D97" s="147" t="s">
        <v>565</v>
      </c>
      <c r="E97" s="150">
        <v>1544000</v>
      </c>
      <c r="F97" s="139">
        <v>871000</v>
      </c>
      <c r="G97" s="139">
        <v>3750000</v>
      </c>
      <c r="H97" s="139" t="s">
        <v>1405</v>
      </c>
      <c r="I97" s="139">
        <v>65000</v>
      </c>
      <c r="J97" s="139" t="s">
        <v>2568</v>
      </c>
    </row>
    <row r="98" spans="1:10" ht="19" x14ac:dyDescent="0.2">
      <c r="A98" s="143"/>
      <c r="B98" s="153"/>
      <c r="C98" s="171"/>
      <c r="D98" s="155"/>
      <c r="E98" s="164"/>
      <c r="F98" s="119"/>
      <c r="G98" s="119"/>
      <c r="H98" s="119"/>
      <c r="I98" s="119">
        <v>65000</v>
      </c>
      <c r="J98" s="119" t="s">
        <v>2569</v>
      </c>
    </row>
    <row r="99" spans="1:10" ht="19" x14ac:dyDescent="0.2">
      <c r="A99" s="144">
        <v>1983000</v>
      </c>
      <c r="B99" s="145"/>
      <c r="C99" s="149" t="s">
        <v>10</v>
      </c>
      <c r="D99" s="147" t="s">
        <v>685</v>
      </c>
      <c r="E99" s="150">
        <v>1410000</v>
      </c>
      <c r="F99" s="139">
        <v>573000</v>
      </c>
      <c r="G99" s="139"/>
      <c r="H99" s="139"/>
      <c r="I99" s="139">
        <v>50000</v>
      </c>
      <c r="J99" s="139" t="s">
        <v>206</v>
      </c>
    </row>
    <row r="100" spans="1:10" ht="19" x14ac:dyDescent="0.2">
      <c r="A100" s="143"/>
      <c r="B100" s="153"/>
      <c r="C100" s="171"/>
      <c r="D100" s="155"/>
      <c r="E100" s="164"/>
      <c r="F100" s="119"/>
      <c r="G100" s="119"/>
      <c r="H100" s="119"/>
      <c r="I100" s="119"/>
      <c r="J100" s="119"/>
    </row>
    <row r="101" spans="1:10" ht="19" x14ac:dyDescent="0.2">
      <c r="A101" s="144"/>
      <c r="B101" s="145">
        <v>45305</v>
      </c>
      <c r="C101" s="149"/>
      <c r="D101" s="147"/>
      <c r="E101" s="150"/>
      <c r="F101" s="139"/>
      <c r="G101" s="139"/>
      <c r="H101" s="139" t="s">
        <v>2570</v>
      </c>
      <c r="I101" s="139"/>
      <c r="J101" s="139"/>
    </row>
    <row r="102" spans="1:10" ht="19" x14ac:dyDescent="0.2">
      <c r="A102" s="143">
        <v>3057000</v>
      </c>
      <c r="B102" s="153">
        <v>45306</v>
      </c>
      <c r="C102" s="171" t="s">
        <v>9</v>
      </c>
      <c r="D102" s="155" t="s">
        <v>565</v>
      </c>
      <c r="E102" s="164">
        <v>2186000</v>
      </c>
      <c r="F102" s="119">
        <v>871000</v>
      </c>
      <c r="G102" s="119">
        <v>1460000</v>
      </c>
      <c r="H102" s="119" t="s">
        <v>2571</v>
      </c>
      <c r="I102" s="119">
        <v>108000</v>
      </c>
      <c r="J102" s="119" t="s">
        <v>2138</v>
      </c>
    </row>
    <row r="103" spans="1:10" ht="32" x14ac:dyDescent="0.2">
      <c r="A103" s="144"/>
      <c r="B103" s="145"/>
      <c r="C103" s="149"/>
      <c r="D103" s="147"/>
      <c r="E103" s="150"/>
      <c r="F103" s="139"/>
      <c r="G103" s="139">
        <v>607000</v>
      </c>
      <c r="H103" s="161" t="s">
        <v>2572</v>
      </c>
      <c r="I103" s="139">
        <v>24000</v>
      </c>
      <c r="J103" s="139" t="s">
        <v>2573</v>
      </c>
    </row>
    <row r="104" spans="1:10" ht="19" x14ac:dyDescent="0.2">
      <c r="A104" s="143"/>
      <c r="B104" s="153"/>
      <c r="C104" s="171"/>
      <c r="D104" s="155"/>
      <c r="E104" s="164"/>
      <c r="F104" s="119"/>
      <c r="G104" s="119"/>
      <c r="H104" s="119"/>
      <c r="I104" s="119">
        <v>44500</v>
      </c>
      <c r="J104" s="119" t="s">
        <v>2574</v>
      </c>
    </row>
    <row r="105" spans="1:10" ht="19" x14ac:dyDescent="0.2">
      <c r="A105" s="148"/>
      <c r="B105" s="145"/>
      <c r="C105" s="149"/>
      <c r="D105" s="160"/>
      <c r="E105" s="150"/>
      <c r="F105" s="139"/>
      <c r="G105" s="139"/>
      <c r="H105" s="139"/>
      <c r="I105" s="139">
        <v>58500</v>
      </c>
      <c r="J105" s="139" t="s">
        <v>2575</v>
      </c>
    </row>
    <row r="106" spans="1:10" ht="19" x14ac:dyDescent="0.2">
      <c r="A106" s="144">
        <v>1989000</v>
      </c>
      <c r="B106" s="145"/>
      <c r="C106" s="149" t="s">
        <v>1787</v>
      </c>
      <c r="D106" s="147" t="s">
        <v>685</v>
      </c>
      <c r="E106" s="150">
        <v>1229000</v>
      </c>
      <c r="F106" s="139">
        <v>760000</v>
      </c>
      <c r="G106" s="139"/>
      <c r="H106" s="139"/>
      <c r="I106" s="139">
        <v>210000</v>
      </c>
      <c r="J106" s="139" t="s">
        <v>2052</v>
      </c>
    </row>
    <row r="107" spans="1:10" ht="19" x14ac:dyDescent="0.2">
      <c r="A107" s="143"/>
      <c r="B107" s="32"/>
      <c r="C107" s="49"/>
      <c r="D107" s="13"/>
      <c r="E107" s="15"/>
      <c r="F107" s="9"/>
      <c r="G107" s="9"/>
      <c r="H107" s="9"/>
      <c r="I107" s="9">
        <v>125000</v>
      </c>
      <c r="J107" s="9" t="s">
        <v>889</v>
      </c>
    </row>
    <row r="108" spans="1:10" ht="19" x14ac:dyDescent="0.2">
      <c r="A108" s="144"/>
      <c r="B108" s="145"/>
      <c r="C108" s="149"/>
      <c r="D108" s="147"/>
      <c r="E108" s="150"/>
      <c r="F108" s="139"/>
      <c r="G108" s="139"/>
      <c r="H108" s="139"/>
      <c r="I108" s="139">
        <v>80000</v>
      </c>
      <c r="J108" s="139" t="s">
        <v>859</v>
      </c>
    </row>
    <row r="109" spans="1:10" ht="19" x14ac:dyDescent="0.2">
      <c r="A109" s="143"/>
      <c r="B109" s="153"/>
      <c r="C109" s="171"/>
      <c r="D109" s="155"/>
      <c r="E109" s="164"/>
      <c r="F109" s="119"/>
      <c r="G109" s="119"/>
      <c r="H109" s="119"/>
      <c r="I109" s="119">
        <v>144000</v>
      </c>
      <c r="J109" s="119" t="s">
        <v>615</v>
      </c>
    </row>
    <row r="110" spans="1:10" ht="19" x14ac:dyDescent="0.2">
      <c r="A110" s="144">
        <v>3383000</v>
      </c>
      <c r="B110" s="145">
        <v>45307</v>
      </c>
      <c r="C110" s="149" t="s">
        <v>9</v>
      </c>
      <c r="D110" s="147" t="s">
        <v>565</v>
      </c>
      <c r="E110" s="150">
        <v>2324000</v>
      </c>
      <c r="F110" s="139">
        <v>1059000</v>
      </c>
      <c r="G110" s="139"/>
      <c r="H110" s="139"/>
      <c r="I110" s="139"/>
      <c r="J110" s="139"/>
    </row>
    <row r="111" spans="1:10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/>
    </row>
    <row r="112" spans="1:10" ht="19" x14ac:dyDescent="0.2">
      <c r="A112" s="144">
        <v>1822000</v>
      </c>
      <c r="B112" s="145"/>
      <c r="C112" s="149" t="s">
        <v>10</v>
      </c>
      <c r="D112" s="147" t="s">
        <v>685</v>
      </c>
      <c r="E112" s="150">
        <v>1497000</v>
      </c>
      <c r="F112" s="139">
        <v>325000</v>
      </c>
      <c r="G112" s="139"/>
      <c r="H112" s="139"/>
      <c r="I112" s="139">
        <v>330000</v>
      </c>
      <c r="J112" s="139" t="s">
        <v>2576</v>
      </c>
    </row>
    <row r="113" spans="1:10" ht="19" x14ac:dyDescent="0.2">
      <c r="A113" s="143"/>
      <c r="B113" s="153"/>
      <c r="C113" s="171"/>
      <c r="D113" s="155"/>
      <c r="E113" s="164"/>
      <c r="F113" s="119"/>
      <c r="G113" s="119"/>
      <c r="H113" s="119"/>
      <c r="I113" s="119"/>
      <c r="J113" s="119"/>
    </row>
    <row r="114" spans="1:10" ht="19" x14ac:dyDescent="0.2">
      <c r="A114" s="144">
        <v>3203000</v>
      </c>
      <c r="B114" s="145">
        <v>45308</v>
      </c>
      <c r="C114" s="149" t="s">
        <v>9</v>
      </c>
      <c r="D114" s="147" t="s">
        <v>565</v>
      </c>
      <c r="E114" s="150">
        <v>2338000</v>
      </c>
      <c r="F114" s="139">
        <v>865000</v>
      </c>
      <c r="G114" s="139">
        <v>2600000</v>
      </c>
      <c r="H114" s="139" t="s">
        <v>1045</v>
      </c>
      <c r="I114" s="139">
        <v>52500</v>
      </c>
      <c r="J114" s="139" t="s">
        <v>2577</v>
      </c>
    </row>
    <row r="115" spans="1:10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>
        <v>43500</v>
      </c>
      <c r="J115" s="119" t="s">
        <v>2578</v>
      </c>
    </row>
    <row r="116" spans="1:10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>
        <v>330000</v>
      </c>
      <c r="J116" s="139" t="s">
        <v>2579</v>
      </c>
    </row>
    <row r="117" spans="1:10" ht="19" x14ac:dyDescent="0.2">
      <c r="A117" s="143">
        <v>1538000</v>
      </c>
      <c r="B117" s="153"/>
      <c r="C117" s="171" t="s">
        <v>10</v>
      </c>
      <c r="D117" s="155" t="s">
        <v>685</v>
      </c>
      <c r="E117" s="164">
        <v>1140000</v>
      </c>
      <c r="F117" s="119">
        <v>398000</v>
      </c>
      <c r="G117" s="119"/>
      <c r="H117" s="119"/>
      <c r="I117" s="119">
        <v>182000</v>
      </c>
      <c r="J117" s="119" t="s">
        <v>1484</v>
      </c>
    </row>
    <row r="118" spans="1:10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>
        <v>125000</v>
      </c>
      <c r="J118" s="139" t="s">
        <v>889</v>
      </c>
    </row>
    <row r="119" spans="1:10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>
        <v>80000</v>
      </c>
      <c r="J119" s="119" t="s">
        <v>751</v>
      </c>
    </row>
    <row r="120" spans="1:10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>
        <v>144000</v>
      </c>
      <c r="J120" s="139" t="s">
        <v>615</v>
      </c>
    </row>
    <row r="121" spans="1:10" ht="19" x14ac:dyDescent="0.2">
      <c r="A121" s="143"/>
      <c r="B121" s="32"/>
      <c r="C121" s="49"/>
      <c r="D121" s="13"/>
      <c r="E121" s="15"/>
      <c r="F121" s="9"/>
      <c r="G121" s="9"/>
      <c r="H121" s="9"/>
      <c r="I121" s="9">
        <v>200000</v>
      </c>
      <c r="J121" s="9" t="s">
        <v>2049</v>
      </c>
    </row>
    <row r="122" spans="1:10" ht="19" x14ac:dyDescent="0.2">
      <c r="A122" s="144"/>
      <c r="B122" s="145"/>
      <c r="C122" s="151"/>
      <c r="D122" s="147"/>
      <c r="E122" s="150"/>
      <c r="F122" s="139"/>
      <c r="G122" s="139"/>
      <c r="H122" s="139"/>
      <c r="I122" s="139">
        <v>120000</v>
      </c>
      <c r="J122" s="139" t="s">
        <v>2580</v>
      </c>
    </row>
    <row r="123" spans="1:10" ht="19" x14ac:dyDescent="0.2">
      <c r="A123" s="143"/>
      <c r="B123" s="270"/>
      <c r="C123" s="163"/>
      <c r="D123" s="155"/>
      <c r="E123" s="164"/>
      <c r="F123" s="119"/>
      <c r="G123" s="119"/>
      <c r="H123" s="119"/>
      <c r="I123" s="119">
        <v>35000</v>
      </c>
      <c r="J123" s="119" t="s">
        <v>655</v>
      </c>
    </row>
    <row r="124" spans="1:10" ht="19" x14ac:dyDescent="0.2">
      <c r="A124" s="144">
        <v>3349000</v>
      </c>
      <c r="B124" s="145">
        <v>45309</v>
      </c>
      <c r="C124" s="149" t="s">
        <v>9</v>
      </c>
      <c r="D124" s="147" t="s">
        <v>565</v>
      </c>
      <c r="E124" s="150">
        <v>2162000</v>
      </c>
      <c r="F124" s="139">
        <v>1187000</v>
      </c>
      <c r="G124" s="139"/>
      <c r="H124" s="139"/>
      <c r="I124" s="139"/>
      <c r="J124" s="139"/>
    </row>
    <row r="125" spans="1:10" ht="19" x14ac:dyDescent="0.2">
      <c r="A125" s="143">
        <v>1587000</v>
      </c>
      <c r="B125" s="153"/>
      <c r="C125" s="163" t="s">
        <v>1787</v>
      </c>
      <c r="D125" s="155" t="s">
        <v>685</v>
      </c>
      <c r="E125" s="164">
        <v>1191000</v>
      </c>
      <c r="F125" s="119">
        <v>396000</v>
      </c>
      <c r="G125" s="119"/>
      <c r="H125" s="119"/>
      <c r="I125" s="119"/>
      <c r="J125" s="119"/>
    </row>
    <row r="126" spans="1:10" ht="19" x14ac:dyDescent="0.2">
      <c r="A126" s="148"/>
      <c r="B126" s="145"/>
      <c r="C126" s="159"/>
      <c r="D126" s="147"/>
      <c r="E126" s="150"/>
      <c r="F126" s="139"/>
      <c r="G126" s="139"/>
      <c r="H126" s="139"/>
      <c r="I126" s="139">
        <v>16000</v>
      </c>
      <c r="J126" s="139" t="s">
        <v>902</v>
      </c>
    </row>
    <row r="127" spans="1:10" ht="19" x14ac:dyDescent="0.2">
      <c r="A127" s="142">
        <v>3793000</v>
      </c>
      <c r="B127" s="32">
        <v>45310</v>
      </c>
      <c r="C127" s="2" t="s">
        <v>9</v>
      </c>
      <c r="D127" s="102" t="s">
        <v>565</v>
      </c>
      <c r="E127" s="15">
        <v>2896000</v>
      </c>
      <c r="F127" s="9">
        <v>897000</v>
      </c>
      <c r="G127" s="9"/>
      <c r="H127" s="9"/>
      <c r="I127" s="9">
        <v>500000</v>
      </c>
      <c r="J127" s="9" t="s">
        <v>741</v>
      </c>
    </row>
    <row r="128" spans="1:10" ht="19" x14ac:dyDescent="0.2">
      <c r="A128" s="144"/>
      <c r="B128" s="145"/>
      <c r="C128" s="151"/>
      <c r="D128" s="147"/>
      <c r="E128" s="150"/>
      <c r="F128" s="139"/>
      <c r="G128" s="139"/>
      <c r="H128" s="139"/>
      <c r="I128" s="139">
        <v>120000</v>
      </c>
      <c r="J128" s="139" t="s">
        <v>703</v>
      </c>
    </row>
    <row r="129" spans="1:10" ht="19" x14ac:dyDescent="0.2">
      <c r="A129" s="143"/>
      <c r="B129" s="153"/>
      <c r="C129" s="163"/>
      <c r="D129" s="155"/>
      <c r="E129" s="119"/>
      <c r="F129" s="119"/>
      <c r="G129" s="119"/>
      <c r="H129" s="119"/>
      <c r="I129" s="119">
        <v>130000</v>
      </c>
      <c r="J129" s="119" t="s">
        <v>2581</v>
      </c>
    </row>
    <row r="130" spans="1:10" ht="19" x14ac:dyDescent="0.2">
      <c r="A130" s="144">
        <v>1803000</v>
      </c>
      <c r="B130" s="145"/>
      <c r="C130" s="151" t="s">
        <v>10</v>
      </c>
      <c r="D130" s="147" t="s">
        <v>685</v>
      </c>
      <c r="E130" s="150">
        <v>1098000</v>
      </c>
      <c r="F130" s="139">
        <v>705000</v>
      </c>
      <c r="G130" s="139">
        <v>200000</v>
      </c>
      <c r="H130" s="139" t="s">
        <v>1523</v>
      </c>
      <c r="I130" s="139">
        <v>126000</v>
      </c>
      <c r="J130" s="139" t="s">
        <v>895</v>
      </c>
    </row>
    <row r="131" spans="1:10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>
        <v>150000</v>
      </c>
      <c r="J131" s="119" t="s">
        <v>2582</v>
      </c>
    </row>
    <row r="132" spans="1:10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>
        <v>150000</v>
      </c>
      <c r="J132" s="139" t="s">
        <v>2583</v>
      </c>
    </row>
    <row r="133" spans="1:10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>
        <v>150000</v>
      </c>
      <c r="J133" s="119" t="s">
        <v>2584</v>
      </c>
    </row>
    <row r="134" spans="1:10" ht="19" x14ac:dyDescent="0.2">
      <c r="A134" s="144">
        <v>3030000</v>
      </c>
      <c r="B134" s="145">
        <v>45311</v>
      </c>
      <c r="C134" s="151" t="s">
        <v>9</v>
      </c>
      <c r="D134" s="147" t="s">
        <v>565</v>
      </c>
      <c r="E134" s="150">
        <v>2492000</v>
      </c>
      <c r="F134" s="139">
        <v>538000</v>
      </c>
      <c r="G134" s="139"/>
      <c r="H134" s="139"/>
      <c r="I134" s="139">
        <v>45000</v>
      </c>
      <c r="J134" s="139" t="s">
        <v>802</v>
      </c>
    </row>
    <row r="135" spans="1:10" ht="19" x14ac:dyDescent="0.2">
      <c r="A135" s="143"/>
      <c r="B135" s="32"/>
      <c r="C135" s="35"/>
      <c r="D135" s="13"/>
      <c r="E135" s="15"/>
      <c r="F135" s="9"/>
      <c r="G135" s="9"/>
      <c r="H135" s="9"/>
      <c r="I135" s="9">
        <v>28000</v>
      </c>
      <c r="J135" s="9" t="s">
        <v>2585</v>
      </c>
    </row>
    <row r="136" spans="1:10" ht="19" x14ac:dyDescent="0.2">
      <c r="A136" s="144"/>
      <c r="B136" s="158"/>
      <c r="C136" s="151"/>
      <c r="D136" s="147"/>
      <c r="E136" s="150"/>
      <c r="F136" s="139"/>
      <c r="G136" s="139"/>
      <c r="H136" s="139"/>
      <c r="I136" s="139">
        <v>9000</v>
      </c>
      <c r="J136" s="139" t="s">
        <v>642</v>
      </c>
    </row>
    <row r="137" spans="1:10" ht="19" x14ac:dyDescent="0.2">
      <c r="A137" s="143"/>
      <c r="B137" s="32"/>
      <c r="C137" s="35"/>
      <c r="D137" s="13"/>
      <c r="E137" s="15"/>
      <c r="F137" s="9"/>
      <c r="G137" s="9"/>
      <c r="H137" s="9"/>
      <c r="I137" s="9">
        <v>33000</v>
      </c>
      <c r="J137" s="9" t="s">
        <v>2586</v>
      </c>
    </row>
    <row r="138" spans="1:10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>
        <v>73000</v>
      </c>
      <c r="J138" s="139" t="s">
        <v>2587</v>
      </c>
    </row>
    <row r="139" spans="1:10" ht="19" x14ac:dyDescent="0.2">
      <c r="A139" s="144">
        <v>2080000</v>
      </c>
      <c r="B139" s="145"/>
      <c r="C139" s="151" t="s">
        <v>10</v>
      </c>
      <c r="D139" s="147" t="s">
        <v>685</v>
      </c>
      <c r="E139" s="150">
        <v>1715000</v>
      </c>
      <c r="F139" s="139">
        <v>365000</v>
      </c>
      <c r="G139" s="139"/>
      <c r="H139" s="139"/>
      <c r="I139" s="139">
        <v>308000</v>
      </c>
      <c r="J139" s="139" t="s">
        <v>1413</v>
      </c>
    </row>
    <row r="140" spans="1:10" ht="19" x14ac:dyDescent="0.2">
      <c r="A140" s="143"/>
      <c r="B140" s="33"/>
      <c r="C140" s="35"/>
      <c r="D140" s="13"/>
      <c r="E140" s="15"/>
      <c r="F140" s="9"/>
      <c r="G140" s="9"/>
      <c r="H140" s="9"/>
      <c r="I140" s="9">
        <v>50000</v>
      </c>
      <c r="J140" s="9" t="s">
        <v>206</v>
      </c>
    </row>
    <row r="141" spans="1:10" ht="19" x14ac:dyDescent="0.2">
      <c r="A141" s="144"/>
      <c r="B141" s="145">
        <v>45312</v>
      </c>
      <c r="C141" s="159"/>
      <c r="D141" s="147"/>
      <c r="E141" s="150"/>
      <c r="F141" s="139"/>
      <c r="G141" s="139"/>
      <c r="H141" s="139" t="s">
        <v>737</v>
      </c>
      <c r="I141" s="139"/>
      <c r="J141" s="139"/>
    </row>
    <row r="142" spans="1:10" ht="19" x14ac:dyDescent="0.2">
      <c r="A142" s="143"/>
      <c r="B142" s="32"/>
      <c r="C142" s="35"/>
      <c r="D142" s="13"/>
      <c r="E142" s="15"/>
      <c r="F142" s="9"/>
      <c r="G142" s="9"/>
      <c r="H142" s="9"/>
      <c r="I142" s="9"/>
      <c r="J142" s="9"/>
    </row>
    <row r="143" spans="1:10" ht="19" x14ac:dyDescent="0.2">
      <c r="A143" s="144">
        <v>2556000</v>
      </c>
      <c r="B143" s="145">
        <v>45313</v>
      </c>
      <c r="C143" s="151" t="s">
        <v>1228</v>
      </c>
      <c r="D143" s="160" t="s">
        <v>565</v>
      </c>
      <c r="E143" s="150">
        <v>2127000</v>
      </c>
      <c r="F143" s="139">
        <v>429000</v>
      </c>
      <c r="G143" s="139"/>
      <c r="H143" s="139"/>
      <c r="I143" s="139">
        <v>108000</v>
      </c>
      <c r="J143" s="139" t="s">
        <v>2138</v>
      </c>
    </row>
    <row r="144" spans="1:10" ht="19" x14ac:dyDescent="0.2">
      <c r="A144" s="143"/>
      <c r="B144" s="33"/>
      <c r="C144" s="35"/>
      <c r="D144" s="13"/>
      <c r="E144" s="15"/>
      <c r="F144" s="9"/>
      <c r="G144" s="9"/>
      <c r="H144" s="9"/>
      <c r="I144" s="9">
        <v>210000</v>
      </c>
      <c r="J144" s="9" t="s">
        <v>2052</v>
      </c>
    </row>
    <row r="145" spans="1:10" ht="19" x14ac:dyDescent="0.2">
      <c r="A145" s="148"/>
      <c r="B145" s="145"/>
      <c r="C145" s="146"/>
      <c r="D145" s="147"/>
      <c r="E145" s="150"/>
      <c r="F145" s="139"/>
      <c r="G145" s="139"/>
      <c r="H145" s="139"/>
      <c r="I145" s="139">
        <v>200000</v>
      </c>
      <c r="J145" s="139" t="s">
        <v>2049</v>
      </c>
    </row>
    <row r="146" spans="1:10" ht="19" x14ac:dyDescent="0.2">
      <c r="A146" s="142">
        <v>1809000</v>
      </c>
      <c r="B146" s="153"/>
      <c r="C146" s="163" t="s">
        <v>10</v>
      </c>
      <c r="D146" s="172" t="s">
        <v>685</v>
      </c>
      <c r="E146" s="164">
        <v>1529000</v>
      </c>
      <c r="F146" s="119">
        <v>280000</v>
      </c>
      <c r="G146" s="119"/>
      <c r="H146" s="119"/>
      <c r="I146" s="119">
        <v>35000</v>
      </c>
      <c r="J146" s="119" t="s">
        <v>655</v>
      </c>
    </row>
    <row r="147" spans="1:10" ht="19" x14ac:dyDescent="0.2">
      <c r="A147" s="148"/>
      <c r="B147" s="158"/>
      <c r="C147" s="151"/>
      <c r="D147" s="160"/>
      <c r="E147" s="150"/>
      <c r="F147" s="139"/>
      <c r="G147" s="139"/>
      <c r="H147" s="139"/>
      <c r="I147" s="139">
        <v>120000</v>
      </c>
      <c r="J147" s="139" t="s">
        <v>827</v>
      </c>
    </row>
    <row r="148" spans="1:10" ht="19" x14ac:dyDescent="0.2">
      <c r="A148" s="142"/>
      <c r="B148" s="153"/>
      <c r="C148" s="163"/>
      <c r="D148" s="172"/>
      <c r="E148" s="164"/>
      <c r="F148" s="119"/>
      <c r="G148" s="119"/>
      <c r="H148" s="119"/>
      <c r="I148" s="119">
        <v>135000</v>
      </c>
      <c r="J148" s="119" t="s">
        <v>2588</v>
      </c>
    </row>
    <row r="149" spans="1:10" ht="19" x14ac:dyDescent="0.2">
      <c r="A149" s="148"/>
      <c r="B149" s="158"/>
      <c r="C149" s="151"/>
      <c r="D149" s="160"/>
      <c r="E149" s="150"/>
      <c r="F149" s="139"/>
      <c r="G149" s="139"/>
      <c r="H149" s="139"/>
      <c r="I149" s="139">
        <v>144000</v>
      </c>
      <c r="J149" s="139" t="s">
        <v>615</v>
      </c>
    </row>
    <row r="150" spans="1:10" ht="19" x14ac:dyDescent="0.2">
      <c r="A150" s="142"/>
      <c r="B150" s="153"/>
      <c r="C150" s="163"/>
      <c r="D150" s="172"/>
      <c r="E150" s="164"/>
      <c r="F150" s="119"/>
      <c r="G150" s="119"/>
      <c r="H150" s="119"/>
      <c r="I150" s="119">
        <v>80000</v>
      </c>
      <c r="J150" s="119" t="s">
        <v>751</v>
      </c>
    </row>
    <row r="151" spans="1:10" ht="19" x14ac:dyDescent="0.2">
      <c r="A151" s="148">
        <v>2771000</v>
      </c>
      <c r="B151" s="145">
        <v>45314</v>
      </c>
      <c r="C151" s="151" t="s">
        <v>9</v>
      </c>
      <c r="D151" s="160" t="s">
        <v>565</v>
      </c>
      <c r="E151" s="150">
        <v>1980000</v>
      </c>
      <c r="F151" s="139">
        <v>791000</v>
      </c>
      <c r="G151" s="139">
        <v>2600000</v>
      </c>
      <c r="H151" s="139" t="s">
        <v>1045</v>
      </c>
      <c r="I151" s="139">
        <v>59500</v>
      </c>
      <c r="J151" s="139" t="s">
        <v>2589</v>
      </c>
    </row>
    <row r="152" spans="1:10" ht="19" x14ac:dyDescent="0.2">
      <c r="A152" s="143"/>
      <c r="B152" s="32"/>
      <c r="C152" s="35"/>
      <c r="D152" s="13"/>
      <c r="E152" s="15"/>
      <c r="F152" s="9"/>
      <c r="G152" s="9"/>
      <c r="H152" s="9"/>
      <c r="I152" s="9">
        <v>11000</v>
      </c>
      <c r="J152" s="9" t="s">
        <v>1135</v>
      </c>
    </row>
    <row r="153" spans="1:10" ht="19" x14ac:dyDescent="0.2">
      <c r="A153" s="144"/>
      <c r="B153" s="158"/>
      <c r="C153" s="151"/>
      <c r="D153" s="147"/>
      <c r="E153" s="150"/>
      <c r="F153" s="139"/>
      <c r="G153" s="139"/>
      <c r="H153" s="139"/>
      <c r="I153" s="139">
        <v>173500</v>
      </c>
      <c r="J153" s="139" t="s">
        <v>2590</v>
      </c>
    </row>
    <row r="154" spans="1:10" ht="19" x14ac:dyDescent="0.2">
      <c r="A154" s="143"/>
      <c r="B154" s="32"/>
      <c r="C154" s="3"/>
      <c r="D154" s="13"/>
      <c r="E154" s="15"/>
      <c r="F154" s="9"/>
      <c r="G154" s="9"/>
      <c r="H154" s="9"/>
      <c r="I154" s="9">
        <v>67000</v>
      </c>
      <c r="J154" s="9" t="s">
        <v>2262</v>
      </c>
    </row>
    <row r="155" spans="1:10" ht="19" x14ac:dyDescent="0.2">
      <c r="A155" s="144">
        <v>1761000</v>
      </c>
      <c r="B155" s="145"/>
      <c r="C155" s="149" t="s">
        <v>10</v>
      </c>
      <c r="D155" s="147" t="s">
        <v>685</v>
      </c>
      <c r="E155" s="150">
        <v>1492000</v>
      </c>
      <c r="F155" s="139">
        <v>269000</v>
      </c>
      <c r="G155" s="139"/>
      <c r="H155" s="139"/>
      <c r="I155" s="139">
        <v>330000</v>
      </c>
      <c r="J155" s="139" t="s">
        <v>2576</v>
      </c>
    </row>
    <row r="156" spans="1:10" ht="19" x14ac:dyDescent="0.2">
      <c r="A156" s="143"/>
      <c r="B156" s="153"/>
      <c r="C156" s="171"/>
      <c r="D156" s="155"/>
      <c r="E156" s="164"/>
      <c r="F156" s="119"/>
      <c r="G156" s="119"/>
      <c r="H156" s="119"/>
      <c r="I156" s="119">
        <v>45000</v>
      </c>
      <c r="J156" s="119" t="s">
        <v>640</v>
      </c>
    </row>
    <row r="157" spans="1:10" ht="19" x14ac:dyDescent="0.2">
      <c r="A157" s="144">
        <v>3322000</v>
      </c>
      <c r="B157" s="145">
        <v>45315</v>
      </c>
      <c r="C157" s="149" t="s">
        <v>9</v>
      </c>
      <c r="D157" s="147" t="s">
        <v>565</v>
      </c>
      <c r="E157" s="150">
        <v>2693000</v>
      </c>
      <c r="F157" s="139">
        <v>629000</v>
      </c>
      <c r="G157" s="139"/>
      <c r="H157" s="139"/>
      <c r="I157" s="139">
        <v>87500</v>
      </c>
      <c r="J157" s="139" t="s">
        <v>2591</v>
      </c>
    </row>
    <row r="158" spans="1:10" ht="19" x14ac:dyDescent="0.2">
      <c r="A158" s="143"/>
      <c r="B158" s="153"/>
      <c r="C158" s="163"/>
      <c r="D158" s="155"/>
      <c r="E158" s="164"/>
      <c r="F158" s="119"/>
      <c r="G158" s="119"/>
      <c r="H158" s="119"/>
      <c r="I158" s="119">
        <v>51500</v>
      </c>
      <c r="J158" s="119" t="s">
        <v>2592</v>
      </c>
    </row>
    <row r="159" spans="1:10" ht="19" x14ac:dyDescent="0.2">
      <c r="A159" s="144"/>
      <c r="B159" s="145"/>
      <c r="C159" s="146"/>
      <c r="D159" s="147"/>
      <c r="E159" s="150"/>
      <c r="F159" s="139"/>
      <c r="G159" s="139"/>
      <c r="H159" s="139"/>
      <c r="I159" s="139">
        <v>77000</v>
      </c>
      <c r="J159" s="139" t="s">
        <v>2593</v>
      </c>
    </row>
    <row r="160" spans="1:10" ht="19" x14ac:dyDescent="0.2">
      <c r="A160" s="143">
        <v>1527000</v>
      </c>
      <c r="B160" s="32"/>
      <c r="C160" s="35" t="s">
        <v>10</v>
      </c>
      <c r="D160" s="13" t="s">
        <v>685</v>
      </c>
      <c r="E160" s="15">
        <v>1310000</v>
      </c>
      <c r="F160" s="9">
        <v>217000</v>
      </c>
      <c r="G160" s="9"/>
      <c r="H160" s="9"/>
      <c r="I160" s="9">
        <v>150000</v>
      </c>
      <c r="J160" s="9" t="s">
        <v>2594</v>
      </c>
    </row>
    <row r="161" spans="1:10" ht="19" x14ac:dyDescent="0.2">
      <c r="A161" s="144"/>
      <c r="B161" s="145"/>
      <c r="C161" s="146"/>
      <c r="D161" s="147"/>
      <c r="E161" s="150"/>
      <c r="F161" s="139"/>
      <c r="G161" s="139"/>
      <c r="H161" s="139"/>
      <c r="I161" s="139">
        <v>330000</v>
      </c>
      <c r="J161" s="139" t="s">
        <v>2576</v>
      </c>
    </row>
    <row r="162" spans="1:10" ht="19" x14ac:dyDescent="0.2">
      <c r="A162" s="143"/>
      <c r="B162" s="32"/>
      <c r="C162" s="3"/>
      <c r="D162" s="13"/>
      <c r="E162" s="15"/>
      <c r="F162" s="9"/>
      <c r="G162" s="9"/>
      <c r="H162" s="9"/>
      <c r="I162" s="9">
        <v>168000</v>
      </c>
      <c r="J162" s="9" t="s">
        <v>2595</v>
      </c>
    </row>
    <row r="163" spans="1:10" ht="19" x14ac:dyDescent="0.2">
      <c r="A163" s="205">
        <v>2723000</v>
      </c>
      <c r="B163" s="145">
        <v>45316</v>
      </c>
      <c r="C163" s="151" t="s">
        <v>9</v>
      </c>
      <c r="D163" s="147" t="s">
        <v>565</v>
      </c>
      <c r="E163" s="150">
        <v>2262000</v>
      </c>
      <c r="F163" s="139">
        <v>461000</v>
      </c>
      <c r="G163" s="139"/>
      <c r="H163" s="139"/>
      <c r="I163" s="139">
        <v>95000</v>
      </c>
      <c r="J163" s="139" t="s">
        <v>2596</v>
      </c>
    </row>
    <row r="164" spans="1:10" ht="19" x14ac:dyDescent="0.2">
      <c r="A164" s="143"/>
      <c r="B164" s="32"/>
      <c r="C164" s="35"/>
      <c r="D164" s="13"/>
      <c r="E164" s="15"/>
      <c r="F164" s="9"/>
      <c r="G164" s="9"/>
      <c r="H164" s="9"/>
      <c r="I164" s="9">
        <v>200000</v>
      </c>
      <c r="J164" s="9" t="s">
        <v>2049</v>
      </c>
    </row>
    <row r="165" spans="1:10" ht="19" x14ac:dyDescent="0.2">
      <c r="A165" s="148">
        <v>2297000</v>
      </c>
      <c r="B165" s="145"/>
      <c r="C165" s="151" t="s">
        <v>10</v>
      </c>
      <c r="D165" s="160" t="s">
        <v>685</v>
      </c>
      <c r="E165" s="150">
        <v>1907000</v>
      </c>
      <c r="F165" s="139">
        <v>390000</v>
      </c>
      <c r="G165" s="139"/>
      <c r="H165" s="139"/>
      <c r="I165" s="139">
        <v>120000</v>
      </c>
      <c r="J165" s="139" t="s">
        <v>827</v>
      </c>
    </row>
    <row r="166" spans="1:10" ht="19" x14ac:dyDescent="0.2">
      <c r="A166" s="142"/>
      <c r="B166" s="32"/>
      <c r="C166" s="35"/>
      <c r="D166" s="102"/>
      <c r="E166" s="15"/>
      <c r="F166" s="9"/>
      <c r="G166" s="9"/>
      <c r="H166" s="9"/>
      <c r="I166" s="9">
        <v>125000</v>
      </c>
      <c r="J166" s="9" t="s">
        <v>2588</v>
      </c>
    </row>
    <row r="167" spans="1:10" ht="19" x14ac:dyDescent="0.2">
      <c r="A167" s="144"/>
      <c r="B167" s="145"/>
      <c r="C167" s="159"/>
      <c r="D167" s="147"/>
      <c r="E167" s="150"/>
      <c r="F167" s="139"/>
      <c r="G167" s="139"/>
      <c r="H167" s="139"/>
      <c r="I167" s="139">
        <v>134000</v>
      </c>
      <c r="J167" s="262" t="s">
        <v>615</v>
      </c>
    </row>
    <row r="168" spans="1:10" ht="19" x14ac:dyDescent="0.2">
      <c r="A168" s="143">
        <v>3451000</v>
      </c>
      <c r="B168" s="32">
        <v>45317</v>
      </c>
      <c r="C168" s="49" t="s">
        <v>9</v>
      </c>
      <c r="D168" s="13" t="s">
        <v>565</v>
      </c>
      <c r="E168" s="15">
        <v>2759000</v>
      </c>
      <c r="F168" s="9">
        <v>692000</v>
      </c>
      <c r="G168" s="9"/>
      <c r="H168" s="9"/>
      <c r="I168" s="9">
        <v>84000</v>
      </c>
      <c r="J168" s="9" t="s">
        <v>1016</v>
      </c>
    </row>
    <row r="169" spans="1:10" ht="19" x14ac:dyDescent="0.2">
      <c r="A169" s="144"/>
      <c r="B169" s="145"/>
      <c r="C169" s="146"/>
      <c r="D169" s="147"/>
      <c r="E169" s="150"/>
      <c r="F169" s="139"/>
      <c r="G169" s="139"/>
      <c r="H169" s="139"/>
      <c r="I169" s="139">
        <v>330000</v>
      </c>
      <c r="J169" s="139" t="s">
        <v>2576</v>
      </c>
    </row>
    <row r="170" spans="1:10" ht="19" x14ac:dyDescent="0.2">
      <c r="A170" s="143">
        <v>2024000</v>
      </c>
      <c r="B170" s="32"/>
      <c r="C170" s="49" t="s">
        <v>10</v>
      </c>
      <c r="D170" s="13" t="s">
        <v>685</v>
      </c>
      <c r="E170" s="15">
        <v>1496000</v>
      </c>
      <c r="F170" s="9">
        <v>528000</v>
      </c>
      <c r="G170" s="9"/>
      <c r="H170" s="9"/>
      <c r="I170" s="9"/>
      <c r="J170" s="9"/>
    </row>
    <row r="171" spans="1:10" ht="19" x14ac:dyDescent="0.2">
      <c r="A171" s="144"/>
      <c r="B171" s="145"/>
      <c r="C171" s="263"/>
      <c r="D171" s="147"/>
      <c r="E171" s="150"/>
      <c r="F171" s="139"/>
      <c r="G171" s="139"/>
      <c r="H171" s="139"/>
      <c r="I171" s="139"/>
      <c r="J171" s="139"/>
    </row>
    <row r="172" spans="1:10" ht="19" x14ac:dyDescent="0.2">
      <c r="A172" s="143">
        <v>2735000</v>
      </c>
      <c r="B172" s="153">
        <v>45318</v>
      </c>
      <c r="C172" s="154" t="s">
        <v>9</v>
      </c>
      <c r="D172" s="155" t="s">
        <v>565</v>
      </c>
      <c r="E172" s="164">
        <v>2028000</v>
      </c>
      <c r="F172" s="119">
        <v>707000</v>
      </c>
      <c r="G172" s="119"/>
      <c r="H172" s="119"/>
      <c r="I172" s="119">
        <v>108000</v>
      </c>
      <c r="J172" s="119" t="s">
        <v>2138</v>
      </c>
    </row>
    <row r="173" spans="1:10" ht="19" x14ac:dyDescent="0.2">
      <c r="A173" s="144"/>
      <c r="B173" s="145"/>
      <c r="C173" s="151"/>
      <c r="D173" s="147"/>
      <c r="E173" s="150"/>
      <c r="F173" s="139"/>
      <c r="G173" s="139"/>
      <c r="H173" s="139"/>
      <c r="I173" s="139">
        <v>96500</v>
      </c>
      <c r="J173" s="139" t="s">
        <v>2597</v>
      </c>
    </row>
    <row r="174" spans="1:10" ht="19" x14ac:dyDescent="0.2">
      <c r="A174" s="143"/>
      <c r="B174" s="153"/>
      <c r="C174" s="163"/>
      <c r="D174" s="155"/>
      <c r="E174" s="164"/>
      <c r="F174" s="119"/>
      <c r="G174" s="119"/>
      <c r="H174" s="119"/>
      <c r="I174" s="119">
        <v>65000</v>
      </c>
      <c r="J174" s="119" t="s">
        <v>2598</v>
      </c>
    </row>
    <row r="175" spans="1:10" ht="19" x14ac:dyDescent="0.2">
      <c r="A175" s="144">
        <v>1645000</v>
      </c>
      <c r="B175" s="145"/>
      <c r="C175" s="151" t="s">
        <v>10</v>
      </c>
      <c r="D175" s="147" t="s">
        <v>685</v>
      </c>
      <c r="E175" s="150">
        <v>1347000</v>
      </c>
      <c r="F175" s="139">
        <v>298000</v>
      </c>
      <c r="G175" s="139"/>
      <c r="H175" s="139"/>
      <c r="I175" s="139">
        <v>65000</v>
      </c>
      <c r="J175" s="139" t="s">
        <v>2599</v>
      </c>
    </row>
    <row r="176" spans="1:10" ht="19" x14ac:dyDescent="0.2">
      <c r="A176" s="143"/>
      <c r="B176" s="153"/>
      <c r="C176" s="163"/>
      <c r="D176" s="155"/>
      <c r="E176" s="164"/>
      <c r="F176" s="119"/>
      <c r="G176" s="119"/>
      <c r="H176" s="119"/>
      <c r="I176" s="119">
        <v>50000</v>
      </c>
      <c r="J176" s="119" t="s">
        <v>59</v>
      </c>
    </row>
    <row r="177" spans="1:10" ht="19" x14ac:dyDescent="0.2">
      <c r="A177" s="144"/>
      <c r="B177" s="145">
        <v>45319</v>
      </c>
      <c r="C177" s="149"/>
      <c r="D177" s="147"/>
      <c r="E177" s="150"/>
      <c r="F177" s="139"/>
      <c r="G177" s="139"/>
      <c r="H177" s="139" t="s">
        <v>737</v>
      </c>
      <c r="I177" s="139"/>
      <c r="J177" s="139"/>
    </row>
    <row r="178" spans="1:10" ht="19" x14ac:dyDescent="0.2">
      <c r="A178" s="143">
        <v>2506000</v>
      </c>
      <c r="B178" s="153">
        <v>45320</v>
      </c>
      <c r="C178" s="171" t="s">
        <v>9</v>
      </c>
      <c r="D178" s="155" t="s">
        <v>565</v>
      </c>
      <c r="E178" s="164">
        <v>1935000</v>
      </c>
      <c r="F178" s="119">
        <v>571000</v>
      </c>
      <c r="G178" s="119">
        <v>2600000</v>
      </c>
      <c r="H178" s="119" t="s">
        <v>1045</v>
      </c>
      <c r="I178" s="119">
        <v>100000</v>
      </c>
      <c r="J178" s="119" t="s">
        <v>2600</v>
      </c>
    </row>
    <row r="179" spans="1:10" ht="19" x14ac:dyDescent="0.2">
      <c r="A179" s="144"/>
      <c r="B179" s="145"/>
      <c r="C179" s="149"/>
      <c r="D179" s="147"/>
      <c r="E179" s="150"/>
      <c r="F179" s="139"/>
      <c r="G179" s="139">
        <v>200000</v>
      </c>
      <c r="H179" s="139" t="s">
        <v>2601</v>
      </c>
      <c r="I179" s="139">
        <v>100000</v>
      </c>
      <c r="J179" s="139" t="s">
        <v>2602</v>
      </c>
    </row>
    <row r="180" spans="1:10" ht="19" x14ac:dyDescent="0.2">
      <c r="A180" s="143"/>
      <c r="B180" s="32"/>
      <c r="C180" s="49"/>
      <c r="D180" s="13"/>
      <c r="E180" s="15"/>
      <c r="F180" s="9"/>
      <c r="G180" s="9"/>
      <c r="H180" s="9"/>
      <c r="I180" s="9">
        <v>140000</v>
      </c>
      <c r="J180" s="9" t="s">
        <v>881</v>
      </c>
    </row>
    <row r="181" spans="1:10" ht="19" x14ac:dyDescent="0.2">
      <c r="A181" s="144">
        <v>1630000</v>
      </c>
      <c r="B181" s="145"/>
      <c r="C181" s="149" t="s">
        <v>10</v>
      </c>
      <c r="D181" s="147" t="s">
        <v>685</v>
      </c>
      <c r="E181" s="150">
        <v>1312000</v>
      </c>
      <c r="F181" s="139">
        <v>318000</v>
      </c>
      <c r="G181" s="139"/>
      <c r="H181" s="139"/>
      <c r="I181" s="139">
        <v>125000</v>
      </c>
      <c r="J181" s="139" t="s">
        <v>2129</v>
      </c>
    </row>
    <row r="182" spans="1:10" ht="19" x14ac:dyDescent="0.2">
      <c r="A182" s="143"/>
      <c r="B182" s="32"/>
      <c r="C182" s="49"/>
      <c r="D182" s="13"/>
      <c r="E182" s="15"/>
      <c r="F182" s="9"/>
      <c r="G182" s="9"/>
      <c r="H182" s="9"/>
      <c r="I182" s="9">
        <v>80000</v>
      </c>
      <c r="J182" s="9" t="s">
        <v>751</v>
      </c>
    </row>
    <row r="183" spans="1:10" ht="19" x14ac:dyDescent="0.2">
      <c r="A183" s="144"/>
      <c r="B183" s="145"/>
      <c r="C183" s="149"/>
      <c r="D183" s="147"/>
      <c r="E183" s="150"/>
      <c r="F183" s="139"/>
      <c r="G183" s="139"/>
      <c r="H183" s="139"/>
      <c r="I183" s="139">
        <v>144000</v>
      </c>
      <c r="J183" s="139" t="s">
        <v>615</v>
      </c>
    </row>
    <row r="184" spans="1:10" ht="19" x14ac:dyDescent="0.2">
      <c r="A184" s="143"/>
      <c r="B184" s="32"/>
      <c r="C184" s="49"/>
      <c r="D184" s="13"/>
      <c r="E184" s="15"/>
      <c r="F184" s="9"/>
      <c r="G184" s="9"/>
      <c r="H184" s="9"/>
      <c r="I184" s="9">
        <v>200000</v>
      </c>
      <c r="J184" s="9" t="s">
        <v>2049</v>
      </c>
    </row>
    <row r="185" spans="1:10" ht="19" x14ac:dyDescent="0.2">
      <c r="A185" s="144">
        <v>2852000</v>
      </c>
      <c r="B185" s="145">
        <v>45321</v>
      </c>
      <c r="C185" s="149" t="s">
        <v>9</v>
      </c>
      <c r="D185" s="147" t="s">
        <v>565</v>
      </c>
      <c r="E185" s="150">
        <v>2168000</v>
      </c>
      <c r="F185" s="139">
        <v>684000</v>
      </c>
      <c r="G185" s="139"/>
      <c r="H185" s="139"/>
      <c r="I185" s="139">
        <v>120000</v>
      </c>
      <c r="J185" s="139" t="s">
        <v>827</v>
      </c>
    </row>
    <row r="186" spans="1:10" ht="19" x14ac:dyDescent="0.2">
      <c r="A186" s="143"/>
      <c r="B186" s="32"/>
      <c r="C186" s="2"/>
      <c r="D186" s="13"/>
      <c r="E186" s="15"/>
      <c r="F186" s="9"/>
      <c r="G186" s="9"/>
      <c r="H186" s="9"/>
      <c r="I186" s="9">
        <v>150000</v>
      </c>
      <c r="J186" s="9" t="s">
        <v>2603</v>
      </c>
    </row>
    <row r="187" spans="1:10" ht="19" x14ac:dyDescent="0.2">
      <c r="A187" s="144"/>
      <c r="B187" s="145"/>
      <c r="C187" s="149"/>
      <c r="D187" s="147"/>
      <c r="E187" s="150"/>
      <c r="F187" s="139"/>
      <c r="G187" s="139"/>
      <c r="H187" s="139"/>
      <c r="I187" s="139">
        <v>150000</v>
      </c>
      <c r="J187" s="139" t="s">
        <v>2604</v>
      </c>
    </row>
    <row r="188" spans="1:10" ht="19" x14ac:dyDescent="0.2">
      <c r="A188" s="143">
        <v>1786000</v>
      </c>
      <c r="B188" s="32"/>
      <c r="C188" s="3" t="s">
        <v>10</v>
      </c>
      <c r="D188" s="13" t="s">
        <v>685</v>
      </c>
      <c r="E188" s="15">
        <v>1520000</v>
      </c>
      <c r="F188" s="9">
        <v>266000</v>
      </c>
      <c r="G188" s="9"/>
      <c r="H188" s="9"/>
      <c r="I188" s="9">
        <v>105000</v>
      </c>
      <c r="J188" s="9" t="s">
        <v>2605</v>
      </c>
    </row>
    <row r="189" spans="1:10" ht="19" x14ac:dyDescent="0.2">
      <c r="A189" s="144"/>
      <c r="B189" s="145"/>
      <c r="C189" s="149"/>
      <c r="D189" s="147"/>
      <c r="E189" s="150"/>
      <c r="F189" s="139"/>
      <c r="G189" s="139"/>
      <c r="H189" s="139"/>
      <c r="I189" s="139">
        <v>73000</v>
      </c>
      <c r="J189" s="139" t="s">
        <v>2606</v>
      </c>
    </row>
    <row r="190" spans="1:10" ht="19" x14ac:dyDescent="0.2">
      <c r="A190" s="143"/>
      <c r="B190" s="32"/>
      <c r="C190" s="49"/>
      <c r="D190" s="13"/>
      <c r="E190" s="15"/>
      <c r="F190" s="9"/>
      <c r="G190" s="9"/>
      <c r="H190" s="9"/>
      <c r="I190" s="9">
        <v>30500</v>
      </c>
      <c r="J190" s="9" t="s">
        <v>2607</v>
      </c>
    </row>
    <row r="191" spans="1:10" ht="19" x14ac:dyDescent="0.2">
      <c r="A191" s="144"/>
      <c r="B191" s="145"/>
      <c r="C191" s="149"/>
      <c r="D191" s="147"/>
      <c r="E191" s="150"/>
      <c r="F191" s="139"/>
      <c r="G191" s="139"/>
      <c r="H191" s="139"/>
      <c r="I191" s="139">
        <v>10500</v>
      </c>
      <c r="J191" s="139" t="s">
        <v>642</v>
      </c>
    </row>
    <row r="192" spans="1:10" ht="32" x14ac:dyDescent="0.2">
      <c r="A192" s="143">
        <v>3237000</v>
      </c>
      <c r="B192" s="32">
        <v>45322</v>
      </c>
      <c r="C192" s="35" t="s">
        <v>9</v>
      </c>
      <c r="D192" s="13" t="s">
        <v>565</v>
      </c>
      <c r="E192" s="15">
        <v>2613000</v>
      </c>
      <c r="F192" s="9">
        <v>624000</v>
      </c>
      <c r="G192" s="9">
        <v>3612000</v>
      </c>
      <c r="H192" s="47" t="s">
        <v>2608</v>
      </c>
      <c r="I192" s="9">
        <v>83000</v>
      </c>
      <c r="J192" s="9" t="s">
        <v>2609</v>
      </c>
    </row>
    <row r="193" spans="1:10" ht="19" x14ac:dyDescent="0.2">
      <c r="A193" s="144"/>
      <c r="B193" s="145"/>
      <c r="C193" s="149"/>
      <c r="D193" s="147"/>
      <c r="E193" s="150"/>
      <c r="F193" s="139"/>
      <c r="G193" s="139">
        <v>400000</v>
      </c>
      <c r="H193" s="139" t="s">
        <v>2610</v>
      </c>
      <c r="I193" s="139">
        <v>70000</v>
      </c>
      <c r="J193" s="139" t="s">
        <v>908</v>
      </c>
    </row>
    <row r="194" spans="1:10" ht="19" x14ac:dyDescent="0.2">
      <c r="A194" s="143">
        <v>1067000</v>
      </c>
      <c r="B194" s="32"/>
      <c r="C194" s="35" t="s">
        <v>10</v>
      </c>
      <c r="D194" s="13" t="s">
        <v>685</v>
      </c>
      <c r="E194" s="15">
        <v>927000</v>
      </c>
      <c r="F194" s="9">
        <v>140000</v>
      </c>
      <c r="G194" s="9">
        <v>2187000</v>
      </c>
      <c r="H194" s="9" t="s">
        <v>1868</v>
      </c>
      <c r="I194" s="9">
        <v>200000</v>
      </c>
      <c r="J194" s="9" t="s">
        <v>2049</v>
      </c>
    </row>
    <row r="195" spans="1:10" ht="19" x14ac:dyDescent="0.2">
      <c r="A195" s="144"/>
      <c r="B195" s="145"/>
      <c r="C195" s="149"/>
      <c r="D195" s="147"/>
      <c r="E195" s="150"/>
      <c r="F195" s="139"/>
      <c r="G195" s="139">
        <v>1200000</v>
      </c>
      <c r="H195" s="139" t="s">
        <v>717</v>
      </c>
      <c r="I195" s="139">
        <v>120000</v>
      </c>
      <c r="J195" s="139" t="s">
        <v>827</v>
      </c>
    </row>
    <row r="196" spans="1:10" ht="19" x14ac:dyDescent="0.2">
      <c r="A196" s="143"/>
      <c r="B196" s="153"/>
      <c r="C196" s="171"/>
      <c r="D196" s="155"/>
      <c r="E196" s="164"/>
      <c r="F196" s="119"/>
      <c r="G196" s="119"/>
      <c r="H196" s="119"/>
      <c r="I196" s="119">
        <v>276000</v>
      </c>
      <c r="J196" s="119" t="s">
        <v>2611</v>
      </c>
    </row>
    <row r="197" spans="1:10" ht="19" x14ac:dyDescent="0.2">
      <c r="A197" s="144"/>
      <c r="B197" s="145"/>
      <c r="C197" s="149"/>
      <c r="D197" s="147"/>
      <c r="E197" s="150"/>
      <c r="F197" s="139"/>
      <c r="G197" s="139"/>
      <c r="H197" s="139"/>
      <c r="I197" s="139"/>
      <c r="J197" s="139"/>
    </row>
    <row r="198" spans="1:10" ht="19" x14ac:dyDescent="0.2">
      <c r="A198" s="143"/>
      <c r="B198" s="32"/>
      <c r="C198" s="49"/>
      <c r="D198" s="13"/>
      <c r="E198" s="15"/>
      <c r="F198" s="9"/>
      <c r="G198" s="9"/>
      <c r="H198" s="9"/>
      <c r="I198" s="9"/>
      <c r="J198" s="9"/>
    </row>
  </sheetData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3:J177"/>
  <sheetViews>
    <sheetView workbookViewId="0">
      <selection activeCell="E21" sqref="E21"/>
    </sheetView>
  </sheetViews>
  <sheetFormatPr baseColWidth="10" defaultColWidth="11.5" defaultRowHeight="15" x14ac:dyDescent="0.2"/>
  <cols>
    <col min="1" max="1" width="21.83203125" bestFit="1" customWidth="1"/>
    <col min="3" max="3" width="12.83203125" customWidth="1"/>
    <col min="4" max="4" width="18.33203125" customWidth="1"/>
    <col min="5" max="5" width="20.33203125" bestFit="1" customWidth="1"/>
    <col min="6" max="6" width="25.1640625" customWidth="1"/>
    <col min="7" max="7" width="22.83203125" customWidth="1"/>
    <col min="8" max="8" width="28" customWidth="1"/>
    <col min="9" max="9" width="26" customWidth="1"/>
    <col min="10" max="10" width="33.83203125" customWidth="1"/>
  </cols>
  <sheetData>
    <row r="3" spans="1:10" ht="21" x14ac:dyDescent="0.2">
      <c r="G3" s="73"/>
      <c r="H3" s="71" t="s">
        <v>174</v>
      </c>
      <c r="I3" s="71">
        <f>K10/A10</f>
        <v>0</v>
      </c>
    </row>
    <row r="4" spans="1:10" ht="21" x14ac:dyDescent="0.2">
      <c r="F4" s="212" t="s">
        <v>1802</v>
      </c>
      <c r="G4" s="213"/>
      <c r="H4" s="71" t="s">
        <v>2314</v>
      </c>
      <c r="I4" s="71">
        <v>26122000</v>
      </c>
      <c r="J4" s="72">
        <f>I4/10820</f>
        <v>2414.2329020332718</v>
      </c>
    </row>
    <row r="5" spans="1:10" ht="24" x14ac:dyDescent="0.3">
      <c r="B5" s="99" t="s">
        <v>2682</v>
      </c>
      <c r="G5" s="73"/>
      <c r="H5" s="71" t="s">
        <v>2315</v>
      </c>
      <c r="I5" s="71">
        <v>26122000</v>
      </c>
      <c r="J5" s="72">
        <f>I5/10820</f>
        <v>2414.2329020332718</v>
      </c>
    </row>
    <row r="6" spans="1:10" ht="24" x14ac:dyDescent="0.3">
      <c r="B6" s="99"/>
      <c r="G6" s="73"/>
      <c r="H6" s="71" t="s">
        <v>178</v>
      </c>
      <c r="I6" s="71">
        <v>16070296</v>
      </c>
      <c r="J6" s="72" t="s">
        <v>2687</v>
      </c>
    </row>
    <row r="7" spans="1:10" ht="26" x14ac:dyDescent="0.3">
      <c r="B7" s="100" t="s">
        <v>2686</v>
      </c>
    </row>
    <row r="9" spans="1:10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0" ht="21" x14ac:dyDescent="0.2">
      <c r="A10" s="69">
        <f>SUM(A11:A285)</f>
        <v>127682000</v>
      </c>
      <c r="B10" s="65"/>
      <c r="C10" s="66" t="s">
        <v>13</v>
      </c>
      <c r="D10" s="67"/>
      <c r="E10" s="68">
        <f>SUM(E11:E285)</f>
        <v>94900000</v>
      </c>
      <c r="F10" s="69">
        <f>SUM(F11:F285)</f>
        <v>32782000</v>
      </c>
      <c r="G10" s="69">
        <f>SUM(G11:G285)</f>
        <v>32810000</v>
      </c>
      <c r="H10" s="69"/>
      <c r="I10" s="69">
        <f>SUM(I11:I285)</f>
        <v>19268000</v>
      </c>
      <c r="J10" s="69"/>
    </row>
    <row r="11" spans="1:10" ht="19" x14ac:dyDescent="0.2">
      <c r="A11" s="276">
        <v>3732000</v>
      </c>
      <c r="B11" s="145">
        <v>45323</v>
      </c>
      <c r="C11" s="146" t="s">
        <v>9</v>
      </c>
      <c r="D11" s="147" t="s">
        <v>565</v>
      </c>
      <c r="E11" s="139">
        <v>2983000</v>
      </c>
      <c r="F11" s="139">
        <v>749000</v>
      </c>
      <c r="G11" s="139">
        <v>450000</v>
      </c>
      <c r="H11" s="139" t="s">
        <v>2683</v>
      </c>
      <c r="I11" s="139">
        <v>500000</v>
      </c>
      <c r="J11" s="139" t="s">
        <v>741</v>
      </c>
    </row>
    <row r="12" spans="1:10" ht="19" x14ac:dyDescent="0.2">
      <c r="A12" s="142"/>
      <c r="B12" s="32"/>
      <c r="C12" s="49"/>
      <c r="D12" s="13"/>
      <c r="E12" s="15"/>
      <c r="F12" s="9"/>
      <c r="G12" s="9"/>
      <c r="H12" s="9"/>
      <c r="I12" s="9">
        <v>120000</v>
      </c>
      <c r="J12" s="9" t="s">
        <v>703</v>
      </c>
    </row>
    <row r="13" spans="1:10" ht="19" x14ac:dyDescent="0.2">
      <c r="A13" s="148"/>
      <c r="B13" s="145"/>
      <c r="C13" s="149"/>
      <c r="D13" s="147"/>
      <c r="E13" s="150"/>
      <c r="F13" s="139"/>
      <c r="G13" s="139"/>
      <c r="H13" s="139"/>
      <c r="I13" s="139">
        <v>55000</v>
      </c>
      <c r="J13" s="139" t="s">
        <v>1093</v>
      </c>
    </row>
    <row r="14" spans="1:10" ht="19" x14ac:dyDescent="0.2">
      <c r="A14" s="142">
        <v>1928000</v>
      </c>
      <c r="B14" s="32"/>
      <c r="C14" s="49" t="s">
        <v>10</v>
      </c>
      <c r="D14" s="13" t="s">
        <v>685</v>
      </c>
      <c r="E14" s="15">
        <v>1565000</v>
      </c>
      <c r="F14" s="9">
        <v>363000</v>
      </c>
      <c r="G14" s="9"/>
      <c r="H14" s="9"/>
      <c r="I14" s="9">
        <v>50000</v>
      </c>
      <c r="J14" s="9" t="s">
        <v>942</v>
      </c>
    </row>
    <row r="15" spans="1:10" ht="19" x14ac:dyDescent="0.2">
      <c r="A15" s="148"/>
      <c r="B15" s="145"/>
      <c r="C15" s="149"/>
      <c r="D15" s="147"/>
      <c r="E15" s="150"/>
      <c r="F15" s="139"/>
      <c r="G15" s="139"/>
      <c r="H15" s="139"/>
      <c r="I15" s="139">
        <v>29000</v>
      </c>
      <c r="J15" s="139" t="s">
        <v>2619</v>
      </c>
    </row>
    <row r="16" spans="1:10" ht="19" x14ac:dyDescent="0.2">
      <c r="A16" s="143">
        <v>2540000</v>
      </c>
      <c r="B16" s="153">
        <v>45324</v>
      </c>
      <c r="C16" s="163" t="s">
        <v>9</v>
      </c>
      <c r="D16" s="155" t="s">
        <v>565</v>
      </c>
      <c r="E16" s="164">
        <v>1704000</v>
      </c>
      <c r="F16" s="119">
        <v>836000</v>
      </c>
      <c r="G16" s="175"/>
      <c r="H16" s="175"/>
      <c r="I16" s="119">
        <v>130000</v>
      </c>
      <c r="J16" s="119" t="s">
        <v>2620</v>
      </c>
    </row>
    <row r="17" spans="1:10" ht="19" x14ac:dyDescent="0.2">
      <c r="A17" s="144"/>
      <c r="B17" s="145"/>
      <c r="C17" s="151"/>
      <c r="D17" s="147"/>
      <c r="E17" s="150"/>
      <c r="F17" s="139"/>
      <c r="G17" s="139"/>
      <c r="H17" s="139"/>
      <c r="I17" s="139"/>
      <c r="J17" s="139"/>
    </row>
    <row r="18" spans="1:10" ht="19" x14ac:dyDescent="0.2">
      <c r="A18" s="143">
        <v>1807000</v>
      </c>
      <c r="B18" s="153"/>
      <c r="C18" s="163" t="s">
        <v>10</v>
      </c>
      <c r="D18" s="155" t="s">
        <v>685</v>
      </c>
      <c r="E18" s="164">
        <v>1603000</v>
      </c>
      <c r="F18" s="119">
        <v>204000</v>
      </c>
      <c r="G18" s="119"/>
      <c r="H18" s="119"/>
      <c r="I18" s="119">
        <v>50000</v>
      </c>
      <c r="J18" s="119" t="s">
        <v>206</v>
      </c>
    </row>
    <row r="19" spans="1:10" ht="19" x14ac:dyDescent="0.2">
      <c r="A19" s="144"/>
      <c r="B19" s="145"/>
      <c r="C19" s="151"/>
      <c r="D19" s="147"/>
      <c r="E19" s="150"/>
      <c r="F19" s="139"/>
      <c r="G19" s="139"/>
      <c r="H19" s="139"/>
      <c r="I19" s="139"/>
      <c r="J19" s="139"/>
    </row>
    <row r="20" spans="1:10" ht="19" x14ac:dyDescent="0.2">
      <c r="A20" s="143">
        <v>2813000</v>
      </c>
      <c r="B20" s="153">
        <v>45325</v>
      </c>
      <c r="C20" s="163" t="s">
        <v>9</v>
      </c>
      <c r="D20" s="155" t="s">
        <v>565</v>
      </c>
      <c r="E20" s="164">
        <v>2139000</v>
      </c>
      <c r="F20" s="119">
        <v>674000</v>
      </c>
      <c r="G20" s="119"/>
      <c r="H20" s="119"/>
      <c r="I20" s="119">
        <v>125000</v>
      </c>
      <c r="J20" s="119" t="s">
        <v>2621</v>
      </c>
    </row>
    <row r="21" spans="1:10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80000</v>
      </c>
      <c r="J21" s="139" t="s">
        <v>751</v>
      </c>
    </row>
    <row r="22" spans="1:10" ht="19" x14ac:dyDescent="0.2">
      <c r="A22" s="143">
        <v>2157000</v>
      </c>
      <c r="B22" s="153"/>
      <c r="C22" s="163" t="s">
        <v>10</v>
      </c>
      <c r="D22" s="155" t="s">
        <v>685</v>
      </c>
      <c r="E22" s="164">
        <v>1564000</v>
      </c>
      <c r="F22" s="119">
        <v>593000</v>
      </c>
      <c r="G22" s="119"/>
      <c r="H22" s="119"/>
      <c r="I22" s="119">
        <v>144000</v>
      </c>
      <c r="J22" s="119" t="s">
        <v>615</v>
      </c>
    </row>
    <row r="23" spans="1:10" ht="19" x14ac:dyDescent="0.2">
      <c r="A23" s="144"/>
      <c r="B23" s="145"/>
      <c r="C23" s="149"/>
      <c r="D23" s="147"/>
      <c r="E23" s="150"/>
      <c r="F23" s="139"/>
      <c r="G23" s="139"/>
      <c r="H23" s="139"/>
      <c r="I23" s="139">
        <v>2000000</v>
      </c>
      <c r="J23" s="139" t="s">
        <v>2162</v>
      </c>
    </row>
    <row r="24" spans="1:10" ht="19" x14ac:dyDescent="0.2">
      <c r="A24" s="143"/>
      <c r="B24" s="32">
        <v>45326</v>
      </c>
      <c r="C24" s="49"/>
      <c r="D24" s="13"/>
      <c r="E24" s="15"/>
      <c r="F24" s="9"/>
      <c r="G24" s="9"/>
      <c r="H24" s="9" t="s">
        <v>737</v>
      </c>
      <c r="I24" s="9"/>
      <c r="J24" s="9"/>
    </row>
    <row r="25" spans="1:10" ht="19" x14ac:dyDescent="0.2">
      <c r="A25" s="144"/>
      <c r="B25" s="145"/>
      <c r="C25" s="149"/>
      <c r="D25" s="147"/>
      <c r="E25" s="150"/>
      <c r="F25" s="139"/>
      <c r="G25" s="139"/>
      <c r="H25" s="139"/>
      <c r="I25" s="139"/>
      <c r="J25" s="139"/>
    </row>
    <row r="26" spans="1:10" ht="19" x14ac:dyDescent="0.2">
      <c r="A26" s="142">
        <v>3011000</v>
      </c>
      <c r="B26" s="32">
        <v>45327</v>
      </c>
      <c r="C26" s="49" t="s">
        <v>9</v>
      </c>
      <c r="D26" s="13" t="s">
        <v>2622</v>
      </c>
      <c r="E26" s="15">
        <v>2422000</v>
      </c>
      <c r="F26" s="9">
        <v>589000</v>
      </c>
      <c r="G26" s="9"/>
      <c r="H26" s="9"/>
      <c r="I26" s="9">
        <v>108000</v>
      </c>
      <c r="J26" s="9" t="s">
        <v>1282</v>
      </c>
    </row>
    <row r="27" spans="1:10" ht="19" x14ac:dyDescent="0.2">
      <c r="A27" s="148"/>
      <c r="B27" s="145"/>
      <c r="C27" s="149"/>
      <c r="D27" s="147"/>
      <c r="E27" s="150"/>
      <c r="F27" s="139"/>
      <c r="G27" s="139"/>
      <c r="H27" s="139"/>
      <c r="I27" s="139">
        <v>36000</v>
      </c>
      <c r="J27" s="139" t="s">
        <v>2623</v>
      </c>
    </row>
    <row r="28" spans="1:10" ht="19" x14ac:dyDescent="0.2">
      <c r="A28" s="142">
        <v>1701000</v>
      </c>
      <c r="B28" s="153"/>
      <c r="C28" s="171" t="s">
        <v>10</v>
      </c>
      <c r="D28" s="155" t="s">
        <v>685</v>
      </c>
      <c r="E28" s="164">
        <v>1134000</v>
      </c>
      <c r="F28" s="119">
        <v>567000</v>
      </c>
      <c r="G28" s="119"/>
      <c r="H28" s="119"/>
      <c r="I28" s="119">
        <v>196000</v>
      </c>
      <c r="J28" s="119" t="s">
        <v>2098</v>
      </c>
    </row>
    <row r="29" spans="1:10" ht="19" x14ac:dyDescent="0.2">
      <c r="A29" s="148"/>
      <c r="B29" s="145"/>
      <c r="C29" s="149"/>
      <c r="D29" s="147"/>
      <c r="E29" s="150"/>
      <c r="F29" s="139"/>
      <c r="G29" s="139"/>
      <c r="H29" s="139"/>
      <c r="I29" s="139">
        <v>264000</v>
      </c>
      <c r="J29" s="139" t="s">
        <v>1397</v>
      </c>
    </row>
    <row r="30" spans="1:10" ht="19" x14ac:dyDescent="0.2">
      <c r="A30" s="143">
        <v>3727000</v>
      </c>
      <c r="B30" s="32">
        <v>45328</v>
      </c>
      <c r="C30" s="49" t="s">
        <v>9</v>
      </c>
      <c r="D30" s="13" t="s">
        <v>2622</v>
      </c>
      <c r="E30" s="15">
        <v>2799000</v>
      </c>
      <c r="F30" s="9">
        <v>928000</v>
      </c>
      <c r="G30" s="9">
        <v>400000</v>
      </c>
      <c r="H30" s="9" t="s">
        <v>1523</v>
      </c>
      <c r="I30" s="9">
        <v>12000</v>
      </c>
      <c r="J30" s="9" t="s">
        <v>1934</v>
      </c>
    </row>
    <row r="31" spans="1:10" ht="19" x14ac:dyDescent="0.2">
      <c r="A31" s="144"/>
      <c r="B31" s="145"/>
      <c r="C31" s="149"/>
      <c r="D31" s="147"/>
      <c r="E31" s="150"/>
      <c r="F31" s="139"/>
      <c r="G31" s="139">
        <v>1715000</v>
      </c>
      <c r="H31" s="139" t="s">
        <v>2681</v>
      </c>
      <c r="I31" s="139">
        <v>45000</v>
      </c>
      <c r="J31" s="139" t="s">
        <v>2624</v>
      </c>
    </row>
    <row r="32" spans="1:10" ht="19" x14ac:dyDescent="0.2">
      <c r="A32" s="143"/>
      <c r="B32" s="32"/>
      <c r="C32" s="49"/>
      <c r="D32" s="13"/>
      <c r="E32" s="15"/>
      <c r="F32" s="9"/>
      <c r="G32" s="9"/>
      <c r="H32" s="9"/>
      <c r="I32" s="9">
        <v>53000</v>
      </c>
      <c r="J32" s="9" t="s">
        <v>2625</v>
      </c>
    </row>
    <row r="33" spans="1:10" ht="19" x14ac:dyDescent="0.2">
      <c r="A33" s="144"/>
      <c r="B33" s="145"/>
      <c r="C33" s="149"/>
      <c r="D33" s="147"/>
      <c r="E33" s="150"/>
      <c r="F33" s="139"/>
      <c r="G33" s="139"/>
      <c r="H33" s="139"/>
      <c r="I33" s="139">
        <v>61000</v>
      </c>
      <c r="J33" s="139" t="s">
        <v>2626</v>
      </c>
    </row>
    <row r="34" spans="1:10" ht="19" x14ac:dyDescent="0.2">
      <c r="A34" s="143">
        <v>1542000</v>
      </c>
      <c r="B34" s="32"/>
      <c r="C34" s="49" t="s">
        <v>10</v>
      </c>
      <c r="D34" s="13" t="s">
        <v>685</v>
      </c>
      <c r="E34" s="15">
        <v>896000</v>
      </c>
      <c r="F34" s="9">
        <v>646000</v>
      </c>
      <c r="G34" s="9"/>
      <c r="H34" s="9"/>
      <c r="I34" s="9">
        <v>200000</v>
      </c>
      <c r="J34" s="9" t="s">
        <v>1614</v>
      </c>
    </row>
    <row r="35" spans="1:10" ht="19" x14ac:dyDescent="0.2">
      <c r="A35" s="144"/>
      <c r="B35" s="145"/>
      <c r="C35" s="149"/>
      <c r="D35" s="147"/>
      <c r="E35" s="150"/>
      <c r="F35" s="139"/>
      <c r="G35" s="139"/>
      <c r="H35" s="139"/>
      <c r="I35" s="139">
        <v>35000</v>
      </c>
      <c r="J35" s="139" t="s">
        <v>1467</v>
      </c>
    </row>
    <row r="36" spans="1:10" ht="19" x14ac:dyDescent="0.2">
      <c r="A36" s="143"/>
      <c r="B36" s="32"/>
      <c r="C36" s="49"/>
      <c r="D36" s="13"/>
      <c r="E36" s="15"/>
      <c r="F36" s="9"/>
      <c r="G36" s="9"/>
      <c r="H36" s="135"/>
      <c r="I36" s="9">
        <v>120000</v>
      </c>
      <c r="J36" s="9" t="s">
        <v>1710</v>
      </c>
    </row>
    <row r="37" spans="1:10" ht="19" x14ac:dyDescent="0.2">
      <c r="A37" s="144">
        <v>2708000</v>
      </c>
      <c r="B37" s="145">
        <v>45329</v>
      </c>
      <c r="C37" s="149" t="s">
        <v>9</v>
      </c>
      <c r="D37" s="147" t="s">
        <v>2627</v>
      </c>
      <c r="E37" s="150">
        <v>1747000</v>
      </c>
      <c r="F37" s="139">
        <v>961000</v>
      </c>
      <c r="G37" s="139"/>
      <c r="H37" s="139"/>
      <c r="I37" s="139">
        <v>182000</v>
      </c>
      <c r="J37" s="139" t="s">
        <v>2255</v>
      </c>
    </row>
    <row r="38" spans="1:10" ht="19" x14ac:dyDescent="0.2">
      <c r="A38" s="143"/>
      <c r="B38" s="32"/>
      <c r="C38" s="49"/>
      <c r="D38" s="13"/>
      <c r="E38" s="15"/>
      <c r="F38" s="9"/>
      <c r="G38" s="9"/>
      <c r="H38" s="9"/>
      <c r="I38" s="9">
        <v>7000</v>
      </c>
      <c r="J38" s="9" t="s">
        <v>1580</v>
      </c>
    </row>
    <row r="39" spans="1:10" ht="19" x14ac:dyDescent="0.2">
      <c r="A39" s="144"/>
      <c r="B39" s="145"/>
      <c r="C39" s="149"/>
      <c r="D39" s="147"/>
      <c r="E39" s="150"/>
      <c r="F39" s="139"/>
      <c r="G39" s="139"/>
      <c r="H39" s="139"/>
      <c r="I39" s="139">
        <v>30000</v>
      </c>
      <c r="J39" s="139" t="s">
        <v>2628</v>
      </c>
    </row>
    <row r="40" spans="1:10" ht="19" x14ac:dyDescent="0.2">
      <c r="A40" s="143"/>
      <c r="B40" s="153"/>
      <c r="C40" s="171"/>
      <c r="D40" s="155"/>
      <c r="E40" s="164"/>
      <c r="F40" s="119"/>
      <c r="G40" s="119"/>
      <c r="H40" s="119"/>
      <c r="I40" s="119">
        <v>18000</v>
      </c>
      <c r="J40" s="119" t="s">
        <v>2629</v>
      </c>
    </row>
    <row r="41" spans="1:10" ht="19" x14ac:dyDescent="0.2">
      <c r="A41" s="144"/>
      <c r="B41" s="145"/>
      <c r="C41" s="149"/>
      <c r="D41" s="147"/>
      <c r="E41" s="150"/>
      <c r="F41" s="139"/>
      <c r="G41" s="139"/>
      <c r="H41" s="139"/>
      <c r="I41" s="139">
        <v>45000</v>
      </c>
      <c r="J41" s="139" t="s">
        <v>1493</v>
      </c>
    </row>
    <row r="42" spans="1:10" ht="19" x14ac:dyDescent="0.2">
      <c r="A42" s="143"/>
      <c r="B42" s="153"/>
      <c r="C42" s="171"/>
      <c r="D42" s="155"/>
      <c r="E42" s="164"/>
      <c r="F42" s="119"/>
      <c r="G42" s="119"/>
      <c r="H42" s="119"/>
      <c r="I42" s="119">
        <v>28000</v>
      </c>
      <c r="J42" s="119" t="s">
        <v>2630</v>
      </c>
    </row>
    <row r="43" spans="1:10" ht="19" x14ac:dyDescent="0.2">
      <c r="A43" s="144"/>
      <c r="B43" s="145"/>
      <c r="C43" s="149"/>
      <c r="D43" s="147"/>
      <c r="E43" s="150"/>
      <c r="F43" s="139"/>
      <c r="G43" s="139"/>
      <c r="H43" s="139"/>
      <c r="I43" s="139">
        <v>92000</v>
      </c>
      <c r="J43" s="139" t="s">
        <v>2631</v>
      </c>
    </row>
    <row r="44" spans="1:10" ht="19" x14ac:dyDescent="0.2">
      <c r="A44" s="143">
        <v>1282000</v>
      </c>
      <c r="B44" s="153"/>
      <c r="C44" s="171" t="s">
        <v>10</v>
      </c>
      <c r="D44" s="155" t="s">
        <v>685</v>
      </c>
      <c r="E44" s="164">
        <v>1122000</v>
      </c>
      <c r="F44" s="119">
        <v>160000</v>
      </c>
      <c r="G44" s="119"/>
      <c r="H44" s="119"/>
      <c r="I44" s="119"/>
      <c r="J44" s="119"/>
    </row>
    <row r="45" spans="1:10" ht="19" x14ac:dyDescent="0.2">
      <c r="A45" s="144"/>
      <c r="B45" s="145"/>
      <c r="C45" s="149"/>
      <c r="D45" s="147"/>
      <c r="E45" s="150"/>
      <c r="F45" s="139"/>
      <c r="G45" s="139"/>
      <c r="H45" s="139"/>
      <c r="I45" s="139"/>
      <c r="J45" s="139"/>
    </row>
    <row r="46" spans="1:10" ht="19" x14ac:dyDescent="0.2">
      <c r="A46" s="143">
        <v>3465000</v>
      </c>
      <c r="B46" s="153">
        <v>45330</v>
      </c>
      <c r="C46" s="171" t="s">
        <v>9</v>
      </c>
      <c r="D46" s="155" t="s">
        <v>2627</v>
      </c>
      <c r="E46" s="164">
        <v>2774000</v>
      </c>
      <c r="F46" s="119">
        <v>691000</v>
      </c>
      <c r="G46" s="119"/>
      <c r="H46" s="119"/>
      <c r="I46" s="119">
        <v>65000</v>
      </c>
      <c r="J46" s="119" t="s">
        <v>2632</v>
      </c>
    </row>
    <row r="47" spans="1:10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65000</v>
      </c>
      <c r="J47" s="139" t="s">
        <v>2633</v>
      </c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/>
    </row>
    <row r="49" spans="1:10" ht="19" x14ac:dyDescent="0.2">
      <c r="A49" s="144">
        <v>1537000</v>
      </c>
      <c r="B49" s="145"/>
      <c r="C49" s="149" t="s">
        <v>10</v>
      </c>
      <c r="D49" s="147" t="s">
        <v>685</v>
      </c>
      <c r="E49" s="150">
        <v>1099000</v>
      </c>
      <c r="F49" s="139">
        <v>438000</v>
      </c>
      <c r="G49" s="139"/>
      <c r="H49" s="139"/>
      <c r="I49" s="139"/>
      <c r="J49" s="139"/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/>
      <c r="J50" s="119"/>
    </row>
    <row r="51" spans="1:10" ht="19" x14ac:dyDescent="0.2">
      <c r="A51" s="144">
        <v>2853000</v>
      </c>
      <c r="B51" s="145">
        <v>45331</v>
      </c>
      <c r="C51" s="149" t="s">
        <v>9</v>
      </c>
      <c r="D51" s="147" t="s">
        <v>2627</v>
      </c>
      <c r="E51" s="150">
        <v>1814000</v>
      </c>
      <c r="F51" s="139">
        <v>1039000</v>
      </c>
      <c r="G51" s="139"/>
      <c r="H51" s="139"/>
      <c r="I51" s="139">
        <v>154000</v>
      </c>
      <c r="J51" s="139" t="s">
        <v>1869</v>
      </c>
    </row>
    <row r="52" spans="1:10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125000</v>
      </c>
      <c r="J52" s="119" t="s">
        <v>1296</v>
      </c>
    </row>
    <row r="53" spans="1:10" ht="19" x14ac:dyDescent="0.2">
      <c r="A53" s="144"/>
      <c r="B53" s="145"/>
      <c r="C53" s="149"/>
      <c r="D53" s="147"/>
      <c r="E53" s="150"/>
      <c r="F53" s="139"/>
      <c r="G53" s="157"/>
      <c r="H53" s="139"/>
      <c r="I53" s="139">
        <v>80000</v>
      </c>
      <c r="J53" s="139" t="s">
        <v>1285</v>
      </c>
    </row>
    <row r="54" spans="1:10" ht="19" x14ac:dyDescent="0.2">
      <c r="A54" s="143"/>
      <c r="B54" s="153"/>
      <c r="C54" s="171"/>
      <c r="D54" s="155"/>
      <c r="E54" s="164"/>
      <c r="F54" s="119"/>
      <c r="G54" s="173"/>
      <c r="H54" s="119"/>
      <c r="I54" s="119">
        <v>144000</v>
      </c>
      <c r="J54" s="119" t="s">
        <v>1245</v>
      </c>
    </row>
    <row r="55" spans="1:10" ht="19" x14ac:dyDescent="0.2">
      <c r="A55" s="144">
        <v>2271000</v>
      </c>
      <c r="B55" s="145"/>
      <c r="C55" s="149" t="s">
        <v>10</v>
      </c>
      <c r="D55" s="147" t="s">
        <v>685</v>
      </c>
      <c r="E55" s="150">
        <v>1645000</v>
      </c>
      <c r="F55" s="139">
        <v>626000</v>
      </c>
      <c r="G55" s="157"/>
      <c r="H55" s="139"/>
      <c r="I55" s="139">
        <v>330000</v>
      </c>
      <c r="J55" s="139" t="s">
        <v>1648</v>
      </c>
    </row>
    <row r="56" spans="1:10" ht="19" x14ac:dyDescent="0.2">
      <c r="A56" s="143"/>
      <c r="B56" s="153"/>
      <c r="C56" s="171"/>
      <c r="D56" s="155"/>
      <c r="E56" s="164"/>
      <c r="F56" s="119"/>
      <c r="G56" s="119"/>
      <c r="H56" s="119"/>
      <c r="I56" s="119">
        <v>1017000</v>
      </c>
      <c r="J56" s="119" t="s">
        <v>2684</v>
      </c>
    </row>
    <row r="57" spans="1:10" ht="19" x14ac:dyDescent="0.2">
      <c r="A57" s="144">
        <v>2828000</v>
      </c>
      <c r="B57" s="145">
        <v>45332</v>
      </c>
      <c r="C57" s="149" t="s">
        <v>9</v>
      </c>
      <c r="D57" s="147" t="s">
        <v>2627</v>
      </c>
      <c r="E57" s="150">
        <v>1918000</v>
      </c>
      <c r="F57" s="139">
        <v>910000</v>
      </c>
      <c r="G57" s="139">
        <v>2600000</v>
      </c>
      <c r="H57" s="139" t="s">
        <v>812</v>
      </c>
      <c r="I57" s="139">
        <v>200000</v>
      </c>
      <c r="J57" s="139" t="s">
        <v>1614</v>
      </c>
    </row>
    <row r="58" spans="1:10" ht="19" x14ac:dyDescent="0.2">
      <c r="A58" s="143"/>
      <c r="B58" s="153"/>
      <c r="C58" s="171"/>
      <c r="D58" s="155"/>
      <c r="E58" s="164"/>
      <c r="F58" s="119"/>
      <c r="G58" s="119"/>
      <c r="H58" s="119"/>
      <c r="I58" s="119">
        <v>35000</v>
      </c>
      <c r="J58" s="119" t="s">
        <v>1467</v>
      </c>
    </row>
    <row r="59" spans="1:10" ht="19" x14ac:dyDescent="0.2">
      <c r="A59" s="144"/>
      <c r="B59" s="145"/>
      <c r="C59" s="149"/>
      <c r="D59" s="147"/>
      <c r="E59" s="150"/>
      <c r="F59" s="139"/>
      <c r="G59" s="139"/>
      <c r="H59" s="139"/>
      <c r="I59" s="139">
        <v>120000</v>
      </c>
      <c r="J59" s="139" t="s">
        <v>1710</v>
      </c>
    </row>
    <row r="60" spans="1:10" ht="19" x14ac:dyDescent="0.2">
      <c r="A60" s="143">
        <v>2165000</v>
      </c>
      <c r="B60" s="153"/>
      <c r="C60" s="171" t="s">
        <v>10</v>
      </c>
      <c r="D60" s="155" t="s">
        <v>685</v>
      </c>
      <c r="E60" s="164">
        <v>1762000</v>
      </c>
      <c r="F60" s="119">
        <v>403000</v>
      </c>
      <c r="G60" s="119"/>
      <c r="H60" s="119"/>
      <c r="I60" s="119">
        <v>50000</v>
      </c>
      <c r="J60" s="119" t="s">
        <v>123</v>
      </c>
    </row>
    <row r="61" spans="1:10" ht="19" x14ac:dyDescent="0.2">
      <c r="A61" s="144"/>
      <c r="B61" s="145">
        <v>45333</v>
      </c>
      <c r="C61" s="149"/>
      <c r="D61" s="147"/>
      <c r="E61" s="150"/>
      <c r="F61" s="139"/>
      <c r="G61" s="139"/>
      <c r="H61" s="139" t="s">
        <v>737</v>
      </c>
      <c r="I61" s="139"/>
      <c r="J61" s="139"/>
    </row>
    <row r="62" spans="1:10" ht="19" x14ac:dyDescent="0.2">
      <c r="A62" s="143">
        <v>3176000</v>
      </c>
      <c r="B62" s="153">
        <v>45334</v>
      </c>
      <c r="C62" s="171" t="s">
        <v>9</v>
      </c>
      <c r="D62" s="155" t="s">
        <v>2627</v>
      </c>
      <c r="E62" s="164">
        <v>2340000</v>
      </c>
      <c r="F62" s="119">
        <v>836000</v>
      </c>
      <c r="G62" s="119"/>
      <c r="H62" s="119"/>
      <c r="I62" s="119">
        <v>210000</v>
      </c>
      <c r="J62" s="119" t="s">
        <v>2203</v>
      </c>
    </row>
    <row r="63" spans="1:10" ht="19" x14ac:dyDescent="0.2">
      <c r="A63" s="144">
        <v>1480000</v>
      </c>
      <c r="B63" s="145"/>
      <c r="C63" s="149" t="s">
        <v>10</v>
      </c>
      <c r="D63" s="147" t="s">
        <v>685</v>
      </c>
      <c r="E63" s="150">
        <v>1023000</v>
      </c>
      <c r="F63" s="139">
        <v>457000</v>
      </c>
      <c r="G63" s="139"/>
      <c r="H63" s="139"/>
      <c r="I63" s="139"/>
      <c r="J63" s="139"/>
    </row>
    <row r="64" spans="1:10" ht="19" x14ac:dyDescent="0.2">
      <c r="A64" s="143"/>
      <c r="B64" s="32"/>
      <c r="C64" s="49"/>
      <c r="D64" s="13"/>
      <c r="E64" s="15"/>
      <c r="F64" s="9"/>
      <c r="G64" s="9"/>
      <c r="H64" s="9"/>
      <c r="I64" s="9"/>
      <c r="J64" s="9"/>
    </row>
    <row r="65" spans="1:10" ht="19" x14ac:dyDescent="0.2">
      <c r="A65" s="144">
        <v>3262000</v>
      </c>
      <c r="B65" s="145">
        <v>45335</v>
      </c>
      <c r="C65" s="149" t="s">
        <v>9</v>
      </c>
      <c r="D65" s="147" t="s">
        <v>2627</v>
      </c>
      <c r="E65" s="150">
        <v>2404000</v>
      </c>
      <c r="F65" s="139">
        <v>858000</v>
      </c>
      <c r="G65" s="139">
        <v>3900000</v>
      </c>
      <c r="H65" s="139" t="s">
        <v>2634</v>
      </c>
      <c r="I65" s="139">
        <v>150000</v>
      </c>
      <c r="J65" s="139" t="s">
        <v>2635</v>
      </c>
    </row>
    <row r="66" spans="1:10" ht="19" x14ac:dyDescent="0.2">
      <c r="A66" s="143"/>
      <c r="B66" s="32"/>
      <c r="C66" s="49"/>
      <c r="D66" s="13"/>
      <c r="E66" s="15"/>
      <c r="F66" s="9"/>
      <c r="G66" s="9"/>
      <c r="H66" s="9"/>
      <c r="I66" s="9">
        <v>150000</v>
      </c>
      <c r="J66" s="9" t="s">
        <v>2191</v>
      </c>
    </row>
    <row r="67" spans="1:10" ht="19" x14ac:dyDescent="0.2">
      <c r="A67" s="144">
        <v>2076000</v>
      </c>
      <c r="B67" s="145"/>
      <c r="C67" s="151" t="s">
        <v>10</v>
      </c>
      <c r="D67" s="147" t="s">
        <v>685</v>
      </c>
      <c r="E67" s="150">
        <v>1592000</v>
      </c>
      <c r="F67" s="139">
        <v>484000</v>
      </c>
      <c r="G67" s="139"/>
      <c r="H67" s="139"/>
      <c r="I67" s="139">
        <v>264000</v>
      </c>
      <c r="J67" s="139" t="s">
        <v>1509</v>
      </c>
    </row>
    <row r="68" spans="1:10" ht="19" x14ac:dyDescent="0.2">
      <c r="A68" s="143"/>
      <c r="B68" s="153"/>
      <c r="C68" s="171"/>
      <c r="D68" s="155"/>
      <c r="E68" s="164"/>
      <c r="F68" s="119"/>
      <c r="G68" s="175"/>
      <c r="H68" s="175"/>
      <c r="I68" s="119">
        <v>120000</v>
      </c>
      <c r="J68" s="119" t="s">
        <v>1710</v>
      </c>
    </row>
    <row r="69" spans="1:10" ht="19" x14ac:dyDescent="0.2">
      <c r="A69" s="144"/>
      <c r="B69" s="145"/>
      <c r="C69" s="149"/>
      <c r="D69" s="147"/>
      <c r="E69" s="150"/>
      <c r="F69" s="139"/>
      <c r="G69" s="152"/>
      <c r="H69" s="152"/>
      <c r="I69" s="139">
        <v>200000</v>
      </c>
      <c r="J69" s="139" t="s">
        <v>1614</v>
      </c>
    </row>
    <row r="70" spans="1:10" ht="19" x14ac:dyDescent="0.2">
      <c r="A70" s="143">
        <v>3058000</v>
      </c>
      <c r="B70" s="153">
        <v>45336</v>
      </c>
      <c r="C70" s="171" t="s">
        <v>9</v>
      </c>
      <c r="D70" s="155" t="s">
        <v>2627</v>
      </c>
      <c r="E70" s="164">
        <v>1961000</v>
      </c>
      <c r="F70" s="119">
        <v>1097000</v>
      </c>
      <c r="G70" s="119">
        <v>260000</v>
      </c>
      <c r="H70" s="119" t="s">
        <v>1800</v>
      </c>
      <c r="I70" s="9">
        <v>83000</v>
      </c>
      <c r="J70" s="119" t="s">
        <v>2636</v>
      </c>
    </row>
    <row r="71" spans="1:10" ht="19" x14ac:dyDescent="0.2">
      <c r="A71" s="144"/>
      <c r="B71" s="145"/>
      <c r="C71" s="149"/>
      <c r="D71" s="147"/>
      <c r="E71" s="150"/>
      <c r="F71" s="139"/>
      <c r="G71" s="139">
        <v>3750000</v>
      </c>
      <c r="H71" s="139" t="s">
        <v>2685</v>
      </c>
      <c r="I71" s="139">
        <v>67000</v>
      </c>
      <c r="J71" s="139" t="s">
        <v>1738</v>
      </c>
    </row>
    <row r="72" spans="1:10" ht="19" x14ac:dyDescent="0.2">
      <c r="A72" s="143"/>
      <c r="B72" s="153"/>
      <c r="C72" s="171"/>
      <c r="D72" s="155"/>
      <c r="E72" s="164"/>
      <c r="F72" s="119"/>
      <c r="G72" s="119"/>
      <c r="H72" s="119"/>
      <c r="I72" s="9">
        <v>81500</v>
      </c>
      <c r="J72" s="119" t="s">
        <v>2494</v>
      </c>
    </row>
    <row r="73" spans="1:10" ht="19" x14ac:dyDescent="0.2">
      <c r="A73" s="144"/>
      <c r="B73" s="145"/>
      <c r="C73" s="149"/>
      <c r="D73" s="147"/>
      <c r="E73" s="150"/>
      <c r="F73" s="139"/>
      <c r="G73" s="152"/>
      <c r="H73" s="152"/>
      <c r="I73" s="139">
        <v>100000</v>
      </c>
      <c r="J73" s="139" t="s">
        <v>2637</v>
      </c>
    </row>
    <row r="74" spans="1:10" ht="19" x14ac:dyDescent="0.2">
      <c r="A74" s="143"/>
      <c r="B74" s="32"/>
      <c r="C74" s="49"/>
      <c r="D74" s="13"/>
      <c r="E74" s="15"/>
      <c r="F74" s="9"/>
      <c r="G74" s="9"/>
      <c r="H74" s="9"/>
      <c r="I74" s="9">
        <v>13000</v>
      </c>
      <c r="J74" s="9" t="s">
        <v>2638</v>
      </c>
    </row>
    <row r="75" spans="1:10" ht="19" x14ac:dyDescent="0.2">
      <c r="A75" s="144"/>
      <c r="B75" s="145"/>
      <c r="C75" s="149"/>
      <c r="D75" s="147"/>
      <c r="E75" s="150"/>
      <c r="F75" s="139"/>
      <c r="G75" s="152"/>
      <c r="H75" s="152"/>
      <c r="I75" s="139">
        <v>11000</v>
      </c>
      <c r="J75" s="139" t="s">
        <v>1582</v>
      </c>
    </row>
    <row r="76" spans="1:10" ht="19" x14ac:dyDescent="0.2">
      <c r="A76" s="143"/>
      <c r="B76" s="32"/>
      <c r="C76" s="49"/>
      <c r="D76" s="13"/>
      <c r="E76" s="15"/>
      <c r="F76" s="9"/>
      <c r="G76" s="60"/>
      <c r="H76" s="60"/>
      <c r="I76" s="9">
        <v>8000</v>
      </c>
      <c r="J76" s="9" t="s">
        <v>2639</v>
      </c>
    </row>
    <row r="77" spans="1:10" ht="19" x14ac:dyDescent="0.2">
      <c r="A77" s="144"/>
      <c r="B77" s="145"/>
      <c r="C77" s="149"/>
      <c r="D77" s="147"/>
      <c r="E77" s="150"/>
      <c r="F77" s="139"/>
      <c r="G77" s="152"/>
      <c r="H77" s="152"/>
      <c r="I77" s="139">
        <v>40000</v>
      </c>
      <c r="J77" s="139" t="s">
        <v>2640</v>
      </c>
    </row>
    <row r="78" spans="1:10" ht="19" x14ac:dyDescent="0.2">
      <c r="A78" s="143"/>
      <c r="B78" s="153"/>
      <c r="C78" s="171"/>
      <c r="D78" s="155"/>
      <c r="E78" s="164"/>
      <c r="F78" s="119"/>
      <c r="G78" s="175"/>
      <c r="H78" s="175"/>
      <c r="I78" s="9">
        <v>520000</v>
      </c>
      <c r="J78" s="119" t="s">
        <v>741</v>
      </c>
    </row>
    <row r="79" spans="1:10" ht="19" x14ac:dyDescent="0.2">
      <c r="A79" s="144"/>
      <c r="B79" s="145"/>
      <c r="C79" s="149"/>
      <c r="D79" s="147"/>
      <c r="E79" s="150"/>
      <c r="F79" s="139"/>
      <c r="G79" s="152"/>
      <c r="H79" s="152"/>
      <c r="I79" s="139">
        <v>210000</v>
      </c>
      <c r="J79" s="139" t="s">
        <v>2203</v>
      </c>
    </row>
    <row r="80" spans="1:10" ht="19" x14ac:dyDescent="0.2">
      <c r="A80" s="143"/>
      <c r="B80" s="153"/>
      <c r="C80" s="171"/>
      <c r="D80" s="155"/>
      <c r="E80" s="164"/>
      <c r="F80" s="119"/>
      <c r="G80" s="60"/>
      <c r="H80" s="60"/>
      <c r="I80" s="119">
        <v>65000</v>
      </c>
      <c r="J80" s="119" t="s">
        <v>2641</v>
      </c>
    </row>
    <row r="81" spans="1:10" ht="19" x14ac:dyDescent="0.2">
      <c r="A81" s="144"/>
      <c r="B81" s="145"/>
      <c r="C81" s="149"/>
      <c r="D81" s="147"/>
      <c r="E81" s="150"/>
      <c r="F81" s="139"/>
      <c r="G81" s="152"/>
      <c r="H81" s="152"/>
      <c r="I81" s="139">
        <v>65000</v>
      </c>
      <c r="J81" s="139" t="s">
        <v>2642</v>
      </c>
    </row>
    <row r="82" spans="1:10" ht="19" x14ac:dyDescent="0.2">
      <c r="A82" s="143"/>
      <c r="B82" s="153"/>
      <c r="C82" s="171"/>
      <c r="D82" s="155"/>
      <c r="E82" s="164"/>
      <c r="F82" s="119"/>
      <c r="G82" s="175"/>
      <c r="H82" s="175"/>
      <c r="I82" s="119"/>
      <c r="J82" s="119"/>
    </row>
    <row r="83" spans="1:10" ht="19" x14ac:dyDescent="0.2">
      <c r="A83" s="144">
        <v>2768000</v>
      </c>
      <c r="B83" s="145"/>
      <c r="C83" s="149" t="s">
        <v>10</v>
      </c>
      <c r="D83" s="147" t="s">
        <v>685</v>
      </c>
      <c r="E83" s="150">
        <v>1826000</v>
      </c>
      <c r="F83" s="139">
        <v>942000</v>
      </c>
      <c r="G83" s="152"/>
      <c r="H83" s="152"/>
      <c r="I83" s="139">
        <v>308000</v>
      </c>
      <c r="J83" s="139" t="s">
        <v>1781</v>
      </c>
    </row>
    <row r="84" spans="1:10" ht="32" x14ac:dyDescent="0.2">
      <c r="A84" s="143">
        <v>3327000</v>
      </c>
      <c r="B84" s="153">
        <v>45337</v>
      </c>
      <c r="C84" s="49" t="s">
        <v>9</v>
      </c>
      <c r="D84" s="13" t="s">
        <v>2627</v>
      </c>
      <c r="E84" s="15">
        <v>2512000</v>
      </c>
      <c r="F84" s="9">
        <v>815000</v>
      </c>
      <c r="G84" s="9">
        <v>1663000</v>
      </c>
      <c r="H84" s="47" t="s">
        <v>2643</v>
      </c>
      <c r="I84" s="9">
        <v>108000</v>
      </c>
      <c r="J84" s="9" t="s">
        <v>1303</v>
      </c>
    </row>
    <row r="85" spans="1:10" ht="19" x14ac:dyDescent="0.2">
      <c r="A85" s="144"/>
      <c r="B85" s="145"/>
      <c r="C85" s="149"/>
      <c r="D85" s="147"/>
      <c r="E85" s="150"/>
      <c r="F85" s="139"/>
      <c r="G85" s="139">
        <v>970000</v>
      </c>
      <c r="H85" s="139" t="s">
        <v>1654</v>
      </c>
      <c r="I85" s="139">
        <v>113000</v>
      </c>
      <c r="J85" s="139" t="s">
        <v>2644</v>
      </c>
    </row>
    <row r="86" spans="1:10" ht="32" x14ac:dyDescent="0.2">
      <c r="A86" s="143">
        <v>1947000</v>
      </c>
      <c r="B86" s="32"/>
      <c r="C86" s="49" t="s">
        <v>10</v>
      </c>
      <c r="D86" s="13" t="s">
        <v>685</v>
      </c>
      <c r="E86" s="15">
        <v>1502000</v>
      </c>
      <c r="F86" s="9">
        <v>445000</v>
      </c>
      <c r="G86" s="9">
        <v>1172000</v>
      </c>
      <c r="H86" s="47" t="s">
        <v>2645</v>
      </c>
      <c r="I86" s="9">
        <v>35500</v>
      </c>
      <c r="J86" s="9" t="s">
        <v>2646</v>
      </c>
    </row>
    <row r="87" spans="1:10" ht="32" x14ac:dyDescent="0.2">
      <c r="A87" s="144"/>
      <c r="B87" s="145"/>
      <c r="C87" s="149"/>
      <c r="D87" s="147"/>
      <c r="E87" s="150"/>
      <c r="F87" s="139"/>
      <c r="G87" s="139">
        <v>550000</v>
      </c>
      <c r="H87" s="161" t="s">
        <v>2647</v>
      </c>
      <c r="I87" s="139">
        <v>125000</v>
      </c>
      <c r="J87" s="139" t="s">
        <v>1296</v>
      </c>
    </row>
    <row r="88" spans="1:10" ht="19" x14ac:dyDescent="0.2">
      <c r="A88" s="143"/>
      <c r="B88" s="32"/>
      <c r="C88" s="49"/>
      <c r="D88" s="13"/>
      <c r="E88" s="15"/>
      <c r="F88" s="9"/>
      <c r="G88" s="60"/>
      <c r="H88" s="60"/>
      <c r="I88" s="9">
        <v>80000</v>
      </c>
      <c r="J88" s="9" t="s">
        <v>1285</v>
      </c>
    </row>
    <row r="89" spans="1:10" ht="19" x14ac:dyDescent="0.2">
      <c r="A89" s="144"/>
      <c r="B89" s="145"/>
      <c r="C89" s="159"/>
      <c r="D89" s="147"/>
      <c r="E89" s="150"/>
      <c r="F89" s="139"/>
      <c r="G89" s="139"/>
      <c r="H89" s="139"/>
      <c r="I89" s="139">
        <v>144000</v>
      </c>
      <c r="J89" s="139" t="s">
        <v>1245</v>
      </c>
    </row>
    <row r="90" spans="1:10" ht="19" x14ac:dyDescent="0.2">
      <c r="A90" s="143">
        <v>3158000</v>
      </c>
      <c r="B90" s="32">
        <v>45338</v>
      </c>
      <c r="C90" s="49" t="s">
        <v>9</v>
      </c>
      <c r="D90" s="13" t="s">
        <v>2627</v>
      </c>
      <c r="E90" s="15">
        <v>2134000</v>
      </c>
      <c r="F90" s="9">
        <v>1024000</v>
      </c>
      <c r="G90" s="9"/>
      <c r="H90" s="9"/>
      <c r="I90" s="9">
        <v>122000</v>
      </c>
      <c r="J90" s="9" t="s">
        <v>2648</v>
      </c>
    </row>
    <row r="91" spans="1:10" ht="19" x14ac:dyDescent="0.2">
      <c r="A91" s="144"/>
      <c r="B91" s="145"/>
      <c r="C91" s="149"/>
      <c r="D91" s="147"/>
      <c r="E91" s="150"/>
      <c r="F91" s="139"/>
      <c r="G91" s="139"/>
      <c r="H91" s="139"/>
      <c r="I91" s="139">
        <v>57000</v>
      </c>
      <c r="J91" s="139" t="s">
        <v>2649</v>
      </c>
    </row>
    <row r="92" spans="1:10" ht="19" x14ac:dyDescent="0.2">
      <c r="A92" s="143"/>
      <c r="B92" s="153"/>
      <c r="C92" s="171"/>
      <c r="D92" s="155"/>
      <c r="E92" s="164"/>
      <c r="F92" s="119"/>
      <c r="G92" s="119"/>
      <c r="H92" s="119"/>
      <c r="I92" s="119">
        <v>150000</v>
      </c>
      <c r="J92" s="119" t="s">
        <v>2650</v>
      </c>
    </row>
    <row r="93" spans="1:10" ht="19" x14ac:dyDescent="0.2">
      <c r="A93" s="144"/>
      <c r="B93" s="145"/>
      <c r="C93" s="149"/>
      <c r="D93" s="147"/>
      <c r="E93" s="150"/>
      <c r="F93" s="139"/>
      <c r="G93" s="139"/>
      <c r="H93" s="139"/>
      <c r="I93" s="139">
        <v>200000</v>
      </c>
      <c r="J93" s="139" t="s">
        <v>2651</v>
      </c>
    </row>
    <row r="94" spans="1:10" ht="19" x14ac:dyDescent="0.2">
      <c r="A94" s="143"/>
      <c r="B94" s="153"/>
      <c r="C94" s="171"/>
      <c r="D94" s="155"/>
      <c r="E94" s="164"/>
      <c r="F94" s="119"/>
      <c r="G94" s="119"/>
      <c r="H94" s="119"/>
      <c r="I94" s="119"/>
      <c r="J94" s="119"/>
    </row>
    <row r="95" spans="1:10" ht="19" x14ac:dyDescent="0.2">
      <c r="A95" s="144">
        <v>2006000</v>
      </c>
      <c r="B95" s="145"/>
      <c r="C95" s="149" t="s">
        <v>10</v>
      </c>
      <c r="D95" s="147" t="s">
        <v>685</v>
      </c>
      <c r="E95" s="150">
        <v>1622000</v>
      </c>
      <c r="F95" s="139">
        <v>384000</v>
      </c>
      <c r="G95" s="152"/>
      <c r="H95" s="152"/>
      <c r="I95" s="139"/>
      <c r="J95" s="139"/>
    </row>
    <row r="96" spans="1:10" ht="19" x14ac:dyDescent="0.2">
      <c r="A96" s="143">
        <v>4072000</v>
      </c>
      <c r="B96" s="153">
        <v>45339</v>
      </c>
      <c r="C96" s="171" t="s">
        <v>9</v>
      </c>
      <c r="D96" s="155" t="s">
        <v>2627</v>
      </c>
      <c r="E96" s="164">
        <v>2699000</v>
      </c>
      <c r="F96" s="119">
        <v>1373000</v>
      </c>
      <c r="G96" s="119"/>
      <c r="H96" s="119"/>
      <c r="I96" s="119">
        <v>200000</v>
      </c>
      <c r="J96" s="119" t="s">
        <v>1614</v>
      </c>
    </row>
    <row r="97" spans="1:10" ht="19" x14ac:dyDescent="0.2">
      <c r="A97" s="144"/>
      <c r="B97" s="145"/>
      <c r="C97" s="149"/>
      <c r="D97" s="147"/>
      <c r="E97" s="150"/>
      <c r="F97" s="139"/>
      <c r="G97" s="139"/>
      <c r="H97" s="139"/>
      <c r="I97" s="139">
        <v>35000</v>
      </c>
      <c r="J97" s="139" t="s">
        <v>1467</v>
      </c>
    </row>
    <row r="98" spans="1:10" ht="19" x14ac:dyDescent="0.2">
      <c r="A98" s="143"/>
      <c r="B98" s="153"/>
      <c r="C98" s="171"/>
      <c r="D98" s="155"/>
      <c r="E98" s="164"/>
      <c r="F98" s="119"/>
      <c r="G98" s="119"/>
      <c r="H98" s="119"/>
      <c r="I98" s="119">
        <v>120000</v>
      </c>
      <c r="J98" s="119" t="s">
        <v>1710</v>
      </c>
    </row>
    <row r="99" spans="1:10" ht="19" x14ac:dyDescent="0.2">
      <c r="A99" s="148"/>
      <c r="B99" s="145"/>
      <c r="C99" s="149"/>
      <c r="D99" s="160"/>
      <c r="E99" s="150"/>
      <c r="F99" s="139"/>
      <c r="G99" s="139"/>
      <c r="H99" s="139"/>
      <c r="I99" s="139">
        <v>66000</v>
      </c>
      <c r="J99" s="139" t="s">
        <v>2652</v>
      </c>
    </row>
    <row r="100" spans="1:10" ht="19" x14ac:dyDescent="0.2">
      <c r="A100" s="143"/>
      <c r="B100" s="153">
        <v>45340</v>
      </c>
      <c r="C100" s="171"/>
      <c r="D100" s="155"/>
      <c r="E100" s="164"/>
      <c r="F100" s="119"/>
      <c r="G100" s="119"/>
      <c r="H100" s="119" t="s">
        <v>737</v>
      </c>
      <c r="I100" s="119">
        <v>97000</v>
      </c>
      <c r="J100" s="119" t="s">
        <v>2653</v>
      </c>
    </row>
    <row r="101" spans="1:10" ht="19" x14ac:dyDescent="0.2">
      <c r="A101" s="144"/>
      <c r="B101" s="145"/>
      <c r="C101" s="149"/>
      <c r="D101" s="147"/>
      <c r="E101" s="150"/>
      <c r="F101" s="139"/>
      <c r="G101" s="139"/>
      <c r="H101" s="139"/>
      <c r="I101" s="139">
        <v>65000</v>
      </c>
      <c r="J101" s="139" t="s">
        <v>2654</v>
      </c>
    </row>
    <row r="102" spans="1:10" ht="19" x14ac:dyDescent="0.2">
      <c r="A102" s="143"/>
      <c r="B102" s="153"/>
      <c r="C102" s="171"/>
      <c r="D102" s="155"/>
      <c r="E102" s="164"/>
      <c r="F102" s="119"/>
      <c r="G102" s="119"/>
      <c r="H102" s="119"/>
      <c r="I102" s="119">
        <v>21500</v>
      </c>
      <c r="J102" s="119" t="s">
        <v>2655</v>
      </c>
    </row>
    <row r="103" spans="1:10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>
        <v>12000</v>
      </c>
      <c r="J103" s="139" t="s">
        <v>2656</v>
      </c>
    </row>
    <row r="104" spans="1:10" ht="19" x14ac:dyDescent="0.2">
      <c r="A104" s="143">
        <v>1991000</v>
      </c>
      <c r="B104" s="153"/>
      <c r="C104" s="171" t="s">
        <v>10</v>
      </c>
      <c r="D104" s="155" t="s">
        <v>685</v>
      </c>
      <c r="E104" s="164">
        <v>1686000</v>
      </c>
      <c r="F104" s="119">
        <v>305000</v>
      </c>
      <c r="G104" s="119"/>
      <c r="H104" s="175"/>
      <c r="I104" s="119">
        <v>50000</v>
      </c>
      <c r="J104" s="119" t="s">
        <v>123</v>
      </c>
    </row>
    <row r="105" spans="1:10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/>
      <c r="J105" s="139"/>
    </row>
    <row r="106" spans="1:10" ht="19" x14ac:dyDescent="0.2">
      <c r="A106" s="143">
        <v>3137000</v>
      </c>
      <c r="B106" s="153">
        <v>45341</v>
      </c>
      <c r="C106" s="171" t="s">
        <v>9</v>
      </c>
      <c r="D106" s="155" t="s">
        <v>2627</v>
      </c>
      <c r="E106" s="164">
        <v>2470000</v>
      </c>
      <c r="F106" s="119">
        <v>667000</v>
      </c>
      <c r="G106" s="119">
        <v>2600000</v>
      </c>
      <c r="H106" s="119" t="s">
        <v>812</v>
      </c>
      <c r="I106" s="119">
        <v>140000</v>
      </c>
      <c r="J106" s="119" t="s">
        <v>1518</v>
      </c>
    </row>
    <row r="107" spans="1:10" ht="19" x14ac:dyDescent="0.2">
      <c r="A107" s="144"/>
      <c r="B107" s="145"/>
      <c r="C107" s="149"/>
      <c r="D107" s="147"/>
      <c r="E107" s="150"/>
      <c r="F107" s="139"/>
      <c r="G107" s="139"/>
      <c r="H107" s="139"/>
      <c r="I107" s="152"/>
      <c r="J107" s="152"/>
    </row>
    <row r="108" spans="1:10" ht="19" x14ac:dyDescent="0.2">
      <c r="A108" s="143">
        <v>2333000</v>
      </c>
      <c r="B108" s="153"/>
      <c r="C108" s="171" t="s">
        <v>10</v>
      </c>
      <c r="D108" s="155" t="s">
        <v>685</v>
      </c>
      <c r="E108" s="164">
        <v>1686000</v>
      </c>
      <c r="F108" s="119">
        <v>647000</v>
      </c>
      <c r="G108" s="119"/>
      <c r="H108" s="175"/>
      <c r="I108" s="119">
        <v>125000</v>
      </c>
      <c r="J108" s="119" t="s">
        <v>1296</v>
      </c>
    </row>
    <row r="109" spans="1:10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>
        <v>80000</v>
      </c>
      <c r="J109" s="139" t="s">
        <v>1285</v>
      </c>
    </row>
    <row r="110" spans="1:10" ht="19" x14ac:dyDescent="0.2">
      <c r="A110" s="143"/>
      <c r="B110" s="153"/>
      <c r="C110" s="171"/>
      <c r="D110" s="155"/>
      <c r="E110" s="164"/>
      <c r="F110" s="119"/>
      <c r="G110" s="119"/>
      <c r="H110" s="175"/>
      <c r="I110" s="119">
        <v>144000</v>
      </c>
      <c r="J110" s="119" t="s">
        <v>1245</v>
      </c>
    </row>
    <row r="111" spans="1:10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>
        <v>308000</v>
      </c>
      <c r="J111" s="139" t="s">
        <v>1781</v>
      </c>
    </row>
    <row r="112" spans="1:10" ht="19" x14ac:dyDescent="0.2">
      <c r="A112" s="143">
        <v>3483000</v>
      </c>
      <c r="B112" s="153">
        <v>45342</v>
      </c>
      <c r="C112" s="171" t="s">
        <v>9</v>
      </c>
      <c r="D112" s="155" t="s">
        <v>2627</v>
      </c>
      <c r="E112" s="164">
        <v>2463000</v>
      </c>
      <c r="F112" s="119">
        <v>1020000</v>
      </c>
      <c r="G112" s="119"/>
      <c r="H112" s="119"/>
      <c r="I112" s="119">
        <v>210000</v>
      </c>
      <c r="J112" s="119" t="s">
        <v>2052</v>
      </c>
    </row>
    <row r="113" spans="1:10" ht="19" x14ac:dyDescent="0.2">
      <c r="A113" s="144"/>
      <c r="B113" s="145"/>
      <c r="C113" s="149"/>
      <c r="D113" s="147"/>
      <c r="E113" s="150"/>
      <c r="F113" s="139"/>
      <c r="G113" s="139"/>
      <c r="H113" s="139"/>
      <c r="I113" s="139">
        <v>200000</v>
      </c>
      <c r="J113" s="139" t="s">
        <v>2049</v>
      </c>
    </row>
    <row r="114" spans="1:10" ht="19" x14ac:dyDescent="0.2">
      <c r="A114" s="143">
        <v>1722000</v>
      </c>
      <c r="B114" s="32"/>
      <c r="C114" s="49" t="s">
        <v>10</v>
      </c>
      <c r="D114" s="13" t="s">
        <v>685</v>
      </c>
      <c r="E114" s="15">
        <v>1185000</v>
      </c>
      <c r="F114" s="9">
        <v>537000</v>
      </c>
      <c r="G114" s="9"/>
      <c r="H114" s="9"/>
      <c r="I114" s="9">
        <v>35000</v>
      </c>
      <c r="J114" s="9" t="s">
        <v>655</v>
      </c>
    </row>
    <row r="115" spans="1:10" ht="19" x14ac:dyDescent="0.2">
      <c r="A115" s="144"/>
      <c r="B115" s="145"/>
      <c r="C115" s="151"/>
      <c r="D115" s="147"/>
      <c r="E115" s="150"/>
      <c r="F115" s="139"/>
      <c r="G115" s="139"/>
      <c r="H115" s="139"/>
      <c r="I115" s="162">
        <v>120000</v>
      </c>
      <c r="J115" s="162" t="s">
        <v>2657</v>
      </c>
    </row>
    <row r="116" spans="1:10" ht="19" x14ac:dyDescent="0.2">
      <c r="A116" s="143">
        <v>3179000</v>
      </c>
      <c r="B116" s="153">
        <v>45343</v>
      </c>
      <c r="C116" s="163" t="s">
        <v>9</v>
      </c>
      <c r="D116" s="155" t="s">
        <v>2627</v>
      </c>
      <c r="E116" s="164">
        <v>2438000</v>
      </c>
      <c r="F116" s="119">
        <v>741000</v>
      </c>
      <c r="G116" s="119"/>
      <c r="H116" s="119"/>
      <c r="I116" s="174">
        <v>81000</v>
      </c>
      <c r="J116" s="174" t="s">
        <v>1491</v>
      </c>
    </row>
    <row r="117" spans="1:10" ht="19" x14ac:dyDescent="0.2">
      <c r="A117" s="144"/>
      <c r="B117" s="145"/>
      <c r="C117" s="149"/>
      <c r="D117" s="147"/>
      <c r="E117" s="150"/>
      <c r="F117" s="139"/>
      <c r="G117" s="139"/>
      <c r="H117" s="139"/>
      <c r="I117" s="162">
        <v>57500</v>
      </c>
      <c r="J117" s="162" t="s">
        <v>2658</v>
      </c>
    </row>
    <row r="118" spans="1:10" ht="19" x14ac:dyDescent="0.2">
      <c r="A118" s="143"/>
      <c r="B118" s="153"/>
      <c r="C118" s="171"/>
      <c r="D118" s="155"/>
      <c r="E118" s="164"/>
      <c r="F118" s="119"/>
      <c r="G118" s="119"/>
      <c r="H118" s="119"/>
      <c r="I118" s="174">
        <v>338000</v>
      </c>
      <c r="J118" s="174" t="s">
        <v>2659</v>
      </c>
    </row>
    <row r="119" spans="1:10" ht="32" x14ac:dyDescent="0.2">
      <c r="A119" s="144"/>
      <c r="B119" s="145"/>
      <c r="C119" s="151"/>
      <c r="D119" s="147"/>
      <c r="E119" s="150"/>
      <c r="F119" s="139"/>
      <c r="G119" s="139"/>
      <c r="H119" s="139"/>
      <c r="I119" s="162">
        <v>195000</v>
      </c>
      <c r="J119" s="245" t="s">
        <v>2660</v>
      </c>
    </row>
    <row r="120" spans="1:10" ht="19" x14ac:dyDescent="0.2">
      <c r="A120" s="148"/>
      <c r="B120" s="145"/>
      <c r="C120" s="159"/>
      <c r="D120" s="147"/>
      <c r="E120" s="150"/>
      <c r="F120" s="139"/>
      <c r="G120" s="139"/>
      <c r="H120" s="139"/>
      <c r="I120" s="139"/>
      <c r="J120" s="139"/>
    </row>
    <row r="121" spans="1:10" ht="19" x14ac:dyDescent="0.2">
      <c r="A121" s="142">
        <v>2307000</v>
      </c>
      <c r="B121" s="32"/>
      <c r="C121" s="2" t="s">
        <v>10</v>
      </c>
      <c r="D121" s="102" t="s">
        <v>685</v>
      </c>
      <c r="E121" s="15">
        <v>1912000</v>
      </c>
      <c r="F121" s="9">
        <v>395000</v>
      </c>
      <c r="G121" s="9"/>
      <c r="H121" s="9"/>
      <c r="I121" s="60"/>
      <c r="J121" s="60"/>
    </row>
    <row r="122" spans="1:10" ht="19" x14ac:dyDescent="0.2">
      <c r="A122" s="144"/>
      <c r="B122" s="145"/>
      <c r="C122" s="151"/>
      <c r="D122" s="147"/>
      <c r="E122" s="150"/>
      <c r="F122" s="139"/>
      <c r="G122" s="139"/>
      <c r="H122" s="139"/>
      <c r="I122" s="152"/>
      <c r="J122" s="152"/>
    </row>
    <row r="123" spans="1:10" ht="19" x14ac:dyDescent="0.2">
      <c r="A123" s="143">
        <v>2932000</v>
      </c>
      <c r="B123" s="153">
        <v>45344</v>
      </c>
      <c r="C123" s="163" t="s">
        <v>9</v>
      </c>
      <c r="D123" s="155" t="s">
        <v>2627</v>
      </c>
      <c r="E123" s="119">
        <v>2078000</v>
      </c>
      <c r="F123" s="119">
        <v>854000</v>
      </c>
      <c r="G123" s="119"/>
      <c r="H123" s="119"/>
      <c r="I123" s="119">
        <v>92000</v>
      </c>
      <c r="J123" s="119" t="s">
        <v>2661</v>
      </c>
    </row>
    <row r="124" spans="1:10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>
        <v>66500</v>
      </c>
      <c r="J124" s="139" t="s">
        <v>2662</v>
      </c>
    </row>
    <row r="125" spans="1:10" ht="19" x14ac:dyDescent="0.2">
      <c r="A125" s="143"/>
      <c r="B125" s="153"/>
      <c r="C125" s="163"/>
      <c r="D125" s="155"/>
      <c r="E125" s="164"/>
      <c r="F125" s="119"/>
      <c r="G125" s="119"/>
      <c r="H125" s="119"/>
      <c r="I125" s="119">
        <v>20000</v>
      </c>
      <c r="J125" s="119" t="s">
        <v>1565</v>
      </c>
    </row>
    <row r="126" spans="1:10" ht="19" x14ac:dyDescent="0.2">
      <c r="A126" s="144"/>
      <c r="B126" s="145"/>
      <c r="C126" s="151"/>
      <c r="D126" s="147"/>
      <c r="E126" s="150"/>
      <c r="F126" s="139"/>
      <c r="G126" s="139"/>
      <c r="H126" s="139"/>
      <c r="I126" s="139">
        <v>150000</v>
      </c>
      <c r="J126" s="139" t="s">
        <v>2005</v>
      </c>
    </row>
    <row r="127" spans="1:10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19"/>
    </row>
    <row r="128" spans="1:10" ht="19" x14ac:dyDescent="0.2">
      <c r="A128" s="144">
        <v>1806000</v>
      </c>
      <c r="B128" s="145"/>
      <c r="C128" s="151" t="s">
        <v>10</v>
      </c>
      <c r="D128" s="147" t="s">
        <v>685</v>
      </c>
      <c r="E128" s="150">
        <v>1432000</v>
      </c>
      <c r="F128" s="139">
        <v>374000</v>
      </c>
      <c r="G128" s="139"/>
      <c r="H128" s="139"/>
      <c r="I128" s="139">
        <v>125000</v>
      </c>
      <c r="J128" s="139" t="s">
        <v>1296</v>
      </c>
    </row>
    <row r="129" spans="1:10" ht="19" x14ac:dyDescent="0.2">
      <c r="A129" s="143"/>
      <c r="B129" s="32"/>
      <c r="C129" s="35"/>
      <c r="D129" s="13"/>
      <c r="E129" s="15"/>
      <c r="F129" s="9"/>
      <c r="G129" s="9"/>
      <c r="H129" s="9"/>
      <c r="I129" s="9">
        <v>80000</v>
      </c>
      <c r="J129" s="9" t="s">
        <v>1285</v>
      </c>
    </row>
    <row r="130" spans="1:10" ht="19" x14ac:dyDescent="0.2">
      <c r="A130" s="144"/>
      <c r="B130" s="158"/>
      <c r="C130" s="151"/>
      <c r="D130" s="147"/>
      <c r="E130" s="150"/>
      <c r="F130" s="139"/>
      <c r="G130" s="139"/>
      <c r="H130" s="152"/>
      <c r="I130" s="139">
        <v>144000</v>
      </c>
      <c r="J130" s="139" t="s">
        <v>1245</v>
      </c>
    </row>
    <row r="131" spans="1:10" ht="19" x14ac:dyDescent="0.2">
      <c r="A131" s="143"/>
      <c r="B131" s="32"/>
      <c r="C131" s="35"/>
      <c r="D131" s="13"/>
      <c r="E131" s="15"/>
      <c r="F131" s="9"/>
      <c r="G131" s="9"/>
      <c r="H131" s="9"/>
      <c r="I131" s="9">
        <v>250000</v>
      </c>
      <c r="J131" s="9" t="s">
        <v>1284</v>
      </c>
    </row>
    <row r="132" spans="1:10" ht="19" x14ac:dyDescent="0.2">
      <c r="A132" s="144">
        <v>2808000</v>
      </c>
      <c r="B132" s="145">
        <v>45345</v>
      </c>
      <c r="C132" s="151" t="s">
        <v>9</v>
      </c>
      <c r="D132" s="147" t="s">
        <v>2627</v>
      </c>
      <c r="E132" s="150">
        <v>2027000</v>
      </c>
      <c r="F132" s="139">
        <v>781000</v>
      </c>
      <c r="G132" s="152"/>
      <c r="H132" s="152"/>
      <c r="I132" s="139">
        <v>30000</v>
      </c>
      <c r="J132" s="139" t="s">
        <v>2663</v>
      </c>
    </row>
    <row r="133" spans="1:10" ht="19" x14ac:dyDescent="0.2">
      <c r="A133" s="143"/>
      <c r="B133" s="153"/>
      <c r="C133" s="163"/>
      <c r="D133" s="155"/>
      <c r="E133" s="164"/>
      <c r="F133" s="119"/>
      <c r="G133" s="119">
        <v>2600000</v>
      </c>
      <c r="H133" s="119" t="s">
        <v>812</v>
      </c>
      <c r="I133" s="119">
        <v>210000</v>
      </c>
      <c r="J133" s="119" t="s">
        <v>2203</v>
      </c>
    </row>
    <row r="134" spans="1:10" ht="19" x14ac:dyDescent="0.2">
      <c r="A134" s="144"/>
      <c r="B134" s="158"/>
      <c r="C134" s="151"/>
      <c r="D134" s="147"/>
      <c r="E134" s="150"/>
      <c r="F134" s="139"/>
      <c r="G134" s="139"/>
      <c r="H134" s="139"/>
      <c r="I134" s="139">
        <v>220000</v>
      </c>
      <c r="J134" s="139" t="s">
        <v>1543</v>
      </c>
    </row>
    <row r="135" spans="1:10" ht="19" x14ac:dyDescent="0.2">
      <c r="A135" s="143"/>
      <c r="B135" s="153"/>
      <c r="C135" s="170"/>
      <c r="D135" s="155"/>
      <c r="E135" s="164"/>
      <c r="F135" s="119"/>
      <c r="G135" s="119"/>
      <c r="H135" s="119"/>
      <c r="I135" s="119">
        <v>118000</v>
      </c>
      <c r="J135" s="119" t="s">
        <v>1583</v>
      </c>
    </row>
    <row r="136" spans="1:10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>
        <v>89000</v>
      </c>
      <c r="J136" s="139" t="s">
        <v>2015</v>
      </c>
    </row>
    <row r="137" spans="1:10" ht="19" x14ac:dyDescent="0.2">
      <c r="A137" s="143"/>
      <c r="B137" s="153"/>
      <c r="C137" s="163"/>
      <c r="D137" s="172"/>
      <c r="E137" s="164"/>
      <c r="F137" s="119"/>
      <c r="G137" s="119"/>
      <c r="H137" s="119"/>
      <c r="I137" s="119">
        <v>75000</v>
      </c>
      <c r="J137" s="119" t="s">
        <v>2680</v>
      </c>
    </row>
    <row r="138" spans="1:10" ht="19" x14ac:dyDescent="0.2">
      <c r="A138" s="144"/>
      <c r="B138" s="158"/>
      <c r="C138" s="151"/>
      <c r="D138" s="147"/>
      <c r="E138" s="150"/>
      <c r="F138" s="139"/>
      <c r="G138" s="139"/>
      <c r="H138" s="139"/>
      <c r="I138" s="139">
        <v>65000</v>
      </c>
      <c r="J138" s="139" t="s">
        <v>2664</v>
      </c>
    </row>
    <row r="139" spans="1:10" ht="19" x14ac:dyDescent="0.2">
      <c r="A139" s="142"/>
      <c r="B139" s="153"/>
      <c r="C139" s="163"/>
      <c r="D139" s="155"/>
      <c r="E139" s="164"/>
      <c r="F139" s="119"/>
      <c r="G139" s="119"/>
      <c r="H139" s="119"/>
      <c r="I139" s="119">
        <v>60000</v>
      </c>
      <c r="J139" s="119" t="s">
        <v>2665</v>
      </c>
    </row>
    <row r="140" spans="1:10" ht="19" x14ac:dyDescent="0.2">
      <c r="A140" s="148">
        <v>1325000</v>
      </c>
      <c r="B140" s="158"/>
      <c r="C140" s="151" t="s">
        <v>10</v>
      </c>
      <c r="D140" s="147" t="s">
        <v>685</v>
      </c>
      <c r="E140" s="150">
        <v>1152000</v>
      </c>
      <c r="F140" s="139">
        <v>173000</v>
      </c>
      <c r="G140" s="139">
        <v>300000</v>
      </c>
      <c r="H140" s="139" t="s">
        <v>1523</v>
      </c>
      <c r="I140" s="139">
        <v>200000</v>
      </c>
      <c r="J140" s="139" t="s">
        <v>1614</v>
      </c>
    </row>
    <row r="141" spans="1:10" ht="19" x14ac:dyDescent="0.2">
      <c r="A141" s="142"/>
      <c r="B141" s="153"/>
      <c r="C141" s="163"/>
      <c r="D141" s="172"/>
      <c r="E141" s="164"/>
      <c r="F141" s="119"/>
      <c r="G141" s="119"/>
      <c r="H141" s="119"/>
      <c r="I141" s="119">
        <v>120000</v>
      </c>
      <c r="J141" s="119" t="s">
        <v>1710</v>
      </c>
    </row>
    <row r="142" spans="1:10" ht="19" x14ac:dyDescent="0.2">
      <c r="A142" s="148">
        <v>3249000</v>
      </c>
      <c r="B142" s="145">
        <v>45346</v>
      </c>
      <c r="C142" s="151" t="s">
        <v>9</v>
      </c>
      <c r="D142" s="160" t="s">
        <v>565</v>
      </c>
      <c r="E142" s="150">
        <v>2520000</v>
      </c>
      <c r="F142" s="139">
        <v>729000</v>
      </c>
      <c r="G142" s="139"/>
      <c r="H142" s="139"/>
      <c r="I142" s="139">
        <v>26000</v>
      </c>
      <c r="J142" s="139" t="s">
        <v>2666</v>
      </c>
    </row>
    <row r="143" spans="1:10" ht="19" x14ac:dyDescent="0.2">
      <c r="A143" s="142"/>
      <c r="B143" s="153"/>
      <c r="C143" s="163"/>
      <c r="D143" s="172"/>
      <c r="E143" s="164"/>
      <c r="F143" s="119"/>
      <c r="G143" s="119"/>
      <c r="H143" s="119"/>
      <c r="I143" s="119">
        <v>520000</v>
      </c>
      <c r="J143" s="119" t="s">
        <v>1462</v>
      </c>
    </row>
    <row r="144" spans="1:10" ht="19" x14ac:dyDescent="0.2">
      <c r="A144" s="144"/>
      <c r="B144" s="145"/>
      <c r="C144" s="151"/>
      <c r="D144" s="147"/>
      <c r="E144" s="150"/>
      <c r="F144" s="139"/>
      <c r="G144" s="139"/>
      <c r="H144" s="139"/>
      <c r="I144" s="139">
        <v>240000</v>
      </c>
      <c r="J144" s="139" t="s">
        <v>2667</v>
      </c>
    </row>
    <row r="145" spans="1:10" ht="19" x14ac:dyDescent="0.2">
      <c r="A145" s="143">
        <v>2127000</v>
      </c>
      <c r="B145" s="32"/>
      <c r="C145" s="3" t="s">
        <v>10</v>
      </c>
      <c r="D145" s="13" t="s">
        <v>685</v>
      </c>
      <c r="E145" s="15">
        <v>1722000</v>
      </c>
      <c r="F145" s="9">
        <v>405000</v>
      </c>
      <c r="G145" s="9"/>
      <c r="H145" s="9"/>
      <c r="I145" s="9">
        <v>50000</v>
      </c>
      <c r="J145" s="9" t="s">
        <v>123</v>
      </c>
    </row>
    <row r="146" spans="1:10" ht="19" x14ac:dyDescent="0.2">
      <c r="A146" s="144"/>
      <c r="B146" s="145"/>
      <c r="C146" s="149"/>
      <c r="D146" s="147"/>
      <c r="E146" s="150"/>
      <c r="F146" s="139"/>
      <c r="G146" s="139"/>
      <c r="H146" s="139"/>
      <c r="I146" s="139">
        <v>65000</v>
      </c>
      <c r="J146" s="139" t="s">
        <v>2668</v>
      </c>
    </row>
    <row r="147" spans="1:10" ht="19" x14ac:dyDescent="0.2">
      <c r="A147" s="143"/>
      <c r="B147" s="153">
        <v>45347</v>
      </c>
      <c r="C147" s="171"/>
      <c r="D147" s="155"/>
      <c r="E147" s="164"/>
      <c r="F147" s="119"/>
      <c r="G147" s="119"/>
      <c r="H147" s="119" t="s">
        <v>737</v>
      </c>
      <c r="I147" s="119">
        <v>65000</v>
      </c>
      <c r="J147" s="119" t="s">
        <v>2669</v>
      </c>
    </row>
    <row r="148" spans="1:10" ht="19" x14ac:dyDescent="0.2">
      <c r="A148" s="144"/>
      <c r="B148" s="145"/>
      <c r="C148" s="149"/>
      <c r="D148" s="147"/>
      <c r="E148" s="150"/>
      <c r="F148" s="139"/>
      <c r="G148" s="139"/>
      <c r="H148" s="139"/>
      <c r="I148" s="139"/>
      <c r="J148" s="139"/>
    </row>
    <row r="149" spans="1:10" ht="19" x14ac:dyDescent="0.2">
      <c r="A149" s="143">
        <v>3451000</v>
      </c>
      <c r="B149" s="153">
        <v>45348</v>
      </c>
      <c r="C149" s="163" t="s">
        <v>9</v>
      </c>
      <c r="D149" s="155" t="s">
        <v>2627</v>
      </c>
      <c r="E149" s="164">
        <v>2567000</v>
      </c>
      <c r="F149" s="119">
        <v>884000</v>
      </c>
      <c r="G149" s="119"/>
      <c r="H149" s="119"/>
      <c r="I149" s="119">
        <v>168000</v>
      </c>
      <c r="J149" s="119" t="s">
        <v>1838</v>
      </c>
    </row>
    <row r="150" spans="1:10" ht="19" x14ac:dyDescent="0.2">
      <c r="A150" s="144"/>
      <c r="B150" s="145"/>
      <c r="C150" s="146"/>
      <c r="D150" s="147"/>
      <c r="E150" s="150"/>
      <c r="F150" s="139"/>
      <c r="G150" s="139"/>
      <c r="H150" s="165"/>
      <c r="I150" s="139"/>
      <c r="J150" s="139"/>
    </row>
    <row r="151" spans="1:10" ht="19" x14ac:dyDescent="0.2">
      <c r="A151" s="143">
        <v>1646000</v>
      </c>
      <c r="B151" s="32"/>
      <c r="C151" s="35" t="s">
        <v>10</v>
      </c>
      <c r="D151" s="13" t="s">
        <v>685</v>
      </c>
      <c r="E151" s="15">
        <v>1539000</v>
      </c>
      <c r="F151" s="9">
        <v>107000</v>
      </c>
      <c r="G151" s="9"/>
      <c r="H151" s="77"/>
      <c r="I151" s="9">
        <v>120000</v>
      </c>
      <c r="J151" s="9" t="s">
        <v>1710</v>
      </c>
    </row>
    <row r="152" spans="1:10" ht="19" x14ac:dyDescent="0.2">
      <c r="A152" s="144"/>
      <c r="B152" s="145"/>
      <c r="C152" s="146"/>
      <c r="D152" s="147"/>
      <c r="E152" s="150"/>
      <c r="F152" s="139"/>
      <c r="G152" s="139"/>
      <c r="H152" s="165"/>
      <c r="I152" s="139">
        <v>200000</v>
      </c>
      <c r="J152" s="139" t="s">
        <v>1614</v>
      </c>
    </row>
    <row r="153" spans="1:10" ht="19" x14ac:dyDescent="0.2">
      <c r="A153" s="143"/>
      <c r="B153" s="32"/>
      <c r="C153" s="3"/>
      <c r="D153" s="13"/>
      <c r="E153" s="15"/>
      <c r="F153" s="9"/>
      <c r="G153" s="9"/>
      <c r="H153" s="77"/>
      <c r="I153" s="9">
        <v>35000</v>
      </c>
      <c r="J153" s="9" t="s">
        <v>1467</v>
      </c>
    </row>
    <row r="154" spans="1:10" ht="19" x14ac:dyDescent="0.2">
      <c r="A154" s="205"/>
      <c r="B154" s="145"/>
      <c r="C154" s="151"/>
      <c r="D154" s="147"/>
      <c r="E154" s="150"/>
      <c r="F154" s="139"/>
      <c r="G154" s="139"/>
      <c r="H154" s="165"/>
      <c r="I154" s="139"/>
      <c r="J154" s="139"/>
    </row>
    <row r="155" spans="1:10" ht="19" x14ac:dyDescent="0.2">
      <c r="A155" s="143">
        <v>3400000</v>
      </c>
      <c r="B155" s="32">
        <v>45349</v>
      </c>
      <c r="C155" s="35" t="s">
        <v>9</v>
      </c>
      <c r="D155" s="13" t="s">
        <v>2627</v>
      </c>
      <c r="E155" s="15">
        <v>2730000</v>
      </c>
      <c r="F155" s="9">
        <v>670000</v>
      </c>
      <c r="G155" s="9"/>
      <c r="H155" s="77"/>
      <c r="I155" s="9">
        <v>21000</v>
      </c>
      <c r="J155" s="9" t="s">
        <v>2670</v>
      </c>
    </row>
    <row r="156" spans="1:10" ht="19" x14ac:dyDescent="0.2">
      <c r="A156" s="148"/>
      <c r="B156" s="145"/>
      <c r="C156" s="151"/>
      <c r="D156" s="160"/>
      <c r="E156" s="150"/>
      <c r="F156" s="139"/>
      <c r="G156" s="139"/>
      <c r="H156" s="165"/>
      <c r="I156" s="139">
        <v>108000</v>
      </c>
      <c r="J156" s="139" t="s">
        <v>1303</v>
      </c>
    </row>
    <row r="157" spans="1:10" ht="19" x14ac:dyDescent="0.2">
      <c r="A157" s="142"/>
      <c r="B157" s="32"/>
      <c r="C157" s="35"/>
      <c r="D157" s="102"/>
      <c r="E157" s="15"/>
      <c r="F157" s="9"/>
      <c r="G157" s="9"/>
      <c r="H157" s="77"/>
      <c r="I157" s="9">
        <v>15000</v>
      </c>
      <c r="J157" s="9" t="s">
        <v>2671</v>
      </c>
    </row>
    <row r="158" spans="1:10" ht="19" x14ac:dyDescent="0.2">
      <c r="A158" s="144"/>
      <c r="B158" s="145"/>
      <c r="C158" s="159"/>
      <c r="D158" s="147"/>
      <c r="E158" s="150"/>
      <c r="F158" s="139"/>
      <c r="G158" s="139"/>
      <c r="H158" s="165"/>
      <c r="I158" s="139">
        <v>45000</v>
      </c>
      <c r="J158" s="262" t="s">
        <v>1493</v>
      </c>
    </row>
    <row r="159" spans="1:10" ht="19" x14ac:dyDescent="0.2">
      <c r="A159" s="143"/>
      <c r="B159" s="32"/>
      <c r="C159" s="49"/>
      <c r="D159" s="13"/>
      <c r="E159" s="15"/>
      <c r="F159" s="9"/>
      <c r="G159" s="9"/>
      <c r="H159" s="77"/>
      <c r="I159" s="9">
        <v>68500</v>
      </c>
      <c r="J159" s="9" t="s">
        <v>2672</v>
      </c>
    </row>
    <row r="160" spans="1:10" ht="19" x14ac:dyDescent="0.2">
      <c r="A160" s="144"/>
      <c r="B160" s="145"/>
      <c r="C160" s="146"/>
      <c r="D160" s="147"/>
      <c r="E160" s="150"/>
      <c r="F160" s="139"/>
      <c r="G160" s="139"/>
      <c r="H160" s="165"/>
      <c r="I160" s="139">
        <v>104000</v>
      </c>
      <c r="J160" s="139" t="s">
        <v>2673</v>
      </c>
    </row>
    <row r="161" spans="1:10" ht="19" x14ac:dyDescent="0.2">
      <c r="A161" s="143"/>
      <c r="B161" s="32"/>
      <c r="C161" s="49"/>
      <c r="D161" s="13"/>
      <c r="E161" s="15"/>
      <c r="F161" s="9"/>
      <c r="G161" s="9"/>
      <c r="H161" s="77"/>
      <c r="I161" s="9">
        <v>150000</v>
      </c>
      <c r="J161" s="9" t="s">
        <v>2674</v>
      </c>
    </row>
    <row r="162" spans="1:10" ht="19" x14ac:dyDescent="0.2">
      <c r="A162" s="144"/>
      <c r="B162" s="145"/>
      <c r="C162" s="263"/>
      <c r="D162" s="147"/>
      <c r="E162" s="150"/>
      <c r="F162" s="139"/>
      <c r="G162" s="139"/>
      <c r="H162" s="139"/>
      <c r="I162" s="139">
        <v>150000</v>
      </c>
      <c r="J162" s="139" t="s">
        <v>2675</v>
      </c>
    </row>
    <row r="163" spans="1:10" ht="19" x14ac:dyDescent="0.2">
      <c r="A163" s="143"/>
      <c r="B163" s="153"/>
      <c r="C163" s="154"/>
      <c r="D163" s="155"/>
      <c r="E163" s="164"/>
      <c r="F163" s="119"/>
      <c r="G163" s="119"/>
      <c r="H163" s="119"/>
      <c r="I163" s="119">
        <v>150000</v>
      </c>
      <c r="J163" s="119" t="s">
        <v>2676</v>
      </c>
    </row>
    <row r="164" spans="1:10" ht="19" x14ac:dyDescent="0.2">
      <c r="A164" s="144">
        <v>1768000</v>
      </c>
      <c r="B164" s="145"/>
      <c r="C164" s="151" t="s">
        <v>10</v>
      </c>
      <c r="D164" s="147" t="s">
        <v>685</v>
      </c>
      <c r="E164" s="150">
        <v>1182000</v>
      </c>
      <c r="F164" s="139">
        <v>586000</v>
      </c>
      <c r="G164" s="139"/>
      <c r="H164" s="165"/>
      <c r="I164" s="139">
        <v>242000</v>
      </c>
      <c r="J164" s="139" t="s">
        <v>2011</v>
      </c>
    </row>
    <row r="165" spans="1:10" ht="19" x14ac:dyDescent="0.2">
      <c r="A165" s="143"/>
      <c r="B165" s="153"/>
      <c r="C165" s="163"/>
      <c r="D165" s="155"/>
      <c r="E165" s="164"/>
      <c r="F165" s="119"/>
      <c r="G165" s="119"/>
      <c r="H165" s="168"/>
      <c r="I165" s="119"/>
      <c r="J165" s="119"/>
    </row>
    <row r="166" spans="1:10" ht="19" x14ac:dyDescent="0.2">
      <c r="A166" s="144">
        <v>3158000</v>
      </c>
      <c r="B166" s="145">
        <v>45350</v>
      </c>
      <c r="C166" s="151" t="s">
        <v>9</v>
      </c>
      <c r="D166" s="147" t="s">
        <v>2627</v>
      </c>
      <c r="E166" s="150">
        <v>2190000</v>
      </c>
      <c r="F166" s="139">
        <v>968000</v>
      </c>
      <c r="G166" s="139"/>
      <c r="H166" s="165"/>
      <c r="I166" s="139">
        <v>98000</v>
      </c>
      <c r="J166" s="139" t="s">
        <v>1771</v>
      </c>
    </row>
    <row r="167" spans="1:10" ht="19" x14ac:dyDescent="0.2">
      <c r="A167" s="143"/>
      <c r="B167" s="32"/>
      <c r="C167" s="49"/>
      <c r="D167" s="13"/>
      <c r="E167" s="15"/>
      <c r="F167" s="9"/>
      <c r="G167" s="9"/>
      <c r="H167" s="9"/>
      <c r="I167" s="9"/>
      <c r="J167" s="9"/>
    </row>
    <row r="168" spans="1:10" ht="19" x14ac:dyDescent="0.2">
      <c r="A168" s="144">
        <v>2452000</v>
      </c>
      <c r="B168" s="145"/>
      <c r="C168" s="149" t="s">
        <v>10</v>
      </c>
      <c r="D168" s="147" t="s">
        <v>685</v>
      </c>
      <c r="E168" s="150">
        <v>1811000</v>
      </c>
      <c r="F168" s="139">
        <v>641000</v>
      </c>
      <c r="G168" s="139"/>
      <c r="H168" s="139"/>
      <c r="I168" s="165">
        <v>288000</v>
      </c>
      <c r="J168" s="165" t="s">
        <v>1248</v>
      </c>
    </row>
    <row r="169" spans="1:10" ht="19" x14ac:dyDescent="0.2">
      <c r="A169" s="143"/>
      <c r="B169" s="153"/>
      <c r="C169" s="171"/>
      <c r="D169" s="155"/>
      <c r="E169" s="164"/>
      <c r="F169" s="119"/>
      <c r="G169" s="119"/>
      <c r="H169" s="119"/>
      <c r="I169" s="119">
        <v>60000</v>
      </c>
      <c r="J169" s="119" t="s">
        <v>1536</v>
      </c>
    </row>
    <row r="170" spans="1:10" ht="19" x14ac:dyDescent="0.2">
      <c r="A170" s="144"/>
      <c r="B170" s="145"/>
      <c r="C170" s="149"/>
      <c r="D170" s="147"/>
      <c r="E170" s="150"/>
      <c r="F170" s="139"/>
      <c r="G170" s="139"/>
      <c r="H170" s="139"/>
      <c r="I170" s="139">
        <v>110000</v>
      </c>
      <c r="J170" s="139" t="s">
        <v>2677</v>
      </c>
    </row>
    <row r="171" spans="1:10" ht="19" x14ac:dyDescent="0.2">
      <c r="A171" s="143">
        <v>2869000</v>
      </c>
      <c r="B171" s="32">
        <v>45351</v>
      </c>
      <c r="C171" s="49" t="s">
        <v>9</v>
      </c>
      <c r="D171" s="13" t="s">
        <v>2627</v>
      </c>
      <c r="E171" s="15">
        <v>2001000</v>
      </c>
      <c r="F171" s="9">
        <v>868000</v>
      </c>
      <c r="G171" s="9">
        <v>2600000</v>
      </c>
      <c r="H171" s="9" t="s">
        <v>812</v>
      </c>
      <c r="I171" s="77"/>
      <c r="J171" s="77"/>
    </row>
    <row r="172" spans="1:10" ht="19" x14ac:dyDescent="0.2">
      <c r="A172" s="144"/>
      <c r="B172" s="145"/>
      <c r="C172" s="149"/>
      <c r="D172" s="147"/>
      <c r="E172" s="150"/>
      <c r="F172" s="139"/>
      <c r="G172" s="139">
        <v>1474000</v>
      </c>
      <c r="H172" s="139" t="s">
        <v>2678</v>
      </c>
      <c r="I172" s="165"/>
      <c r="J172" s="165"/>
    </row>
    <row r="173" spans="1:10" ht="19" x14ac:dyDescent="0.2">
      <c r="A173" s="143">
        <v>2142000</v>
      </c>
      <c r="B173" s="32"/>
      <c r="C173" s="49" t="s">
        <v>10</v>
      </c>
      <c r="D173" s="13" t="s">
        <v>685</v>
      </c>
      <c r="E173" s="15">
        <v>1804000</v>
      </c>
      <c r="F173" s="9">
        <v>338000</v>
      </c>
      <c r="G173" s="9">
        <v>2081000</v>
      </c>
      <c r="H173" s="9" t="s">
        <v>1263</v>
      </c>
      <c r="I173" s="77">
        <v>120000</v>
      </c>
      <c r="J173" s="77" t="s">
        <v>1710</v>
      </c>
    </row>
    <row r="174" spans="1:10" ht="48" x14ac:dyDescent="0.2">
      <c r="A174" s="144"/>
      <c r="B174" s="145"/>
      <c r="C174" s="149"/>
      <c r="D174" s="147"/>
      <c r="E174" s="150"/>
      <c r="F174" s="139"/>
      <c r="G174" s="139">
        <v>2525000</v>
      </c>
      <c r="H174" s="161" t="s">
        <v>2679</v>
      </c>
      <c r="I174" s="165">
        <v>200000</v>
      </c>
      <c r="J174" s="165" t="s">
        <v>1614</v>
      </c>
    </row>
    <row r="175" spans="1:10" ht="19" x14ac:dyDescent="0.2">
      <c r="A175" s="143"/>
      <c r="B175" s="32"/>
      <c r="C175" s="49"/>
      <c r="D175" s="13"/>
      <c r="E175" s="15"/>
      <c r="F175" s="9"/>
      <c r="G175" s="9">
        <v>1200000</v>
      </c>
      <c r="H175" s="9" t="s">
        <v>785</v>
      </c>
      <c r="I175" s="77">
        <v>35000</v>
      </c>
      <c r="J175" s="77" t="s">
        <v>1467</v>
      </c>
    </row>
    <row r="176" spans="1:10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65"/>
    </row>
    <row r="177" spans="1:10" ht="19" x14ac:dyDescent="0.2">
      <c r="A177" s="143"/>
      <c r="B177" s="32"/>
      <c r="C177" s="2"/>
      <c r="D177" s="13"/>
      <c r="E177" s="15"/>
      <c r="F177" s="9"/>
      <c r="G177" s="9"/>
      <c r="H177" s="9"/>
      <c r="I177" s="77"/>
      <c r="J177" s="77"/>
    </row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J199"/>
  <sheetViews>
    <sheetView workbookViewId="0">
      <selection activeCell="O15" sqref="O15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5" customWidth="1"/>
    <col min="5" max="5" width="23.6640625" customWidth="1"/>
    <col min="6" max="6" width="24" customWidth="1"/>
    <col min="7" max="7" width="20.33203125" bestFit="1" customWidth="1"/>
    <col min="8" max="8" width="37.83203125" customWidth="1"/>
    <col min="9" max="9" width="20.33203125" bestFit="1" customWidth="1"/>
    <col min="10" max="10" width="29" bestFit="1" customWidth="1"/>
  </cols>
  <sheetData>
    <row r="3" spans="1:10" ht="21" x14ac:dyDescent="0.2">
      <c r="G3" s="73"/>
      <c r="H3" s="71" t="s">
        <v>174</v>
      </c>
      <c r="I3" s="71">
        <f>K10/A10</f>
        <v>0</v>
      </c>
    </row>
    <row r="4" spans="1:10" ht="21" x14ac:dyDescent="0.2">
      <c r="F4" s="212" t="s">
        <v>1802</v>
      </c>
      <c r="G4" s="213"/>
      <c r="H4" s="71" t="s">
        <v>175</v>
      </c>
      <c r="I4" s="71">
        <v>23833500</v>
      </c>
      <c r="J4" s="72">
        <f>I4/10820</f>
        <v>2202.7264325323476</v>
      </c>
    </row>
    <row r="5" spans="1:10" ht="24" x14ac:dyDescent="0.3">
      <c r="B5" s="99" t="s">
        <v>2771</v>
      </c>
      <c r="G5" s="73"/>
      <c r="H5" s="71" t="s">
        <v>176</v>
      </c>
      <c r="I5" s="71">
        <v>23833500</v>
      </c>
      <c r="J5" s="72">
        <f>I5/10820</f>
        <v>2202.7264325323476</v>
      </c>
    </row>
    <row r="6" spans="1:10" ht="24" x14ac:dyDescent="0.3">
      <c r="B6" s="99"/>
      <c r="G6" s="73"/>
      <c r="H6" s="71" t="s">
        <v>178</v>
      </c>
      <c r="I6" s="71">
        <v>13240560</v>
      </c>
      <c r="J6" s="72" t="s">
        <v>2775</v>
      </c>
    </row>
    <row r="7" spans="1:10" ht="26" x14ac:dyDescent="0.3">
      <c r="B7" s="100" t="s">
        <v>2774</v>
      </c>
    </row>
    <row r="9" spans="1:10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0" ht="21" x14ac:dyDescent="0.2">
      <c r="A10" s="69">
        <f>SUM(A11:A306)</f>
        <v>118654000</v>
      </c>
      <c r="B10" s="65"/>
      <c r="C10" s="66" t="s">
        <v>13</v>
      </c>
      <c r="D10" s="67"/>
      <c r="E10" s="68">
        <f>SUM(E11:E306)</f>
        <v>86392000</v>
      </c>
      <c r="F10" s="69">
        <f>SUM(F11:F306)</f>
        <v>32262000</v>
      </c>
      <c r="G10" s="69">
        <f>SUM(G11:G306)</f>
        <v>32316000</v>
      </c>
      <c r="H10" s="69"/>
      <c r="I10" s="69">
        <f>SUM(I11:I306)</f>
        <v>18223000</v>
      </c>
      <c r="J10" s="69"/>
    </row>
    <row r="11" spans="1:10" ht="19" x14ac:dyDescent="0.2">
      <c r="A11" s="280">
        <v>2990000</v>
      </c>
      <c r="B11" s="145">
        <v>45352</v>
      </c>
      <c r="C11" s="146" t="s">
        <v>9</v>
      </c>
      <c r="D11" s="147" t="s">
        <v>2627</v>
      </c>
      <c r="E11" s="139">
        <v>1984000</v>
      </c>
      <c r="F11" s="139">
        <v>1006000</v>
      </c>
      <c r="G11" s="139">
        <v>450000</v>
      </c>
      <c r="H11" s="139" t="s">
        <v>1541</v>
      </c>
      <c r="I11" s="139">
        <v>65000</v>
      </c>
      <c r="J11" s="139" t="s">
        <v>2688</v>
      </c>
    </row>
    <row r="12" spans="1:10" ht="19" x14ac:dyDescent="0.2">
      <c r="A12" s="142"/>
      <c r="B12" s="32"/>
      <c r="C12" s="49"/>
      <c r="D12" s="13"/>
      <c r="E12" s="15"/>
      <c r="F12" s="9"/>
      <c r="G12" s="9"/>
      <c r="H12" s="9"/>
      <c r="I12" s="9">
        <v>65000</v>
      </c>
      <c r="J12" s="9" t="s">
        <v>2689</v>
      </c>
    </row>
    <row r="13" spans="1:10" ht="19" x14ac:dyDescent="0.2">
      <c r="A13" s="148"/>
      <c r="B13" s="145"/>
      <c r="C13" s="149"/>
      <c r="D13" s="147"/>
      <c r="E13" s="150"/>
      <c r="F13" s="139"/>
      <c r="G13" s="139"/>
      <c r="H13" s="139"/>
      <c r="I13" s="139"/>
      <c r="J13" s="139"/>
    </row>
    <row r="14" spans="1:10" ht="19" x14ac:dyDescent="0.2">
      <c r="A14" s="142">
        <v>2399000</v>
      </c>
      <c r="B14" s="32"/>
      <c r="C14" s="49" t="s">
        <v>10</v>
      </c>
      <c r="D14" s="13" t="s">
        <v>685</v>
      </c>
      <c r="E14" s="15">
        <v>1652000</v>
      </c>
      <c r="F14" s="9">
        <v>747000</v>
      </c>
      <c r="G14" s="9"/>
      <c r="H14" s="9"/>
      <c r="I14" s="9">
        <v>220000</v>
      </c>
      <c r="J14" s="9" t="s">
        <v>1543</v>
      </c>
    </row>
    <row r="15" spans="1:10" ht="19" x14ac:dyDescent="0.2">
      <c r="A15" s="148"/>
      <c r="B15" s="145"/>
      <c r="C15" s="149"/>
      <c r="D15" s="147"/>
      <c r="E15" s="150"/>
      <c r="F15" s="139"/>
      <c r="G15" s="139"/>
      <c r="H15" s="139"/>
      <c r="I15" s="139"/>
      <c r="J15" s="139"/>
    </row>
    <row r="16" spans="1:10" ht="19" x14ac:dyDescent="0.2">
      <c r="A16" s="143">
        <v>3397000</v>
      </c>
      <c r="B16" s="153">
        <v>45353</v>
      </c>
      <c r="C16" s="163" t="s">
        <v>9</v>
      </c>
      <c r="D16" s="155" t="s">
        <v>2627</v>
      </c>
      <c r="E16" s="164">
        <v>2612000</v>
      </c>
      <c r="F16" s="119">
        <v>785000</v>
      </c>
      <c r="G16" s="175"/>
      <c r="H16" s="175"/>
      <c r="I16" s="119">
        <v>70000</v>
      </c>
      <c r="J16" s="119" t="s">
        <v>2690</v>
      </c>
    </row>
    <row r="17" spans="1:10" ht="19" x14ac:dyDescent="0.2">
      <c r="A17" s="144"/>
      <c r="B17" s="145"/>
      <c r="C17" s="151"/>
      <c r="D17" s="147"/>
      <c r="E17" s="150"/>
      <c r="F17" s="139"/>
      <c r="G17" s="139"/>
      <c r="H17" s="139"/>
      <c r="I17" s="139">
        <v>35000</v>
      </c>
      <c r="J17" s="139" t="s">
        <v>2691</v>
      </c>
    </row>
    <row r="18" spans="1:10" ht="19" x14ac:dyDescent="0.2">
      <c r="A18" s="143"/>
      <c r="B18" s="153"/>
      <c r="C18" s="163"/>
      <c r="D18" s="155"/>
      <c r="E18" s="164"/>
      <c r="F18" s="119"/>
      <c r="G18" s="119"/>
      <c r="H18" s="119"/>
      <c r="I18" s="119">
        <v>65000</v>
      </c>
      <c r="J18" s="119" t="s">
        <v>2640</v>
      </c>
    </row>
    <row r="19" spans="1:10" ht="19" x14ac:dyDescent="0.2">
      <c r="A19" s="144"/>
      <c r="B19" s="145"/>
      <c r="C19" s="151"/>
      <c r="D19" s="147"/>
      <c r="E19" s="150"/>
      <c r="F19" s="139"/>
      <c r="G19" s="139"/>
      <c r="H19" s="139"/>
      <c r="I19" s="139">
        <v>54000</v>
      </c>
      <c r="J19" s="139" t="s">
        <v>1449</v>
      </c>
    </row>
    <row r="20" spans="1:10" ht="19" x14ac:dyDescent="0.2">
      <c r="A20" s="143"/>
      <c r="B20" s="153"/>
      <c r="C20" s="163"/>
      <c r="D20" s="155"/>
      <c r="E20" s="164"/>
      <c r="F20" s="119"/>
      <c r="G20" s="119"/>
      <c r="H20" s="119"/>
      <c r="I20" s="119">
        <v>26000</v>
      </c>
      <c r="J20" s="119" t="s">
        <v>1524</v>
      </c>
    </row>
    <row r="21" spans="1:10" ht="19" x14ac:dyDescent="0.2">
      <c r="A21" s="144"/>
      <c r="B21" s="145"/>
      <c r="C21" s="151"/>
      <c r="D21" s="147"/>
      <c r="E21" s="150"/>
      <c r="F21" s="139"/>
      <c r="G21" s="139"/>
      <c r="H21" s="139"/>
      <c r="I21" s="139">
        <v>15000</v>
      </c>
      <c r="J21" s="139" t="s">
        <v>1758</v>
      </c>
    </row>
    <row r="22" spans="1:10" ht="19" x14ac:dyDescent="0.2">
      <c r="A22" s="143"/>
      <c r="B22" s="153"/>
      <c r="C22" s="163"/>
      <c r="D22" s="155"/>
      <c r="E22" s="164"/>
      <c r="F22" s="119"/>
      <c r="G22" s="119"/>
      <c r="H22" s="119"/>
      <c r="I22" s="119">
        <v>35000</v>
      </c>
      <c r="J22" s="119" t="s">
        <v>1885</v>
      </c>
    </row>
    <row r="23" spans="1:10" ht="19" x14ac:dyDescent="0.2">
      <c r="A23" s="144"/>
      <c r="B23" s="145"/>
      <c r="C23" s="149"/>
      <c r="D23" s="147"/>
      <c r="E23" s="150"/>
      <c r="F23" s="139"/>
      <c r="G23" s="139"/>
      <c r="H23" s="139"/>
      <c r="I23" s="139"/>
      <c r="J23" s="139"/>
    </row>
    <row r="24" spans="1:10" ht="19" x14ac:dyDescent="0.2">
      <c r="A24" s="143">
        <v>1871000</v>
      </c>
      <c r="B24" s="32"/>
      <c r="C24" s="49" t="s">
        <v>10</v>
      </c>
      <c r="D24" s="13" t="s">
        <v>685</v>
      </c>
      <c r="E24" s="15">
        <v>1305000</v>
      </c>
      <c r="F24" s="9">
        <v>566000</v>
      </c>
      <c r="G24" s="9"/>
      <c r="H24" s="9"/>
      <c r="I24" s="9">
        <v>50000</v>
      </c>
      <c r="J24" s="9" t="s">
        <v>123</v>
      </c>
    </row>
    <row r="25" spans="1:10" ht="19" x14ac:dyDescent="0.2">
      <c r="A25" s="144"/>
      <c r="B25" s="145"/>
      <c r="C25" s="149"/>
      <c r="D25" s="147"/>
      <c r="E25" s="150"/>
      <c r="F25" s="139"/>
      <c r="G25" s="139"/>
      <c r="H25" s="139"/>
      <c r="I25" s="139"/>
      <c r="J25" s="139"/>
    </row>
    <row r="26" spans="1:10" ht="19" x14ac:dyDescent="0.2">
      <c r="A26" s="142">
        <v>1798000</v>
      </c>
      <c r="B26" s="32">
        <v>45354</v>
      </c>
      <c r="C26" s="49" t="s">
        <v>9</v>
      </c>
      <c r="D26" s="13" t="s">
        <v>565</v>
      </c>
      <c r="E26" s="15">
        <v>1497000</v>
      </c>
      <c r="F26" s="9">
        <v>301000</v>
      </c>
      <c r="G26" s="9"/>
      <c r="H26" s="9"/>
      <c r="I26" s="9"/>
      <c r="J26" s="9"/>
    </row>
    <row r="27" spans="1:10" ht="19" x14ac:dyDescent="0.2">
      <c r="A27" s="148"/>
      <c r="B27" s="145"/>
      <c r="C27" s="149" t="s">
        <v>10</v>
      </c>
      <c r="D27" s="147"/>
      <c r="E27" s="150"/>
      <c r="F27" s="139"/>
      <c r="G27" s="139"/>
      <c r="H27" s="139" t="s">
        <v>737</v>
      </c>
      <c r="I27" s="139"/>
      <c r="J27" s="139"/>
    </row>
    <row r="28" spans="1:10" ht="19" x14ac:dyDescent="0.2">
      <c r="A28" s="142"/>
      <c r="B28" s="153"/>
      <c r="C28" s="171"/>
      <c r="D28" s="155"/>
      <c r="E28" s="164"/>
      <c r="F28" s="119"/>
      <c r="G28" s="119"/>
      <c r="H28" s="119"/>
      <c r="I28" s="119"/>
      <c r="J28" s="119"/>
    </row>
    <row r="29" spans="1:10" ht="19" x14ac:dyDescent="0.2">
      <c r="A29" s="148">
        <v>3046000</v>
      </c>
      <c r="B29" s="145">
        <v>45355</v>
      </c>
      <c r="C29" s="149" t="s">
        <v>9</v>
      </c>
      <c r="D29" s="147" t="s">
        <v>2627</v>
      </c>
      <c r="E29" s="150">
        <v>2554000</v>
      </c>
      <c r="F29" s="139">
        <v>492000</v>
      </c>
      <c r="G29" s="139"/>
      <c r="H29" s="139"/>
      <c r="I29" s="139">
        <v>225000</v>
      </c>
      <c r="J29" s="139" t="s">
        <v>2203</v>
      </c>
    </row>
    <row r="30" spans="1:10" ht="19" x14ac:dyDescent="0.2">
      <c r="A30" s="143"/>
      <c r="B30" s="32"/>
      <c r="C30" s="49"/>
      <c r="D30" s="13"/>
      <c r="E30" s="15"/>
      <c r="F30" s="9"/>
      <c r="G30" s="9"/>
      <c r="H30" s="9"/>
      <c r="I30" s="9">
        <v>130000</v>
      </c>
      <c r="J30" s="9" t="s">
        <v>2692</v>
      </c>
    </row>
    <row r="31" spans="1:10" ht="19" x14ac:dyDescent="0.2">
      <c r="A31" s="144"/>
      <c r="B31" s="145"/>
      <c r="C31" s="149"/>
      <c r="D31" s="147"/>
      <c r="E31" s="150"/>
      <c r="F31" s="139"/>
      <c r="G31" s="139"/>
      <c r="H31" s="139"/>
      <c r="I31" s="139"/>
      <c r="J31" s="139"/>
    </row>
    <row r="32" spans="1:10" ht="19" x14ac:dyDescent="0.2">
      <c r="A32" s="143">
        <v>1847000</v>
      </c>
      <c r="B32" s="32"/>
      <c r="C32" s="49" t="s">
        <v>10</v>
      </c>
      <c r="D32" s="13" t="s">
        <v>685</v>
      </c>
      <c r="E32" s="15">
        <v>964000</v>
      </c>
      <c r="F32" s="9">
        <v>883000</v>
      </c>
      <c r="G32" s="9"/>
      <c r="H32" s="9"/>
      <c r="I32" s="9">
        <v>264000</v>
      </c>
      <c r="J32" s="9" t="s">
        <v>1509</v>
      </c>
    </row>
    <row r="33" spans="1:10" ht="19" x14ac:dyDescent="0.2">
      <c r="A33" s="144"/>
      <c r="B33" s="145"/>
      <c r="C33" s="149"/>
      <c r="D33" s="147"/>
      <c r="E33" s="150"/>
      <c r="F33" s="139"/>
      <c r="G33" s="139"/>
      <c r="H33" s="139"/>
      <c r="I33" s="139">
        <v>144000</v>
      </c>
      <c r="J33" s="139" t="s">
        <v>1245</v>
      </c>
    </row>
    <row r="34" spans="1:10" ht="19" x14ac:dyDescent="0.2">
      <c r="A34" s="143"/>
      <c r="B34" s="32"/>
      <c r="C34" s="49"/>
      <c r="D34" s="13"/>
      <c r="E34" s="15"/>
      <c r="F34" s="9"/>
      <c r="G34" s="9"/>
      <c r="H34" s="9"/>
      <c r="I34" s="9">
        <v>60000</v>
      </c>
      <c r="J34" s="9" t="s">
        <v>1536</v>
      </c>
    </row>
    <row r="35" spans="1:10" ht="19" x14ac:dyDescent="0.2">
      <c r="A35" s="144"/>
      <c r="B35" s="145"/>
      <c r="C35" s="149"/>
      <c r="D35" s="147"/>
      <c r="E35" s="150"/>
      <c r="F35" s="139"/>
      <c r="G35" s="139"/>
      <c r="H35" s="139"/>
      <c r="I35" s="139">
        <v>125000</v>
      </c>
      <c r="J35" s="139" t="s">
        <v>1296</v>
      </c>
    </row>
    <row r="36" spans="1:10" ht="19" x14ac:dyDescent="0.2">
      <c r="A36" s="143">
        <v>3194000</v>
      </c>
      <c r="B36" s="32">
        <v>45356</v>
      </c>
      <c r="C36" s="49" t="s">
        <v>9</v>
      </c>
      <c r="D36" s="13" t="s">
        <v>565</v>
      </c>
      <c r="E36" s="15">
        <v>2077000</v>
      </c>
      <c r="F36" s="9">
        <v>1117000</v>
      </c>
      <c r="G36" s="9">
        <v>1510000</v>
      </c>
      <c r="H36" s="133" t="s">
        <v>2693</v>
      </c>
      <c r="I36" s="9">
        <v>200000</v>
      </c>
      <c r="J36" s="9" t="s">
        <v>1614</v>
      </c>
    </row>
    <row r="37" spans="1:10" ht="19" x14ac:dyDescent="0.2">
      <c r="A37" s="144"/>
      <c r="B37" s="145"/>
      <c r="C37" s="149"/>
      <c r="D37" s="147"/>
      <c r="E37" s="150"/>
      <c r="F37" s="139"/>
      <c r="G37" s="139"/>
      <c r="H37" s="157"/>
      <c r="I37" s="139">
        <v>14000</v>
      </c>
      <c r="J37" s="139" t="s">
        <v>2694</v>
      </c>
    </row>
    <row r="38" spans="1:10" ht="19" x14ac:dyDescent="0.2">
      <c r="A38" s="143"/>
      <c r="B38" s="153"/>
      <c r="C38" s="171"/>
      <c r="D38" s="155"/>
      <c r="E38" s="164"/>
      <c r="F38" s="119"/>
      <c r="G38" s="119"/>
      <c r="H38" s="119"/>
      <c r="I38" s="119">
        <v>120000</v>
      </c>
      <c r="J38" s="119" t="s">
        <v>1710</v>
      </c>
    </row>
    <row r="39" spans="1:10" ht="19" x14ac:dyDescent="0.2">
      <c r="A39" s="144"/>
      <c r="B39" s="145"/>
      <c r="C39" s="149"/>
      <c r="D39" s="147"/>
      <c r="E39" s="150"/>
      <c r="F39" s="139"/>
      <c r="G39" s="139"/>
      <c r="H39" s="139"/>
      <c r="I39" s="139">
        <v>18000</v>
      </c>
      <c r="J39" s="139" t="s">
        <v>2695</v>
      </c>
    </row>
    <row r="40" spans="1:10" ht="19" x14ac:dyDescent="0.2">
      <c r="A40" s="143"/>
      <c r="B40" s="153"/>
      <c r="C40" s="171"/>
      <c r="D40" s="155"/>
      <c r="E40" s="164"/>
      <c r="F40" s="119"/>
      <c r="G40" s="119"/>
      <c r="H40" s="119"/>
      <c r="I40" s="119">
        <v>64000</v>
      </c>
      <c r="J40" s="119" t="s">
        <v>2696</v>
      </c>
    </row>
    <row r="41" spans="1:10" ht="19" x14ac:dyDescent="0.2">
      <c r="A41" s="144">
        <v>1740000</v>
      </c>
      <c r="B41" s="145"/>
      <c r="C41" s="149" t="s">
        <v>10</v>
      </c>
      <c r="D41" s="147" t="s">
        <v>685</v>
      </c>
      <c r="E41" s="150">
        <v>1173000</v>
      </c>
      <c r="F41" s="139">
        <v>567000</v>
      </c>
      <c r="G41" s="139"/>
      <c r="H41" s="139"/>
      <c r="I41" s="139"/>
      <c r="J41" s="139"/>
    </row>
    <row r="42" spans="1:10" ht="19" x14ac:dyDescent="0.2">
      <c r="A42" s="143">
        <v>3566000</v>
      </c>
      <c r="B42" s="153">
        <v>45357</v>
      </c>
      <c r="C42" s="171" t="s">
        <v>9</v>
      </c>
      <c r="D42" s="155" t="s">
        <v>2627</v>
      </c>
      <c r="E42" s="164">
        <v>2631000</v>
      </c>
      <c r="F42" s="119">
        <v>935000</v>
      </c>
      <c r="G42" s="119">
        <v>100000</v>
      </c>
      <c r="H42" s="119" t="s">
        <v>2697</v>
      </c>
      <c r="I42" s="119">
        <v>55000</v>
      </c>
      <c r="J42" s="119" t="s">
        <v>2489</v>
      </c>
    </row>
    <row r="43" spans="1:10" ht="19" x14ac:dyDescent="0.2">
      <c r="A43" s="144"/>
      <c r="B43" s="145"/>
      <c r="C43" s="149"/>
      <c r="D43" s="147"/>
      <c r="E43" s="150"/>
      <c r="F43" s="139"/>
      <c r="G43" s="139"/>
      <c r="H43" s="139"/>
      <c r="I43" s="139"/>
      <c r="J43" s="139"/>
    </row>
    <row r="44" spans="1:10" ht="19" x14ac:dyDescent="0.2">
      <c r="A44" s="143">
        <v>1878000</v>
      </c>
      <c r="B44" s="153"/>
      <c r="C44" s="171" t="s">
        <v>10</v>
      </c>
      <c r="D44" s="155" t="s">
        <v>685</v>
      </c>
      <c r="E44" s="164">
        <v>1490000</v>
      </c>
      <c r="F44" s="119">
        <v>388000</v>
      </c>
      <c r="G44" s="119"/>
      <c r="H44" s="119"/>
      <c r="I44" s="119"/>
      <c r="J44" s="119"/>
    </row>
    <row r="45" spans="1:10" ht="19" x14ac:dyDescent="0.2">
      <c r="A45" s="144"/>
      <c r="B45" s="145"/>
      <c r="C45" s="149"/>
      <c r="D45" s="147"/>
      <c r="E45" s="150"/>
      <c r="F45" s="139"/>
      <c r="G45" s="139"/>
      <c r="H45" s="139"/>
      <c r="I45" s="139"/>
      <c r="J45" s="139"/>
    </row>
    <row r="46" spans="1:10" ht="19" x14ac:dyDescent="0.2">
      <c r="A46" s="143">
        <v>2872000</v>
      </c>
      <c r="B46" s="153">
        <v>45358</v>
      </c>
      <c r="C46" s="171" t="s">
        <v>9</v>
      </c>
      <c r="D46" s="155" t="s">
        <v>2627</v>
      </c>
      <c r="E46" s="164">
        <v>2293000</v>
      </c>
      <c r="F46" s="119">
        <v>579000</v>
      </c>
      <c r="G46" s="119">
        <v>2600000</v>
      </c>
      <c r="H46" s="119" t="s">
        <v>812</v>
      </c>
      <c r="I46" s="119">
        <v>150000</v>
      </c>
      <c r="J46" s="119" t="s">
        <v>1518</v>
      </c>
    </row>
    <row r="47" spans="1:10" ht="19" x14ac:dyDescent="0.2">
      <c r="A47" s="144"/>
      <c r="B47" s="145"/>
      <c r="C47" s="149"/>
      <c r="D47" s="147"/>
      <c r="E47" s="150"/>
      <c r="F47" s="139"/>
      <c r="G47" s="139"/>
      <c r="H47" s="139"/>
      <c r="I47" s="139">
        <v>520000</v>
      </c>
      <c r="J47" s="139" t="s">
        <v>1462</v>
      </c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>
        <v>26000</v>
      </c>
      <c r="J48" s="119" t="s">
        <v>1937</v>
      </c>
    </row>
    <row r="49" spans="1:10" ht="19" x14ac:dyDescent="0.2">
      <c r="A49" s="144"/>
      <c r="B49" s="145"/>
      <c r="C49" s="149"/>
      <c r="D49" s="147"/>
      <c r="E49" s="150"/>
      <c r="F49" s="139"/>
      <c r="G49" s="139"/>
      <c r="H49" s="139"/>
      <c r="I49" s="139">
        <v>29000</v>
      </c>
      <c r="J49" s="139" t="s">
        <v>1938</v>
      </c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50000</v>
      </c>
      <c r="J50" s="119" t="s">
        <v>2698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130000</v>
      </c>
      <c r="J51" s="139" t="s">
        <v>2199</v>
      </c>
    </row>
    <row r="52" spans="1:10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138000</v>
      </c>
      <c r="J52" s="119" t="s">
        <v>2699</v>
      </c>
    </row>
    <row r="53" spans="1:10" ht="19" x14ac:dyDescent="0.2">
      <c r="A53" s="144"/>
      <c r="B53" s="145"/>
      <c r="C53" s="149"/>
      <c r="D53" s="147"/>
      <c r="E53" s="150"/>
      <c r="F53" s="139"/>
      <c r="G53" s="157"/>
      <c r="H53" s="139"/>
      <c r="I53" s="139">
        <v>132000</v>
      </c>
      <c r="J53" s="139" t="s">
        <v>2015</v>
      </c>
    </row>
    <row r="54" spans="1:10" ht="19" x14ac:dyDescent="0.2">
      <c r="A54" s="143"/>
      <c r="B54" s="153"/>
      <c r="C54" s="171"/>
      <c r="D54" s="155"/>
      <c r="E54" s="164"/>
      <c r="F54" s="119"/>
      <c r="G54" s="173"/>
      <c r="H54" s="119"/>
      <c r="I54" s="119">
        <v>165000</v>
      </c>
      <c r="J54" s="119" t="s">
        <v>2700</v>
      </c>
    </row>
    <row r="55" spans="1:10" ht="19" x14ac:dyDescent="0.2">
      <c r="A55" s="144"/>
      <c r="B55" s="145"/>
      <c r="C55" s="149"/>
      <c r="D55" s="147"/>
      <c r="E55" s="150"/>
      <c r="F55" s="139"/>
      <c r="G55" s="157"/>
      <c r="H55" s="139"/>
      <c r="I55" s="139">
        <v>99000</v>
      </c>
      <c r="J55" s="139" t="s">
        <v>2637</v>
      </c>
    </row>
    <row r="56" spans="1:10" ht="19" x14ac:dyDescent="0.2">
      <c r="A56" s="143"/>
      <c r="B56" s="153"/>
      <c r="C56" s="171"/>
      <c r="D56" s="155"/>
      <c r="E56" s="164"/>
      <c r="F56" s="119"/>
      <c r="G56" s="173"/>
      <c r="H56" s="119"/>
      <c r="I56" s="119">
        <v>98000</v>
      </c>
      <c r="J56" s="119" t="s">
        <v>2701</v>
      </c>
    </row>
    <row r="57" spans="1:10" ht="19" x14ac:dyDescent="0.2">
      <c r="A57" s="144"/>
      <c r="B57" s="145"/>
      <c r="C57" s="149"/>
      <c r="D57" s="147"/>
      <c r="E57" s="150"/>
      <c r="F57" s="139"/>
      <c r="G57" s="139"/>
      <c r="H57" s="139"/>
      <c r="I57" s="139">
        <v>9000</v>
      </c>
      <c r="J57" s="139" t="s">
        <v>2702</v>
      </c>
    </row>
    <row r="58" spans="1:10" ht="19" x14ac:dyDescent="0.2">
      <c r="A58" s="143">
        <v>2237000</v>
      </c>
      <c r="B58" s="153"/>
      <c r="C58" s="171" t="s">
        <v>10</v>
      </c>
      <c r="D58" s="155" t="s">
        <v>685</v>
      </c>
      <c r="E58" s="164">
        <v>1546000</v>
      </c>
      <c r="F58" s="119">
        <v>691000</v>
      </c>
      <c r="G58" s="119"/>
      <c r="H58" s="119"/>
      <c r="I58" s="119">
        <v>308000</v>
      </c>
      <c r="J58" s="119" t="s">
        <v>1781</v>
      </c>
    </row>
    <row r="59" spans="1:10" ht="19" x14ac:dyDescent="0.2">
      <c r="A59" s="144">
        <v>2601000</v>
      </c>
      <c r="B59" s="145">
        <v>45359</v>
      </c>
      <c r="C59" s="149" t="s">
        <v>9</v>
      </c>
      <c r="D59" s="147" t="s">
        <v>2627</v>
      </c>
      <c r="E59" s="150">
        <v>2073000</v>
      </c>
      <c r="F59" s="139">
        <v>528000</v>
      </c>
      <c r="G59" s="139"/>
      <c r="H59" s="139"/>
      <c r="I59" s="139">
        <v>150000</v>
      </c>
      <c r="J59" s="139" t="s">
        <v>2703</v>
      </c>
    </row>
    <row r="60" spans="1:10" ht="19" x14ac:dyDescent="0.2">
      <c r="A60" s="143"/>
      <c r="B60" s="153"/>
      <c r="C60" s="171"/>
      <c r="D60" s="155"/>
      <c r="E60" s="164"/>
      <c r="F60" s="119"/>
      <c r="G60" s="119"/>
      <c r="H60" s="119"/>
      <c r="I60" s="119">
        <v>150000</v>
      </c>
      <c r="J60" s="119" t="s">
        <v>2704</v>
      </c>
    </row>
    <row r="61" spans="1:10" ht="19" x14ac:dyDescent="0.2">
      <c r="A61" s="144"/>
      <c r="B61" s="145"/>
      <c r="C61" s="149"/>
      <c r="D61" s="147"/>
      <c r="E61" s="150"/>
      <c r="F61" s="139"/>
      <c r="G61" s="139"/>
      <c r="H61" s="139"/>
      <c r="I61" s="139">
        <v>150000</v>
      </c>
      <c r="J61" s="139" t="s">
        <v>2705</v>
      </c>
    </row>
    <row r="62" spans="1:10" ht="19" x14ac:dyDescent="0.2">
      <c r="A62" s="206"/>
      <c r="B62" s="207"/>
      <c r="C62" s="171"/>
      <c r="D62" s="155"/>
      <c r="E62" s="210"/>
      <c r="F62" s="211"/>
      <c r="G62" s="211"/>
      <c r="H62" s="211"/>
      <c r="I62" s="211">
        <v>150000</v>
      </c>
      <c r="J62" s="119" t="s">
        <v>2706</v>
      </c>
    </row>
    <row r="63" spans="1:10" ht="19" x14ac:dyDescent="0.2">
      <c r="A63" s="144"/>
      <c r="B63" s="145"/>
      <c r="C63" s="149"/>
      <c r="D63" s="147"/>
      <c r="E63" s="150"/>
      <c r="F63" s="139"/>
      <c r="G63" s="139"/>
      <c r="H63" s="139"/>
      <c r="I63" s="139">
        <v>108000</v>
      </c>
      <c r="J63" s="139" t="s">
        <v>1303</v>
      </c>
    </row>
    <row r="64" spans="1:10" ht="19" x14ac:dyDescent="0.2">
      <c r="A64" s="143"/>
      <c r="B64" s="32"/>
      <c r="C64" s="49"/>
      <c r="D64" s="13"/>
      <c r="E64" s="15"/>
      <c r="F64" s="9"/>
      <c r="G64" s="9"/>
      <c r="H64" s="9"/>
      <c r="I64" s="9">
        <v>86000</v>
      </c>
      <c r="J64" s="9" t="s">
        <v>2707</v>
      </c>
    </row>
    <row r="65" spans="1:10" ht="19" x14ac:dyDescent="0.2">
      <c r="A65" s="144"/>
      <c r="B65" s="145"/>
      <c r="C65" s="149"/>
      <c r="D65" s="147"/>
      <c r="E65" s="150"/>
      <c r="F65" s="139"/>
      <c r="G65" s="139"/>
      <c r="H65" s="139"/>
      <c r="I65" s="139">
        <v>103000</v>
      </c>
      <c r="J65" s="139" t="s">
        <v>2708</v>
      </c>
    </row>
    <row r="66" spans="1:10" ht="19" x14ac:dyDescent="0.2">
      <c r="A66" s="142">
        <v>1952000</v>
      </c>
      <c r="B66" s="153"/>
      <c r="C66" s="163" t="s">
        <v>10</v>
      </c>
      <c r="D66" s="155" t="s">
        <v>685</v>
      </c>
      <c r="E66" s="164">
        <v>1259000</v>
      </c>
      <c r="F66" s="119">
        <v>693000</v>
      </c>
      <c r="G66" s="119">
        <v>260000</v>
      </c>
      <c r="H66" s="119" t="s">
        <v>2772</v>
      </c>
      <c r="I66" s="119">
        <v>950000</v>
      </c>
      <c r="J66" s="119" t="s">
        <v>2773</v>
      </c>
    </row>
    <row r="67" spans="1:10" ht="19" x14ac:dyDescent="0.2">
      <c r="A67" s="144">
        <v>2585000</v>
      </c>
      <c r="B67" s="145">
        <v>45360</v>
      </c>
      <c r="C67" s="149" t="s">
        <v>9</v>
      </c>
      <c r="D67" s="147" t="s">
        <v>2627</v>
      </c>
      <c r="E67" s="150">
        <v>1810000</v>
      </c>
      <c r="F67" s="139">
        <v>775000</v>
      </c>
      <c r="G67" s="152"/>
      <c r="H67" s="152"/>
      <c r="I67" s="139">
        <v>65000</v>
      </c>
      <c r="J67" s="139" t="s">
        <v>2709</v>
      </c>
    </row>
    <row r="68" spans="1:10" ht="19" x14ac:dyDescent="0.2">
      <c r="A68" s="143"/>
      <c r="B68" s="32"/>
      <c r="C68" s="49"/>
      <c r="D68" s="13"/>
      <c r="E68" s="15"/>
      <c r="F68" s="9"/>
      <c r="G68" s="60"/>
      <c r="H68" s="60"/>
      <c r="I68" s="9">
        <v>65000</v>
      </c>
      <c r="J68" s="9" t="s">
        <v>2710</v>
      </c>
    </row>
    <row r="69" spans="1:10" ht="19" x14ac:dyDescent="0.2">
      <c r="A69" s="144">
        <v>1854000</v>
      </c>
      <c r="B69" s="145"/>
      <c r="C69" s="149" t="s">
        <v>10</v>
      </c>
      <c r="D69" s="147" t="s">
        <v>685</v>
      </c>
      <c r="E69" s="150">
        <v>1539000</v>
      </c>
      <c r="F69" s="139">
        <v>315000</v>
      </c>
      <c r="G69" s="152"/>
      <c r="H69" s="152"/>
      <c r="I69" s="139">
        <v>50000</v>
      </c>
      <c r="J69" s="139" t="s">
        <v>123</v>
      </c>
    </row>
    <row r="70" spans="1:10" ht="19" x14ac:dyDescent="0.2">
      <c r="A70" s="143"/>
      <c r="B70" s="153"/>
      <c r="C70" s="171"/>
      <c r="D70" s="155"/>
      <c r="E70" s="164"/>
      <c r="F70" s="119"/>
      <c r="G70" s="175"/>
      <c r="H70" s="175"/>
      <c r="I70" s="9">
        <v>125000</v>
      </c>
      <c r="J70" s="119" t="s">
        <v>1296</v>
      </c>
    </row>
    <row r="71" spans="1:10" ht="19" x14ac:dyDescent="0.2">
      <c r="A71" s="144"/>
      <c r="B71" s="145"/>
      <c r="C71" s="149"/>
      <c r="D71" s="147"/>
      <c r="E71" s="150"/>
      <c r="F71" s="139"/>
      <c r="G71" s="152"/>
      <c r="H71" s="152"/>
      <c r="I71" s="139">
        <v>40000</v>
      </c>
      <c r="J71" s="139" t="s">
        <v>1598</v>
      </c>
    </row>
    <row r="72" spans="1:10" ht="19" x14ac:dyDescent="0.2">
      <c r="A72" s="143"/>
      <c r="B72" s="153"/>
      <c r="C72" s="171"/>
      <c r="D72" s="155"/>
      <c r="E72" s="164"/>
      <c r="F72" s="119"/>
      <c r="G72" s="119"/>
      <c r="H72" s="119"/>
      <c r="I72" s="9">
        <v>288000</v>
      </c>
      <c r="J72" s="119" t="s">
        <v>1248</v>
      </c>
    </row>
    <row r="73" spans="1:10" ht="19" x14ac:dyDescent="0.2">
      <c r="A73" s="144"/>
      <c r="B73" s="145"/>
      <c r="C73" s="149"/>
      <c r="D73" s="147"/>
      <c r="E73" s="150"/>
      <c r="F73" s="139"/>
      <c r="G73" s="152"/>
      <c r="H73" s="152"/>
      <c r="I73" s="139">
        <v>1000000</v>
      </c>
      <c r="J73" s="139" t="s">
        <v>2162</v>
      </c>
    </row>
    <row r="74" spans="1:10" ht="19" x14ac:dyDescent="0.2">
      <c r="A74" s="143">
        <v>2622000</v>
      </c>
      <c r="B74" s="145">
        <v>45361</v>
      </c>
      <c r="C74" s="149" t="s">
        <v>9</v>
      </c>
      <c r="D74" s="147" t="s">
        <v>565</v>
      </c>
      <c r="E74" s="15">
        <v>2444000</v>
      </c>
      <c r="F74" s="9">
        <v>178000</v>
      </c>
      <c r="G74" s="9"/>
      <c r="H74" s="9"/>
      <c r="I74" s="9">
        <v>225000</v>
      </c>
      <c r="J74" s="9" t="s">
        <v>2203</v>
      </c>
    </row>
    <row r="75" spans="1:10" ht="19" x14ac:dyDescent="0.2">
      <c r="A75" s="144"/>
      <c r="B75" s="153"/>
      <c r="C75" s="171"/>
      <c r="D75" s="155"/>
      <c r="E75" s="150"/>
      <c r="F75" s="139"/>
      <c r="G75" s="152"/>
      <c r="H75" s="152"/>
      <c r="I75" s="139"/>
      <c r="J75" s="139"/>
    </row>
    <row r="76" spans="1:10" ht="19" x14ac:dyDescent="0.2">
      <c r="A76" s="143">
        <v>1434000</v>
      </c>
      <c r="B76" s="145"/>
      <c r="C76" s="149" t="s">
        <v>10</v>
      </c>
      <c r="D76" s="147" t="s">
        <v>685</v>
      </c>
      <c r="E76" s="15">
        <v>1232000</v>
      </c>
      <c r="F76" s="9">
        <v>202000</v>
      </c>
      <c r="G76" s="60"/>
      <c r="H76" s="60"/>
      <c r="I76" s="9">
        <v>120000</v>
      </c>
      <c r="J76" s="9" t="s">
        <v>1710</v>
      </c>
    </row>
    <row r="77" spans="1:10" ht="19" x14ac:dyDescent="0.2">
      <c r="A77" s="144"/>
      <c r="B77" s="153"/>
      <c r="C77" s="171"/>
      <c r="D77" s="155"/>
      <c r="E77" s="150"/>
      <c r="F77" s="139"/>
      <c r="G77" s="152"/>
      <c r="H77" s="152"/>
      <c r="I77" s="139">
        <v>35000</v>
      </c>
      <c r="J77" s="139" t="s">
        <v>2711</v>
      </c>
    </row>
    <row r="78" spans="1:10" ht="19" x14ac:dyDescent="0.2">
      <c r="A78" s="143"/>
      <c r="B78" s="153"/>
      <c r="C78" s="171"/>
      <c r="D78" s="155"/>
      <c r="E78" s="164"/>
      <c r="F78" s="119"/>
      <c r="G78" s="175"/>
      <c r="H78" s="175"/>
      <c r="I78" s="9">
        <v>200000</v>
      </c>
      <c r="J78" s="119" t="s">
        <v>1614</v>
      </c>
    </row>
    <row r="79" spans="1:10" ht="19" x14ac:dyDescent="0.2">
      <c r="A79" s="144"/>
      <c r="B79" s="145"/>
      <c r="C79" s="149"/>
      <c r="D79" s="147"/>
      <c r="E79" s="150"/>
      <c r="F79" s="139"/>
      <c r="G79" s="152"/>
      <c r="H79" s="152"/>
      <c r="I79" s="139"/>
      <c r="J79" s="139"/>
    </row>
    <row r="80" spans="1:10" ht="19" x14ac:dyDescent="0.2">
      <c r="A80" s="143">
        <v>715000</v>
      </c>
      <c r="B80" s="153">
        <v>45362</v>
      </c>
      <c r="C80" s="171" t="s">
        <v>9</v>
      </c>
      <c r="D80" s="155" t="s">
        <v>2627</v>
      </c>
      <c r="E80" s="164">
        <v>507000</v>
      </c>
      <c r="F80" s="119">
        <v>208000</v>
      </c>
      <c r="G80" s="9">
        <v>200000</v>
      </c>
      <c r="H80" s="9" t="s">
        <v>2712</v>
      </c>
      <c r="I80" s="119">
        <v>45000</v>
      </c>
      <c r="J80" s="119" t="s">
        <v>1493</v>
      </c>
    </row>
    <row r="81" spans="1:10" ht="19" x14ac:dyDescent="0.2">
      <c r="A81" s="144"/>
      <c r="B81" s="145"/>
      <c r="C81" s="149"/>
      <c r="D81" s="147"/>
      <c r="E81" s="150"/>
      <c r="F81" s="139"/>
      <c r="G81" s="139"/>
      <c r="H81" s="139"/>
      <c r="I81" s="139">
        <v>22000</v>
      </c>
      <c r="J81" s="139" t="s">
        <v>2713</v>
      </c>
    </row>
    <row r="82" spans="1:10" ht="19" x14ac:dyDescent="0.2">
      <c r="A82" s="143"/>
      <c r="B82" s="153"/>
      <c r="C82" s="171"/>
      <c r="D82" s="155"/>
      <c r="E82" s="164"/>
      <c r="F82" s="119"/>
      <c r="G82" s="119"/>
      <c r="H82" s="119"/>
      <c r="I82" s="119">
        <v>14000</v>
      </c>
      <c r="J82" s="119" t="s">
        <v>2770</v>
      </c>
    </row>
    <row r="83" spans="1:10" ht="19" x14ac:dyDescent="0.2">
      <c r="A83" s="144"/>
      <c r="B83" s="145"/>
      <c r="C83" s="149"/>
      <c r="D83" s="147"/>
      <c r="E83" s="150"/>
      <c r="F83" s="139"/>
      <c r="G83" s="139"/>
      <c r="H83" s="139"/>
      <c r="I83" s="139">
        <v>35000</v>
      </c>
      <c r="J83" s="139" t="s">
        <v>1885</v>
      </c>
    </row>
    <row r="84" spans="1:10" ht="19" x14ac:dyDescent="0.2">
      <c r="A84" s="143"/>
      <c r="B84" s="153"/>
      <c r="C84" s="49"/>
      <c r="D84" s="13"/>
      <c r="E84" s="15"/>
      <c r="F84" s="9"/>
      <c r="G84" s="9"/>
      <c r="H84" s="9"/>
      <c r="I84" s="9">
        <v>86000</v>
      </c>
      <c r="J84" s="9" t="s">
        <v>2714</v>
      </c>
    </row>
    <row r="85" spans="1:10" ht="19" x14ac:dyDescent="0.2">
      <c r="A85" s="144"/>
      <c r="B85" s="145"/>
      <c r="C85" s="149"/>
      <c r="D85" s="147"/>
      <c r="E85" s="150"/>
      <c r="F85" s="139"/>
      <c r="G85" s="139"/>
      <c r="H85" s="139"/>
      <c r="I85" s="139"/>
      <c r="J85" s="139"/>
    </row>
    <row r="86" spans="1:10" ht="19" x14ac:dyDescent="0.2">
      <c r="A86" s="143">
        <v>2481000</v>
      </c>
      <c r="B86" s="32"/>
      <c r="C86" s="49" t="s">
        <v>10</v>
      </c>
      <c r="D86" s="13" t="s">
        <v>685</v>
      </c>
      <c r="E86" s="15">
        <v>1450000</v>
      </c>
      <c r="F86" s="9">
        <v>1031000</v>
      </c>
      <c r="G86" s="9"/>
      <c r="H86" s="9"/>
      <c r="I86" s="9">
        <v>308000</v>
      </c>
      <c r="J86" s="9" t="s">
        <v>1781</v>
      </c>
    </row>
    <row r="87" spans="1:10" ht="19" x14ac:dyDescent="0.2">
      <c r="A87" s="144"/>
      <c r="B87" s="145"/>
      <c r="C87" s="149"/>
      <c r="D87" s="147"/>
      <c r="E87" s="150"/>
      <c r="F87" s="139"/>
      <c r="G87" s="139"/>
      <c r="H87" s="139"/>
      <c r="I87" s="139"/>
      <c r="J87" s="139"/>
    </row>
    <row r="88" spans="1:10" ht="19" x14ac:dyDescent="0.2">
      <c r="A88" s="143">
        <v>1155000</v>
      </c>
      <c r="B88" s="32">
        <v>45363</v>
      </c>
      <c r="C88" s="49" t="s">
        <v>9</v>
      </c>
      <c r="D88" s="13" t="s">
        <v>2627</v>
      </c>
      <c r="E88" s="15">
        <v>599000</v>
      </c>
      <c r="F88" s="9">
        <v>556000</v>
      </c>
      <c r="G88" s="9">
        <v>2600000</v>
      </c>
      <c r="H88" s="9" t="s">
        <v>812</v>
      </c>
      <c r="I88" s="9"/>
      <c r="J88" s="9"/>
    </row>
    <row r="89" spans="1:10" ht="19" x14ac:dyDescent="0.2">
      <c r="A89" s="144"/>
      <c r="B89" s="145"/>
      <c r="C89" s="159"/>
      <c r="D89" s="147"/>
      <c r="E89" s="150"/>
      <c r="F89" s="139"/>
      <c r="G89" s="139"/>
      <c r="H89" s="139"/>
      <c r="I89" s="139"/>
      <c r="J89" s="139"/>
    </row>
    <row r="90" spans="1:10" ht="19" x14ac:dyDescent="0.2">
      <c r="A90" s="143">
        <v>2632000</v>
      </c>
      <c r="B90" s="32"/>
      <c r="C90" s="49" t="s">
        <v>10</v>
      </c>
      <c r="D90" s="13" t="s">
        <v>685</v>
      </c>
      <c r="E90" s="15">
        <v>2074000</v>
      </c>
      <c r="F90" s="9">
        <v>558000</v>
      </c>
      <c r="G90" s="9"/>
      <c r="H90" s="9"/>
      <c r="I90" s="9"/>
      <c r="J90" s="9"/>
    </row>
    <row r="91" spans="1:10" ht="19" x14ac:dyDescent="0.2">
      <c r="A91" s="144">
        <v>1368000</v>
      </c>
      <c r="B91" s="145">
        <v>45364</v>
      </c>
      <c r="C91" s="149" t="s">
        <v>9</v>
      </c>
      <c r="D91" s="147" t="s">
        <v>2627</v>
      </c>
      <c r="E91" s="150">
        <v>1148000</v>
      </c>
      <c r="F91" s="139">
        <v>220000</v>
      </c>
      <c r="G91" s="139">
        <v>3810000</v>
      </c>
      <c r="H91" s="139" t="s">
        <v>1542</v>
      </c>
      <c r="I91" s="139">
        <v>30000</v>
      </c>
      <c r="J91" s="139" t="s">
        <v>1596</v>
      </c>
    </row>
    <row r="92" spans="1:10" ht="19" x14ac:dyDescent="0.2">
      <c r="A92" s="143"/>
      <c r="B92" s="153"/>
      <c r="C92" s="171"/>
      <c r="D92" s="155"/>
      <c r="E92" s="164"/>
      <c r="F92" s="119"/>
      <c r="G92" s="119"/>
      <c r="H92" s="119"/>
      <c r="I92" s="119">
        <v>80000</v>
      </c>
      <c r="J92" s="119" t="s">
        <v>2715</v>
      </c>
    </row>
    <row r="93" spans="1:10" ht="19" x14ac:dyDescent="0.2">
      <c r="A93" s="144">
        <v>2309000</v>
      </c>
      <c r="B93" s="145"/>
      <c r="C93" s="149" t="s">
        <v>10</v>
      </c>
      <c r="D93" s="147" t="s">
        <v>685</v>
      </c>
      <c r="E93" s="150">
        <v>1729000</v>
      </c>
      <c r="F93" s="139">
        <v>580000</v>
      </c>
      <c r="G93" s="139"/>
      <c r="H93" s="139"/>
      <c r="I93" s="139">
        <v>45000</v>
      </c>
      <c r="J93" s="139" t="s">
        <v>1493</v>
      </c>
    </row>
    <row r="94" spans="1:10" ht="19" x14ac:dyDescent="0.2">
      <c r="A94" s="143"/>
      <c r="B94" s="153"/>
      <c r="C94" s="171"/>
      <c r="D94" s="155"/>
      <c r="E94" s="164"/>
      <c r="F94" s="119"/>
      <c r="G94" s="119"/>
      <c r="H94" s="119"/>
      <c r="I94" s="119">
        <v>26000</v>
      </c>
      <c r="J94" s="119" t="s">
        <v>2716</v>
      </c>
    </row>
    <row r="95" spans="1:10" ht="19" x14ac:dyDescent="0.2">
      <c r="A95" s="144"/>
      <c r="B95" s="145"/>
      <c r="C95" s="149"/>
      <c r="D95" s="147"/>
      <c r="E95" s="150"/>
      <c r="F95" s="139"/>
      <c r="G95" s="152"/>
      <c r="H95" s="152"/>
      <c r="I95" s="139">
        <v>101000</v>
      </c>
      <c r="J95" s="139" t="s">
        <v>2717</v>
      </c>
    </row>
    <row r="96" spans="1:10" ht="19" x14ac:dyDescent="0.2">
      <c r="A96" s="143">
        <v>1261000</v>
      </c>
      <c r="B96" s="153">
        <v>45365</v>
      </c>
      <c r="C96" s="171" t="s">
        <v>9</v>
      </c>
      <c r="D96" s="155" t="s">
        <v>2627</v>
      </c>
      <c r="E96" s="164">
        <v>965000</v>
      </c>
      <c r="F96" s="119">
        <v>296000</v>
      </c>
      <c r="G96" s="119"/>
      <c r="H96" s="119"/>
      <c r="I96" s="119"/>
      <c r="J96" s="119"/>
    </row>
    <row r="97" spans="1:10" ht="19" x14ac:dyDescent="0.2">
      <c r="A97" s="144"/>
      <c r="B97" s="145"/>
      <c r="C97" s="149"/>
      <c r="D97" s="147"/>
      <c r="E97" s="150"/>
      <c r="F97" s="139"/>
      <c r="G97" s="139"/>
      <c r="H97" s="139"/>
      <c r="I97" s="139"/>
      <c r="J97" s="139"/>
    </row>
    <row r="98" spans="1:10" ht="19" x14ac:dyDescent="0.2">
      <c r="A98" s="143">
        <v>2764000</v>
      </c>
      <c r="B98" s="153"/>
      <c r="C98" s="171" t="s">
        <v>10</v>
      </c>
      <c r="D98" s="155" t="s">
        <v>685</v>
      </c>
      <c r="E98" s="164">
        <v>1860000</v>
      </c>
      <c r="F98" s="119">
        <v>904000</v>
      </c>
      <c r="G98" s="119"/>
      <c r="H98" s="119"/>
      <c r="I98" s="119">
        <v>286000</v>
      </c>
      <c r="J98" s="119" t="s">
        <v>2718</v>
      </c>
    </row>
    <row r="99" spans="1:10" ht="19" x14ac:dyDescent="0.2">
      <c r="A99" s="144">
        <v>1162000</v>
      </c>
      <c r="B99" s="145">
        <v>45366</v>
      </c>
      <c r="C99" s="149" t="s">
        <v>9</v>
      </c>
      <c r="D99" s="147" t="s">
        <v>2627</v>
      </c>
      <c r="E99" s="150">
        <v>903000</v>
      </c>
      <c r="F99" s="139">
        <v>259000</v>
      </c>
      <c r="G99" s="139">
        <v>1655000</v>
      </c>
      <c r="H99" s="139" t="s">
        <v>2719</v>
      </c>
      <c r="I99" s="139">
        <v>30000</v>
      </c>
      <c r="J99" s="139" t="s">
        <v>1596</v>
      </c>
    </row>
    <row r="100" spans="1:10" ht="32" x14ac:dyDescent="0.2">
      <c r="A100" s="143"/>
      <c r="B100" s="32"/>
      <c r="C100" s="49"/>
      <c r="D100" s="13"/>
      <c r="E100" s="15"/>
      <c r="F100" s="9"/>
      <c r="G100" s="9">
        <v>1750000</v>
      </c>
      <c r="H100" s="47" t="s">
        <v>2720</v>
      </c>
      <c r="I100" s="9">
        <v>144000</v>
      </c>
      <c r="J100" s="9" t="s">
        <v>1245</v>
      </c>
    </row>
    <row r="101" spans="1:10" ht="19" x14ac:dyDescent="0.2">
      <c r="A101" s="144"/>
      <c r="B101" s="145"/>
      <c r="C101" s="149"/>
      <c r="D101" s="147"/>
      <c r="E101" s="150"/>
      <c r="F101" s="139"/>
      <c r="G101" s="139">
        <v>600000</v>
      </c>
      <c r="H101" s="139" t="s">
        <v>2721</v>
      </c>
      <c r="I101" s="139">
        <v>80000</v>
      </c>
      <c r="J101" s="139" t="s">
        <v>1285</v>
      </c>
    </row>
    <row r="102" spans="1:10" ht="19" x14ac:dyDescent="0.2">
      <c r="A102" s="143">
        <v>2184000</v>
      </c>
      <c r="B102" s="153"/>
      <c r="C102" s="171" t="s">
        <v>10</v>
      </c>
      <c r="D102" s="155" t="s">
        <v>685</v>
      </c>
      <c r="E102" s="164">
        <v>1461000</v>
      </c>
      <c r="F102" s="119">
        <v>723000</v>
      </c>
      <c r="G102" s="119">
        <v>200000</v>
      </c>
      <c r="H102" s="119" t="s">
        <v>2722</v>
      </c>
      <c r="I102" s="119">
        <v>150000</v>
      </c>
      <c r="J102" s="119" t="s">
        <v>2723</v>
      </c>
    </row>
    <row r="103" spans="1:10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>
        <v>120000</v>
      </c>
      <c r="J103" s="139" t="s">
        <v>1710</v>
      </c>
    </row>
    <row r="104" spans="1:10" ht="19" x14ac:dyDescent="0.2">
      <c r="A104" s="143"/>
      <c r="B104" s="153"/>
      <c r="C104" s="171"/>
      <c r="D104" s="155"/>
      <c r="E104" s="164"/>
      <c r="F104" s="119"/>
      <c r="G104" s="119"/>
      <c r="H104" s="175"/>
      <c r="I104" s="119">
        <v>35000</v>
      </c>
      <c r="J104" s="119" t="s">
        <v>1467</v>
      </c>
    </row>
    <row r="105" spans="1:10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>
        <v>200000</v>
      </c>
      <c r="J105" s="139" t="s">
        <v>2724</v>
      </c>
    </row>
    <row r="106" spans="1:10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/>
      <c r="J106" s="119"/>
    </row>
    <row r="107" spans="1:10" ht="19" x14ac:dyDescent="0.2">
      <c r="A107" s="144">
        <v>1004000</v>
      </c>
      <c r="B107" s="145">
        <v>45367</v>
      </c>
      <c r="C107" s="149" t="s">
        <v>9</v>
      </c>
      <c r="D107" s="147" t="s">
        <v>2627</v>
      </c>
      <c r="E107" s="150">
        <v>823000</v>
      </c>
      <c r="F107" s="139">
        <v>181000</v>
      </c>
      <c r="G107" s="139"/>
      <c r="H107" s="139"/>
      <c r="I107" s="139">
        <v>108000</v>
      </c>
      <c r="J107" s="139" t="s">
        <v>1303</v>
      </c>
    </row>
    <row r="108" spans="1:10" ht="19" x14ac:dyDescent="0.2">
      <c r="A108" s="143"/>
      <c r="B108" s="153"/>
      <c r="C108" s="171"/>
      <c r="D108" s="155"/>
      <c r="E108" s="164"/>
      <c r="F108" s="119"/>
      <c r="G108" s="119"/>
      <c r="H108" s="175"/>
      <c r="I108" s="119">
        <v>27000</v>
      </c>
      <c r="J108" s="119" t="s">
        <v>2725</v>
      </c>
    </row>
    <row r="109" spans="1:10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>
        <v>92000</v>
      </c>
      <c r="J109" s="139" t="s">
        <v>2726</v>
      </c>
    </row>
    <row r="110" spans="1:10" ht="19" x14ac:dyDescent="0.2">
      <c r="A110" s="143"/>
      <c r="B110" s="153"/>
      <c r="C110" s="171"/>
      <c r="D110" s="155"/>
      <c r="E110" s="164"/>
      <c r="F110" s="119"/>
      <c r="G110" s="119"/>
      <c r="H110" s="175"/>
      <c r="I110" s="119">
        <v>21000</v>
      </c>
      <c r="J110" s="119" t="s">
        <v>2670</v>
      </c>
    </row>
    <row r="111" spans="1:10" ht="19" x14ac:dyDescent="0.2">
      <c r="A111" s="144">
        <v>2653000</v>
      </c>
      <c r="B111" s="145"/>
      <c r="C111" s="149" t="s">
        <v>10</v>
      </c>
      <c r="D111" s="147" t="s">
        <v>685</v>
      </c>
      <c r="E111" s="150">
        <v>1867000</v>
      </c>
      <c r="F111" s="139">
        <v>786000</v>
      </c>
      <c r="G111" s="139"/>
      <c r="H111" s="139"/>
      <c r="I111" s="139">
        <v>50000</v>
      </c>
      <c r="J111" s="139" t="s">
        <v>123</v>
      </c>
    </row>
    <row r="112" spans="1:10" ht="19" x14ac:dyDescent="0.2">
      <c r="A112" s="143"/>
      <c r="B112" s="32">
        <v>45368</v>
      </c>
      <c r="C112" s="49"/>
      <c r="D112" s="13"/>
      <c r="E112" s="15"/>
      <c r="F112" s="9"/>
      <c r="G112" s="9"/>
      <c r="H112" s="9" t="s">
        <v>737</v>
      </c>
      <c r="I112" s="9"/>
      <c r="J112" s="9"/>
    </row>
    <row r="113" spans="1:10" ht="19" x14ac:dyDescent="0.2">
      <c r="A113" s="144">
        <v>1296000</v>
      </c>
      <c r="B113" s="145">
        <v>45369</v>
      </c>
      <c r="C113" s="151" t="s">
        <v>9</v>
      </c>
      <c r="D113" s="147" t="s">
        <v>2627</v>
      </c>
      <c r="E113" s="150">
        <v>805000</v>
      </c>
      <c r="F113" s="139">
        <v>491000</v>
      </c>
      <c r="G113" s="139"/>
      <c r="H113" s="139"/>
      <c r="I113" s="162">
        <v>120000</v>
      </c>
      <c r="J113" s="162" t="s">
        <v>1553</v>
      </c>
    </row>
    <row r="114" spans="1:10" ht="19" x14ac:dyDescent="0.2">
      <c r="A114" s="143"/>
      <c r="B114" s="32"/>
      <c r="C114" s="171"/>
      <c r="D114" s="155"/>
      <c r="E114" s="15"/>
      <c r="F114" s="9"/>
      <c r="G114" s="9"/>
      <c r="H114" s="9"/>
      <c r="I114" s="106">
        <v>65000</v>
      </c>
      <c r="J114" s="106" t="s">
        <v>2727</v>
      </c>
    </row>
    <row r="115" spans="1:10" ht="19" x14ac:dyDescent="0.2">
      <c r="A115" s="144"/>
      <c r="B115" s="145"/>
      <c r="C115" s="149"/>
      <c r="D115" s="147"/>
      <c r="E115" s="150"/>
      <c r="F115" s="139"/>
      <c r="G115" s="139"/>
      <c r="H115" s="139"/>
      <c r="I115" s="162">
        <v>65000</v>
      </c>
      <c r="J115" s="162" t="s">
        <v>2728</v>
      </c>
    </row>
    <row r="116" spans="1:10" ht="19" x14ac:dyDescent="0.2">
      <c r="A116" s="143"/>
      <c r="B116" s="153"/>
      <c r="C116" s="163"/>
      <c r="D116" s="155"/>
      <c r="E116" s="164"/>
      <c r="F116" s="119"/>
      <c r="G116" s="119"/>
      <c r="H116" s="119"/>
      <c r="I116" s="174">
        <v>65000</v>
      </c>
      <c r="J116" s="174" t="s">
        <v>2729</v>
      </c>
    </row>
    <row r="117" spans="1:10" ht="19" x14ac:dyDescent="0.2">
      <c r="A117" s="148"/>
      <c r="B117" s="145"/>
      <c r="C117" s="159"/>
      <c r="D117" s="147"/>
      <c r="E117" s="150"/>
      <c r="F117" s="139"/>
      <c r="G117" s="139"/>
      <c r="H117" s="139"/>
      <c r="I117" s="139">
        <v>65000</v>
      </c>
      <c r="J117" s="139" t="s">
        <v>2730</v>
      </c>
    </row>
    <row r="118" spans="1:10" ht="19" x14ac:dyDescent="0.2">
      <c r="A118" s="142"/>
      <c r="B118" s="32"/>
      <c r="C118" s="2"/>
      <c r="D118" s="102"/>
      <c r="E118" s="15"/>
      <c r="F118" s="9"/>
      <c r="G118" s="9"/>
      <c r="H118" s="9"/>
      <c r="I118" s="9">
        <v>108000</v>
      </c>
      <c r="J118" s="9" t="s">
        <v>2015</v>
      </c>
    </row>
    <row r="119" spans="1:10" ht="19" x14ac:dyDescent="0.2">
      <c r="A119" s="144"/>
      <c r="B119" s="145"/>
      <c r="C119" s="151"/>
      <c r="D119" s="147"/>
      <c r="E119" s="150"/>
      <c r="F119" s="139"/>
      <c r="G119" s="139"/>
      <c r="H119" s="139"/>
      <c r="I119" s="139">
        <v>28000</v>
      </c>
      <c r="J119" s="139" t="s">
        <v>2731</v>
      </c>
    </row>
    <row r="120" spans="1:10" ht="19" x14ac:dyDescent="0.2">
      <c r="A120" s="143"/>
      <c r="B120" s="153"/>
      <c r="C120" s="163"/>
      <c r="D120" s="155"/>
      <c r="E120" s="119"/>
      <c r="F120" s="119"/>
      <c r="G120" s="119"/>
      <c r="H120" s="119"/>
      <c r="I120" s="119">
        <v>165000</v>
      </c>
      <c r="J120" s="119" t="s">
        <v>2732</v>
      </c>
    </row>
    <row r="121" spans="1:10" ht="32" x14ac:dyDescent="0.2">
      <c r="A121" s="144">
        <v>2495000</v>
      </c>
      <c r="B121" s="145"/>
      <c r="C121" s="151" t="s">
        <v>10</v>
      </c>
      <c r="D121" s="222" t="s">
        <v>2733</v>
      </c>
      <c r="E121" s="150">
        <v>2041000</v>
      </c>
      <c r="F121" s="139">
        <v>454000</v>
      </c>
      <c r="G121" s="139"/>
      <c r="H121" s="139"/>
      <c r="I121" s="139">
        <v>308000</v>
      </c>
      <c r="J121" s="139" t="s">
        <v>1781</v>
      </c>
    </row>
    <row r="122" spans="1:10" ht="19" x14ac:dyDescent="0.2">
      <c r="A122" s="143">
        <v>1514000</v>
      </c>
      <c r="B122" s="32">
        <v>45370</v>
      </c>
      <c r="C122" s="35" t="s">
        <v>9</v>
      </c>
      <c r="D122" s="13" t="s">
        <v>2627</v>
      </c>
      <c r="E122" s="15">
        <v>1224000</v>
      </c>
      <c r="F122" s="9">
        <v>290000</v>
      </c>
      <c r="G122" s="9"/>
      <c r="H122" s="9"/>
      <c r="I122" s="9">
        <v>71000</v>
      </c>
      <c r="J122" s="9" t="s">
        <v>2734</v>
      </c>
    </row>
    <row r="123" spans="1:10" ht="19" x14ac:dyDescent="0.2">
      <c r="A123" s="144"/>
      <c r="B123" s="158"/>
      <c r="C123" s="151"/>
      <c r="D123" s="147"/>
      <c r="E123" s="150"/>
      <c r="F123" s="139"/>
      <c r="G123" s="139"/>
      <c r="H123" s="152"/>
      <c r="I123" s="139">
        <v>49000</v>
      </c>
      <c r="J123" s="139" t="s">
        <v>2735</v>
      </c>
    </row>
    <row r="124" spans="1:10" ht="19" x14ac:dyDescent="0.2">
      <c r="A124" s="143"/>
      <c r="B124" s="32"/>
      <c r="C124" s="35"/>
      <c r="D124" s="13"/>
      <c r="E124" s="15"/>
      <c r="F124" s="9"/>
      <c r="G124" s="9"/>
      <c r="H124" s="9"/>
      <c r="I124" s="9">
        <v>32000</v>
      </c>
      <c r="J124" s="9" t="s">
        <v>2736</v>
      </c>
    </row>
    <row r="125" spans="1:10" ht="19" x14ac:dyDescent="0.2">
      <c r="A125" s="144"/>
      <c r="B125" s="145"/>
      <c r="C125" s="151"/>
      <c r="D125" s="147"/>
      <c r="E125" s="150"/>
      <c r="F125" s="139"/>
      <c r="G125" s="152"/>
      <c r="H125" s="152"/>
      <c r="I125" s="139">
        <v>45000</v>
      </c>
      <c r="J125" s="139" t="s">
        <v>1493</v>
      </c>
    </row>
    <row r="126" spans="1:10" ht="19" x14ac:dyDescent="0.2">
      <c r="A126" s="143"/>
      <c r="B126" s="153"/>
      <c r="C126" s="163"/>
      <c r="D126" s="155"/>
      <c r="E126" s="164"/>
      <c r="F126" s="119"/>
      <c r="G126" s="119"/>
      <c r="H126" s="119"/>
      <c r="I126" s="119">
        <v>288000</v>
      </c>
      <c r="J126" s="119" t="s">
        <v>1245</v>
      </c>
    </row>
    <row r="127" spans="1:10" ht="19" x14ac:dyDescent="0.2">
      <c r="A127" s="144"/>
      <c r="B127" s="158"/>
      <c r="C127" s="151"/>
      <c r="D127" s="147"/>
      <c r="E127" s="150"/>
      <c r="F127" s="139"/>
      <c r="G127" s="139"/>
      <c r="H127" s="139"/>
      <c r="I127" s="139">
        <v>150000</v>
      </c>
      <c r="J127" s="139" t="s">
        <v>2737</v>
      </c>
    </row>
    <row r="128" spans="1:10" ht="19" x14ac:dyDescent="0.2">
      <c r="A128" s="143"/>
      <c r="B128" s="153"/>
      <c r="C128" s="170"/>
      <c r="D128" s="155"/>
      <c r="E128" s="164"/>
      <c r="F128" s="119"/>
      <c r="G128" s="119"/>
      <c r="H128" s="119"/>
      <c r="I128" s="119">
        <v>150000</v>
      </c>
      <c r="J128" s="119" t="s">
        <v>2486</v>
      </c>
    </row>
    <row r="129" spans="1:10" ht="19" x14ac:dyDescent="0.2">
      <c r="A129" s="144"/>
      <c r="B129" s="145"/>
      <c r="C129" s="151"/>
      <c r="D129" s="147"/>
      <c r="E129" s="150"/>
      <c r="F129" s="139"/>
      <c r="G129" s="139"/>
      <c r="H129" s="139"/>
      <c r="I129" s="139">
        <v>150000</v>
      </c>
      <c r="J129" s="139" t="s">
        <v>2738</v>
      </c>
    </row>
    <row r="130" spans="1:10" ht="32" x14ac:dyDescent="0.2">
      <c r="A130" s="143">
        <v>1979000</v>
      </c>
      <c r="B130" s="33"/>
      <c r="C130" s="35" t="s">
        <v>10</v>
      </c>
      <c r="D130" s="92" t="s">
        <v>2739</v>
      </c>
      <c r="E130" s="15">
        <v>1079000</v>
      </c>
      <c r="F130" s="9">
        <v>900000</v>
      </c>
      <c r="G130" s="9"/>
      <c r="H130" s="9"/>
      <c r="I130" s="9"/>
      <c r="J130" s="9"/>
    </row>
    <row r="131" spans="1:10" ht="19" x14ac:dyDescent="0.2">
      <c r="A131" s="148">
        <v>1479000</v>
      </c>
      <c r="B131" s="145">
        <v>45371</v>
      </c>
      <c r="C131" s="151" t="s">
        <v>9</v>
      </c>
      <c r="D131" s="160" t="s">
        <v>2627</v>
      </c>
      <c r="E131" s="150">
        <v>795000</v>
      </c>
      <c r="F131" s="139">
        <v>684000</v>
      </c>
      <c r="G131" s="139"/>
      <c r="H131" s="139"/>
      <c r="I131" s="139">
        <v>58000</v>
      </c>
      <c r="J131" s="139" t="s">
        <v>2509</v>
      </c>
    </row>
    <row r="132" spans="1:10" ht="19" x14ac:dyDescent="0.2">
      <c r="A132" s="142"/>
      <c r="B132" s="270"/>
      <c r="C132" s="163"/>
      <c r="D132" s="155"/>
      <c r="E132" s="164"/>
      <c r="F132" s="119"/>
      <c r="G132" s="119"/>
      <c r="H132" s="119"/>
      <c r="I132" s="119">
        <v>34000</v>
      </c>
      <c r="J132" s="119" t="s">
        <v>1857</v>
      </c>
    </row>
    <row r="133" spans="1:10" ht="32" x14ac:dyDescent="0.2">
      <c r="A133" s="148">
        <v>2663000</v>
      </c>
      <c r="B133" s="158"/>
      <c r="C133" s="151" t="s">
        <v>10</v>
      </c>
      <c r="D133" s="242" t="s">
        <v>2739</v>
      </c>
      <c r="E133" s="150">
        <v>1686000</v>
      </c>
      <c r="F133" s="139">
        <v>977000</v>
      </c>
      <c r="G133" s="139"/>
      <c r="H133" s="139"/>
      <c r="I133" s="139"/>
      <c r="J133" s="139"/>
    </row>
    <row r="134" spans="1:10" ht="19" x14ac:dyDescent="0.2">
      <c r="A134" s="142"/>
      <c r="B134" s="153"/>
      <c r="C134" s="163"/>
      <c r="D134" s="172"/>
      <c r="E134" s="164"/>
      <c r="F134" s="119"/>
      <c r="G134" s="119"/>
      <c r="H134" s="119"/>
      <c r="I134" s="119"/>
      <c r="J134" s="119"/>
    </row>
    <row r="135" spans="1:10" ht="19" x14ac:dyDescent="0.2">
      <c r="A135" s="148">
        <v>1059000</v>
      </c>
      <c r="B135" s="145">
        <v>45372</v>
      </c>
      <c r="C135" s="151" t="s">
        <v>9</v>
      </c>
      <c r="D135" s="160" t="s">
        <v>2627</v>
      </c>
      <c r="E135" s="150">
        <v>697000</v>
      </c>
      <c r="F135" s="139">
        <v>362000</v>
      </c>
      <c r="G135" s="139">
        <v>2600000</v>
      </c>
      <c r="H135" s="139" t="s">
        <v>1475</v>
      </c>
      <c r="I135" s="139">
        <v>93000</v>
      </c>
      <c r="J135" s="139" t="s">
        <v>2740</v>
      </c>
    </row>
    <row r="136" spans="1:10" ht="19" x14ac:dyDescent="0.2">
      <c r="A136" s="143"/>
      <c r="B136" s="32"/>
      <c r="C136" s="35"/>
      <c r="D136" s="13"/>
      <c r="E136" s="15"/>
      <c r="F136" s="9"/>
      <c r="G136" s="9"/>
      <c r="H136" s="9"/>
      <c r="I136" s="9">
        <v>45000</v>
      </c>
      <c r="J136" s="9" t="s">
        <v>1493</v>
      </c>
    </row>
    <row r="137" spans="1:10" ht="19" x14ac:dyDescent="0.2">
      <c r="A137" s="144"/>
      <c r="B137" s="158"/>
      <c r="C137" s="151"/>
      <c r="D137" s="147"/>
      <c r="E137" s="150"/>
      <c r="F137" s="139"/>
      <c r="G137" s="139"/>
      <c r="H137" s="139"/>
      <c r="I137" s="139">
        <v>35000</v>
      </c>
      <c r="J137" s="139" t="s">
        <v>1885</v>
      </c>
    </row>
    <row r="138" spans="1:10" ht="32" x14ac:dyDescent="0.2">
      <c r="A138" s="143">
        <v>2475000</v>
      </c>
      <c r="B138" s="153"/>
      <c r="C138" s="171" t="s">
        <v>10</v>
      </c>
      <c r="D138" s="250" t="s">
        <v>2739</v>
      </c>
      <c r="E138" s="164">
        <v>1488000</v>
      </c>
      <c r="F138" s="119">
        <v>987000</v>
      </c>
      <c r="G138" s="119">
        <v>300000</v>
      </c>
      <c r="H138" s="119" t="s">
        <v>2239</v>
      </c>
      <c r="I138" s="119"/>
      <c r="J138" s="119"/>
    </row>
    <row r="139" spans="1:10" ht="19" x14ac:dyDescent="0.2">
      <c r="A139" s="144">
        <v>934000</v>
      </c>
      <c r="B139" s="145">
        <v>45373</v>
      </c>
      <c r="C139" s="149" t="s">
        <v>9</v>
      </c>
      <c r="D139" s="147" t="s">
        <v>2627</v>
      </c>
      <c r="E139" s="150">
        <v>760000</v>
      </c>
      <c r="F139" s="139">
        <v>174000</v>
      </c>
      <c r="G139" s="139"/>
      <c r="H139" s="139"/>
      <c r="I139" s="139">
        <v>54000</v>
      </c>
      <c r="J139" s="139" t="s">
        <v>1449</v>
      </c>
    </row>
    <row r="140" spans="1:10" ht="19" x14ac:dyDescent="0.2">
      <c r="A140" s="143"/>
      <c r="B140" s="153"/>
      <c r="C140" s="163"/>
      <c r="D140" s="155"/>
      <c r="E140" s="164"/>
      <c r="F140" s="119"/>
      <c r="G140" s="119"/>
      <c r="H140" s="119"/>
      <c r="I140" s="119">
        <v>21000</v>
      </c>
      <c r="J140" s="119" t="s">
        <v>2670</v>
      </c>
    </row>
    <row r="141" spans="1:10" ht="19" x14ac:dyDescent="0.2">
      <c r="A141" s="144"/>
      <c r="B141" s="145"/>
      <c r="C141" s="146"/>
      <c r="D141" s="147"/>
      <c r="E141" s="150"/>
      <c r="F141" s="139"/>
      <c r="G141" s="139"/>
      <c r="H141" s="165"/>
      <c r="I141" s="139">
        <v>7000</v>
      </c>
      <c r="J141" s="139" t="s">
        <v>2248</v>
      </c>
    </row>
    <row r="142" spans="1:10" ht="19" x14ac:dyDescent="0.2">
      <c r="A142" s="143"/>
      <c r="B142" s="32"/>
      <c r="C142" s="35"/>
      <c r="D142" s="13"/>
      <c r="E142" s="15"/>
      <c r="F142" s="9"/>
      <c r="G142" s="9"/>
      <c r="H142" s="77"/>
      <c r="I142" s="9">
        <v>8000</v>
      </c>
      <c r="J142" s="9" t="s">
        <v>1305</v>
      </c>
    </row>
    <row r="143" spans="1:10" ht="19" x14ac:dyDescent="0.2">
      <c r="A143" s="144"/>
      <c r="B143" s="145"/>
      <c r="C143" s="146"/>
      <c r="D143" s="147"/>
      <c r="E143" s="150"/>
      <c r="F143" s="139"/>
      <c r="G143" s="139"/>
      <c r="H143" s="165"/>
      <c r="I143" s="139">
        <v>116000</v>
      </c>
      <c r="J143" s="139" t="s">
        <v>2741</v>
      </c>
    </row>
    <row r="144" spans="1:10" ht="19" x14ac:dyDescent="0.2">
      <c r="A144" s="143"/>
      <c r="B144" s="32"/>
      <c r="C144" s="3"/>
      <c r="D144" s="13"/>
      <c r="E144" s="15"/>
      <c r="F144" s="9"/>
      <c r="G144" s="9"/>
      <c r="H144" s="77"/>
      <c r="I144" s="9">
        <v>62000</v>
      </c>
      <c r="J144" s="9" t="s">
        <v>2742</v>
      </c>
    </row>
    <row r="145" spans="1:10" ht="19" x14ac:dyDescent="0.2">
      <c r="A145" s="205"/>
      <c r="B145" s="145"/>
      <c r="C145" s="151"/>
      <c r="D145" s="147"/>
      <c r="E145" s="150"/>
      <c r="F145" s="139"/>
      <c r="G145" s="139"/>
      <c r="H145" s="165"/>
      <c r="I145" s="139">
        <v>225000</v>
      </c>
      <c r="J145" s="139" t="s">
        <v>2203</v>
      </c>
    </row>
    <row r="146" spans="1:10" ht="32" x14ac:dyDescent="0.2">
      <c r="A146" s="143">
        <v>2601000</v>
      </c>
      <c r="B146" s="32"/>
      <c r="C146" s="35" t="s">
        <v>10</v>
      </c>
      <c r="D146" s="250" t="s">
        <v>2739</v>
      </c>
      <c r="E146" s="15">
        <v>1919000</v>
      </c>
      <c r="F146" s="9">
        <v>682000</v>
      </c>
      <c r="G146" s="9"/>
      <c r="H146" s="77"/>
      <c r="I146" s="9">
        <v>264000</v>
      </c>
      <c r="J146" s="9" t="s">
        <v>1509</v>
      </c>
    </row>
    <row r="147" spans="1:10" ht="19" x14ac:dyDescent="0.2">
      <c r="A147" s="148"/>
      <c r="B147" s="145"/>
      <c r="C147" s="151"/>
      <c r="D147" s="160"/>
      <c r="E147" s="150"/>
      <c r="F147" s="139"/>
      <c r="G147" s="139"/>
      <c r="H147" s="165"/>
      <c r="I147" s="139">
        <v>144000</v>
      </c>
      <c r="J147" s="139" t="s">
        <v>1245</v>
      </c>
    </row>
    <row r="148" spans="1:10" ht="19" x14ac:dyDescent="0.2">
      <c r="A148" s="142"/>
      <c r="B148" s="32"/>
      <c r="C148" s="35"/>
      <c r="D148" s="102"/>
      <c r="E148" s="15"/>
      <c r="F148" s="9"/>
      <c r="G148" s="9"/>
      <c r="H148" s="77"/>
      <c r="I148" s="9">
        <v>80000</v>
      </c>
      <c r="J148" s="9" t="s">
        <v>2743</v>
      </c>
    </row>
    <row r="149" spans="1:10" ht="19" x14ac:dyDescent="0.2">
      <c r="A149" s="144"/>
      <c r="B149" s="145"/>
      <c r="C149" s="159"/>
      <c r="D149" s="147"/>
      <c r="E149" s="150"/>
      <c r="F149" s="139"/>
      <c r="G149" s="139"/>
      <c r="H149" s="165"/>
      <c r="I149" s="139">
        <v>125000</v>
      </c>
      <c r="J149" s="262" t="s">
        <v>1296</v>
      </c>
    </row>
    <row r="150" spans="1:10" ht="19" x14ac:dyDescent="0.2">
      <c r="A150" s="143"/>
      <c r="B150" s="32"/>
      <c r="C150" s="49"/>
      <c r="D150" s="13"/>
      <c r="E150" s="15"/>
      <c r="F150" s="9"/>
      <c r="G150" s="9"/>
      <c r="H150" s="77"/>
      <c r="I150" s="9"/>
      <c r="J150" s="9"/>
    </row>
    <row r="151" spans="1:10" ht="19" x14ac:dyDescent="0.2">
      <c r="A151" s="144">
        <v>882000</v>
      </c>
      <c r="B151" s="145">
        <v>45374</v>
      </c>
      <c r="C151" s="146" t="s">
        <v>9</v>
      </c>
      <c r="D151" s="147" t="s">
        <v>2627</v>
      </c>
      <c r="E151" s="150">
        <v>702000</v>
      </c>
      <c r="F151" s="139">
        <v>180000</v>
      </c>
      <c r="G151" s="139"/>
      <c r="H151" s="165"/>
      <c r="I151" s="139"/>
      <c r="J151" s="139"/>
    </row>
    <row r="152" spans="1:10" ht="19" x14ac:dyDescent="0.2">
      <c r="A152" s="143"/>
      <c r="B152" s="32"/>
      <c r="C152" s="49"/>
      <c r="D152" s="13"/>
      <c r="E152" s="15"/>
      <c r="F152" s="9"/>
      <c r="G152" s="9"/>
      <c r="H152" s="77"/>
      <c r="I152" s="9"/>
      <c r="J152" s="9"/>
    </row>
    <row r="153" spans="1:10" ht="32" x14ac:dyDescent="0.2">
      <c r="A153" s="144">
        <v>2702000</v>
      </c>
      <c r="B153" s="145"/>
      <c r="C153" s="263" t="s">
        <v>10</v>
      </c>
      <c r="D153" s="222" t="s">
        <v>2744</v>
      </c>
      <c r="E153" s="150">
        <v>1744000</v>
      </c>
      <c r="F153" s="139">
        <v>958000</v>
      </c>
      <c r="G153" s="139"/>
      <c r="H153" s="139"/>
      <c r="I153" s="139">
        <v>10000</v>
      </c>
      <c r="J153" s="139" t="s">
        <v>2745</v>
      </c>
    </row>
    <row r="154" spans="1:10" ht="19" x14ac:dyDescent="0.2">
      <c r="A154" s="143"/>
      <c r="B154" s="153"/>
      <c r="C154" s="154"/>
      <c r="D154" s="155"/>
      <c r="E154" s="164"/>
      <c r="F154" s="119"/>
      <c r="G154" s="119"/>
      <c r="H154" s="119"/>
      <c r="I154" s="119">
        <v>50000</v>
      </c>
      <c r="J154" s="119" t="s">
        <v>123</v>
      </c>
    </row>
    <row r="155" spans="1:10" ht="19" x14ac:dyDescent="0.2">
      <c r="A155" s="144"/>
      <c r="B155" s="145"/>
      <c r="C155" s="151"/>
      <c r="D155" s="147"/>
      <c r="E155" s="150"/>
      <c r="F155" s="139"/>
      <c r="G155" s="139"/>
      <c r="H155" s="165"/>
      <c r="I155" s="139"/>
      <c r="J155" s="139"/>
    </row>
    <row r="156" spans="1:10" ht="19" x14ac:dyDescent="0.2">
      <c r="A156" s="143"/>
      <c r="B156" s="153">
        <v>45375</v>
      </c>
      <c r="C156" s="163"/>
      <c r="D156" s="155"/>
      <c r="E156" s="164"/>
      <c r="F156" s="119"/>
      <c r="G156" s="119"/>
      <c r="H156" s="168" t="s">
        <v>737</v>
      </c>
      <c r="I156" s="119"/>
      <c r="J156" s="119"/>
    </row>
    <row r="157" spans="1:10" ht="19" x14ac:dyDescent="0.2">
      <c r="A157" s="144">
        <v>1265000</v>
      </c>
      <c r="B157" s="145">
        <v>45376</v>
      </c>
      <c r="C157" s="151" t="s">
        <v>9</v>
      </c>
      <c r="D157" s="147" t="s">
        <v>2627</v>
      </c>
      <c r="E157" s="150">
        <v>924000</v>
      </c>
      <c r="F157" s="139">
        <v>341000</v>
      </c>
      <c r="G157" s="139"/>
      <c r="H157" s="165"/>
      <c r="I157" s="139">
        <v>520000</v>
      </c>
      <c r="J157" s="139" t="s">
        <v>2746</v>
      </c>
    </row>
    <row r="158" spans="1:10" ht="19" x14ac:dyDescent="0.2">
      <c r="A158" s="143"/>
      <c r="B158" s="32"/>
      <c r="C158" s="49"/>
      <c r="D158" s="13"/>
      <c r="E158" s="15"/>
      <c r="F158" s="9"/>
      <c r="G158" s="9"/>
      <c r="H158" s="9"/>
      <c r="I158" s="9">
        <v>120000</v>
      </c>
      <c r="J158" s="9" t="s">
        <v>2747</v>
      </c>
    </row>
    <row r="159" spans="1:10" ht="19" x14ac:dyDescent="0.2">
      <c r="A159" s="144"/>
      <c r="B159" s="145"/>
      <c r="C159" s="149"/>
      <c r="D159" s="147"/>
      <c r="E159" s="150"/>
      <c r="F159" s="139"/>
      <c r="G159" s="139"/>
      <c r="H159" s="139"/>
      <c r="I159" s="165"/>
      <c r="J159" s="165"/>
    </row>
    <row r="160" spans="1:10" ht="32" x14ac:dyDescent="0.2">
      <c r="A160" s="143">
        <v>2403000</v>
      </c>
      <c r="B160" s="153"/>
      <c r="C160" s="171" t="s">
        <v>10</v>
      </c>
      <c r="D160" s="230" t="s">
        <v>2739</v>
      </c>
      <c r="E160" s="164">
        <v>1960000</v>
      </c>
      <c r="F160" s="119">
        <v>443000</v>
      </c>
      <c r="G160" s="119"/>
      <c r="H160" s="119"/>
      <c r="I160" s="119">
        <v>120000</v>
      </c>
      <c r="J160" s="119" t="s">
        <v>2748</v>
      </c>
    </row>
    <row r="161" spans="1:10" ht="19" x14ac:dyDescent="0.2">
      <c r="A161" s="144"/>
      <c r="B161" s="145"/>
      <c r="C161" s="149"/>
      <c r="D161" s="147"/>
      <c r="E161" s="150"/>
      <c r="F161" s="139"/>
      <c r="G161" s="139"/>
      <c r="H161" s="139"/>
      <c r="I161" s="139">
        <v>35000</v>
      </c>
      <c r="J161" s="139" t="s">
        <v>1467</v>
      </c>
    </row>
    <row r="162" spans="1:10" ht="19" x14ac:dyDescent="0.2">
      <c r="A162" s="143"/>
      <c r="B162" s="32"/>
      <c r="C162" s="49"/>
      <c r="D162" s="13"/>
      <c r="E162" s="15"/>
      <c r="F162" s="9"/>
      <c r="G162" s="9"/>
      <c r="H162" s="9"/>
      <c r="I162" s="77">
        <v>200000</v>
      </c>
      <c r="J162" s="77" t="s">
        <v>1991</v>
      </c>
    </row>
    <row r="163" spans="1:10" ht="19" x14ac:dyDescent="0.2">
      <c r="A163" s="144"/>
      <c r="B163" s="145"/>
      <c r="C163" s="149"/>
      <c r="D163" s="147"/>
      <c r="E163" s="150"/>
      <c r="F163" s="139"/>
      <c r="G163" s="139"/>
      <c r="H163" s="139"/>
      <c r="I163" s="165"/>
      <c r="J163" s="165"/>
    </row>
    <row r="164" spans="1:10" ht="19" x14ac:dyDescent="0.2">
      <c r="A164" s="143">
        <v>1734000</v>
      </c>
      <c r="B164" s="32">
        <v>45377</v>
      </c>
      <c r="C164" s="49" t="s">
        <v>9</v>
      </c>
      <c r="D164" s="13" t="s">
        <v>2627</v>
      </c>
      <c r="E164" s="15">
        <v>1471000</v>
      </c>
      <c r="F164" s="9">
        <v>263000</v>
      </c>
      <c r="G164" s="9"/>
      <c r="H164" s="9"/>
      <c r="I164" s="77">
        <v>62000</v>
      </c>
      <c r="J164" s="77" t="s">
        <v>2749</v>
      </c>
    </row>
    <row r="165" spans="1:10" ht="19" x14ac:dyDescent="0.2">
      <c r="A165" s="144"/>
      <c r="B165" s="145"/>
      <c r="C165" s="149"/>
      <c r="D165" s="147"/>
      <c r="E165" s="150"/>
      <c r="F165" s="139"/>
      <c r="G165" s="139"/>
      <c r="H165" s="139"/>
      <c r="I165" s="165">
        <v>54000</v>
      </c>
      <c r="J165" s="165" t="s">
        <v>1449</v>
      </c>
    </row>
    <row r="166" spans="1:10" ht="19" x14ac:dyDescent="0.2">
      <c r="A166" s="143"/>
      <c r="B166" s="32"/>
      <c r="C166" s="49"/>
      <c r="D166" s="13"/>
      <c r="E166" s="15"/>
      <c r="F166" s="9"/>
      <c r="G166" s="9"/>
      <c r="H166" s="9"/>
      <c r="I166" s="77">
        <v>83000</v>
      </c>
      <c r="J166" s="77" t="s">
        <v>2750</v>
      </c>
    </row>
    <row r="167" spans="1:10" ht="19" x14ac:dyDescent="0.2">
      <c r="A167" s="144"/>
      <c r="B167" s="145"/>
      <c r="C167" s="149"/>
      <c r="D167" s="147"/>
      <c r="E167" s="150"/>
      <c r="F167" s="139"/>
      <c r="G167" s="139"/>
      <c r="H167" s="139"/>
      <c r="I167" s="165">
        <v>21000</v>
      </c>
      <c r="J167" s="165" t="s">
        <v>2670</v>
      </c>
    </row>
    <row r="168" spans="1:10" ht="32" x14ac:dyDescent="0.2">
      <c r="A168" s="143">
        <v>3076000</v>
      </c>
      <c r="B168" s="153"/>
      <c r="C168" s="171" t="s">
        <v>10</v>
      </c>
      <c r="D168" s="230" t="s">
        <v>2739</v>
      </c>
      <c r="E168" s="164">
        <v>2710000</v>
      </c>
      <c r="F168" s="119">
        <v>366000</v>
      </c>
      <c r="G168" s="119"/>
      <c r="H168" s="119"/>
      <c r="I168" s="168">
        <v>198000</v>
      </c>
      <c r="J168" s="168" t="s">
        <v>2751</v>
      </c>
    </row>
    <row r="169" spans="1:10" ht="19" x14ac:dyDescent="0.2">
      <c r="A169" s="144">
        <v>1886000</v>
      </c>
      <c r="B169" s="145">
        <v>45378</v>
      </c>
      <c r="C169" s="149" t="s">
        <v>9</v>
      </c>
      <c r="D169" s="147" t="s">
        <v>2627</v>
      </c>
      <c r="E169" s="150">
        <v>1586000</v>
      </c>
      <c r="F169" s="139">
        <v>300000</v>
      </c>
      <c r="G169" s="139"/>
      <c r="H169" s="139"/>
      <c r="I169" s="165">
        <v>93000</v>
      </c>
      <c r="J169" s="165" t="s">
        <v>2752</v>
      </c>
    </row>
    <row r="170" spans="1:10" ht="19" x14ac:dyDescent="0.2">
      <c r="A170" s="143"/>
      <c r="B170" s="153"/>
      <c r="C170" s="171"/>
      <c r="D170" s="155"/>
      <c r="E170" s="164"/>
      <c r="F170" s="119"/>
      <c r="G170" s="119"/>
      <c r="H170" s="119"/>
      <c r="I170" s="168">
        <v>62000</v>
      </c>
      <c r="J170" s="168" t="s">
        <v>2753</v>
      </c>
    </row>
    <row r="171" spans="1:10" ht="19" x14ac:dyDescent="0.2">
      <c r="A171" s="144"/>
      <c r="B171" s="145"/>
      <c r="C171" s="149"/>
      <c r="D171" s="147"/>
      <c r="E171" s="150"/>
      <c r="F171" s="139"/>
      <c r="G171" s="139"/>
      <c r="H171" s="139"/>
      <c r="I171" s="165">
        <v>150000</v>
      </c>
      <c r="J171" s="165" t="s">
        <v>2754</v>
      </c>
    </row>
    <row r="172" spans="1:10" ht="32" x14ac:dyDescent="0.2">
      <c r="A172" s="143">
        <v>2396000</v>
      </c>
      <c r="B172" s="153"/>
      <c r="C172" s="171" t="s">
        <v>10</v>
      </c>
      <c r="D172" s="230" t="s">
        <v>2739</v>
      </c>
      <c r="E172" s="164">
        <v>1714000</v>
      </c>
      <c r="F172" s="119">
        <v>682000</v>
      </c>
      <c r="G172" s="119"/>
      <c r="H172" s="119"/>
      <c r="I172" s="168"/>
      <c r="J172" s="168"/>
    </row>
    <row r="173" spans="1:10" ht="19" x14ac:dyDescent="0.2">
      <c r="A173" s="144">
        <v>1390000</v>
      </c>
      <c r="B173" s="145">
        <v>45379</v>
      </c>
      <c r="C173" s="149" t="s">
        <v>9</v>
      </c>
      <c r="D173" s="147" t="s">
        <v>2627</v>
      </c>
      <c r="E173" s="150">
        <v>1079000</v>
      </c>
      <c r="F173" s="139">
        <v>311000</v>
      </c>
      <c r="G173" s="139"/>
      <c r="H173" s="139"/>
      <c r="I173" s="165">
        <v>45000</v>
      </c>
      <c r="J173" s="165" t="s">
        <v>1493</v>
      </c>
    </row>
    <row r="174" spans="1:10" ht="19" x14ac:dyDescent="0.2">
      <c r="A174" s="143"/>
      <c r="B174" s="153"/>
      <c r="C174" s="171"/>
      <c r="D174" s="155"/>
      <c r="E174" s="164"/>
      <c r="F174" s="119"/>
      <c r="G174" s="119"/>
      <c r="H174" s="119"/>
      <c r="I174" s="168">
        <v>35000</v>
      </c>
      <c r="J174" s="168" t="s">
        <v>1885</v>
      </c>
    </row>
    <row r="175" spans="1:10" ht="19" x14ac:dyDescent="0.2">
      <c r="A175" s="144"/>
      <c r="B175" s="145"/>
      <c r="C175" s="149"/>
      <c r="D175" s="147"/>
      <c r="E175" s="150"/>
      <c r="F175" s="139"/>
      <c r="G175" s="139"/>
      <c r="H175" s="139"/>
      <c r="I175" s="165">
        <v>77000</v>
      </c>
      <c r="J175" s="165" t="s">
        <v>2755</v>
      </c>
    </row>
    <row r="176" spans="1:10" ht="19" x14ac:dyDescent="0.2">
      <c r="A176" s="143"/>
      <c r="B176" s="153"/>
      <c r="C176" s="171"/>
      <c r="D176" s="155"/>
      <c r="E176" s="164"/>
      <c r="F176" s="119"/>
      <c r="G176" s="119"/>
      <c r="H176" s="119"/>
      <c r="I176" s="168">
        <v>150000</v>
      </c>
      <c r="J176" s="168" t="s">
        <v>2756</v>
      </c>
    </row>
    <row r="177" spans="1:10" ht="19" x14ac:dyDescent="0.2">
      <c r="A177" s="144"/>
      <c r="B177" s="145"/>
      <c r="C177" s="149"/>
      <c r="D177" s="147"/>
      <c r="E177" s="150"/>
      <c r="F177" s="139"/>
      <c r="G177" s="139"/>
      <c r="H177" s="139"/>
      <c r="I177" s="165">
        <v>150000</v>
      </c>
      <c r="J177" s="165" t="s">
        <v>2757</v>
      </c>
    </row>
    <row r="178" spans="1:10" ht="19" x14ac:dyDescent="0.2">
      <c r="A178" s="143"/>
      <c r="B178" s="153"/>
      <c r="C178" s="171"/>
      <c r="D178" s="155"/>
      <c r="E178" s="164"/>
      <c r="F178" s="119"/>
      <c r="G178" s="119"/>
      <c r="H178" s="119"/>
      <c r="I178" s="168">
        <v>200000</v>
      </c>
      <c r="J178" s="168" t="s">
        <v>2758</v>
      </c>
    </row>
    <row r="179" spans="1:10" ht="32" x14ac:dyDescent="0.2">
      <c r="A179" s="144">
        <v>2873000</v>
      </c>
      <c r="B179" s="145"/>
      <c r="C179" s="149" t="s">
        <v>10</v>
      </c>
      <c r="D179" s="222" t="s">
        <v>2739</v>
      </c>
      <c r="E179" s="150">
        <v>1976000</v>
      </c>
      <c r="F179" s="139">
        <v>897000</v>
      </c>
      <c r="G179" s="139"/>
      <c r="H179" s="139"/>
      <c r="I179" s="165">
        <v>308000</v>
      </c>
      <c r="J179" s="165" t="s">
        <v>1781</v>
      </c>
    </row>
    <row r="180" spans="1:10" ht="19" x14ac:dyDescent="0.2">
      <c r="A180" s="143">
        <v>1658000</v>
      </c>
      <c r="B180" s="153">
        <v>45380</v>
      </c>
      <c r="C180" s="171" t="s">
        <v>9</v>
      </c>
      <c r="D180" s="155" t="s">
        <v>2627</v>
      </c>
      <c r="E180" s="164">
        <v>984000</v>
      </c>
      <c r="F180" s="119">
        <v>674000</v>
      </c>
      <c r="G180" s="119">
        <v>2600000</v>
      </c>
      <c r="H180" s="119" t="s">
        <v>812</v>
      </c>
      <c r="I180" s="168">
        <v>120000</v>
      </c>
      <c r="J180" s="168" t="s">
        <v>1553</v>
      </c>
    </row>
    <row r="181" spans="1:10" ht="19" x14ac:dyDescent="0.2">
      <c r="A181" s="144"/>
      <c r="B181" s="145"/>
      <c r="C181" s="149"/>
      <c r="D181" s="147"/>
      <c r="E181" s="150"/>
      <c r="F181" s="139"/>
      <c r="G181" s="139"/>
      <c r="H181" s="139"/>
      <c r="I181" s="165">
        <v>150000</v>
      </c>
      <c r="J181" s="165" t="s">
        <v>2759</v>
      </c>
    </row>
    <row r="182" spans="1:10" ht="19" x14ac:dyDescent="0.2">
      <c r="A182" s="143"/>
      <c r="B182" s="153"/>
      <c r="C182" s="171"/>
      <c r="D182" s="155"/>
      <c r="E182" s="164"/>
      <c r="F182" s="119"/>
      <c r="G182" s="119"/>
      <c r="H182" s="119"/>
      <c r="I182" s="168">
        <v>75000</v>
      </c>
      <c r="J182" s="168" t="s">
        <v>2760</v>
      </c>
    </row>
    <row r="183" spans="1:10" ht="19" x14ac:dyDescent="0.2">
      <c r="A183" s="144"/>
      <c r="B183" s="145"/>
      <c r="C183" s="149"/>
      <c r="D183" s="147"/>
      <c r="E183" s="150"/>
      <c r="F183" s="139"/>
      <c r="G183" s="139"/>
      <c r="H183" s="139"/>
      <c r="I183" s="165">
        <v>96000</v>
      </c>
      <c r="J183" s="165" t="s">
        <v>2761</v>
      </c>
    </row>
    <row r="184" spans="1:10" ht="19" x14ac:dyDescent="0.2">
      <c r="A184" s="143"/>
      <c r="B184" s="153"/>
      <c r="C184" s="171"/>
      <c r="D184" s="155"/>
      <c r="E184" s="164"/>
      <c r="F184" s="119"/>
      <c r="G184" s="119"/>
      <c r="H184" s="119"/>
      <c r="I184" s="168">
        <v>130000</v>
      </c>
      <c r="J184" s="168" t="s">
        <v>2762</v>
      </c>
    </row>
    <row r="185" spans="1:10" ht="19" x14ac:dyDescent="0.2">
      <c r="A185" s="144"/>
      <c r="B185" s="145"/>
      <c r="C185" s="149"/>
      <c r="D185" s="147"/>
      <c r="E185" s="150"/>
      <c r="F185" s="139"/>
      <c r="G185" s="139"/>
      <c r="H185" s="139"/>
      <c r="I185" s="165">
        <v>59000</v>
      </c>
      <c r="J185" s="165" t="s">
        <v>2763</v>
      </c>
    </row>
    <row r="186" spans="1:10" ht="19" x14ac:dyDescent="0.2">
      <c r="A186" s="143"/>
      <c r="B186" s="153"/>
      <c r="C186" s="171"/>
      <c r="D186" s="155"/>
      <c r="E186" s="164"/>
      <c r="F186" s="119"/>
      <c r="G186" s="119"/>
      <c r="H186" s="119"/>
      <c r="I186" s="168">
        <v>31000</v>
      </c>
      <c r="J186" s="168" t="s">
        <v>1516</v>
      </c>
    </row>
    <row r="187" spans="1:10" ht="19" x14ac:dyDescent="0.2">
      <c r="A187" s="144"/>
      <c r="B187" s="145"/>
      <c r="C187" s="149"/>
      <c r="D187" s="147"/>
      <c r="E187" s="150"/>
      <c r="F187" s="139"/>
      <c r="G187" s="139"/>
      <c r="H187" s="139"/>
      <c r="I187" s="165">
        <v>18000</v>
      </c>
      <c r="J187" s="165" t="s">
        <v>2695</v>
      </c>
    </row>
    <row r="188" spans="1:10" ht="32" x14ac:dyDescent="0.2">
      <c r="A188" s="143">
        <v>2371000</v>
      </c>
      <c r="B188" s="153"/>
      <c r="C188" s="171" t="s">
        <v>10</v>
      </c>
      <c r="D188" s="230" t="s">
        <v>2739</v>
      </c>
      <c r="E188" s="164">
        <v>1568000</v>
      </c>
      <c r="F188" s="119">
        <v>803000</v>
      </c>
      <c r="G188" s="119"/>
      <c r="H188" s="119"/>
      <c r="I188" s="168">
        <v>150000</v>
      </c>
      <c r="J188" s="168" t="s">
        <v>2723</v>
      </c>
    </row>
    <row r="189" spans="1:10" ht="19" x14ac:dyDescent="0.2">
      <c r="A189" s="144"/>
      <c r="B189" s="145"/>
      <c r="C189" s="149"/>
      <c r="D189" s="147"/>
      <c r="E189" s="150"/>
      <c r="F189" s="139"/>
      <c r="G189" s="139"/>
      <c r="H189" s="139"/>
      <c r="I189" s="165">
        <v>144000</v>
      </c>
      <c r="J189" s="165" t="s">
        <v>1245</v>
      </c>
    </row>
    <row r="190" spans="1:10" ht="19" x14ac:dyDescent="0.2">
      <c r="A190" s="143"/>
      <c r="B190" s="153"/>
      <c r="C190" s="171"/>
      <c r="D190" s="155"/>
      <c r="E190" s="164"/>
      <c r="F190" s="119"/>
      <c r="G190" s="119"/>
      <c r="H190" s="119"/>
      <c r="I190" s="168">
        <v>200000</v>
      </c>
      <c r="J190" s="168" t="s">
        <v>1614</v>
      </c>
    </row>
    <row r="191" spans="1:10" ht="19" x14ac:dyDescent="0.2">
      <c r="A191" s="144"/>
      <c r="B191" s="145"/>
      <c r="C191" s="149"/>
      <c r="D191" s="147"/>
      <c r="E191" s="150"/>
      <c r="F191" s="139"/>
      <c r="G191" s="139"/>
      <c r="H191" s="139"/>
      <c r="I191" s="165">
        <v>120000</v>
      </c>
      <c r="J191" s="165" t="s">
        <v>1710</v>
      </c>
    </row>
    <row r="192" spans="1:10" ht="19" x14ac:dyDescent="0.2">
      <c r="A192" s="143">
        <v>1334000</v>
      </c>
      <c r="B192" s="153">
        <v>45381</v>
      </c>
      <c r="C192" s="171" t="s">
        <v>9</v>
      </c>
      <c r="D192" s="155" t="s">
        <v>2627</v>
      </c>
      <c r="E192" s="164">
        <v>1047000</v>
      </c>
      <c r="F192" s="119">
        <v>287000</v>
      </c>
      <c r="G192" s="119"/>
      <c r="H192" s="119"/>
      <c r="I192" s="168">
        <v>330000</v>
      </c>
      <c r="J192" s="168" t="s">
        <v>2764</v>
      </c>
    </row>
    <row r="193" spans="1:10" ht="32" x14ac:dyDescent="0.2">
      <c r="A193" s="144">
        <v>2795000</v>
      </c>
      <c r="B193" s="145"/>
      <c r="C193" s="149" t="s">
        <v>10</v>
      </c>
      <c r="D193" s="222" t="s">
        <v>2739</v>
      </c>
      <c r="E193" s="150">
        <v>1849000</v>
      </c>
      <c r="F193" s="139">
        <v>946000</v>
      </c>
      <c r="G193" s="139"/>
      <c r="H193" s="139"/>
      <c r="I193" s="165">
        <v>330000</v>
      </c>
      <c r="J193" s="165" t="s">
        <v>1648</v>
      </c>
    </row>
    <row r="194" spans="1:10" ht="19" x14ac:dyDescent="0.2">
      <c r="A194" s="143"/>
      <c r="B194" s="153"/>
      <c r="C194" s="171"/>
      <c r="D194" s="155"/>
      <c r="E194" s="164"/>
      <c r="F194" s="119"/>
      <c r="G194" s="119"/>
      <c r="H194" s="119"/>
      <c r="I194" s="168">
        <v>50000</v>
      </c>
      <c r="J194" s="168" t="s">
        <v>123</v>
      </c>
    </row>
    <row r="195" spans="1:10" ht="19" x14ac:dyDescent="0.2">
      <c r="A195" s="144">
        <v>1293000</v>
      </c>
      <c r="B195" s="145">
        <v>45382</v>
      </c>
      <c r="C195" s="149" t="s">
        <v>9</v>
      </c>
      <c r="D195" s="147" t="s">
        <v>565</v>
      </c>
      <c r="E195" s="150">
        <v>967000</v>
      </c>
      <c r="F195" s="139">
        <v>326000</v>
      </c>
      <c r="G195" s="139">
        <v>1200000</v>
      </c>
      <c r="H195" s="139" t="s">
        <v>717</v>
      </c>
      <c r="I195" s="165">
        <v>14000</v>
      </c>
      <c r="J195" s="165" t="s">
        <v>2765</v>
      </c>
    </row>
    <row r="196" spans="1:10" ht="19" x14ac:dyDescent="0.2">
      <c r="A196" s="143"/>
      <c r="B196" s="153"/>
      <c r="C196" s="171"/>
      <c r="D196" s="155"/>
      <c r="E196" s="164"/>
      <c r="F196" s="119"/>
      <c r="G196" s="119">
        <v>1957000</v>
      </c>
      <c r="H196" s="119" t="s">
        <v>2766</v>
      </c>
      <c r="I196" s="168"/>
      <c r="J196" s="168"/>
    </row>
    <row r="197" spans="1:10" ht="19" x14ac:dyDescent="0.2">
      <c r="A197" s="144">
        <v>2530000</v>
      </c>
      <c r="B197" s="145"/>
      <c r="C197" s="149" t="s">
        <v>10</v>
      </c>
      <c r="D197" s="147" t="s">
        <v>2767</v>
      </c>
      <c r="E197" s="150">
        <v>2096000</v>
      </c>
      <c r="F197" s="139">
        <v>434000</v>
      </c>
      <c r="G197" s="139">
        <v>2037000</v>
      </c>
      <c r="H197" s="139" t="s">
        <v>1263</v>
      </c>
      <c r="I197" s="165"/>
      <c r="J197" s="165"/>
    </row>
    <row r="198" spans="1:10" ht="19" x14ac:dyDescent="0.2">
      <c r="A198" s="143"/>
      <c r="B198" s="32"/>
      <c r="C198" s="2"/>
      <c r="D198" s="13"/>
      <c r="E198" s="15"/>
      <c r="F198" s="9"/>
      <c r="G198" s="9">
        <v>1987000</v>
      </c>
      <c r="H198" s="9" t="s">
        <v>2768</v>
      </c>
      <c r="I198" s="77"/>
      <c r="J198" s="77"/>
    </row>
    <row r="199" spans="1:10" ht="32" x14ac:dyDescent="0.2">
      <c r="A199" s="144"/>
      <c r="B199" s="145"/>
      <c r="C199" s="149"/>
      <c r="D199" s="147"/>
      <c r="E199" s="150"/>
      <c r="F199" s="139"/>
      <c r="G199" s="139">
        <v>3900000</v>
      </c>
      <c r="H199" s="161" t="s">
        <v>2769</v>
      </c>
      <c r="I199" s="165"/>
      <c r="J199" s="165"/>
    </row>
  </sheetData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J248"/>
  <sheetViews>
    <sheetView workbookViewId="0">
      <selection activeCell="J12" sqref="J12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20.5" customWidth="1"/>
    <col min="5" max="5" width="20.33203125" bestFit="1" customWidth="1"/>
    <col min="6" max="6" width="24.1640625" customWidth="1"/>
    <col min="7" max="7" width="26" customWidth="1"/>
    <col min="8" max="8" width="26.83203125" customWidth="1"/>
    <col min="9" max="9" width="26.5" customWidth="1"/>
    <col min="10" max="10" width="31.1640625" customWidth="1"/>
  </cols>
  <sheetData>
    <row r="3" spans="1:10" ht="21" x14ac:dyDescent="0.2">
      <c r="G3" s="73"/>
      <c r="H3" s="71" t="s">
        <v>174</v>
      </c>
      <c r="I3" s="71">
        <f>K10/A10</f>
        <v>0</v>
      </c>
    </row>
    <row r="4" spans="1:10" ht="21" x14ac:dyDescent="0.2">
      <c r="F4" s="212" t="s">
        <v>1802</v>
      </c>
      <c r="G4" s="213"/>
      <c r="H4" s="71" t="s">
        <v>2314</v>
      </c>
      <c r="I4" s="71">
        <v>20396000</v>
      </c>
      <c r="J4" s="72">
        <f>I4/10820</f>
        <v>1885.0277264325323</v>
      </c>
    </row>
    <row r="5" spans="1:10" ht="24" x14ac:dyDescent="0.3">
      <c r="B5" s="99" t="s">
        <v>2896</v>
      </c>
      <c r="G5" s="73"/>
      <c r="H5" s="71" t="s">
        <v>2315</v>
      </c>
      <c r="I5" s="71">
        <v>20396000</v>
      </c>
      <c r="J5" s="72">
        <f>I5/10820</f>
        <v>1885.0277264325323</v>
      </c>
    </row>
    <row r="6" spans="1:10" ht="24" x14ac:dyDescent="0.3">
      <c r="B6" s="99"/>
      <c r="G6" s="73"/>
      <c r="H6" s="71" t="s">
        <v>178</v>
      </c>
      <c r="I6" s="71">
        <v>17763710</v>
      </c>
      <c r="J6" s="72" t="s">
        <v>2900</v>
      </c>
    </row>
    <row r="7" spans="1:10" ht="26" x14ac:dyDescent="0.3">
      <c r="B7" s="100" t="s">
        <v>2899</v>
      </c>
    </row>
    <row r="9" spans="1:10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8</v>
      </c>
      <c r="H9" s="114" t="s">
        <v>11</v>
      </c>
      <c r="I9" s="114" t="s">
        <v>3</v>
      </c>
      <c r="J9" s="114" t="s">
        <v>12</v>
      </c>
    </row>
    <row r="10" spans="1:10" ht="21" x14ac:dyDescent="0.2">
      <c r="A10" s="69">
        <f>SUM(A11:A360)</f>
        <v>138000000</v>
      </c>
      <c r="B10" s="65"/>
      <c r="C10" s="66" t="s">
        <v>13</v>
      </c>
      <c r="D10" s="67"/>
      <c r="E10" s="68">
        <f>SUM(E11:E360)</f>
        <v>98632000</v>
      </c>
      <c r="F10" s="69">
        <f>SUM(F11:F360)</f>
        <v>39368000</v>
      </c>
      <c r="G10" s="69">
        <f>SUM(G11:G360)</f>
        <v>39948000</v>
      </c>
      <c r="H10" s="69"/>
      <c r="I10" s="69">
        <f>SUM(I11:I360)</f>
        <v>24373000</v>
      </c>
      <c r="J10" s="69"/>
    </row>
    <row r="11" spans="1:10" ht="19" x14ac:dyDescent="0.2">
      <c r="A11" s="281">
        <v>1779000</v>
      </c>
      <c r="B11" s="145">
        <v>45383</v>
      </c>
      <c r="C11" s="146" t="s">
        <v>9</v>
      </c>
      <c r="D11" s="147" t="s">
        <v>2627</v>
      </c>
      <c r="E11" s="139">
        <v>1251000</v>
      </c>
      <c r="F11" s="139">
        <v>528000</v>
      </c>
      <c r="G11" s="139">
        <v>457000</v>
      </c>
      <c r="H11" s="139" t="s">
        <v>2897</v>
      </c>
      <c r="I11" s="139">
        <v>8000</v>
      </c>
      <c r="J11" s="139" t="s">
        <v>2776</v>
      </c>
    </row>
    <row r="12" spans="1:10" ht="19" x14ac:dyDescent="0.2">
      <c r="A12" s="142"/>
      <c r="B12" s="32"/>
      <c r="C12" s="49"/>
      <c r="D12" s="13"/>
      <c r="E12" s="15"/>
      <c r="F12" s="9"/>
      <c r="G12" s="9"/>
      <c r="H12" s="9"/>
      <c r="I12" s="9">
        <v>225000</v>
      </c>
      <c r="J12" s="9" t="s">
        <v>2203</v>
      </c>
    </row>
    <row r="13" spans="1:10" ht="19" x14ac:dyDescent="0.2">
      <c r="A13" s="148"/>
      <c r="B13" s="145"/>
      <c r="C13" s="149"/>
      <c r="D13" s="147"/>
      <c r="E13" s="150"/>
      <c r="F13" s="139"/>
      <c r="G13" s="139"/>
      <c r="H13" s="139"/>
      <c r="I13" s="139"/>
      <c r="J13" s="139"/>
    </row>
    <row r="14" spans="1:10" ht="19" x14ac:dyDescent="0.2">
      <c r="A14" s="142">
        <v>2360000</v>
      </c>
      <c r="B14" s="32"/>
      <c r="C14" s="49" t="s">
        <v>10</v>
      </c>
      <c r="D14" s="13" t="s">
        <v>2882</v>
      </c>
      <c r="E14" s="15">
        <v>1910000</v>
      </c>
      <c r="F14" s="9">
        <v>450000</v>
      </c>
      <c r="G14" s="9">
        <v>1219000</v>
      </c>
      <c r="H14" s="9" t="s">
        <v>2777</v>
      </c>
      <c r="I14" s="9"/>
      <c r="J14" s="9"/>
    </row>
    <row r="15" spans="1:10" ht="19" x14ac:dyDescent="0.2">
      <c r="A15" s="148"/>
      <c r="B15" s="145"/>
      <c r="C15" s="149"/>
      <c r="D15" s="147"/>
      <c r="E15" s="150"/>
      <c r="F15" s="139"/>
      <c r="G15" s="139"/>
      <c r="H15" s="139"/>
      <c r="I15" s="139"/>
      <c r="J15" s="139"/>
    </row>
    <row r="16" spans="1:10" ht="19" x14ac:dyDescent="0.2">
      <c r="A16" s="143">
        <v>1449000</v>
      </c>
      <c r="B16" s="153">
        <v>45384</v>
      </c>
      <c r="C16" s="163" t="s">
        <v>9</v>
      </c>
      <c r="D16" s="155" t="s">
        <v>2627</v>
      </c>
      <c r="E16" s="164">
        <v>971000</v>
      </c>
      <c r="F16" s="119">
        <v>478000</v>
      </c>
      <c r="G16" s="175"/>
      <c r="H16" s="175"/>
      <c r="I16" s="119">
        <v>32000</v>
      </c>
      <c r="J16" s="119" t="s">
        <v>2778</v>
      </c>
    </row>
    <row r="17" spans="1:10" ht="19" x14ac:dyDescent="0.2">
      <c r="A17" s="144"/>
      <c r="B17" s="145"/>
      <c r="C17" s="151"/>
      <c r="D17" s="147"/>
      <c r="E17" s="150"/>
      <c r="F17" s="139"/>
      <c r="G17" s="152"/>
      <c r="H17" s="152"/>
      <c r="I17" s="139">
        <v>12000</v>
      </c>
      <c r="J17" s="139" t="s">
        <v>2779</v>
      </c>
    </row>
    <row r="18" spans="1:10" ht="19" x14ac:dyDescent="0.2">
      <c r="A18" s="143"/>
      <c r="B18" s="153"/>
      <c r="C18" s="163"/>
      <c r="D18" s="155"/>
      <c r="E18" s="164"/>
      <c r="F18" s="119"/>
      <c r="G18" s="175"/>
      <c r="H18" s="175"/>
      <c r="I18" s="119">
        <v>20000</v>
      </c>
      <c r="J18" s="119" t="s">
        <v>2780</v>
      </c>
    </row>
    <row r="19" spans="1:10" ht="19" x14ac:dyDescent="0.2">
      <c r="A19" s="144"/>
      <c r="B19" s="145"/>
      <c r="C19" s="151"/>
      <c r="D19" s="147"/>
      <c r="E19" s="150"/>
      <c r="F19" s="139"/>
      <c r="G19" s="152"/>
      <c r="H19" s="152"/>
      <c r="I19" s="139">
        <v>89000</v>
      </c>
      <c r="J19" s="139" t="s">
        <v>2781</v>
      </c>
    </row>
    <row r="20" spans="1:10" ht="19" x14ac:dyDescent="0.2">
      <c r="A20" s="143"/>
      <c r="B20" s="153"/>
      <c r="C20" s="163"/>
      <c r="D20" s="155"/>
      <c r="E20" s="164"/>
      <c r="F20" s="119"/>
      <c r="G20" s="175"/>
      <c r="H20" s="175"/>
      <c r="I20" s="119">
        <v>132000</v>
      </c>
      <c r="J20" s="119" t="s">
        <v>2782</v>
      </c>
    </row>
    <row r="21" spans="1:10" ht="19" x14ac:dyDescent="0.2">
      <c r="A21" s="144"/>
      <c r="B21" s="145"/>
      <c r="C21" s="151"/>
      <c r="D21" s="147"/>
      <c r="E21" s="150"/>
      <c r="F21" s="139"/>
      <c r="G21" s="152"/>
      <c r="H21" s="152"/>
      <c r="I21" s="139">
        <v>82000</v>
      </c>
      <c r="J21" s="139" t="s">
        <v>2494</v>
      </c>
    </row>
    <row r="22" spans="1:10" ht="19" x14ac:dyDescent="0.2">
      <c r="A22" s="143"/>
      <c r="B22" s="153"/>
      <c r="C22" s="163"/>
      <c r="D22" s="155"/>
      <c r="E22" s="164"/>
      <c r="F22" s="119"/>
      <c r="G22" s="175"/>
      <c r="H22" s="175"/>
      <c r="I22" s="119">
        <v>123000</v>
      </c>
      <c r="J22" s="119" t="s">
        <v>2783</v>
      </c>
    </row>
    <row r="23" spans="1:10" ht="19" x14ac:dyDescent="0.2">
      <c r="A23" s="144"/>
      <c r="B23" s="145"/>
      <c r="C23" s="151"/>
      <c r="D23" s="147"/>
      <c r="E23" s="150"/>
      <c r="F23" s="139"/>
      <c r="G23" s="139"/>
      <c r="H23" s="139"/>
      <c r="I23" s="139">
        <v>165000</v>
      </c>
      <c r="J23" s="139" t="s">
        <v>2246</v>
      </c>
    </row>
    <row r="24" spans="1:10" ht="19" x14ac:dyDescent="0.2">
      <c r="A24" s="143">
        <v>2397000</v>
      </c>
      <c r="B24" s="153"/>
      <c r="C24" s="163" t="s">
        <v>10</v>
      </c>
      <c r="D24" s="155" t="s">
        <v>2881</v>
      </c>
      <c r="E24" s="164">
        <v>1731000</v>
      </c>
      <c r="F24" s="119">
        <v>666000</v>
      </c>
      <c r="G24" s="119"/>
      <c r="H24" s="119"/>
      <c r="I24" s="119">
        <v>80000</v>
      </c>
      <c r="J24" s="119" t="s">
        <v>1285</v>
      </c>
    </row>
    <row r="25" spans="1:10" ht="19" x14ac:dyDescent="0.2">
      <c r="A25" s="144"/>
      <c r="B25" s="145"/>
      <c r="C25" s="151"/>
      <c r="D25" s="147"/>
      <c r="E25" s="150"/>
      <c r="F25" s="139"/>
      <c r="G25" s="139"/>
      <c r="H25" s="139"/>
      <c r="I25" s="139">
        <v>125000</v>
      </c>
      <c r="J25" s="139" t="s">
        <v>1296</v>
      </c>
    </row>
    <row r="26" spans="1:10" ht="19" x14ac:dyDescent="0.2">
      <c r="A26" s="143"/>
      <c r="B26" s="153"/>
      <c r="C26" s="163"/>
      <c r="D26" s="155"/>
      <c r="E26" s="164"/>
      <c r="F26" s="119"/>
      <c r="G26" s="119"/>
      <c r="H26" s="119"/>
      <c r="I26" s="119">
        <v>144000</v>
      </c>
      <c r="J26" s="119" t="s">
        <v>1245</v>
      </c>
    </row>
    <row r="27" spans="1:10" ht="19" x14ac:dyDescent="0.2">
      <c r="A27" s="144"/>
      <c r="B27" s="145"/>
      <c r="C27" s="151"/>
      <c r="D27" s="147"/>
      <c r="E27" s="150"/>
      <c r="F27" s="139"/>
      <c r="G27" s="139"/>
      <c r="H27" s="139"/>
      <c r="I27" s="139">
        <v>71000</v>
      </c>
      <c r="J27" s="139" t="s">
        <v>2784</v>
      </c>
    </row>
    <row r="28" spans="1:10" ht="19" x14ac:dyDescent="0.2">
      <c r="A28" s="143"/>
      <c r="B28" s="153"/>
      <c r="C28" s="163"/>
      <c r="D28" s="155"/>
      <c r="E28" s="164"/>
      <c r="F28" s="119"/>
      <c r="G28" s="119"/>
      <c r="H28" s="119"/>
      <c r="I28" s="119"/>
      <c r="J28" s="119"/>
    </row>
    <row r="29" spans="1:10" ht="19" x14ac:dyDescent="0.2">
      <c r="A29" s="144">
        <v>1244000</v>
      </c>
      <c r="B29" s="145">
        <v>45385</v>
      </c>
      <c r="C29" s="149" t="s">
        <v>9</v>
      </c>
      <c r="D29" s="147" t="s">
        <v>2627</v>
      </c>
      <c r="E29" s="150">
        <v>890000</v>
      </c>
      <c r="F29" s="139">
        <v>354000</v>
      </c>
      <c r="G29" s="139"/>
      <c r="H29" s="139"/>
      <c r="I29" s="139">
        <v>120000</v>
      </c>
      <c r="J29" s="139" t="s">
        <v>1553</v>
      </c>
    </row>
    <row r="30" spans="1:10" ht="19" x14ac:dyDescent="0.2">
      <c r="A30" s="143"/>
      <c r="B30" s="32"/>
      <c r="C30" s="49"/>
      <c r="D30" s="13"/>
      <c r="E30" s="15"/>
      <c r="F30" s="9"/>
      <c r="G30" s="9"/>
      <c r="H30" s="9"/>
      <c r="I30" s="9"/>
      <c r="J30" s="9"/>
    </row>
    <row r="31" spans="1:10" ht="19" x14ac:dyDescent="0.2">
      <c r="A31" s="144">
        <v>2843000</v>
      </c>
      <c r="B31" s="145"/>
      <c r="C31" s="149" t="s">
        <v>10</v>
      </c>
      <c r="D31" s="147" t="s">
        <v>2882</v>
      </c>
      <c r="E31" s="150">
        <v>1865000</v>
      </c>
      <c r="F31" s="139">
        <v>978000</v>
      </c>
      <c r="G31" s="139"/>
      <c r="H31" s="139"/>
      <c r="I31" s="139"/>
      <c r="J31" s="139"/>
    </row>
    <row r="32" spans="1:10" ht="19" x14ac:dyDescent="0.2">
      <c r="A32" s="142"/>
      <c r="B32" s="32"/>
      <c r="C32" s="49"/>
      <c r="D32" s="13"/>
      <c r="E32" s="15"/>
      <c r="F32" s="9"/>
      <c r="G32" s="9"/>
      <c r="H32" s="9"/>
      <c r="I32" s="9"/>
      <c r="J32" s="9"/>
    </row>
    <row r="33" spans="1:10" ht="19" x14ac:dyDescent="0.2">
      <c r="A33" s="148">
        <v>2082000</v>
      </c>
      <c r="B33" s="145">
        <v>45386</v>
      </c>
      <c r="C33" s="149" t="s">
        <v>9</v>
      </c>
      <c r="D33" s="147" t="s">
        <v>2627</v>
      </c>
      <c r="E33" s="150">
        <v>1553000</v>
      </c>
      <c r="F33" s="139">
        <v>529000</v>
      </c>
      <c r="G33" s="139"/>
      <c r="H33" s="139"/>
      <c r="I33" s="139">
        <v>45000</v>
      </c>
      <c r="J33" s="139" t="s">
        <v>1493</v>
      </c>
    </row>
    <row r="34" spans="1:10" ht="19" x14ac:dyDescent="0.2">
      <c r="A34" s="142"/>
      <c r="B34" s="153"/>
      <c r="C34" s="171"/>
      <c r="D34" s="155"/>
      <c r="E34" s="164"/>
      <c r="F34" s="119"/>
      <c r="G34" s="119">
        <v>2600000</v>
      </c>
      <c r="H34" s="119" t="s">
        <v>812</v>
      </c>
      <c r="I34" s="119">
        <v>81000</v>
      </c>
      <c r="J34" s="119" t="s">
        <v>1491</v>
      </c>
    </row>
    <row r="35" spans="1:10" ht="19" x14ac:dyDescent="0.2">
      <c r="A35" s="148"/>
      <c r="B35" s="145"/>
      <c r="C35" s="149"/>
      <c r="D35" s="147"/>
      <c r="E35" s="150"/>
      <c r="F35" s="139"/>
      <c r="G35" s="139"/>
      <c r="H35" s="139"/>
      <c r="I35" s="139">
        <v>67000</v>
      </c>
      <c r="J35" s="139" t="s">
        <v>2785</v>
      </c>
    </row>
    <row r="36" spans="1:10" ht="19" x14ac:dyDescent="0.2">
      <c r="A36" s="142"/>
      <c r="B36" s="153"/>
      <c r="C36" s="171"/>
      <c r="D36" s="155"/>
      <c r="E36" s="164"/>
      <c r="F36" s="119"/>
      <c r="G36" s="119"/>
      <c r="H36" s="119"/>
      <c r="I36" s="119">
        <v>131000</v>
      </c>
      <c r="J36" s="119" t="s">
        <v>2786</v>
      </c>
    </row>
    <row r="37" spans="1:10" ht="19" x14ac:dyDescent="0.2">
      <c r="A37" s="144"/>
      <c r="B37" s="145"/>
      <c r="C37" s="149"/>
      <c r="D37" s="147"/>
      <c r="E37" s="150"/>
      <c r="F37" s="139"/>
      <c r="G37" s="139"/>
      <c r="H37" s="139"/>
      <c r="I37" s="139">
        <v>336000</v>
      </c>
      <c r="J37" s="162" t="s">
        <v>1781</v>
      </c>
    </row>
    <row r="38" spans="1:10" ht="19" x14ac:dyDescent="0.2">
      <c r="A38" s="143">
        <v>2664000</v>
      </c>
      <c r="B38" s="32"/>
      <c r="C38" s="49" t="s">
        <v>10</v>
      </c>
      <c r="D38" s="13" t="s">
        <v>1891</v>
      </c>
      <c r="E38" s="15">
        <v>2038000</v>
      </c>
      <c r="F38" s="9">
        <v>626000</v>
      </c>
      <c r="G38" s="9"/>
      <c r="H38" s="9"/>
      <c r="I38" s="9"/>
      <c r="J38" s="60"/>
    </row>
    <row r="39" spans="1:10" ht="19" x14ac:dyDescent="0.2">
      <c r="A39" s="144">
        <v>1450000</v>
      </c>
      <c r="B39" s="145">
        <v>45387</v>
      </c>
      <c r="C39" s="149" t="s">
        <v>9</v>
      </c>
      <c r="D39" s="147" t="s">
        <v>2767</v>
      </c>
      <c r="E39" s="150">
        <v>941000</v>
      </c>
      <c r="F39" s="139">
        <v>509000</v>
      </c>
      <c r="G39" s="139"/>
      <c r="H39" s="139"/>
      <c r="I39" s="139">
        <v>104000</v>
      </c>
      <c r="J39" s="139" t="s">
        <v>2787</v>
      </c>
    </row>
    <row r="40" spans="1:10" ht="19" x14ac:dyDescent="0.2">
      <c r="A40" s="143"/>
      <c r="B40" s="32"/>
      <c r="C40" s="49"/>
      <c r="D40" s="13"/>
      <c r="E40" s="15"/>
      <c r="F40" s="9"/>
      <c r="G40" s="9"/>
      <c r="H40" s="9"/>
      <c r="I40" s="9">
        <v>75000</v>
      </c>
      <c r="J40" s="9" t="s">
        <v>2788</v>
      </c>
    </row>
    <row r="41" spans="1:10" ht="19" x14ac:dyDescent="0.2">
      <c r="A41" s="144"/>
      <c r="B41" s="145"/>
      <c r="C41" s="149"/>
      <c r="D41" s="147"/>
      <c r="E41" s="150"/>
      <c r="F41" s="139"/>
      <c r="G41" s="139"/>
      <c r="H41" s="139"/>
      <c r="I41" s="139">
        <v>75000</v>
      </c>
      <c r="J41" s="139" t="s">
        <v>2789</v>
      </c>
    </row>
    <row r="42" spans="1:10" ht="19" x14ac:dyDescent="0.2">
      <c r="A42" s="143"/>
      <c r="B42" s="32"/>
      <c r="C42" s="49"/>
      <c r="D42" s="13"/>
      <c r="E42" s="15"/>
      <c r="F42" s="9"/>
      <c r="G42" s="9"/>
      <c r="H42" s="133"/>
      <c r="I42" s="9">
        <v>99000</v>
      </c>
      <c r="J42" s="9" t="s">
        <v>2790</v>
      </c>
    </row>
    <row r="43" spans="1:10" ht="19" x14ac:dyDescent="0.2">
      <c r="A43" s="144"/>
      <c r="B43" s="145"/>
      <c r="C43" s="149"/>
      <c r="D43" s="147"/>
      <c r="E43" s="150"/>
      <c r="F43" s="139"/>
      <c r="G43" s="139"/>
      <c r="H43" s="157"/>
      <c r="I43" s="139">
        <v>7000</v>
      </c>
      <c r="J43" s="139" t="s">
        <v>2791</v>
      </c>
    </row>
    <row r="44" spans="1:10" ht="19" x14ac:dyDescent="0.2">
      <c r="A44" s="143"/>
      <c r="B44" s="153"/>
      <c r="C44" s="171"/>
      <c r="D44" s="155"/>
      <c r="E44" s="164"/>
      <c r="F44" s="119"/>
      <c r="G44" s="119"/>
      <c r="H44" s="119"/>
      <c r="I44" s="119">
        <v>210000</v>
      </c>
      <c r="J44" s="119" t="s">
        <v>2792</v>
      </c>
    </row>
    <row r="45" spans="1:10" ht="19" x14ac:dyDescent="0.2">
      <c r="A45" s="144"/>
      <c r="B45" s="145"/>
      <c r="C45" s="149"/>
      <c r="D45" s="147"/>
      <c r="E45" s="150"/>
      <c r="F45" s="139"/>
      <c r="G45" s="139"/>
      <c r="H45" s="139"/>
      <c r="I45" s="139">
        <v>150000</v>
      </c>
      <c r="J45" s="139" t="s">
        <v>2793</v>
      </c>
    </row>
    <row r="46" spans="1:10" ht="19" x14ac:dyDescent="0.2">
      <c r="A46" s="143"/>
      <c r="B46" s="153"/>
      <c r="C46" s="171"/>
      <c r="D46" s="155"/>
      <c r="E46" s="164"/>
      <c r="F46" s="119"/>
      <c r="G46" s="119"/>
      <c r="H46" s="119"/>
      <c r="I46" s="119">
        <v>150000</v>
      </c>
      <c r="J46" s="119" t="s">
        <v>2794</v>
      </c>
    </row>
    <row r="47" spans="1:10" ht="19" x14ac:dyDescent="0.2">
      <c r="A47" s="144">
        <v>3567000</v>
      </c>
      <c r="B47" s="145"/>
      <c r="C47" s="149" t="s">
        <v>10</v>
      </c>
      <c r="D47" s="147" t="s">
        <v>2883</v>
      </c>
      <c r="E47" s="150">
        <v>2342000</v>
      </c>
      <c r="F47" s="139">
        <v>1225000</v>
      </c>
      <c r="G47" s="139"/>
      <c r="H47" s="139"/>
      <c r="I47" s="139"/>
      <c r="J47" s="139"/>
    </row>
    <row r="48" spans="1:10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/>
    </row>
    <row r="49" spans="1:10" ht="19" x14ac:dyDescent="0.2">
      <c r="A49" s="144">
        <v>1459000</v>
      </c>
      <c r="B49" s="145">
        <v>45388</v>
      </c>
      <c r="C49" s="149" t="s">
        <v>9</v>
      </c>
      <c r="D49" s="147" t="s">
        <v>2884</v>
      </c>
      <c r="E49" s="150">
        <v>1326000</v>
      </c>
      <c r="F49" s="139">
        <v>133000</v>
      </c>
      <c r="G49" s="139"/>
      <c r="H49" s="139"/>
      <c r="I49" s="139">
        <v>58000</v>
      </c>
      <c r="J49" s="139" t="s">
        <v>2795</v>
      </c>
    </row>
    <row r="50" spans="1:10" ht="19" x14ac:dyDescent="0.2">
      <c r="A50" s="143"/>
      <c r="B50" s="153"/>
      <c r="C50" s="171"/>
      <c r="D50" s="155"/>
      <c r="E50" s="164"/>
      <c r="F50" s="119"/>
      <c r="G50" s="119"/>
      <c r="H50" s="119"/>
      <c r="I50" s="119">
        <v>50000</v>
      </c>
      <c r="J50" s="119" t="s">
        <v>1762</v>
      </c>
    </row>
    <row r="51" spans="1:10" ht="19" x14ac:dyDescent="0.2">
      <c r="A51" s="144"/>
      <c r="B51" s="145"/>
      <c r="C51" s="149"/>
      <c r="D51" s="147"/>
      <c r="E51" s="150"/>
      <c r="F51" s="139"/>
      <c r="G51" s="139"/>
      <c r="H51" s="139"/>
      <c r="I51" s="139">
        <v>120000</v>
      </c>
      <c r="J51" s="139" t="s">
        <v>1668</v>
      </c>
    </row>
    <row r="52" spans="1:10" ht="19" x14ac:dyDescent="0.2">
      <c r="A52" s="143"/>
      <c r="B52" s="153"/>
      <c r="C52" s="171"/>
      <c r="D52" s="155"/>
      <c r="E52" s="164"/>
      <c r="F52" s="119"/>
      <c r="G52" s="119"/>
      <c r="H52" s="119"/>
      <c r="I52" s="119">
        <v>520000</v>
      </c>
      <c r="J52" s="119" t="s">
        <v>1517</v>
      </c>
    </row>
    <row r="53" spans="1:10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/>
    </row>
    <row r="54" spans="1:10" ht="19" x14ac:dyDescent="0.2">
      <c r="A54" s="143">
        <v>2440000</v>
      </c>
      <c r="B54" s="153"/>
      <c r="C54" s="171" t="s">
        <v>10</v>
      </c>
      <c r="D54" s="155" t="s">
        <v>2885</v>
      </c>
      <c r="E54" s="164">
        <v>1837000</v>
      </c>
      <c r="F54" s="119">
        <v>603000</v>
      </c>
      <c r="G54" s="119"/>
      <c r="H54" s="119"/>
      <c r="I54" s="119">
        <v>200000</v>
      </c>
      <c r="J54" s="119" t="s">
        <v>2796</v>
      </c>
    </row>
    <row r="55" spans="1:10" ht="19" x14ac:dyDescent="0.2">
      <c r="A55" s="144"/>
      <c r="B55" s="145"/>
      <c r="C55" s="149"/>
      <c r="D55" s="147"/>
      <c r="E55" s="150"/>
      <c r="F55" s="139"/>
      <c r="G55" s="139"/>
      <c r="H55" s="139"/>
      <c r="I55" s="139">
        <v>45000</v>
      </c>
      <c r="J55" s="139" t="s">
        <v>1467</v>
      </c>
    </row>
    <row r="56" spans="1:10" ht="19" x14ac:dyDescent="0.2">
      <c r="A56" s="143"/>
      <c r="B56" s="153"/>
      <c r="C56" s="171"/>
      <c r="D56" s="155"/>
      <c r="E56" s="164"/>
      <c r="F56" s="119"/>
      <c r="G56" s="119"/>
      <c r="H56" s="119"/>
      <c r="I56" s="119">
        <v>150000</v>
      </c>
      <c r="J56" s="119" t="s">
        <v>1710</v>
      </c>
    </row>
    <row r="57" spans="1:10" ht="19" x14ac:dyDescent="0.2">
      <c r="A57" s="144"/>
      <c r="B57" s="145"/>
      <c r="C57" s="149"/>
      <c r="D57" s="147"/>
      <c r="E57" s="150"/>
      <c r="F57" s="139"/>
      <c r="G57" s="139"/>
      <c r="H57" s="139"/>
      <c r="I57" s="139">
        <v>50000</v>
      </c>
      <c r="J57" s="139" t="s">
        <v>123</v>
      </c>
    </row>
    <row r="58" spans="1:10" ht="19" x14ac:dyDescent="0.2">
      <c r="A58" s="143"/>
      <c r="B58" s="153"/>
      <c r="C58" s="171"/>
      <c r="D58" s="155"/>
      <c r="E58" s="164"/>
      <c r="F58" s="119"/>
      <c r="G58" s="119"/>
      <c r="H58" s="119"/>
      <c r="I58" s="119"/>
      <c r="J58" s="119"/>
    </row>
    <row r="59" spans="1:10" ht="19" x14ac:dyDescent="0.2">
      <c r="A59" s="144">
        <v>1263000</v>
      </c>
      <c r="B59" s="145">
        <v>45389</v>
      </c>
      <c r="C59" s="149" t="s">
        <v>9</v>
      </c>
      <c r="D59" s="147" t="s">
        <v>2767</v>
      </c>
      <c r="E59" s="150">
        <v>608000</v>
      </c>
      <c r="F59" s="139">
        <v>655000</v>
      </c>
      <c r="G59" s="157"/>
      <c r="H59" s="139"/>
      <c r="I59" s="139">
        <v>45000</v>
      </c>
      <c r="J59" s="139" t="s">
        <v>1493</v>
      </c>
    </row>
    <row r="60" spans="1:10" ht="19" x14ac:dyDescent="0.2">
      <c r="A60" s="143"/>
      <c r="B60" s="153"/>
      <c r="C60" s="171"/>
      <c r="D60" s="155"/>
      <c r="E60" s="164"/>
      <c r="F60" s="119"/>
      <c r="G60" s="173"/>
      <c r="H60" s="119"/>
      <c r="I60" s="119">
        <v>10500</v>
      </c>
      <c r="J60" s="119" t="s">
        <v>2702</v>
      </c>
    </row>
    <row r="61" spans="1:10" ht="19" x14ac:dyDescent="0.2">
      <c r="A61" s="144"/>
      <c r="B61" s="145"/>
      <c r="C61" s="149"/>
      <c r="D61" s="147"/>
      <c r="E61" s="150"/>
      <c r="F61" s="139"/>
      <c r="G61" s="157"/>
      <c r="H61" s="139"/>
      <c r="I61" s="139">
        <v>21500</v>
      </c>
      <c r="J61" s="139" t="s">
        <v>2797</v>
      </c>
    </row>
    <row r="62" spans="1:10" ht="19" x14ac:dyDescent="0.2">
      <c r="A62" s="143"/>
      <c r="B62" s="153"/>
      <c r="C62" s="171"/>
      <c r="D62" s="155"/>
      <c r="E62" s="164"/>
      <c r="F62" s="119"/>
      <c r="G62" s="173"/>
      <c r="H62" s="119"/>
      <c r="I62" s="119">
        <v>360000</v>
      </c>
      <c r="J62" s="119" t="s">
        <v>2798</v>
      </c>
    </row>
    <row r="63" spans="1:10" ht="19" x14ac:dyDescent="0.2">
      <c r="A63" s="144">
        <v>2565000</v>
      </c>
      <c r="B63" s="145"/>
      <c r="C63" s="149" t="s">
        <v>10</v>
      </c>
      <c r="D63" s="147" t="s">
        <v>2883</v>
      </c>
      <c r="E63" s="150">
        <v>1980000</v>
      </c>
      <c r="F63" s="139">
        <v>585000</v>
      </c>
      <c r="G63" s="139"/>
      <c r="H63" s="139"/>
      <c r="I63" s="139"/>
      <c r="J63" s="139"/>
    </row>
    <row r="64" spans="1:10" ht="19" x14ac:dyDescent="0.2">
      <c r="A64" s="143"/>
      <c r="B64" s="153"/>
      <c r="C64" s="171"/>
      <c r="D64" s="155"/>
      <c r="E64" s="164"/>
      <c r="F64" s="119"/>
      <c r="G64" s="119"/>
      <c r="H64" s="119"/>
      <c r="I64" s="119"/>
      <c r="J64" s="119"/>
    </row>
    <row r="65" spans="1:10" ht="19" x14ac:dyDescent="0.2">
      <c r="A65" s="144">
        <v>1558000</v>
      </c>
      <c r="B65" s="145">
        <v>45390</v>
      </c>
      <c r="C65" s="149" t="s">
        <v>9</v>
      </c>
      <c r="D65" s="147" t="s">
        <v>2884</v>
      </c>
      <c r="E65" s="150">
        <v>1158000</v>
      </c>
      <c r="F65" s="139">
        <v>400000</v>
      </c>
      <c r="G65" s="139"/>
      <c r="H65" s="139"/>
      <c r="I65" s="139">
        <v>225000</v>
      </c>
      <c r="J65" s="139" t="s">
        <v>2203</v>
      </c>
    </row>
    <row r="66" spans="1:10" ht="19" x14ac:dyDescent="0.2">
      <c r="A66" s="143"/>
      <c r="B66" s="153"/>
      <c r="C66" s="171"/>
      <c r="D66" s="155"/>
      <c r="E66" s="164"/>
      <c r="F66" s="119"/>
      <c r="G66" s="119"/>
      <c r="H66" s="119"/>
      <c r="I66" s="119">
        <v>150000</v>
      </c>
      <c r="J66" s="119" t="s">
        <v>2799</v>
      </c>
    </row>
    <row r="67" spans="1:10" ht="19" x14ac:dyDescent="0.2">
      <c r="A67" s="144"/>
      <c r="B67" s="145"/>
      <c r="C67" s="149"/>
      <c r="D67" s="147"/>
      <c r="E67" s="150"/>
      <c r="F67" s="139"/>
      <c r="G67" s="139"/>
      <c r="H67" s="139"/>
      <c r="I67" s="139">
        <v>150000</v>
      </c>
      <c r="J67" s="139" t="s">
        <v>2800</v>
      </c>
    </row>
    <row r="68" spans="1:10" ht="19" x14ac:dyDescent="0.2">
      <c r="A68" s="143"/>
      <c r="B68" s="153"/>
      <c r="C68" s="171"/>
      <c r="D68" s="155"/>
      <c r="E68" s="164"/>
      <c r="F68" s="119"/>
      <c r="G68" s="119"/>
      <c r="H68" s="119"/>
      <c r="I68" s="119">
        <v>150000</v>
      </c>
      <c r="J68" s="119" t="s">
        <v>2801</v>
      </c>
    </row>
    <row r="69" spans="1:10" ht="19" x14ac:dyDescent="0.2">
      <c r="A69" s="144">
        <v>2386000</v>
      </c>
      <c r="B69" s="145"/>
      <c r="C69" s="149" t="s">
        <v>10</v>
      </c>
      <c r="D69" s="147" t="s">
        <v>2883</v>
      </c>
      <c r="E69" s="150">
        <v>1698000</v>
      </c>
      <c r="F69" s="139">
        <v>688000</v>
      </c>
      <c r="G69" s="139"/>
      <c r="H69" s="139"/>
      <c r="I69" s="139">
        <v>144000</v>
      </c>
      <c r="J69" s="139" t="s">
        <v>1245</v>
      </c>
    </row>
    <row r="70" spans="1:10" ht="19" x14ac:dyDescent="0.2">
      <c r="A70" s="143"/>
      <c r="B70" s="32"/>
      <c r="C70" s="49"/>
      <c r="D70" s="13"/>
      <c r="E70" s="15"/>
      <c r="F70" s="9"/>
      <c r="G70" s="9"/>
      <c r="H70" s="9"/>
      <c r="I70" s="9">
        <v>125000</v>
      </c>
      <c r="J70" s="9" t="s">
        <v>1296</v>
      </c>
    </row>
    <row r="71" spans="1:10" ht="19" x14ac:dyDescent="0.2">
      <c r="A71" s="144"/>
      <c r="B71" s="145"/>
      <c r="C71" s="149"/>
      <c r="D71" s="147"/>
      <c r="E71" s="150"/>
      <c r="F71" s="139"/>
      <c r="G71" s="139"/>
      <c r="H71" s="139"/>
      <c r="I71" s="139">
        <v>80000</v>
      </c>
      <c r="J71" s="139" t="s">
        <v>2802</v>
      </c>
    </row>
    <row r="72" spans="1:10" ht="19" x14ac:dyDescent="0.2">
      <c r="A72" s="143"/>
      <c r="B72" s="32"/>
      <c r="C72" s="49"/>
      <c r="D72" s="13"/>
      <c r="E72" s="15"/>
      <c r="F72" s="9"/>
      <c r="G72" s="9"/>
      <c r="H72" s="9"/>
      <c r="I72" s="9">
        <v>108000</v>
      </c>
      <c r="J72" s="9" t="s">
        <v>2015</v>
      </c>
    </row>
    <row r="73" spans="1:10" ht="19" x14ac:dyDescent="0.2">
      <c r="A73" s="148"/>
      <c r="B73" s="145"/>
      <c r="C73" s="151"/>
      <c r="D73" s="147"/>
      <c r="E73" s="150"/>
      <c r="F73" s="139"/>
      <c r="G73" s="139"/>
      <c r="H73" s="139"/>
      <c r="I73" s="139">
        <v>22000</v>
      </c>
      <c r="J73" s="139" t="s">
        <v>1857</v>
      </c>
    </row>
    <row r="74" spans="1:10" ht="19" x14ac:dyDescent="0.2">
      <c r="A74" s="143">
        <v>1976000</v>
      </c>
      <c r="B74" s="153">
        <v>45391</v>
      </c>
      <c r="C74" s="171" t="s">
        <v>9</v>
      </c>
      <c r="D74" s="155" t="s">
        <v>2886</v>
      </c>
      <c r="E74" s="164">
        <v>1611000</v>
      </c>
      <c r="F74" s="119">
        <v>365000</v>
      </c>
      <c r="G74" s="175"/>
      <c r="H74" s="175"/>
      <c r="I74" s="119">
        <v>116000</v>
      </c>
      <c r="J74" s="119" t="s">
        <v>1303</v>
      </c>
    </row>
    <row r="75" spans="1:10" ht="19" x14ac:dyDescent="0.2">
      <c r="A75" s="144"/>
      <c r="B75" s="145"/>
      <c r="C75" s="149"/>
      <c r="D75" s="147"/>
      <c r="E75" s="150"/>
      <c r="F75" s="139"/>
      <c r="G75" s="152"/>
      <c r="H75" s="152"/>
      <c r="I75" s="139">
        <v>45000</v>
      </c>
      <c r="J75" s="139" t="s">
        <v>1493</v>
      </c>
    </row>
    <row r="76" spans="1:10" ht="19" x14ac:dyDescent="0.2">
      <c r="A76" s="143"/>
      <c r="B76" s="153"/>
      <c r="C76" s="171"/>
      <c r="D76" s="155"/>
      <c r="E76" s="164"/>
      <c r="F76" s="119"/>
      <c r="G76" s="175"/>
      <c r="H76" s="175"/>
      <c r="I76" s="119">
        <v>122000</v>
      </c>
      <c r="J76" s="119" t="s">
        <v>2803</v>
      </c>
    </row>
    <row r="77" spans="1:10" ht="19" x14ac:dyDescent="0.2">
      <c r="A77" s="144"/>
      <c r="B77" s="145"/>
      <c r="C77" s="149"/>
      <c r="D77" s="147"/>
      <c r="E77" s="150"/>
      <c r="F77" s="139"/>
      <c r="G77" s="152"/>
      <c r="H77" s="152"/>
      <c r="I77" s="139">
        <v>48000</v>
      </c>
      <c r="J77" s="139" t="s">
        <v>2804</v>
      </c>
    </row>
    <row r="78" spans="1:10" ht="19" x14ac:dyDescent="0.2">
      <c r="A78" s="143"/>
      <c r="B78" s="153"/>
      <c r="C78" s="171"/>
      <c r="D78" s="155"/>
      <c r="E78" s="164"/>
      <c r="F78" s="119"/>
      <c r="G78" s="175"/>
      <c r="H78" s="175"/>
      <c r="I78" s="119">
        <v>20000</v>
      </c>
      <c r="J78" s="119" t="s">
        <v>2805</v>
      </c>
    </row>
    <row r="79" spans="1:10" ht="19" x14ac:dyDescent="0.2">
      <c r="A79" s="144"/>
      <c r="B79" s="145"/>
      <c r="C79" s="149"/>
      <c r="D79" s="147"/>
      <c r="E79" s="150"/>
      <c r="F79" s="139"/>
      <c r="G79" s="139"/>
      <c r="H79" s="139"/>
      <c r="I79" s="139">
        <v>400000</v>
      </c>
      <c r="J79" s="139" t="s">
        <v>2806</v>
      </c>
    </row>
    <row r="80" spans="1:10" ht="19" x14ac:dyDescent="0.2">
      <c r="A80" s="143"/>
      <c r="B80" s="153"/>
      <c r="C80" s="171"/>
      <c r="D80" s="155"/>
      <c r="E80" s="164"/>
      <c r="F80" s="119"/>
      <c r="G80" s="175"/>
      <c r="H80" s="175"/>
      <c r="I80" s="119">
        <v>70000</v>
      </c>
      <c r="J80" s="119" t="s">
        <v>2807</v>
      </c>
    </row>
    <row r="81" spans="1:10" ht="19" x14ac:dyDescent="0.2">
      <c r="A81" s="144"/>
      <c r="B81" s="145"/>
      <c r="C81" s="149"/>
      <c r="D81" s="147"/>
      <c r="E81" s="150"/>
      <c r="F81" s="139"/>
      <c r="G81" s="139"/>
      <c r="H81" s="139"/>
      <c r="I81" s="139">
        <v>15000</v>
      </c>
      <c r="J81" s="139" t="s">
        <v>2808</v>
      </c>
    </row>
    <row r="82" spans="1:10" ht="19" x14ac:dyDescent="0.2">
      <c r="A82" s="143">
        <v>2990000</v>
      </c>
      <c r="B82" s="153"/>
      <c r="C82" s="171" t="s">
        <v>10</v>
      </c>
      <c r="D82" s="155" t="s">
        <v>2883</v>
      </c>
      <c r="E82" s="15">
        <v>2504000</v>
      </c>
      <c r="F82" s="9">
        <v>486000</v>
      </c>
      <c r="G82" s="106">
        <v>2600000</v>
      </c>
      <c r="H82" s="106" t="s">
        <v>812</v>
      </c>
      <c r="I82" s="9"/>
      <c r="J82" s="9"/>
    </row>
    <row r="83" spans="1:10" ht="19" x14ac:dyDescent="0.2">
      <c r="A83" s="144"/>
      <c r="B83" s="145"/>
      <c r="C83" s="149"/>
      <c r="D83" s="147"/>
      <c r="E83" s="150"/>
      <c r="F83" s="139"/>
      <c r="G83" s="162"/>
      <c r="H83" s="162"/>
      <c r="I83" s="139"/>
      <c r="J83" s="139"/>
    </row>
    <row r="84" spans="1:10" ht="19" x14ac:dyDescent="0.2">
      <c r="A84" s="143">
        <v>1507000</v>
      </c>
      <c r="B84" s="153">
        <v>45392</v>
      </c>
      <c r="C84" s="171" t="s">
        <v>9</v>
      </c>
      <c r="D84" s="155" t="s">
        <v>2886</v>
      </c>
      <c r="E84" s="164">
        <v>1165000</v>
      </c>
      <c r="F84" s="119">
        <v>342000</v>
      </c>
      <c r="G84" s="175"/>
      <c r="H84" s="175"/>
      <c r="I84" s="9">
        <v>360000</v>
      </c>
      <c r="J84" s="119" t="s">
        <v>1648</v>
      </c>
    </row>
    <row r="85" spans="1:10" ht="19" x14ac:dyDescent="0.2">
      <c r="A85" s="144"/>
      <c r="B85" s="145"/>
      <c r="C85" s="149"/>
      <c r="D85" s="147"/>
      <c r="E85" s="150"/>
      <c r="F85" s="139"/>
      <c r="G85" s="152"/>
      <c r="H85" s="152"/>
      <c r="I85" s="139">
        <v>110000</v>
      </c>
      <c r="J85" s="139" t="s">
        <v>2809</v>
      </c>
    </row>
    <row r="86" spans="1:10" ht="19" x14ac:dyDescent="0.2">
      <c r="A86" s="143"/>
      <c r="B86" s="153"/>
      <c r="C86" s="171"/>
      <c r="D86" s="155"/>
      <c r="E86" s="164"/>
      <c r="F86" s="119"/>
      <c r="G86" s="60"/>
      <c r="H86" s="60"/>
      <c r="I86" s="119">
        <v>47000</v>
      </c>
      <c r="J86" s="119" t="s">
        <v>2810</v>
      </c>
    </row>
    <row r="87" spans="1:10" ht="19" x14ac:dyDescent="0.2">
      <c r="A87" s="144"/>
      <c r="B87" s="145"/>
      <c r="C87" s="149"/>
      <c r="D87" s="147"/>
      <c r="E87" s="150"/>
      <c r="F87" s="139"/>
      <c r="G87" s="152"/>
      <c r="H87" s="152"/>
      <c r="I87" s="139">
        <v>17000</v>
      </c>
      <c r="J87" s="139" t="s">
        <v>2695</v>
      </c>
    </row>
    <row r="88" spans="1:10" ht="19" x14ac:dyDescent="0.2">
      <c r="A88" s="143"/>
      <c r="B88" s="153"/>
      <c r="C88" s="171"/>
      <c r="D88" s="155"/>
      <c r="E88" s="164"/>
      <c r="F88" s="119"/>
      <c r="G88" s="175"/>
      <c r="H88" s="175"/>
      <c r="I88" s="119">
        <v>95000</v>
      </c>
      <c r="J88" s="119" t="s">
        <v>2811</v>
      </c>
    </row>
    <row r="89" spans="1:10" ht="19" x14ac:dyDescent="0.2">
      <c r="A89" s="144"/>
      <c r="B89" s="145"/>
      <c r="C89" s="149"/>
      <c r="D89" s="147"/>
      <c r="E89" s="150"/>
      <c r="F89" s="139"/>
      <c r="G89" s="152"/>
      <c r="H89" s="152"/>
      <c r="I89" s="139">
        <v>40000</v>
      </c>
      <c r="J89" s="139" t="s">
        <v>2812</v>
      </c>
    </row>
    <row r="90" spans="1:10" ht="19" x14ac:dyDescent="0.2">
      <c r="A90" s="143"/>
      <c r="B90" s="153"/>
      <c r="C90" s="49"/>
      <c r="D90" s="13"/>
      <c r="E90" s="15"/>
      <c r="F90" s="9"/>
      <c r="G90" s="9"/>
      <c r="H90" s="9"/>
      <c r="I90" s="9">
        <v>2000</v>
      </c>
      <c r="J90" s="9" t="s">
        <v>2813</v>
      </c>
    </row>
    <row r="91" spans="1:10" ht="19" x14ac:dyDescent="0.2">
      <c r="A91" s="144"/>
      <c r="B91" s="145"/>
      <c r="C91" s="149"/>
      <c r="D91" s="147"/>
      <c r="E91" s="150"/>
      <c r="F91" s="139"/>
      <c r="G91" s="139"/>
      <c r="H91" s="139"/>
      <c r="I91" s="139"/>
      <c r="J91" s="139"/>
    </row>
    <row r="92" spans="1:10" ht="19" x14ac:dyDescent="0.2">
      <c r="A92" s="143">
        <v>1586000</v>
      </c>
      <c r="B92" s="32"/>
      <c r="C92" s="49" t="s">
        <v>10</v>
      </c>
      <c r="D92" s="13" t="s">
        <v>2887</v>
      </c>
      <c r="E92" s="15">
        <v>1249000</v>
      </c>
      <c r="F92" s="9">
        <v>337000</v>
      </c>
      <c r="G92" s="9"/>
      <c r="H92" s="9"/>
      <c r="I92" s="9">
        <v>1905000</v>
      </c>
      <c r="J92" s="9" t="s">
        <v>2162</v>
      </c>
    </row>
    <row r="93" spans="1:10" ht="19" x14ac:dyDescent="0.2">
      <c r="A93" s="144"/>
      <c r="B93" s="145"/>
      <c r="C93" s="149"/>
      <c r="D93" s="147"/>
      <c r="E93" s="150"/>
      <c r="F93" s="139"/>
      <c r="G93" s="139"/>
      <c r="H93" s="139"/>
      <c r="I93" s="139"/>
      <c r="J93" s="139"/>
    </row>
    <row r="94" spans="1:10" ht="19" x14ac:dyDescent="0.2">
      <c r="A94" s="143">
        <v>2133000</v>
      </c>
      <c r="B94" s="32">
        <v>45393</v>
      </c>
      <c r="C94" s="49" t="s">
        <v>9</v>
      </c>
      <c r="D94" s="13" t="s">
        <v>2886</v>
      </c>
      <c r="E94" s="15">
        <v>1473000</v>
      </c>
      <c r="F94" s="9">
        <v>660000</v>
      </c>
      <c r="G94" s="60"/>
      <c r="H94" s="60"/>
      <c r="I94" s="9"/>
      <c r="J94" s="9"/>
    </row>
    <row r="95" spans="1:10" ht="19" x14ac:dyDescent="0.2">
      <c r="A95" s="144"/>
      <c r="B95" s="145"/>
      <c r="C95" s="159"/>
      <c r="D95" s="147"/>
      <c r="E95" s="150"/>
      <c r="F95" s="139"/>
      <c r="G95" s="139"/>
      <c r="H95" s="139"/>
      <c r="I95" s="139"/>
      <c r="J95" s="139"/>
    </row>
    <row r="96" spans="1:10" ht="19" x14ac:dyDescent="0.2">
      <c r="A96" s="143">
        <v>1805000</v>
      </c>
      <c r="B96" s="32"/>
      <c r="C96" s="49" t="s">
        <v>10</v>
      </c>
      <c r="D96" s="13" t="s">
        <v>2888</v>
      </c>
      <c r="E96" s="15">
        <v>1414000</v>
      </c>
      <c r="F96" s="9">
        <v>391000</v>
      </c>
      <c r="G96" s="9"/>
      <c r="H96" s="9"/>
      <c r="I96" s="9"/>
      <c r="J96" s="9"/>
    </row>
    <row r="97" spans="1:10" ht="19" x14ac:dyDescent="0.2">
      <c r="A97" s="144">
        <v>2452000</v>
      </c>
      <c r="B97" s="145">
        <v>45394</v>
      </c>
      <c r="C97" s="149" t="s">
        <v>1228</v>
      </c>
      <c r="D97" s="147" t="s">
        <v>2884</v>
      </c>
      <c r="E97" s="150">
        <v>1742000</v>
      </c>
      <c r="F97" s="139">
        <v>710000</v>
      </c>
      <c r="G97" s="139"/>
      <c r="H97" s="139"/>
      <c r="I97" s="139">
        <v>15000</v>
      </c>
      <c r="J97" s="139" t="s">
        <v>1944</v>
      </c>
    </row>
    <row r="98" spans="1:10" ht="19" x14ac:dyDescent="0.2">
      <c r="A98" s="143"/>
      <c r="B98" s="153"/>
      <c r="C98" s="171"/>
      <c r="D98" s="155"/>
      <c r="E98" s="164"/>
      <c r="F98" s="119"/>
      <c r="G98" s="119"/>
      <c r="H98" s="119"/>
      <c r="I98" s="119">
        <v>150000</v>
      </c>
      <c r="J98" s="119" t="s">
        <v>1518</v>
      </c>
    </row>
    <row r="99" spans="1:10" ht="19" x14ac:dyDescent="0.2">
      <c r="A99" s="144"/>
      <c r="B99" s="145"/>
      <c r="C99" s="149"/>
      <c r="D99" s="147"/>
      <c r="E99" s="150"/>
      <c r="F99" s="139"/>
      <c r="G99" s="139"/>
      <c r="H99" s="139"/>
      <c r="I99" s="139">
        <v>360000</v>
      </c>
      <c r="J99" s="139" t="s">
        <v>2798</v>
      </c>
    </row>
    <row r="100" spans="1:10" ht="19" x14ac:dyDescent="0.2">
      <c r="A100" s="143"/>
      <c r="B100" s="153"/>
      <c r="C100" s="171"/>
      <c r="D100" s="155"/>
      <c r="E100" s="164"/>
      <c r="F100" s="119"/>
      <c r="G100" s="119"/>
      <c r="H100" s="119"/>
      <c r="I100" s="119"/>
      <c r="J100" s="119"/>
    </row>
    <row r="101" spans="1:10" ht="19" x14ac:dyDescent="0.2">
      <c r="A101" s="144">
        <v>2299000</v>
      </c>
      <c r="B101" s="145"/>
      <c r="C101" s="149" t="s">
        <v>10</v>
      </c>
      <c r="D101" s="147" t="s">
        <v>2883</v>
      </c>
      <c r="E101" s="150">
        <v>1751000</v>
      </c>
      <c r="F101" s="139">
        <v>548000</v>
      </c>
      <c r="G101" s="152"/>
      <c r="H101" s="152"/>
      <c r="I101" s="139"/>
      <c r="J101" s="139"/>
    </row>
    <row r="102" spans="1:10" ht="19" x14ac:dyDescent="0.2">
      <c r="A102" s="143">
        <v>2639000</v>
      </c>
      <c r="B102" s="153">
        <v>45395</v>
      </c>
      <c r="C102" s="171" t="s">
        <v>9</v>
      </c>
      <c r="D102" s="155" t="s">
        <v>2884</v>
      </c>
      <c r="E102" s="164">
        <v>1995000</v>
      </c>
      <c r="F102" s="119">
        <v>644000</v>
      </c>
      <c r="G102" s="119">
        <v>3810000</v>
      </c>
      <c r="H102" s="119" t="s">
        <v>2898</v>
      </c>
      <c r="I102" s="119">
        <v>75000</v>
      </c>
      <c r="J102" s="119" t="s">
        <v>2814</v>
      </c>
    </row>
    <row r="103" spans="1:10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>
        <v>75000</v>
      </c>
      <c r="J103" s="139" t="s">
        <v>2815</v>
      </c>
    </row>
    <row r="104" spans="1:10" ht="19" x14ac:dyDescent="0.2">
      <c r="A104" s="143"/>
      <c r="B104" s="153"/>
      <c r="C104" s="171"/>
      <c r="D104" s="155"/>
      <c r="E104" s="164"/>
      <c r="F104" s="119"/>
      <c r="G104" s="119"/>
      <c r="H104" s="119"/>
      <c r="I104" s="119">
        <v>200000</v>
      </c>
      <c r="J104" s="119" t="s">
        <v>2816</v>
      </c>
    </row>
    <row r="105" spans="1:10" ht="19" x14ac:dyDescent="0.2">
      <c r="A105" s="144">
        <v>2197000</v>
      </c>
      <c r="B105" s="145"/>
      <c r="C105" s="149" t="s">
        <v>10</v>
      </c>
      <c r="D105" s="147" t="s">
        <v>2883</v>
      </c>
      <c r="E105" s="150">
        <v>1579000</v>
      </c>
      <c r="F105" s="139">
        <v>618000</v>
      </c>
      <c r="G105" s="139"/>
      <c r="H105" s="139"/>
      <c r="I105" s="139">
        <v>50000</v>
      </c>
      <c r="J105" s="139" t="s">
        <v>123</v>
      </c>
    </row>
    <row r="106" spans="1:10" ht="19" x14ac:dyDescent="0.2">
      <c r="A106" s="143"/>
      <c r="B106" s="32"/>
      <c r="C106" s="49"/>
      <c r="D106" s="13"/>
      <c r="E106" s="15"/>
      <c r="F106" s="9"/>
      <c r="G106" s="9"/>
      <c r="H106" s="9"/>
      <c r="I106" s="9">
        <v>6000</v>
      </c>
      <c r="J106" s="9" t="s">
        <v>2817</v>
      </c>
    </row>
    <row r="107" spans="1:10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>
        <v>7000</v>
      </c>
      <c r="J107" s="139" t="s">
        <v>1580</v>
      </c>
    </row>
    <row r="108" spans="1:10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>
        <v>35000</v>
      </c>
      <c r="J108" s="119" t="s">
        <v>1885</v>
      </c>
    </row>
    <row r="109" spans="1:10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>
        <v>45000</v>
      </c>
      <c r="J109" s="139" t="s">
        <v>1493</v>
      </c>
    </row>
    <row r="110" spans="1:10" ht="19" x14ac:dyDescent="0.2">
      <c r="A110" s="143"/>
      <c r="B110" s="153"/>
      <c r="C110" s="171"/>
      <c r="D110" s="155"/>
      <c r="E110" s="164"/>
      <c r="F110" s="119"/>
      <c r="G110" s="119"/>
      <c r="H110" s="175"/>
      <c r="I110" s="119">
        <v>89000</v>
      </c>
      <c r="J110" s="119" t="s">
        <v>2818</v>
      </c>
    </row>
    <row r="111" spans="1:10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>
        <v>63000</v>
      </c>
      <c r="J111" s="139" t="s">
        <v>2509</v>
      </c>
    </row>
    <row r="112" spans="1:10" ht="19" x14ac:dyDescent="0.2">
      <c r="A112" s="143"/>
      <c r="B112" s="153"/>
      <c r="C112" s="171"/>
      <c r="D112" s="155"/>
      <c r="E112" s="164"/>
      <c r="F112" s="119"/>
      <c r="G112" s="119"/>
      <c r="H112" s="119"/>
      <c r="I112" s="119"/>
      <c r="J112" s="119"/>
    </row>
    <row r="113" spans="1:10" ht="19" x14ac:dyDescent="0.2">
      <c r="A113" s="144">
        <v>1937000</v>
      </c>
      <c r="B113" s="145">
        <v>45396</v>
      </c>
      <c r="C113" s="149" t="s">
        <v>9</v>
      </c>
      <c r="D113" s="147" t="s">
        <v>2884</v>
      </c>
      <c r="E113" s="150">
        <v>1314000</v>
      </c>
      <c r="F113" s="139">
        <v>623000</v>
      </c>
      <c r="G113" s="139"/>
      <c r="H113" s="139"/>
      <c r="I113" s="162">
        <v>27000</v>
      </c>
      <c r="J113" s="162" t="s">
        <v>1499</v>
      </c>
    </row>
    <row r="114" spans="1:10" ht="19" x14ac:dyDescent="0.2">
      <c r="A114" s="143"/>
      <c r="B114" s="153"/>
      <c r="C114" s="171"/>
      <c r="D114" s="155"/>
      <c r="E114" s="164"/>
      <c r="F114" s="119"/>
      <c r="G114" s="119"/>
      <c r="H114" s="175"/>
      <c r="I114" s="174">
        <v>111000</v>
      </c>
      <c r="J114" s="174" t="s">
        <v>2819</v>
      </c>
    </row>
    <row r="115" spans="1:10" ht="19" x14ac:dyDescent="0.2">
      <c r="A115" s="144">
        <v>2010000</v>
      </c>
      <c r="B115" s="145"/>
      <c r="C115" s="149" t="s">
        <v>10</v>
      </c>
      <c r="D115" s="147" t="s">
        <v>2820</v>
      </c>
      <c r="E115" s="150">
        <v>1650000</v>
      </c>
      <c r="F115" s="139">
        <v>360000</v>
      </c>
      <c r="G115" s="139"/>
      <c r="H115" s="152"/>
      <c r="I115" s="139"/>
      <c r="J115" s="139"/>
    </row>
    <row r="116" spans="1:10" ht="19" x14ac:dyDescent="0.2">
      <c r="A116" s="143"/>
      <c r="B116" s="153"/>
      <c r="C116" s="171"/>
      <c r="D116" s="155"/>
      <c r="E116" s="164"/>
      <c r="F116" s="119"/>
      <c r="G116" s="119"/>
      <c r="H116" s="119"/>
      <c r="I116" s="9"/>
      <c r="J116" s="119"/>
    </row>
    <row r="117" spans="1:10" ht="19" x14ac:dyDescent="0.2">
      <c r="A117" s="144">
        <v>3138000</v>
      </c>
      <c r="B117" s="145">
        <v>45397</v>
      </c>
      <c r="C117" s="149" t="s">
        <v>9</v>
      </c>
      <c r="D117" s="147" t="s">
        <v>2767</v>
      </c>
      <c r="E117" s="150">
        <v>2210000</v>
      </c>
      <c r="F117" s="139">
        <v>928000</v>
      </c>
      <c r="G117" s="139"/>
      <c r="H117" s="139"/>
      <c r="I117" s="139">
        <v>78000</v>
      </c>
      <c r="J117" s="139" t="s">
        <v>1491</v>
      </c>
    </row>
    <row r="118" spans="1:10" ht="19" x14ac:dyDescent="0.2">
      <c r="A118" s="143"/>
      <c r="B118" s="153"/>
      <c r="C118" s="171"/>
      <c r="D118" s="155"/>
      <c r="E118" s="164"/>
      <c r="F118" s="119"/>
      <c r="G118" s="119"/>
      <c r="H118" s="119"/>
      <c r="I118" s="119">
        <v>45000</v>
      </c>
      <c r="J118" s="119" t="s">
        <v>1493</v>
      </c>
    </row>
    <row r="119" spans="1:10" ht="19" x14ac:dyDescent="0.2">
      <c r="A119" s="144"/>
      <c r="B119" s="145"/>
      <c r="C119" s="149"/>
      <c r="D119" s="147"/>
      <c r="E119" s="150"/>
      <c r="F119" s="139"/>
      <c r="G119" s="139"/>
      <c r="H119" s="139"/>
      <c r="I119" s="139">
        <v>94000</v>
      </c>
      <c r="J119" s="139" t="s">
        <v>2821</v>
      </c>
    </row>
    <row r="120" spans="1:10" ht="19" x14ac:dyDescent="0.2">
      <c r="A120" s="143"/>
      <c r="B120" s="153"/>
      <c r="C120" s="163"/>
      <c r="D120" s="155"/>
      <c r="E120" s="164"/>
      <c r="F120" s="119"/>
      <c r="G120" s="119"/>
      <c r="H120" s="119"/>
      <c r="I120" s="106">
        <v>32000</v>
      </c>
      <c r="J120" s="174" t="s">
        <v>2822</v>
      </c>
    </row>
    <row r="121" spans="1:10" ht="19" x14ac:dyDescent="0.2">
      <c r="A121" s="144"/>
      <c r="B121" s="145"/>
      <c r="C121" s="151"/>
      <c r="D121" s="147"/>
      <c r="E121" s="150"/>
      <c r="F121" s="139"/>
      <c r="G121" s="139"/>
      <c r="H121" s="139"/>
      <c r="I121" s="162">
        <v>133000</v>
      </c>
      <c r="J121" s="162" t="s">
        <v>2823</v>
      </c>
    </row>
    <row r="122" spans="1:10" ht="19" x14ac:dyDescent="0.2">
      <c r="A122" s="143"/>
      <c r="B122" s="32"/>
      <c r="C122" s="171"/>
      <c r="D122" s="155"/>
      <c r="E122" s="15"/>
      <c r="F122" s="9"/>
      <c r="G122" s="9"/>
      <c r="H122" s="9"/>
      <c r="I122" s="106">
        <v>83000</v>
      </c>
      <c r="J122" s="106" t="s">
        <v>2824</v>
      </c>
    </row>
    <row r="123" spans="1:10" ht="19" x14ac:dyDescent="0.2">
      <c r="A123" s="144">
        <v>2166000</v>
      </c>
      <c r="B123" s="145"/>
      <c r="C123" s="149" t="s">
        <v>10</v>
      </c>
      <c r="D123" s="147" t="s">
        <v>2883</v>
      </c>
      <c r="E123" s="150">
        <v>1621000</v>
      </c>
      <c r="F123" s="139">
        <v>545000</v>
      </c>
      <c r="G123" s="139">
        <v>2250000</v>
      </c>
      <c r="H123" s="139" t="s">
        <v>2719</v>
      </c>
      <c r="I123" s="162">
        <v>91000</v>
      </c>
      <c r="J123" s="162" t="s">
        <v>2825</v>
      </c>
    </row>
    <row r="124" spans="1:10" ht="32" x14ac:dyDescent="0.2">
      <c r="A124" s="143"/>
      <c r="B124" s="153"/>
      <c r="C124" s="163"/>
      <c r="D124" s="155"/>
      <c r="E124" s="164"/>
      <c r="F124" s="119"/>
      <c r="G124" s="119">
        <v>1700000</v>
      </c>
      <c r="H124" s="176" t="s">
        <v>2826</v>
      </c>
      <c r="I124" s="174">
        <v>34000</v>
      </c>
      <c r="J124" s="174" t="s">
        <v>1857</v>
      </c>
    </row>
    <row r="125" spans="1:10" ht="19" x14ac:dyDescent="0.2">
      <c r="A125" s="148"/>
      <c r="B125" s="145"/>
      <c r="C125" s="159"/>
      <c r="D125" s="147"/>
      <c r="E125" s="150"/>
      <c r="F125" s="139"/>
      <c r="G125" s="139">
        <v>2800000</v>
      </c>
      <c r="H125" s="139" t="s">
        <v>2827</v>
      </c>
      <c r="I125" s="139">
        <v>118000</v>
      </c>
      <c r="J125" s="139" t="s">
        <v>2612</v>
      </c>
    </row>
    <row r="126" spans="1:10" ht="32" x14ac:dyDescent="0.2">
      <c r="A126" s="142"/>
      <c r="B126" s="32"/>
      <c r="C126" s="2"/>
      <c r="D126" s="102"/>
      <c r="E126" s="15"/>
      <c r="F126" s="9"/>
      <c r="G126" s="9">
        <v>2270000</v>
      </c>
      <c r="H126" s="47" t="s">
        <v>2828</v>
      </c>
      <c r="I126" s="106">
        <v>164000</v>
      </c>
      <c r="J126" s="106" t="s">
        <v>2700</v>
      </c>
    </row>
    <row r="127" spans="1:10" ht="19" x14ac:dyDescent="0.2">
      <c r="A127" s="144"/>
      <c r="B127" s="145"/>
      <c r="C127" s="151"/>
      <c r="D127" s="147"/>
      <c r="E127" s="150"/>
      <c r="F127" s="139"/>
      <c r="G127" s="139"/>
      <c r="H127" s="139"/>
      <c r="I127" s="162">
        <v>65000</v>
      </c>
      <c r="J127" s="162" t="s">
        <v>2829</v>
      </c>
    </row>
    <row r="128" spans="1:10" ht="19" x14ac:dyDescent="0.2">
      <c r="A128" s="143"/>
      <c r="B128" s="153"/>
      <c r="C128" s="163"/>
      <c r="D128" s="155"/>
      <c r="E128" s="119"/>
      <c r="F128" s="119"/>
      <c r="G128" s="119"/>
      <c r="H128" s="119"/>
      <c r="I128" s="119">
        <v>123000</v>
      </c>
      <c r="J128" s="119" t="s">
        <v>2830</v>
      </c>
    </row>
    <row r="129" spans="1:10" ht="19" x14ac:dyDescent="0.2">
      <c r="A129" s="144"/>
      <c r="B129" s="145"/>
      <c r="C129" s="151"/>
      <c r="D129" s="147"/>
      <c r="E129" s="150"/>
      <c r="F129" s="139"/>
      <c r="G129" s="139"/>
      <c r="H129" s="139"/>
      <c r="I129" s="139">
        <v>225000</v>
      </c>
      <c r="J129" s="139" t="s">
        <v>2203</v>
      </c>
    </row>
    <row r="130" spans="1:10" ht="19" x14ac:dyDescent="0.2">
      <c r="A130" s="143"/>
      <c r="B130" s="153"/>
      <c r="C130" s="163"/>
      <c r="D130" s="155"/>
      <c r="E130" s="164"/>
      <c r="F130" s="119"/>
      <c r="G130" s="119"/>
      <c r="H130" s="119"/>
      <c r="I130" s="119">
        <v>144000</v>
      </c>
      <c r="J130" s="119" t="s">
        <v>1245</v>
      </c>
    </row>
    <row r="131" spans="1:10" ht="19" x14ac:dyDescent="0.2">
      <c r="A131" s="144"/>
      <c r="B131" s="145"/>
      <c r="C131" s="151"/>
      <c r="D131" s="147"/>
      <c r="E131" s="150"/>
      <c r="F131" s="139"/>
      <c r="G131" s="139"/>
      <c r="H131" s="139"/>
      <c r="I131" s="139">
        <v>80000</v>
      </c>
      <c r="J131" s="139" t="s">
        <v>1285</v>
      </c>
    </row>
    <row r="132" spans="1:10" ht="19" x14ac:dyDescent="0.2">
      <c r="A132" s="143"/>
      <c r="B132" s="153"/>
      <c r="C132" s="163"/>
      <c r="D132" s="155"/>
      <c r="E132" s="164"/>
      <c r="F132" s="119"/>
      <c r="G132" s="119"/>
      <c r="H132" s="119"/>
      <c r="I132" s="119">
        <v>125000</v>
      </c>
      <c r="J132" s="119" t="s">
        <v>2831</v>
      </c>
    </row>
    <row r="133" spans="1:10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>
        <v>336000</v>
      </c>
      <c r="J133" s="139" t="s">
        <v>2832</v>
      </c>
    </row>
    <row r="134" spans="1:10" ht="19" x14ac:dyDescent="0.2">
      <c r="A134" s="143"/>
      <c r="B134" s="153"/>
      <c r="C134" s="163"/>
      <c r="D134" s="155"/>
      <c r="E134" s="164"/>
      <c r="F134" s="119"/>
      <c r="G134" s="119"/>
      <c r="H134" s="119"/>
      <c r="I134" s="119">
        <v>150000</v>
      </c>
      <c r="J134" s="119" t="s">
        <v>2833</v>
      </c>
    </row>
    <row r="135" spans="1:10" ht="19" x14ac:dyDescent="0.2">
      <c r="A135" s="144">
        <v>3176000</v>
      </c>
      <c r="B135" s="145">
        <v>45398</v>
      </c>
      <c r="C135" s="151" t="s">
        <v>9</v>
      </c>
      <c r="D135" s="147" t="s">
        <v>2627</v>
      </c>
      <c r="E135" s="150">
        <v>1963000</v>
      </c>
      <c r="F135" s="139">
        <v>1213000</v>
      </c>
      <c r="G135" s="139"/>
      <c r="H135" s="139"/>
      <c r="I135" s="152"/>
      <c r="J135" s="152"/>
    </row>
    <row r="136" spans="1:10" ht="19" x14ac:dyDescent="0.2">
      <c r="A136" s="143">
        <v>2352000</v>
      </c>
      <c r="B136" s="32"/>
      <c r="C136" s="35" t="s">
        <v>10</v>
      </c>
      <c r="D136" s="13" t="s">
        <v>2820</v>
      </c>
      <c r="E136" s="15">
        <v>1707000</v>
      </c>
      <c r="F136" s="9">
        <v>645000</v>
      </c>
      <c r="G136" s="9"/>
      <c r="H136" s="9"/>
      <c r="I136" s="9">
        <v>200000</v>
      </c>
      <c r="J136" s="9" t="s">
        <v>2796</v>
      </c>
    </row>
    <row r="137" spans="1:10" ht="19" x14ac:dyDescent="0.2">
      <c r="A137" s="144"/>
      <c r="B137" s="158"/>
      <c r="C137" s="151"/>
      <c r="D137" s="147"/>
      <c r="E137" s="150"/>
      <c r="F137" s="139"/>
      <c r="G137" s="139"/>
      <c r="H137" s="152"/>
      <c r="I137" s="139">
        <v>45000</v>
      </c>
      <c r="J137" s="139" t="s">
        <v>1467</v>
      </c>
    </row>
    <row r="138" spans="1:10" ht="19" x14ac:dyDescent="0.2">
      <c r="A138" s="143"/>
      <c r="B138" s="32"/>
      <c r="C138" s="35"/>
      <c r="D138" s="13"/>
      <c r="E138" s="15"/>
      <c r="F138" s="9"/>
      <c r="G138" s="9"/>
      <c r="H138" s="9"/>
      <c r="I138" s="9">
        <v>150000</v>
      </c>
      <c r="J138" s="9" t="s">
        <v>1710</v>
      </c>
    </row>
    <row r="139" spans="1:10" ht="19" x14ac:dyDescent="0.2">
      <c r="A139" s="144"/>
      <c r="B139" s="145"/>
      <c r="C139" s="151"/>
      <c r="D139" s="147"/>
      <c r="E139" s="150"/>
      <c r="F139" s="139"/>
      <c r="G139" s="152"/>
      <c r="H139" s="152"/>
      <c r="I139" s="139">
        <v>70000</v>
      </c>
      <c r="J139" s="139" t="s">
        <v>2834</v>
      </c>
    </row>
    <row r="140" spans="1:10" ht="19" x14ac:dyDescent="0.2">
      <c r="A140" s="143">
        <v>2595000</v>
      </c>
      <c r="B140" s="153">
        <v>45399</v>
      </c>
      <c r="C140" s="163" t="s">
        <v>9</v>
      </c>
      <c r="D140" s="155" t="s">
        <v>2884</v>
      </c>
      <c r="E140" s="164">
        <v>1855000</v>
      </c>
      <c r="F140" s="119">
        <v>740000</v>
      </c>
      <c r="G140" s="119">
        <v>2600000</v>
      </c>
      <c r="H140" s="119" t="s">
        <v>812</v>
      </c>
      <c r="I140" s="119">
        <v>122000</v>
      </c>
      <c r="J140" s="119" t="s">
        <v>2835</v>
      </c>
    </row>
    <row r="141" spans="1:10" ht="19" x14ac:dyDescent="0.2">
      <c r="A141" s="144"/>
      <c r="B141" s="158"/>
      <c r="C141" s="151"/>
      <c r="D141" s="147"/>
      <c r="E141" s="150"/>
      <c r="F141" s="139"/>
      <c r="G141" s="139"/>
      <c r="H141" s="139"/>
      <c r="I141" s="139">
        <v>225000</v>
      </c>
      <c r="J141" s="139" t="s">
        <v>2836</v>
      </c>
    </row>
    <row r="142" spans="1:10" ht="19" x14ac:dyDescent="0.2">
      <c r="A142" s="143">
        <v>2074000</v>
      </c>
      <c r="B142" s="32"/>
      <c r="C142" s="35" t="s">
        <v>10</v>
      </c>
      <c r="D142" s="13" t="s">
        <v>2883</v>
      </c>
      <c r="E142" s="15">
        <v>1669000</v>
      </c>
      <c r="F142" s="9">
        <v>405000</v>
      </c>
      <c r="G142" s="9"/>
      <c r="H142" s="9"/>
      <c r="I142" s="9"/>
      <c r="J142" s="9"/>
    </row>
    <row r="143" spans="1:10" ht="19" x14ac:dyDescent="0.2">
      <c r="A143" s="144"/>
      <c r="B143" s="145"/>
      <c r="C143" s="151"/>
      <c r="D143" s="160"/>
      <c r="E143" s="150"/>
      <c r="F143" s="139"/>
      <c r="G143" s="139"/>
      <c r="H143" s="139"/>
      <c r="I143" s="152"/>
      <c r="J143" s="152"/>
    </row>
    <row r="144" spans="1:10" ht="19" x14ac:dyDescent="0.2">
      <c r="A144" s="143">
        <v>3380000</v>
      </c>
      <c r="B144" s="32">
        <v>45400</v>
      </c>
      <c r="C144" s="35" t="s">
        <v>9</v>
      </c>
      <c r="D144" s="13" t="s">
        <v>2884</v>
      </c>
      <c r="E144" s="15">
        <v>2083000</v>
      </c>
      <c r="F144" s="9">
        <v>1297000</v>
      </c>
      <c r="G144" s="9"/>
      <c r="H144" s="9"/>
      <c r="I144" s="9">
        <v>51000</v>
      </c>
      <c r="J144" s="9" t="s">
        <v>2837</v>
      </c>
    </row>
    <row r="145" spans="1:10" ht="19" x14ac:dyDescent="0.2">
      <c r="A145" s="148"/>
      <c r="B145" s="145"/>
      <c r="C145" s="151"/>
      <c r="D145" s="147"/>
      <c r="E145" s="150"/>
      <c r="F145" s="139"/>
      <c r="G145" s="139"/>
      <c r="H145" s="139"/>
      <c r="I145" s="139">
        <v>14000</v>
      </c>
      <c r="J145" s="139" t="s">
        <v>2838</v>
      </c>
    </row>
    <row r="146" spans="1:10" ht="19" x14ac:dyDescent="0.2">
      <c r="A146" s="142"/>
      <c r="B146" s="153"/>
      <c r="C146" s="163"/>
      <c r="D146" s="172"/>
      <c r="E146" s="164"/>
      <c r="F146" s="119"/>
      <c r="G146" s="119"/>
      <c r="H146" s="119"/>
      <c r="I146" s="119">
        <v>21000</v>
      </c>
      <c r="J146" s="119" t="s">
        <v>2839</v>
      </c>
    </row>
    <row r="147" spans="1:10" ht="19" x14ac:dyDescent="0.2">
      <c r="A147" s="148"/>
      <c r="B147" s="158"/>
      <c r="C147" s="151"/>
      <c r="D147" s="160"/>
      <c r="E147" s="150"/>
      <c r="F147" s="139"/>
      <c r="G147" s="139"/>
      <c r="H147" s="139"/>
      <c r="I147" s="139">
        <v>104000</v>
      </c>
      <c r="J147" s="139" t="s">
        <v>2787</v>
      </c>
    </row>
    <row r="148" spans="1:10" ht="19" x14ac:dyDescent="0.2">
      <c r="A148" s="142"/>
      <c r="B148" s="153"/>
      <c r="C148" s="163"/>
      <c r="D148" s="172"/>
      <c r="E148" s="164"/>
      <c r="F148" s="119"/>
      <c r="G148" s="119"/>
      <c r="H148" s="119"/>
      <c r="I148" s="119">
        <v>520000</v>
      </c>
      <c r="J148" s="119" t="s">
        <v>1462</v>
      </c>
    </row>
    <row r="149" spans="1:10" ht="19" x14ac:dyDescent="0.2">
      <c r="A149" s="148"/>
      <c r="B149" s="145"/>
      <c r="C149" s="151"/>
      <c r="D149" s="160"/>
      <c r="E149" s="150"/>
      <c r="F149" s="139"/>
      <c r="G149" s="139"/>
      <c r="H149" s="139"/>
      <c r="I149" s="139"/>
      <c r="J149" s="139"/>
    </row>
    <row r="150" spans="1:10" ht="19" x14ac:dyDescent="0.2">
      <c r="A150" s="143">
        <v>1896000</v>
      </c>
      <c r="B150" s="32"/>
      <c r="C150" s="35" t="s">
        <v>10</v>
      </c>
      <c r="D150" s="13" t="s">
        <v>2820</v>
      </c>
      <c r="E150" s="15">
        <v>1339000</v>
      </c>
      <c r="F150" s="9">
        <v>557000</v>
      </c>
      <c r="G150" s="9"/>
      <c r="H150" s="9"/>
      <c r="I150" s="9">
        <v>360000</v>
      </c>
      <c r="J150" s="9" t="s">
        <v>1648</v>
      </c>
    </row>
    <row r="151" spans="1:10" ht="19" x14ac:dyDescent="0.2">
      <c r="A151" s="144">
        <v>3207000</v>
      </c>
      <c r="B151" s="145">
        <v>45401</v>
      </c>
      <c r="C151" s="146" t="s">
        <v>9</v>
      </c>
      <c r="D151" s="147" t="s">
        <v>2889</v>
      </c>
      <c r="E151" s="150">
        <v>2499000</v>
      </c>
      <c r="F151" s="139">
        <v>708000</v>
      </c>
      <c r="G151" s="139"/>
      <c r="H151" s="139"/>
      <c r="I151" s="139">
        <v>47000</v>
      </c>
      <c r="J151" s="139" t="s">
        <v>2840</v>
      </c>
    </row>
    <row r="152" spans="1:10" ht="19" x14ac:dyDescent="0.2">
      <c r="A152" s="143"/>
      <c r="B152" s="153"/>
      <c r="C152" s="171"/>
      <c r="D152" s="102"/>
      <c r="E152" s="164"/>
      <c r="F152" s="119"/>
      <c r="G152" s="119"/>
      <c r="H152" s="119"/>
      <c r="I152" s="119">
        <v>35000</v>
      </c>
      <c r="J152" s="119" t="s">
        <v>1885</v>
      </c>
    </row>
    <row r="153" spans="1:10" ht="19" x14ac:dyDescent="0.2">
      <c r="A153" s="144"/>
      <c r="B153" s="145"/>
      <c r="C153" s="149"/>
      <c r="D153" s="147"/>
      <c r="E153" s="150"/>
      <c r="F153" s="139"/>
      <c r="G153" s="139"/>
      <c r="H153" s="139"/>
      <c r="I153" s="139">
        <v>225000</v>
      </c>
      <c r="J153" s="139" t="s">
        <v>2203</v>
      </c>
    </row>
    <row r="154" spans="1:10" ht="19" x14ac:dyDescent="0.2">
      <c r="A154" s="143"/>
      <c r="B154" s="153"/>
      <c r="C154" s="163"/>
      <c r="D154" s="155"/>
      <c r="E154" s="164"/>
      <c r="F154" s="119"/>
      <c r="G154" s="119"/>
      <c r="H154" s="119"/>
      <c r="I154" s="119">
        <v>150000</v>
      </c>
      <c r="J154" s="119" t="s">
        <v>2841</v>
      </c>
    </row>
    <row r="155" spans="1:10" ht="19" x14ac:dyDescent="0.2">
      <c r="A155" s="144"/>
      <c r="B155" s="145"/>
      <c r="C155" s="146"/>
      <c r="D155" s="147"/>
      <c r="E155" s="150"/>
      <c r="F155" s="139"/>
      <c r="G155" s="139"/>
      <c r="H155" s="165"/>
      <c r="I155" s="139">
        <v>150000</v>
      </c>
      <c r="J155" s="139" t="s">
        <v>2842</v>
      </c>
    </row>
    <row r="156" spans="1:10" ht="19" x14ac:dyDescent="0.2">
      <c r="A156" s="143">
        <v>2276000</v>
      </c>
      <c r="B156" s="32"/>
      <c r="C156" s="35" t="s">
        <v>10</v>
      </c>
      <c r="D156" s="102" t="s">
        <v>2890</v>
      </c>
      <c r="E156" s="15">
        <v>1485000</v>
      </c>
      <c r="F156" s="9">
        <v>791000</v>
      </c>
      <c r="G156" s="9"/>
      <c r="H156" s="77"/>
      <c r="I156" s="9">
        <v>150000</v>
      </c>
      <c r="J156" s="9" t="s">
        <v>1710</v>
      </c>
    </row>
    <row r="157" spans="1:10" ht="19" x14ac:dyDescent="0.2">
      <c r="A157" s="148"/>
      <c r="B157" s="145"/>
      <c r="C157" s="151"/>
      <c r="D157" s="160"/>
      <c r="E157" s="150"/>
      <c r="F157" s="139"/>
      <c r="G157" s="139">
        <v>260000</v>
      </c>
      <c r="H157" s="165" t="s">
        <v>1800</v>
      </c>
      <c r="I157" s="139">
        <v>45000</v>
      </c>
      <c r="J157" s="139" t="s">
        <v>1467</v>
      </c>
    </row>
    <row r="158" spans="1:10" ht="19" x14ac:dyDescent="0.2">
      <c r="A158" s="142"/>
      <c r="B158" s="32"/>
      <c r="C158" s="35"/>
      <c r="D158" s="102"/>
      <c r="E158" s="15"/>
      <c r="F158" s="9"/>
      <c r="G158" s="9"/>
      <c r="H158" s="77"/>
      <c r="I158" s="9">
        <v>200000</v>
      </c>
      <c r="J158" s="9" t="s">
        <v>2796</v>
      </c>
    </row>
    <row r="159" spans="1:10" ht="19" x14ac:dyDescent="0.2">
      <c r="A159" s="143">
        <v>2405000</v>
      </c>
      <c r="B159" s="32">
        <v>45402</v>
      </c>
      <c r="C159" s="49" t="s">
        <v>9</v>
      </c>
      <c r="D159" s="13" t="s">
        <v>2891</v>
      </c>
      <c r="E159" s="15">
        <v>1758000</v>
      </c>
      <c r="F159" s="9">
        <v>647000</v>
      </c>
      <c r="G159" s="9"/>
      <c r="H159" s="77"/>
      <c r="I159" s="9">
        <v>33000</v>
      </c>
      <c r="J159" s="9" t="s">
        <v>2843</v>
      </c>
    </row>
    <row r="160" spans="1:10" ht="19" x14ac:dyDescent="0.2">
      <c r="A160" s="144"/>
      <c r="B160" s="145"/>
      <c r="C160" s="146"/>
      <c r="D160" s="147"/>
      <c r="E160" s="150"/>
      <c r="F160" s="139"/>
      <c r="G160" s="139"/>
      <c r="H160" s="165"/>
      <c r="I160" s="139">
        <v>93000</v>
      </c>
      <c r="J160" s="139" t="s">
        <v>2844</v>
      </c>
    </row>
    <row r="161" spans="1:10" ht="19" x14ac:dyDescent="0.2">
      <c r="A161" s="143"/>
      <c r="B161" s="32"/>
      <c r="C161" s="49"/>
      <c r="D161" s="13"/>
      <c r="E161" s="15"/>
      <c r="F161" s="9"/>
      <c r="G161" s="9"/>
      <c r="H161" s="77"/>
      <c r="I161" s="9">
        <v>90000</v>
      </c>
      <c r="J161" s="9" t="s">
        <v>2845</v>
      </c>
    </row>
    <row r="162" spans="1:10" ht="19" x14ac:dyDescent="0.2">
      <c r="A162" s="144"/>
      <c r="B162" s="145"/>
      <c r="C162" s="263"/>
      <c r="D162" s="147"/>
      <c r="E162" s="150"/>
      <c r="F162" s="139"/>
      <c r="G162" s="139"/>
      <c r="H162" s="139"/>
      <c r="I162" s="139">
        <v>70000</v>
      </c>
      <c r="J162" s="139" t="s">
        <v>1641</v>
      </c>
    </row>
    <row r="163" spans="1:10" ht="19" x14ac:dyDescent="0.2">
      <c r="A163" s="143"/>
      <c r="B163" s="153"/>
      <c r="C163" s="154"/>
      <c r="D163" s="155"/>
      <c r="E163" s="164"/>
      <c r="F163" s="119"/>
      <c r="G163" s="119"/>
      <c r="H163" s="119"/>
      <c r="I163" s="119">
        <v>43000</v>
      </c>
      <c r="J163" s="119" t="s">
        <v>2846</v>
      </c>
    </row>
    <row r="164" spans="1:10" ht="19" x14ac:dyDescent="0.2">
      <c r="A164" s="144"/>
      <c r="B164" s="145"/>
      <c r="C164" s="151"/>
      <c r="D164" s="147"/>
      <c r="E164" s="150"/>
      <c r="F164" s="139"/>
      <c r="G164" s="139"/>
      <c r="H164" s="165"/>
      <c r="I164" s="139">
        <v>60000</v>
      </c>
      <c r="J164" s="139" t="s">
        <v>2847</v>
      </c>
    </row>
    <row r="165" spans="1:10" ht="19" x14ac:dyDescent="0.2">
      <c r="A165" s="143"/>
      <c r="B165" s="153"/>
      <c r="C165" s="163"/>
      <c r="D165" s="155"/>
      <c r="E165" s="164"/>
      <c r="F165" s="119"/>
      <c r="G165" s="119"/>
      <c r="H165" s="168"/>
      <c r="I165" s="119">
        <v>30000</v>
      </c>
      <c r="J165" s="119" t="s">
        <v>2848</v>
      </c>
    </row>
    <row r="166" spans="1:10" ht="19" x14ac:dyDescent="0.2">
      <c r="A166" s="144"/>
      <c r="B166" s="145"/>
      <c r="C166" s="151"/>
      <c r="D166" s="147"/>
      <c r="E166" s="150"/>
      <c r="F166" s="139"/>
      <c r="G166" s="139"/>
      <c r="H166" s="165"/>
      <c r="I166" s="139">
        <v>144000</v>
      </c>
      <c r="J166" s="139" t="s">
        <v>1245</v>
      </c>
    </row>
    <row r="167" spans="1:10" ht="19" x14ac:dyDescent="0.2">
      <c r="A167" s="143"/>
      <c r="B167" s="153"/>
      <c r="C167" s="163"/>
      <c r="D167" s="155"/>
      <c r="E167" s="164"/>
      <c r="F167" s="119"/>
      <c r="G167" s="119"/>
      <c r="H167" s="168"/>
      <c r="I167" s="9">
        <v>125000</v>
      </c>
      <c r="J167" s="9" t="s">
        <v>1296</v>
      </c>
    </row>
    <row r="168" spans="1:10" ht="19" x14ac:dyDescent="0.2">
      <c r="A168" s="144"/>
      <c r="B168" s="145"/>
      <c r="C168" s="149"/>
      <c r="D168" s="147"/>
      <c r="E168" s="150"/>
      <c r="F168" s="139"/>
      <c r="G168" s="139"/>
      <c r="H168" s="139"/>
      <c r="I168" s="139">
        <v>80000</v>
      </c>
      <c r="J168" s="139" t="s">
        <v>2299</v>
      </c>
    </row>
    <row r="169" spans="1:10" ht="19" x14ac:dyDescent="0.2">
      <c r="A169" s="143">
        <v>3221000</v>
      </c>
      <c r="B169" s="153"/>
      <c r="C169" s="171" t="s">
        <v>10</v>
      </c>
      <c r="D169" s="155" t="s">
        <v>2893</v>
      </c>
      <c r="E169" s="164">
        <v>2175000</v>
      </c>
      <c r="F169" s="119">
        <v>1046000</v>
      </c>
      <c r="G169" s="119"/>
      <c r="H169" s="119"/>
      <c r="I169" s="9">
        <v>336000</v>
      </c>
      <c r="J169" s="9" t="s">
        <v>2832</v>
      </c>
    </row>
    <row r="170" spans="1:10" ht="19" x14ac:dyDescent="0.2">
      <c r="A170" s="144"/>
      <c r="B170" s="145"/>
      <c r="C170" s="149"/>
      <c r="D170" s="147"/>
      <c r="E170" s="150"/>
      <c r="F170" s="139"/>
      <c r="G170" s="139"/>
      <c r="H170" s="139"/>
      <c r="I170" s="152"/>
      <c r="J170" s="152"/>
    </row>
    <row r="171" spans="1:10" ht="19" x14ac:dyDescent="0.2">
      <c r="A171" s="143">
        <v>1195000</v>
      </c>
      <c r="B171" s="32">
        <v>45403</v>
      </c>
      <c r="C171" s="49" t="s">
        <v>9</v>
      </c>
      <c r="D171" s="13" t="s">
        <v>685</v>
      </c>
      <c r="E171" s="15">
        <v>997000</v>
      </c>
      <c r="F171" s="9">
        <v>198000</v>
      </c>
      <c r="G171" s="9"/>
      <c r="H171" s="9"/>
      <c r="I171" s="77"/>
      <c r="J171" s="77"/>
    </row>
    <row r="172" spans="1:10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65"/>
    </row>
    <row r="173" spans="1:10" ht="19" x14ac:dyDescent="0.2">
      <c r="A173" s="143">
        <v>2139000</v>
      </c>
      <c r="B173" s="32"/>
      <c r="C173" s="49" t="s">
        <v>10</v>
      </c>
      <c r="D173" s="13" t="s">
        <v>2820</v>
      </c>
      <c r="E173" s="15">
        <v>1500000</v>
      </c>
      <c r="F173" s="9">
        <v>639000</v>
      </c>
      <c r="G173" s="9"/>
      <c r="H173" s="9"/>
      <c r="I173" s="77"/>
      <c r="J173" s="77"/>
    </row>
    <row r="174" spans="1:10" ht="19" x14ac:dyDescent="0.2">
      <c r="A174" s="144"/>
      <c r="B174" s="145"/>
      <c r="C174" s="149"/>
      <c r="D174" s="147"/>
      <c r="E174" s="150"/>
      <c r="F174" s="139"/>
      <c r="G174" s="139"/>
      <c r="H174" s="139"/>
      <c r="I174" s="139">
        <v>300000</v>
      </c>
      <c r="J174" s="139" t="s">
        <v>2892</v>
      </c>
    </row>
    <row r="175" spans="1:10" ht="19" x14ac:dyDescent="0.2">
      <c r="A175" s="143">
        <v>3619000</v>
      </c>
      <c r="B175" s="32">
        <v>45404</v>
      </c>
      <c r="C175" s="49" t="s">
        <v>9</v>
      </c>
      <c r="D175" s="13" t="s">
        <v>685</v>
      </c>
      <c r="E175" s="15">
        <v>2665000</v>
      </c>
      <c r="F175" s="9">
        <v>954000</v>
      </c>
      <c r="G175" s="9">
        <v>2600000</v>
      </c>
      <c r="H175" s="9" t="s">
        <v>1475</v>
      </c>
      <c r="I175" s="77">
        <v>104000</v>
      </c>
      <c r="J175" s="77" t="s">
        <v>2849</v>
      </c>
    </row>
    <row r="176" spans="1:10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>
        <v>127000</v>
      </c>
      <c r="J176" s="165" t="s">
        <v>2850</v>
      </c>
    </row>
    <row r="177" spans="1:10" ht="19" x14ac:dyDescent="0.2">
      <c r="A177" s="143"/>
      <c r="B177" s="153"/>
      <c r="C177" s="171"/>
      <c r="D177" s="155"/>
      <c r="E177" s="164"/>
      <c r="F177" s="119"/>
      <c r="G177" s="119"/>
      <c r="H177" s="119"/>
      <c r="I177" s="168">
        <v>58000</v>
      </c>
      <c r="J177" s="168" t="s">
        <v>1449</v>
      </c>
    </row>
    <row r="178" spans="1:10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>
        <v>225000</v>
      </c>
      <c r="J178" s="165" t="s">
        <v>2269</v>
      </c>
    </row>
    <row r="179" spans="1:10" ht="19" x14ac:dyDescent="0.2">
      <c r="A179" s="143">
        <v>2134000</v>
      </c>
      <c r="B179" s="153"/>
      <c r="C179" s="171" t="s">
        <v>10</v>
      </c>
      <c r="D179" s="155" t="s">
        <v>2820</v>
      </c>
      <c r="E179" s="164">
        <v>1353000</v>
      </c>
      <c r="F179" s="119">
        <v>781000</v>
      </c>
      <c r="G179" s="119"/>
      <c r="H179" s="119"/>
      <c r="I179" s="168">
        <v>25000</v>
      </c>
      <c r="J179" s="168" t="s">
        <v>2851</v>
      </c>
    </row>
    <row r="180" spans="1:10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>
        <v>50000</v>
      </c>
      <c r="J180" s="165" t="s">
        <v>1466</v>
      </c>
    </row>
    <row r="181" spans="1:10" s="156" customFormat="1" ht="19" x14ac:dyDescent="0.2">
      <c r="A181" s="143">
        <v>2503000</v>
      </c>
      <c r="B181" s="153">
        <v>45405</v>
      </c>
      <c r="C181" s="171" t="s">
        <v>9</v>
      </c>
      <c r="D181" s="155" t="s">
        <v>685</v>
      </c>
      <c r="E181" s="164">
        <v>1500000</v>
      </c>
      <c r="F181" s="119">
        <v>1003000</v>
      </c>
      <c r="G181" s="119"/>
      <c r="H181" s="119"/>
      <c r="I181" s="168">
        <v>123000</v>
      </c>
      <c r="J181" s="168" t="s">
        <v>1585</v>
      </c>
    </row>
    <row r="182" spans="1:10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>
        <v>58000</v>
      </c>
      <c r="J182" s="165" t="s">
        <v>1449</v>
      </c>
    </row>
    <row r="183" spans="1:10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>
        <v>45000</v>
      </c>
      <c r="J183" s="168" t="s">
        <v>1493</v>
      </c>
    </row>
    <row r="184" spans="1:10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>
        <v>56000</v>
      </c>
      <c r="J184" s="165" t="s">
        <v>2852</v>
      </c>
    </row>
    <row r="185" spans="1:10" ht="19" x14ac:dyDescent="0.2">
      <c r="A185" s="143">
        <v>1671000</v>
      </c>
      <c r="B185" s="153"/>
      <c r="C185" s="171" t="s">
        <v>10</v>
      </c>
      <c r="D185" s="155" t="s">
        <v>2820</v>
      </c>
      <c r="E185" s="164">
        <v>1011000</v>
      </c>
      <c r="F185" s="119">
        <v>660000</v>
      </c>
      <c r="G185" s="119"/>
      <c r="H185" s="119"/>
      <c r="I185" s="168"/>
      <c r="J185" s="168"/>
    </row>
    <row r="186" spans="1:10" ht="19" x14ac:dyDescent="0.2">
      <c r="A186" s="144">
        <v>3785000</v>
      </c>
      <c r="B186" s="145">
        <v>45406</v>
      </c>
      <c r="C186" s="149" t="s">
        <v>9</v>
      </c>
      <c r="D186" s="147" t="s">
        <v>685</v>
      </c>
      <c r="E186" s="150">
        <v>2235000</v>
      </c>
      <c r="F186" s="139">
        <v>1550000</v>
      </c>
      <c r="G186" s="139"/>
      <c r="H186" s="139"/>
      <c r="I186" s="165">
        <v>47000</v>
      </c>
      <c r="J186" s="165" t="s">
        <v>2853</v>
      </c>
    </row>
    <row r="187" spans="1:10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>
        <v>10000</v>
      </c>
      <c r="J187" s="168" t="s">
        <v>2854</v>
      </c>
    </row>
    <row r="188" spans="1:10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>
        <v>126000</v>
      </c>
      <c r="J188" s="165" t="s">
        <v>2855</v>
      </c>
    </row>
    <row r="189" spans="1:10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>
        <v>75000</v>
      </c>
      <c r="J189" s="168" t="s">
        <v>2729</v>
      </c>
    </row>
    <row r="190" spans="1:10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>
        <v>75000</v>
      </c>
      <c r="J190" s="165" t="s">
        <v>2856</v>
      </c>
    </row>
    <row r="191" spans="1:10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>
        <v>360000</v>
      </c>
      <c r="J191" s="168" t="s">
        <v>1648</v>
      </c>
    </row>
    <row r="192" spans="1:10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>
        <v>200000</v>
      </c>
      <c r="J192" s="165" t="s">
        <v>2796</v>
      </c>
    </row>
    <row r="193" spans="1:10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>
        <v>18000</v>
      </c>
      <c r="J193" s="168" t="s">
        <v>1853</v>
      </c>
    </row>
    <row r="194" spans="1:10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>
        <v>150000</v>
      </c>
      <c r="J194" s="165" t="s">
        <v>1710</v>
      </c>
    </row>
    <row r="195" spans="1:10" ht="19" x14ac:dyDescent="0.2">
      <c r="A195" s="143">
        <v>1236000</v>
      </c>
      <c r="B195" s="153"/>
      <c r="C195" s="171" t="s">
        <v>10</v>
      </c>
      <c r="D195" s="155" t="s">
        <v>2820</v>
      </c>
      <c r="E195" s="164">
        <v>834000</v>
      </c>
      <c r="F195" s="119">
        <v>402000</v>
      </c>
      <c r="G195" s="119"/>
      <c r="H195" s="119"/>
      <c r="I195" s="168">
        <v>144000</v>
      </c>
      <c r="J195" s="168" t="s">
        <v>1245</v>
      </c>
    </row>
    <row r="196" spans="1:10" ht="19" x14ac:dyDescent="0.2">
      <c r="A196" s="144"/>
      <c r="B196" s="145"/>
      <c r="C196" s="149"/>
      <c r="D196" s="147"/>
      <c r="E196" s="150"/>
      <c r="F196" s="139"/>
      <c r="G196" s="139"/>
      <c r="H196" s="139"/>
      <c r="I196" s="165">
        <v>125000</v>
      </c>
      <c r="J196" s="165" t="s">
        <v>1319</v>
      </c>
    </row>
    <row r="197" spans="1:10" ht="19" x14ac:dyDescent="0.2">
      <c r="A197" s="143"/>
      <c r="B197" s="153"/>
      <c r="C197" s="171"/>
      <c r="D197" s="155"/>
      <c r="E197" s="164"/>
      <c r="F197" s="119"/>
      <c r="G197" s="119"/>
      <c r="H197" s="119"/>
      <c r="I197" s="168">
        <v>80000</v>
      </c>
      <c r="J197" s="168" t="s">
        <v>1285</v>
      </c>
    </row>
    <row r="198" spans="1:10" ht="19" x14ac:dyDescent="0.2">
      <c r="A198" s="144">
        <v>3394000</v>
      </c>
      <c r="B198" s="145">
        <v>45407</v>
      </c>
      <c r="C198" s="149" t="s">
        <v>9</v>
      </c>
      <c r="D198" s="147" t="s">
        <v>685</v>
      </c>
      <c r="E198" s="150">
        <v>2599000</v>
      </c>
      <c r="F198" s="139">
        <v>795000</v>
      </c>
      <c r="G198" s="139"/>
      <c r="H198" s="139"/>
      <c r="I198" s="165">
        <v>82000</v>
      </c>
      <c r="J198" s="165" t="s">
        <v>2494</v>
      </c>
    </row>
    <row r="199" spans="1:10" ht="19" x14ac:dyDescent="0.2">
      <c r="A199" s="143"/>
      <c r="B199" s="153"/>
      <c r="C199" s="171"/>
      <c r="D199" s="155"/>
      <c r="E199" s="164"/>
      <c r="F199" s="119"/>
      <c r="G199" s="119"/>
      <c r="H199" s="119"/>
      <c r="I199" s="168">
        <v>132000</v>
      </c>
      <c r="J199" s="168" t="s">
        <v>2015</v>
      </c>
    </row>
    <row r="200" spans="1:10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>
        <v>40000</v>
      </c>
      <c r="J200" s="165" t="s">
        <v>2857</v>
      </c>
    </row>
    <row r="201" spans="1:10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>
        <v>83000</v>
      </c>
      <c r="J201" s="168" t="s">
        <v>2858</v>
      </c>
    </row>
    <row r="202" spans="1:10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>
        <v>70000</v>
      </c>
      <c r="J202" s="165" t="s">
        <v>2859</v>
      </c>
    </row>
    <row r="203" spans="1:10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>
        <v>150000</v>
      </c>
      <c r="J203" s="168" t="s">
        <v>2860</v>
      </c>
    </row>
    <row r="204" spans="1:10" ht="19" x14ac:dyDescent="0.2">
      <c r="A204" s="144"/>
      <c r="B204" s="145"/>
      <c r="C204" s="149"/>
      <c r="D204" s="147"/>
      <c r="E204" s="150"/>
      <c r="F204" s="139"/>
      <c r="G204" s="139"/>
      <c r="H204" s="139"/>
      <c r="I204" s="165">
        <v>240000</v>
      </c>
      <c r="J204" s="165" t="s">
        <v>2474</v>
      </c>
    </row>
    <row r="205" spans="1:10" ht="19" x14ac:dyDescent="0.2">
      <c r="A205" s="143">
        <v>1609000</v>
      </c>
      <c r="B205" s="153"/>
      <c r="C205" s="171" t="s">
        <v>10</v>
      </c>
      <c r="D205" s="155" t="s">
        <v>2820</v>
      </c>
      <c r="E205" s="164">
        <v>1280000</v>
      </c>
      <c r="F205" s="119">
        <v>329000</v>
      </c>
      <c r="G205" s="119"/>
      <c r="H205" s="119"/>
      <c r="I205" s="168"/>
      <c r="J205" s="168"/>
    </row>
    <row r="206" spans="1:10" ht="19" x14ac:dyDescent="0.2">
      <c r="A206" s="144">
        <v>3443000</v>
      </c>
      <c r="B206" s="145">
        <v>45408</v>
      </c>
      <c r="C206" s="149" t="s">
        <v>9</v>
      </c>
      <c r="D206" s="147" t="s">
        <v>685</v>
      </c>
      <c r="E206" s="150">
        <v>2411000</v>
      </c>
      <c r="F206" s="139">
        <v>1032000</v>
      </c>
      <c r="G206" s="139"/>
      <c r="H206" s="139"/>
      <c r="I206" s="165">
        <v>94000</v>
      </c>
      <c r="J206" s="165" t="s">
        <v>2861</v>
      </c>
    </row>
    <row r="207" spans="1:10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>
        <v>33000</v>
      </c>
      <c r="J207" s="168" t="s">
        <v>2862</v>
      </c>
    </row>
    <row r="208" spans="1:10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>
        <v>64000</v>
      </c>
      <c r="J208" s="165" t="s">
        <v>2863</v>
      </c>
    </row>
    <row r="209" spans="1:10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>
        <v>6000</v>
      </c>
      <c r="J209" s="168" t="s">
        <v>2864</v>
      </c>
    </row>
    <row r="210" spans="1:10" ht="19" x14ac:dyDescent="0.2">
      <c r="A210" s="144"/>
      <c r="B210" s="145"/>
      <c r="C210" s="149"/>
      <c r="D210" s="147"/>
      <c r="E210" s="150"/>
      <c r="F210" s="139"/>
      <c r="G210" s="139"/>
      <c r="H210" s="139"/>
      <c r="I210" s="165">
        <v>9000</v>
      </c>
      <c r="J210" s="165" t="s">
        <v>2865</v>
      </c>
    </row>
    <row r="211" spans="1:10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>
        <v>180000</v>
      </c>
      <c r="J211" s="168" t="s">
        <v>1838</v>
      </c>
    </row>
    <row r="212" spans="1:10" ht="19" x14ac:dyDescent="0.2">
      <c r="A212" s="144">
        <v>2013000</v>
      </c>
      <c r="B212" s="145"/>
      <c r="C212" s="149" t="s">
        <v>10</v>
      </c>
      <c r="D212" s="147" t="s">
        <v>2820</v>
      </c>
      <c r="E212" s="150">
        <v>1384000</v>
      </c>
      <c r="F212" s="139">
        <v>629000</v>
      </c>
      <c r="G212" s="139"/>
      <c r="H212" s="139"/>
      <c r="I212" s="165"/>
      <c r="J212" s="165"/>
    </row>
    <row r="213" spans="1:10" ht="19" x14ac:dyDescent="0.2">
      <c r="A213" s="143">
        <v>2842000</v>
      </c>
      <c r="B213" s="153">
        <v>45409</v>
      </c>
      <c r="C213" s="171" t="s">
        <v>9</v>
      </c>
      <c r="D213" s="155" t="s">
        <v>685</v>
      </c>
      <c r="E213" s="164">
        <v>1926000</v>
      </c>
      <c r="F213" s="119">
        <v>916000</v>
      </c>
      <c r="G213" s="119">
        <v>2600000</v>
      </c>
      <c r="H213" s="119" t="s">
        <v>1475</v>
      </c>
      <c r="I213" s="168">
        <v>165000</v>
      </c>
      <c r="J213" s="168" t="s">
        <v>2732</v>
      </c>
    </row>
    <row r="214" spans="1:10" ht="19" x14ac:dyDescent="0.2">
      <c r="A214" s="144"/>
      <c r="B214" s="145"/>
      <c r="C214" s="149"/>
      <c r="D214" s="147"/>
      <c r="E214" s="150"/>
      <c r="F214" s="139"/>
      <c r="G214" s="139"/>
      <c r="H214" s="139"/>
      <c r="I214" s="165">
        <v>495000</v>
      </c>
      <c r="J214" s="165" t="s">
        <v>2866</v>
      </c>
    </row>
    <row r="215" spans="1:10" ht="19" x14ac:dyDescent="0.2">
      <c r="A215" s="143">
        <v>2033000</v>
      </c>
      <c r="B215" s="153"/>
      <c r="C215" s="171" t="s">
        <v>10</v>
      </c>
      <c r="D215" s="155" t="s">
        <v>2820</v>
      </c>
      <c r="E215" s="164">
        <v>1232000</v>
      </c>
      <c r="F215" s="119">
        <v>801000</v>
      </c>
      <c r="G215" s="119"/>
      <c r="H215" s="119"/>
      <c r="I215" s="168">
        <v>50000</v>
      </c>
      <c r="J215" s="168" t="s">
        <v>123</v>
      </c>
    </row>
    <row r="216" spans="1:10" ht="19" x14ac:dyDescent="0.2">
      <c r="A216" s="144">
        <v>2448000</v>
      </c>
      <c r="B216" s="145">
        <v>45410</v>
      </c>
      <c r="C216" s="149" t="s">
        <v>9</v>
      </c>
      <c r="D216" s="147" t="s">
        <v>685</v>
      </c>
      <c r="E216" s="150">
        <v>1976000</v>
      </c>
      <c r="F216" s="139">
        <v>472000</v>
      </c>
      <c r="G216" s="139"/>
      <c r="H216" s="139"/>
      <c r="I216" s="165">
        <v>45000</v>
      </c>
      <c r="J216" s="165" t="s">
        <v>1493</v>
      </c>
    </row>
    <row r="217" spans="1:10" ht="19" x14ac:dyDescent="0.2">
      <c r="A217" s="143"/>
      <c r="B217" s="153"/>
      <c r="C217" s="171"/>
      <c r="D217" s="155"/>
      <c r="E217" s="164"/>
      <c r="F217" s="119"/>
      <c r="G217" s="119"/>
      <c r="H217" s="119"/>
      <c r="I217" s="168">
        <v>9000</v>
      </c>
      <c r="J217" s="168" t="s">
        <v>1305</v>
      </c>
    </row>
    <row r="218" spans="1:10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>
        <v>7000</v>
      </c>
      <c r="J218" s="165" t="s">
        <v>1580</v>
      </c>
    </row>
    <row r="219" spans="1:10" ht="19" x14ac:dyDescent="0.2">
      <c r="A219" s="143">
        <v>1717000</v>
      </c>
      <c r="B219" s="153"/>
      <c r="C219" s="171" t="s">
        <v>10</v>
      </c>
      <c r="D219" s="155" t="s">
        <v>2767</v>
      </c>
      <c r="E219" s="164">
        <v>1181000</v>
      </c>
      <c r="F219" s="119">
        <v>536000</v>
      </c>
      <c r="G219" s="119"/>
      <c r="H219" s="119"/>
      <c r="I219" s="168"/>
      <c r="J219" s="168"/>
    </row>
    <row r="220" spans="1:10" ht="19" x14ac:dyDescent="0.2">
      <c r="A220" s="144">
        <v>2860000</v>
      </c>
      <c r="B220" s="145">
        <v>45411</v>
      </c>
      <c r="C220" s="149" t="s">
        <v>9</v>
      </c>
      <c r="D220" s="147" t="s">
        <v>685</v>
      </c>
      <c r="E220" s="150">
        <v>2126000</v>
      </c>
      <c r="F220" s="139">
        <v>734000</v>
      </c>
      <c r="G220" s="139"/>
      <c r="H220" s="139"/>
      <c r="I220" s="165">
        <v>150000</v>
      </c>
      <c r="J220" s="165" t="s">
        <v>2867</v>
      </c>
    </row>
    <row r="221" spans="1:10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>
        <v>150000</v>
      </c>
      <c r="J221" s="168" t="s">
        <v>2868</v>
      </c>
    </row>
    <row r="222" spans="1:10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>
        <v>150000</v>
      </c>
      <c r="J222" s="165" t="s">
        <v>2563</v>
      </c>
    </row>
    <row r="223" spans="1:10" ht="19" x14ac:dyDescent="0.2">
      <c r="A223" s="143"/>
      <c r="B223" s="153"/>
      <c r="C223" s="171"/>
      <c r="D223" s="155"/>
      <c r="E223" s="164"/>
      <c r="F223" s="119"/>
      <c r="G223" s="119"/>
      <c r="H223" s="119"/>
      <c r="I223" s="168">
        <v>150000</v>
      </c>
      <c r="J223" s="168" t="s">
        <v>1792</v>
      </c>
    </row>
    <row r="224" spans="1:10" ht="19" x14ac:dyDescent="0.2">
      <c r="A224" s="144"/>
      <c r="B224" s="145"/>
      <c r="C224" s="149"/>
      <c r="D224" s="147"/>
      <c r="E224" s="150"/>
      <c r="F224" s="139"/>
      <c r="G224" s="139"/>
      <c r="H224" s="139"/>
      <c r="I224" s="165">
        <v>150000</v>
      </c>
      <c r="J224" s="165" t="s">
        <v>2562</v>
      </c>
    </row>
    <row r="225" spans="1:10" ht="19" x14ac:dyDescent="0.2">
      <c r="A225" s="143">
        <v>2019000</v>
      </c>
      <c r="B225" s="153"/>
      <c r="C225" s="171" t="s">
        <v>10</v>
      </c>
      <c r="D225" s="155" t="s">
        <v>2820</v>
      </c>
      <c r="E225" s="164">
        <v>1470000</v>
      </c>
      <c r="F225" s="119">
        <v>549000</v>
      </c>
      <c r="G225" s="119"/>
      <c r="H225" s="119"/>
      <c r="I225" s="168">
        <v>144000</v>
      </c>
      <c r="J225" s="168" t="s">
        <v>1245</v>
      </c>
    </row>
    <row r="226" spans="1:10" ht="19" x14ac:dyDescent="0.2">
      <c r="A226" s="144"/>
      <c r="B226" s="145"/>
      <c r="C226" s="149"/>
      <c r="D226" s="147"/>
      <c r="E226" s="150"/>
      <c r="F226" s="139"/>
      <c r="G226" s="139"/>
      <c r="H226" s="139"/>
      <c r="I226" s="165">
        <v>125000</v>
      </c>
      <c r="J226" s="165" t="s">
        <v>1296</v>
      </c>
    </row>
    <row r="227" spans="1:10" ht="19" x14ac:dyDescent="0.2">
      <c r="A227" s="143"/>
      <c r="B227" s="153"/>
      <c r="C227" s="171"/>
      <c r="D227" s="155"/>
      <c r="E227" s="164"/>
      <c r="F227" s="119"/>
      <c r="G227" s="119"/>
      <c r="H227" s="119"/>
      <c r="I227" s="168">
        <v>200000</v>
      </c>
      <c r="J227" s="168" t="s">
        <v>2796</v>
      </c>
    </row>
    <row r="228" spans="1:10" ht="19" x14ac:dyDescent="0.2">
      <c r="A228" s="144"/>
      <c r="B228" s="145"/>
      <c r="C228" s="149"/>
      <c r="D228" s="147"/>
      <c r="E228" s="150"/>
      <c r="F228" s="139"/>
      <c r="G228" s="139"/>
      <c r="H228" s="139"/>
      <c r="I228" s="165">
        <v>150000</v>
      </c>
      <c r="J228" s="165" t="s">
        <v>1710</v>
      </c>
    </row>
    <row r="229" spans="1:10" ht="19" x14ac:dyDescent="0.2">
      <c r="A229" s="143"/>
      <c r="B229" s="153"/>
      <c r="C229" s="171"/>
      <c r="D229" s="155"/>
      <c r="E229" s="164"/>
      <c r="F229" s="119"/>
      <c r="G229" s="119"/>
      <c r="H229" s="119"/>
      <c r="I229" s="168">
        <v>45000</v>
      </c>
      <c r="J229" s="168" t="s">
        <v>1467</v>
      </c>
    </row>
    <row r="230" spans="1:10" ht="19" x14ac:dyDescent="0.2">
      <c r="A230" s="144"/>
      <c r="B230" s="145"/>
      <c r="C230" s="149"/>
      <c r="D230" s="147"/>
      <c r="E230" s="150"/>
      <c r="F230" s="139"/>
      <c r="G230" s="139"/>
      <c r="H230" s="139"/>
      <c r="I230" s="165">
        <v>360000</v>
      </c>
      <c r="J230" s="165" t="s">
        <v>1648</v>
      </c>
    </row>
    <row r="231" spans="1:10" ht="19" x14ac:dyDescent="0.2">
      <c r="A231" s="143"/>
      <c r="B231" s="153"/>
      <c r="C231" s="171"/>
      <c r="D231" s="155"/>
      <c r="E231" s="164"/>
      <c r="F231" s="119"/>
      <c r="G231" s="119"/>
      <c r="H231" s="119"/>
      <c r="I231" s="168">
        <v>57000</v>
      </c>
      <c r="J231" s="168" t="s">
        <v>2869</v>
      </c>
    </row>
    <row r="232" spans="1:10" ht="19" x14ac:dyDescent="0.2">
      <c r="A232" s="144"/>
      <c r="B232" s="145"/>
      <c r="C232" s="149"/>
      <c r="D232" s="147"/>
      <c r="E232" s="150"/>
      <c r="F232" s="139"/>
      <c r="G232" s="139"/>
      <c r="H232" s="139"/>
      <c r="I232" s="165">
        <v>35000</v>
      </c>
      <c r="J232" s="165" t="s">
        <v>2870</v>
      </c>
    </row>
    <row r="233" spans="1:10" ht="19" x14ac:dyDescent="0.2">
      <c r="A233" s="143"/>
      <c r="B233" s="153"/>
      <c r="C233" s="171"/>
      <c r="D233" s="155"/>
      <c r="E233" s="164"/>
      <c r="F233" s="119"/>
      <c r="G233" s="119"/>
      <c r="H233" s="119"/>
      <c r="I233" s="168">
        <v>11000</v>
      </c>
      <c r="J233" s="168" t="s">
        <v>2894</v>
      </c>
    </row>
    <row r="234" spans="1:10" ht="19" x14ac:dyDescent="0.2">
      <c r="A234" s="144"/>
      <c r="B234" s="145"/>
      <c r="C234" s="149"/>
      <c r="D234" s="147"/>
      <c r="E234" s="150"/>
      <c r="F234" s="139"/>
      <c r="G234" s="139"/>
      <c r="H234" s="139"/>
      <c r="I234" s="165">
        <v>15000</v>
      </c>
      <c r="J234" s="165" t="s">
        <v>2208</v>
      </c>
    </row>
    <row r="235" spans="1:10" ht="19" x14ac:dyDescent="0.2">
      <c r="A235" s="143"/>
      <c r="B235" s="153"/>
      <c r="C235" s="171"/>
      <c r="D235" s="155"/>
      <c r="E235" s="164"/>
      <c r="F235" s="119"/>
      <c r="G235" s="119"/>
      <c r="H235" s="119"/>
      <c r="I235" s="168">
        <v>58000</v>
      </c>
      <c r="J235" s="168" t="s">
        <v>1449</v>
      </c>
    </row>
    <row r="236" spans="1:10" ht="19" x14ac:dyDescent="0.2">
      <c r="A236" s="144"/>
      <c r="B236" s="145"/>
      <c r="C236" s="149"/>
      <c r="D236" s="147"/>
      <c r="E236" s="150"/>
      <c r="F236" s="139"/>
      <c r="G236" s="139"/>
      <c r="H236" s="139"/>
      <c r="I236" s="165">
        <v>118000</v>
      </c>
      <c r="J236" s="165" t="s">
        <v>2871</v>
      </c>
    </row>
    <row r="237" spans="1:10" ht="19" x14ac:dyDescent="0.2">
      <c r="A237" s="143"/>
      <c r="B237" s="153"/>
      <c r="C237" s="171"/>
      <c r="D237" s="155"/>
      <c r="E237" s="164"/>
      <c r="F237" s="119"/>
      <c r="G237" s="119"/>
      <c r="H237" s="119"/>
      <c r="I237" s="168">
        <v>200000</v>
      </c>
      <c r="J237" s="168" t="s">
        <v>2895</v>
      </c>
    </row>
    <row r="238" spans="1:10" ht="19" x14ac:dyDescent="0.2">
      <c r="A238" s="144">
        <v>3160000</v>
      </c>
      <c r="B238" s="145">
        <v>45412</v>
      </c>
      <c r="C238" s="149" t="s">
        <v>9</v>
      </c>
      <c r="D238" s="147" t="s">
        <v>685</v>
      </c>
      <c r="E238" s="150">
        <v>1843000</v>
      </c>
      <c r="F238" s="139">
        <v>1317000</v>
      </c>
      <c r="G238" s="139">
        <v>2600000</v>
      </c>
      <c r="H238" s="139" t="s">
        <v>1431</v>
      </c>
      <c r="I238" s="165">
        <v>15000</v>
      </c>
      <c r="J238" s="165" t="s">
        <v>2872</v>
      </c>
    </row>
    <row r="239" spans="1:10" ht="19" x14ac:dyDescent="0.2">
      <c r="A239" s="143"/>
      <c r="B239" s="153"/>
      <c r="C239" s="171"/>
      <c r="D239" s="155"/>
      <c r="E239" s="164"/>
      <c r="F239" s="119"/>
      <c r="G239" s="119">
        <v>2360000</v>
      </c>
      <c r="H239" s="119" t="s">
        <v>2873</v>
      </c>
      <c r="I239" s="168">
        <v>15000</v>
      </c>
      <c r="J239" s="168" t="s">
        <v>2874</v>
      </c>
    </row>
    <row r="240" spans="1:10" ht="19" x14ac:dyDescent="0.2">
      <c r="A240" s="144">
        <v>1257000</v>
      </c>
      <c r="B240" s="145"/>
      <c r="C240" s="149" t="s">
        <v>10</v>
      </c>
      <c r="D240" s="147" t="s">
        <v>2820</v>
      </c>
      <c r="E240" s="150">
        <v>1199000</v>
      </c>
      <c r="F240" s="139">
        <v>58000</v>
      </c>
      <c r="G240" s="139">
        <v>872000</v>
      </c>
      <c r="H240" s="139" t="s">
        <v>2875</v>
      </c>
      <c r="I240" s="165">
        <v>25000</v>
      </c>
      <c r="J240" s="165" t="s">
        <v>2876</v>
      </c>
    </row>
    <row r="241" spans="1:10" ht="19" x14ac:dyDescent="0.2">
      <c r="A241" s="143"/>
      <c r="B241" s="153"/>
      <c r="C241" s="171"/>
      <c r="D241" s="155"/>
      <c r="E241" s="164"/>
      <c r="F241" s="119"/>
      <c r="G241" s="119">
        <v>1000000</v>
      </c>
      <c r="H241" s="119" t="s">
        <v>2877</v>
      </c>
      <c r="I241" s="168">
        <v>195000</v>
      </c>
      <c r="J241" s="168" t="s">
        <v>2255</v>
      </c>
    </row>
    <row r="242" spans="1:10" ht="48" x14ac:dyDescent="0.2">
      <c r="A242" s="144"/>
      <c r="B242" s="145"/>
      <c r="C242" s="149"/>
      <c r="D242" s="147"/>
      <c r="E242" s="150"/>
      <c r="F242" s="139"/>
      <c r="G242" s="139">
        <v>4150000</v>
      </c>
      <c r="H242" s="161" t="s">
        <v>2878</v>
      </c>
      <c r="I242" s="165">
        <v>490000</v>
      </c>
      <c r="J242" s="165" t="s">
        <v>1462</v>
      </c>
    </row>
    <row r="243" spans="1:10" ht="19" x14ac:dyDescent="0.2">
      <c r="A243" s="143"/>
      <c r="B243" s="153"/>
      <c r="C243" s="171"/>
      <c r="D243" s="155"/>
      <c r="E243" s="164"/>
      <c r="F243" s="119"/>
      <c r="G243" s="119">
        <v>1200000</v>
      </c>
      <c r="H243" s="119" t="s">
        <v>785</v>
      </c>
      <c r="I243" s="168">
        <v>120000</v>
      </c>
      <c r="J243" s="168" t="s">
        <v>1668</v>
      </c>
    </row>
    <row r="244" spans="1:10" ht="19" x14ac:dyDescent="0.2">
      <c r="A244" s="144"/>
      <c r="B244" s="145"/>
      <c r="C244" s="149"/>
      <c r="D244" s="147"/>
      <c r="E244" s="150"/>
      <c r="F244" s="139"/>
      <c r="G244" s="139"/>
      <c r="H244" s="139"/>
      <c r="I244" s="165">
        <v>75000</v>
      </c>
      <c r="J244" s="165" t="s">
        <v>2879</v>
      </c>
    </row>
    <row r="245" spans="1:10" ht="19" x14ac:dyDescent="0.2">
      <c r="A245" s="143"/>
      <c r="B245" s="153"/>
      <c r="C245" s="171"/>
      <c r="D245" s="155"/>
      <c r="E245" s="164"/>
      <c r="F245" s="119"/>
      <c r="G245" s="119"/>
      <c r="H245" s="119"/>
      <c r="I245" s="168">
        <v>65000</v>
      </c>
      <c r="J245" s="168" t="s">
        <v>2880</v>
      </c>
    </row>
    <row r="246" spans="1:10" ht="19" x14ac:dyDescent="0.2">
      <c r="A246" s="144"/>
      <c r="B246" s="145"/>
      <c r="C246" s="149"/>
      <c r="D246" s="147"/>
      <c r="E246" s="150"/>
      <c r="F246" s="139"/>
      <c r="G246" s="139"/>
      <c r="H246" s="139"/>
      <c r="I246" s="165"/>
      <c r="J246" s="165"/>
    </row>
    <row r="247" spans="1:10" ht="19" x14ac:dyDescent="0.2">
      <c r="A247" s="143"/>
      <c r="B247" s="153"/>
      <c r="C247" s="171"/>
      <c r="D247" s="155"/>
      <c r="E247" s="164"/>
      <c r="F247" s="119"/>
      <c r="G247" s="119"/>
      <c r="H247" s="119"/>
      <c r="I247" s="168"/>
      <c r="J247" s="168"/>
    </row>
    <row r="248" spans="1:10" ht="19" x14ac:dyDescent="0.2">
      <c r="A248" s="144"/>
      <c r="B248" s="145"/>
      <c r="C248" s="149"/>
      <c r="D248" s="147"/>
      <c r="E248" s="150"/>
      <c r="F248" s="139"/>
      <c r="G248" s="139"/>
      <c r="H248" s="139"/>
      <c r="I248" s="165"/>
      <c r="J248" s="16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K248"/>
  <sheetViews>
    <sheetView workbookViewId="0">
      <selection activeCell="K27" sqref="K27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24" customWidth="1"/>
    <col min="5" max="5" width="20.33203125" bestFit="1" customWidth="1"/>
    <col min="6" max="6" width="26.5" customWidth="1"/>
    <col min="7" max="7" width="20.33203125" bestFit="1" customWidth="1"/>
    <col min="8" max="8" width="21.5" customWidth="1"/>
    <col min="9" max="9" width="26.33203125" customWidth="1"/>
    <col min="10" max="10" width="27.83203125" customWidth="1"/>
    <col min="11" max="11" width="29.33203125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20538000</v>
      </c>
      <c r="K4" s="72">
        <f>J4/10820</f>
        <v>1898.1515711645102</v>
      </c>
    </row>
    <row r="5" spans="1:11" ht="24" x14ac:dyDescent="0.3">
      <c r="B5" s="99" t="s">
        <v>3018</v>
      </c>
      <c r="H5" s="73"/>
      <c r="I5" s="71" t="s">
        <v>2315</v>
      </c>
      <c r="J5" s="71">
        <v>20538000</v>
      </c>
      <c r="K5" s="72">
        <f>J5/10820</f>
        <v>1898.1515711645102</v>
      </c>
    </row>
    <row r="6" spans="1:11" ht="24" x14ac:dyDescent="0.3">
      <c r="B6" s="99"/>
      <c r="H6" s="73"/>
      <c r="I6" s="71" t="s">
        <v>178</v>
      </c>
      <c r="J6" s="71">
        <v>16541336</v>
      </c>
      <c r="K6" s="72" t="s">
        <v>3020</v>
      </c>
    </row>
    <row r="7" spans="1:11" ht="26" x14ac:dyDescent="0.3">
      <c r="B7" s="100" t="s">
        <v>3019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SUM(A11:A383)</f>
        <v>137926000</v>
      </c>
      <c r="B10" s="65"/>
      <c r="C10" s="66" t="s">
        <v>13</v>
      </c>
      <c r="D10" s="67"/>
      <c r="E10" s="68">
        <f>SUM(E11:E383)</f>
        <v>92667000</v>
      </c>
      <c r="F10" s="69">
        <f>SUM(F11:F383)</f>
        <v>30271000</v>
      </c>
      <c r="G10" s="69">
        <f>SUM(G11:G370)</f>
        <v>14988000</v>
      </c>
      <c r="H10" s="69">
        <f>SUM(H11:H383)</f>
        <v>42143000</v>
      </c>
      <c r="I10" s="69"/>
      <c r="J10" s="69">
        <f>SUM(J11:J383)</f>
        <v>24375000</v>
      </c>
      <c r="K10" s="69"/>
    </row>
    <row r="11" spans="1:11" ht="19" x14ac:dyDescent="0.2">
      <c r="A11" s="283">
        <v>2925000</v>
      </c>
      <c r="B11" s="145">
        <v>45413</v>
      </c>
      <c r="C11" s="146" t="s">
        <v>9</v>
      </c>
      <c r="D11" s="147" t="s">
        <v>685</v>
      </c>
      <c r="E11" s="139">
        <v>2050000</v>
      </c>
      <c r="F11" s="139">
        <v>875000</v>
      </c>
      <c r="G11" s="139"/>
      <c r="H11" s="139">
        <v>457000</v>
      </c>
      <c r="I11" s="139" t="s">
        <v>3017</v>
      </c>
      <c r="J11" s="139">
        <v>122000</v>
      </c>
      <c r="K11" s="139" t="s">
        <v>2902</v>
      </c>
    </row>
    <row r="12" spans="1:11" ht="19" x14ac:dyDescent="0.2">
      <c r="A12" s="142"/>
      <c r="B12" s="32"/>
      <c r="C12" s="49"/>
      <c r="D12" s="13"/>
      <c r="E12" s="15"/>
      <c r="F12" s="9"/>
      <c r="G12" s="9"/>
      <c r="H12" s="9">
        <v>265000</v>
      </c>
      <c r="I12" s="9" t="s">
        <v>1800</v>
      </c>
      <c r="J12" s="119">
        <v>24000</v>
      </c>
      <c r="K12" s="9" t="s">
        <v>2903</v>
      </c>
    </row>
    <row r="13" spans="1:11" ht="19" x14ac:dyDescent="0.2">
      <c r="A13" s="148"/>
      <c r="B13" s="145"/>
      <c r="C13" s="149"/>
      <c r="D13" s="147"/>
      <c r="E13" s="150"/>
      <c r="F13" s="139"/>
      <c r="G13" s="139"/>
      <c r="H13" s="139"/>
      <c r="I13" s="139"/>
      <c r="J13" s="139">
        <v>45000</v>
      </c>
      <c r="K13" s="139" t="s">
        <v>1493</v>
      </c>
    </row>
    <row r="14" spans="1:11" ht="19" x14ac:dyDescent="0.2">
      <c r="A14" s="142"/>
      <c r="B14" s="32"/>
      <c r="C14" s="49"/>
      <c r="D14" s="13"/>
      <c r="E14" s="15"/>
      <c r="F14" s="9"/>
      <c r="G14" s="9"/>
      <c r="H14" s="9"/>
      <c r="I14" s="9"/>
      <c r="J14" s="119">
        <v>15000</v>
      </c>
      <c r="K14" s="9" t="s">
        <v>2904</v>
      </c>
    </row>
    <row r="15" spans="1:11" ht="19" x14ac:dyDescent="0.2">
      <c r="A15" s="148"/>
      <c r="B15" s="145"/>
      <c r="C15" s="149"/>
      <c r="D15" s="147"/>
      <c r="E15" s="150"/>
      <c r="F15" s="139"/>
      <c r="G15" s="139"/>
      <c r="H15" s="139"/>
      <c r="I15" s="139"/>
      <c r="J15" s="139">
        <v>32000</v>
      </c>
      <c r="K15" s="139" t="s">
        <v>1758</v>
      </c>
    </row>
    <row r="16" spans="1:11" ht="19" x14ac:dyDescent="0.2">
      <c r="A16" s="143">
        <v>1777000</v>
      </c>
      <c r="B16" s="153"/>
      <c r="C16" s="163" t="s">
        <v>10</v>
      </c>
      <c r="D16" s="155" t="s">
        <v>2820</v>
      </c>
      <c r="E16" s="164">
        <v>1343000</v>
      </c>
      <c r="F16" s="119">
        <v>434000</v>
      </c>
      <c r="G16" s="119"/>
      <c r="H16" s="175"/>
      <c r="I16" s="175"/>
      <c r="J16" s="119"/>
      <c r="K16" s="119"/>
    </row>
    <row r="17" spans="1:11" ht="19" x14ac:dyDescent="0.2">
      <c r="A17" s="144"/>
      <c r="B17" s="145"/>
      <c r="C17" s="151"/>
      <c r="D17" s="147"/>
      <c r="E17" s="150"/>
      <c r="F17" s="139"/>
      <c r="G17" s="139"/>
      <c r="H17" s="152"/>
      <c r="I17" s="152"/>
      <c r="J17" s="139"/>
      <c r="K17" s="139"/>
    </row>
    <row r="18" spans="1:11" ht="19" x14ac:dyDescent="0.2">
      <c r="A18" s="143">
        <v>3298000</v>
      </c>
      <c r="B18" s="153">
        <v>45414</v>
      </c>
      <c r="C18" s="163" t="s">
        <v>9</v>
      </c>
      <c r="D18" s="155" t="s">
        <v>685</v>
      </c>
      <c r="E18" s="164">
        <v>2196000</v>
      </c>
      <c r="F18" s="119">
        <v>1102000</v>
      </c>
      <c r="G18" s="119"/>
      <c r="H18" s="119">
        <v>2600000</v>
      </c>
      <c r="I18" s="119" t="s">
        <v>812</v>
      </c>
      <c r="J18" s="119">
        <v>99000</v>
      </c>
      <c r="K18" s="119" t="s">
        <v>2905</v>
      </c>
    </row>
    <row r="19" spans="1:11" ht="19" x14ac:dyDescent="0.2">
      <c r="A19" s="144"/>
      <c r="B19" s="145"/>
      <c r="C19" s="151"/>
      <c r="D19" s="147"/>
      <c r="E19" s="150"/>
      <c r="F19" s="139"/>
      <c r="G19" s="139"/>
      <c r="H19" s="152"/>
      <c r="I19" s="152"/>
      <c r="J19" s="139">
        <v>34000</v>
      </c>
      <c r="K19" s="139" t="s">
        <v>1857</v>
      </c>
    </row>
    <row r="20" spans="1:11" ht="19" x14ac:dyDescent="0.2">
      <c r="A20" s="143"/>
      <c r="B20" s="153"/>
      <c r="C20" s="163"/>
      <c r="D20" s="155"/>
      <c r="E20" s="164"/>
      <c r="F20" s="119"/>
      <c r="G20" s="119"/>
      <c r="H20" s="175"/>
      <c r="I20" s="175"/>
      <c r="J20" s="119">
        <v>6000</v>
      </c>
      <c r="K20" s="119" t="s">
        <v>1734</v>
      </c>
    </row>
    <row r="21" spans="1:11" ht="19" x14ac:dyDescent="0.2">
      <c r="A21" s="144"/>
      <c r="B21" s="145"/>
      <c r="C21" s="151"/>
      <c r="D21" s="147"/>
      <c r="E21" s="150"/>
      <c r="F21" s="139"/>
      <c r="G21" s="139"/>
      <c r="H21" s="152"/>
      <c r="I21" s="152"/>
      <c r="J21" s="139">
        <v>225000</v>
      </c>
      <c r="K21" s="139" t="s">
        <v>2203</v>
      </c>
    </row>
    <row r="22" spans="1:11" ht="19" x14ac:dyDescent="0.2">
      <c r="A22" s="143"/>
      <c r="B22" s="153"/>
      <c r="C22" s="163"/>
      <c r="D22" s="155"/>
      <c r="E22" s="164"/>
      <c r="F22" s="119"/>
      <c r="G22" s="119"/>
      <c r="H22" s="175"/>
      <c r="I22" s="175"/>
      <c r="J22" s="119">
        <v>1105000</v>
      </c>
      <c r="K22" s="119" t="s">
        <v>2162</v>
      </c>
    </row>
    <row r="23" spans="1:11" ht="19" x14ac:dyDescent="0.2">
      <c r="A23" s="144">
        <v>2398000</v>
      </c>
      <c r="B23" s="145"/>
      <c r="C23" s="151" t="s">
        <v>10</v>
      </c>
      <c r="D23" s="147" t="s">
        <v>2767</v>
      </c>
      <c r="E23" s="150">
        <v>1987000</v>
      </c>
      <c r="F23" s="139">
        <v>411000</v>
      </c>
      <c r="G23" s="139"/>
      <c r="H23" s="139"/>
      <c r="I23" s="139"/>
      <c r="J23" s="139"/>
      <c r="K23" s="139"/>
    </row>
    <row r="24" spans="1:11" ht="19" x14ac:dyDescent="0.2">
      <c r="A24" s="143"/>
      <c r="B24" s="153"/>
      <c r="C24" s="163"/>
      <c r="D24" s="155"/>
      <c r="E24" s="164"/>
      <c r="F24" s="119"/>
      <c r="G24" s="119"/>
      <c r="H24" s="119"/>
      <c r="I24" s="119"/>
      <c r="J24" s="119"/>
      <c r="K24" s="119"/>
    </row>
    <row r="25" spans="1:11" ht="19" x14ac:dyDescent="0.2">
      <c r="A25" s="144">
        <v>3601000</v>
      </c>
      <c r="B25" s="145">
        <v>45415</v>
      </c>
      <c r="C25" s="151" t="s">
        <v>9</v>
      </c>
      <c r="D25" s="147" t="s">
        <v>685</v>
      </c>
      <c r="E25" s="150">
        <v>2307000</v>
      </c>
      <c r="F25" s="139">
        <v>1244000</v>
      </c>
      <c r="G25" s="139">
        <v>50000</v>
      </c>
      <c r="H25" s="139"/>
      <c r="I25" s="139"/>
      <c r="J25" s="139">
        <v>43000</v>
      </c>
      <c r="K25" s="139" t="s">
        <v>1493</v>
      </c>
    </row>
    <row r="26" spans="1:11" ht="19" x14ac:dyDescent="0.2">
      <c r="A26" s="143"/>
      <c r="B26" s="153"/>
      <c r="C26" s="163"/>
      <c r="D26" s="155"/>
      <c r="E26" s="164"/>
      <c r="F26" s="119"/>
      <c r="G26" s="119"/>
      <c r="H26" s="119"/>
      <c r="I26" s="119"/>
      <c r="J26" s="119">
        <v>165000</v>
      </c>
      <c r="K26" s="119" t="s">
        <v>2732</v>
      </c>
    </row>
    <row r="27" spans="1:11" ht="19" x14ac:dyDescent="0.2">
      <c r="A27" s="144">
        <v>1703000</v>
      </c>
      <c r="B27" s="145"/>
      <c r="C27" s="151" t="s">
        <v>10</v>
      </c>
      <c r="D27" s="147" t="s">
        <v>2820</v>
      </c>
      <c r="E27" s="150">
        <v>963000</v>
      </c>
      <c r="F27" s="139">
        <v>576000</v>
      </c>
      <c r="G27" s="139">
        <v>164000</v>
      </c>
      <c r="H27" s="139"/>
      <c r="I27" s="139"/>
      <c r="J27" s="139">
        <v>92000</v>
      </c>
      <c r="K27" s="139" t="s">
        <v>2906</v>
      </c>
    </row>
    <row r="28" spans="1:11" ht="19" x14ac:dyDescent="0.2">
      <c r="A28" s="143"/>
      <c r="B28" s="153"/>
      <c r="C28" s="163"/>
      <c r="D28" s="155"/>
      <c r="E28" s="164"/>
      <c r="F28" s="119"/>
      <c r="G28" s="119"/>
      <c r="H28" s="119"/>
      <c r="I28" s="119"/>
      <c r="J28" s="119">
        <v>116000</v>
      </c>
      <c r="K28" s="119" t="s">
        <v>1303</v>
      </c>
    </row>
    <row r="29" spans="1:11" ht="19" x14ac:dyDescent="0.2">
      <c r="A29" s="144"/>
      <c r="B29" s="145"/>
      <c r="C29" s="149"/>
      <c r="D29" s="147"/>
      <c r="E29" s="150"/>
      <c r="F29" s="139"/>
      <c r="G29" s="139"/>
      <c r="H29" s="139"/>
      <c r="I29" s="139"/>
      <c r="J29" s="139">
        <v>41000</v>
      </c>
      <c r="K29" s="139" t="s">
        <v>2907</v>
      </c>
    </row>
    <row r="30" spans="1:11" ht="19" x14ac:dyDescent="0.2">
      <c r="A30" s="143"/>
      <c r="B30" s="32"/>
      <c r="C30" s="49"/>
      <c r="D30" s="13"/>
      <c r="E30" s="15"/>
      <c r="F30" s="9"/>
      <c r="G30" s="9"/>
      <c r="H30" s="9"/>
      <c r="I30" s="9"/>
      <c r="J30" s="9">
        <v>95000</v>
      </c>
      <c r="K30" s="9" t="s">
        <v>2908</v>
      </c>
    </row>
    <row r="31" spans="1:11" ht="19" x14ac:dyDescent="0.2">
      <c r="A31" s="144"/>
      <c r="B31" s="145"/>
      <c r="C31" s="149"/>
      <c r="D31" s="147"/>
      <c r="E31" s="150"/>
      <c r="F31" s="139"/>
      <c r="G31" s="139"/>
      <c r="H31" s="139"/>
      <c r="I31" s="139"/>
      <c r="J31" s="139">
        <v>312000</v>
      </c>
      <c r="K31" s="139" t="s">
        <v>1696</v>
      </c>
    </row>
    <row r="32" spans="1:11" ht="19" x14ac:dyDescent="0.2">
      <c r="A32" s="142"/>
      <c r="B32" s="32"/>
      <c r="C32" s="49"/>
      <c r="D32" s="13"/>
      <c r="E32" s="15"/>
      <c r="F32" s="9"/>
      <c r="G32" s="9"/>
      <c r="H32" s="9"/>
      <c r="I32" s="9"/>
      <c r="J32" s="9"/>
      <c r="K32" s="9"/>
    </row>
    <row r="33" spans="1:11" ht="19" x14ac:dyDescent="0.2">
      <c r="A33" s="148">
        <v>2442000</v>
      </c>
      <c r="B33" s="145">
        <v>45416</v>
      </c>
      <c r="C33" s="149" t="s">
        <v>9</v>
      </c>
      <c r="D33" s="147" t="s">
        <v>685</v>
      </c>
      <c r="E33" s="150">
        <v>1728000</v>
      </c>
      <c r="F33" s="139">
        <v>564000</v>
      </c>
      <c r="G33" s="139">
        <v>150000</v>
      </c>
      <c r="H33" s="139"/>
      <c r="I33" s="139"/>
      <c r="J33" s="139">
        <v>19000</v>
      </c>
      <c r="K33" s="139" t="s">
        <v>2909</v>
      </c>
    </row>
    <row r="34" spans="1:11" ht="19" x14ac:dyDescent="0.2">
      <c r="A34" s="142"/>
      <c r="B34" s="153"/>
      <c r="C34" s="171"/>
      <c r="D34" s="155"/>
      <c r="E34" s="164"/>
      <c r="F34" s="119"/>
      <c r="G34" s="119"/>
      <c r="H34" s="119"/>
      <c r="I34" s="119"/>
      <c r="J34" s="119">
        <v>77000</v>
      </c>
      <c r="K34" s="119" t="s">
        <v>2910</v>
      </c>
    </row>
    <row r="35" spans="1:11" ht="19" x14ac:dyDescent="0.2">
      <c r="A35" s="148">
        <v>1916000</v>
      </c>
      <c r="B35" s="145"/>
      <c r="C35" s="149" t="s">
        <v>10</v>
      </c>
      <c r="D35" s="147" t="s">
        <v>2820</v>
      </c>
      <c r="E35" s="150">
        <v>1237000</v>
      </c>
      <c r="F35" s="139">
        <v>435000</v>
      </c>
      <c r="G35" s="139">
        <v>244000</v>
      </c>
      <c r="H35" s="139"/>
      <c r="I35" s="139"/>
      <c r="J35" s="139">
        <v>50000</v>
      </c>
      <c r="K35" s="139" t="s">
        <v>123</v>
      </c>
    </row>
    <row r="36" spans="1:11" ht="19" x14ac:dyDescent="0.2">
      <c r="A36" s="143"/>
      <c r="B36" s="32"/>
      <c r="C36" s="49"/>
      <c r="D36" s="13"/>
      <c r="E36" s="15"/>
      <c r="F36" s="9"/>
      <c r="G36" s="9"/>
      <c r="H36" s="9"/>
      <c r="I36" s="9"/>
      <c r="J36" s="9"/>
      <c r="K36" s="106"/>
    </row>
    <row r="37" spans="1:11" ht="19" x14ac:dyDescent="0.2">
      <c r="A37" s="144"/>
      <c r="B37" s="145">
        <v>45417</v>
      </c>
      <c r="C37" s="149" t="s">
        <v>9</v>
      </c>
      <c r="D37" s="147"/>
      <c r="E37" s="150"/>
      <c r="F37" s="139"/>
      <c r="G37" s="139"/>
      <c r="H37" s="139"/>
      <c r="I37" s="139" t="s">
        <v>737</v>
      </c>
      <c r="J37" s="139"/>
      <c r="K37" s="152"/>
    </row>
    <row r="38" spans="1:11" ht="19" x14ac:dyDescent="0.2">
      <c r="A38" s="143">
        <v>1248000</v>
      </c>
      <c r="B38" s="32"/>
      <c r="C38" s="49" t="s">
        <v>10</v>
      </c>
      <c r="D38" s="13" t="s">
        <v>2820</v>
      </c>
      <c r="E38" s="15">
        <v>892000</v>
      </c>
      <c r="F38" s="174">
        <v>278000</v>
      </c>
      <c r="G38" s="174">
        <v>78000</v>
      </c>
      <c r="H38" s="9"/>
      <c r="I38" s="9"/>
      <c r="J38" s="9"/>
      <c r="K38" s="60"/>
    </row>
    <row r="39" spans="1:11" ht="19" x14ac:dyDescent="0.2">
      <c r="A39" s="144"/>
      <c r="B39" s="145"/>
      <c r="C39" s="149"/>
      <c r="D39" s="147"/>
      <c r="E39" s="150"/>
      <c r="F39" s="139"/>
      <c r="G39" s="139"/>
      <c r="H39" s="139"/>
      <c r="I39" s="139"/>
      <c r="J39" s="139">
        <v>750000</v>
      </c>
      <c r="K39" s="139" t="s">
        <v>2911</v>
      </c>
    </row>
    <row r="40" spans="1:11" ht="19" x14ac:dyDescent="0.2">
      <c r="A40" s="143">
        <v>2994000</v>
      </c>
      <c r="B40" s="32">
        <v>45418</v>
      </c>
      <c r="C40" s="49" t="s">
        <v>9</v>
      </c>
      <c r="D40" s="13" t="s">
        <v>685</v>
      </c>
      <c r="E40" s="15">
        <v>2094000</v>
      </c>
      <c r="F40" s="9">
        <v>820000</v>
      </c>
      <c r="G40" s="9">
        <v>80000</v>
      </c>
      <c r="H40" s="9">
        <v>1297000</v>
      </c>
      <c r="I40" s="9" t="s">
        <v>2912</v>
      </c>
      <c r="J40" s="9">
        <v>17000</v>
      </c>
      <c r="K40" s="9" t="s">
        <v>2913</v>
      </c>
    </row>
    <row r="41" spans="1:11" ht="19" x14ac:dyDescent="0.2">
      <c r="A41" s="144"/>
      <c r="B41" s="145"/>
      <c r="C41" s="149"/>
      <c r="D41" s="147"/>
      <c r="E41" s="150"/>
      <c r="F41" s="139"/>
      <c r="G41" s="139"/>
      <c r="H41" s="139">
        <v>2600000</v>
      </c>
      <c r="I41" s="139" t="s">
        <v>812</v>
      </c>
      <c r="J41" s="139">
        <v>45000</v>
      </c>
      <c r="K41" s="139" t="s">
        <v>2914</v>
      </c>
    </row>
    <row r="42" spans="1:11" ht="19" x14ac:dyDescent="0.2">
      <c r="A42" s="143"/>
      <c r="B42" s="153"/>
      <c r="C42" s="171"/>
      <c r="D42" s="155"/>
      <c r="E42" s="164"/>
      <c r="F42" s="119"/>
      <c r="G42" s="119"/>
      <c r="H42" s="119"/>
      <c r="I42" s="119"/>
      <c r="J42" s="119">
        <v>21000</v>
      </c>
      <c r="K42" s="119" t="s">
        <v>2670</v>
      </c>
    </row>
    <row r="43" spans="1:11" ht="19" x14ac:dyDescent="0.2">
      <c r="A43" s="144"/>
      <c r="B43" s="145"/>
      <c r="C43" s="149"/>
      <c r="D43" s="147"/>
      <c r="E43" s="150"/>
      <c r="F43" s="139"/>
      <c r="G43" s="139"/>
      <c r="H43" s="139"/>
      <c r="I43" s="284"/>
      <c r="J43" s="139">
        <v>45000</v>
      </c>
      <c r="K43" s="139" t="s">
        <v>1493</v>
      </c>
    </row>
    <row r="44" spans="1:11" ht="19" x14ac:dyDescent="0.2">
      <c r="A44" s="143"/>
      <c r="B44" s="32"/>
      <c r="C44" s="49"/>
      <c r="D44" s="13"/>
      <c r="E44" s="15"/>
      <c r="F44" s="9"/>
      <c r="G44" s="9"/>
      <c r="H44" s="9"/>
      <c r="I44" s="135"/>
      <c r="J44" s="9">
        <v>87000</v>
      </c>
      <c r="K44" s="9" t="s">
        <v>2915</v>
      </c>
    </row>
    <row r="45" spans="1:11" ht="19" x14ac:dyDescent="0.2">
      <c r="A45" s="144"/>
      <c r="B45" s="145"/>
      <c r="C45" s="149"/>
      <c r="D45" s="147"/>
      <c r="E45" s="150"/>
      <c r="F45" s="139"/>
      <c r="G45" s="139"/>
      <c r="H45" s="139"/>
      <c r="I45" s="139"/>
      <c r="J45" s="139">
        <v>225000</v>
      </c>
      <c r="K45" s="139" t="s">
        <v>2203</v>
      </c>
    </row>
    <row r="46" spans="1:11" ht="19" x14ac:dyDescent="0.2">
      <c r="A46" s="143"/>
      <c r="B46" s="32"/>
      <c r="C46" s="49"/>
      <c r="D46" s="13"/>
      <c r="E46" s="15"/>
      <c r="F46" s="9"/>
      <c r="G46" s="9"/>
      <c r="H46" s="9"/>
      <c r="I46" s="9"/>
      <c r="J46" s="9">
        <v>43000</v>
      </c>
      <c r="K46" s="9" t="s">
        <v>1493</v>
      </c>
    </row>
    <row r="47" spans="1:11" ht="19" x14ac:dyDescent="0.2">
      <c r="A47" s="144"/>
      <c r="B47" s="145"/>
      <c r="C47" s="149"/>
      <c r="D47" s="147"/>
      <c r="E47" s="150"/>
      <c r="F47" s="139"/>
      <c r="G47" s="139"/>
      <c r="H47" s="139"/>
      <c r="I47" s="139"/>
      <c r="J47" s="139">
        <v>150000</v>
      </c>
      <c r="K47" s="139" t="s">
        <v>2916</v>
      </c>
    </row>
    <row r="48" spans="1:11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>
        <v>150000</v>
      </c>
      <c r="K48" s="119" t="s">
        <v>2917</v>
      </c>
    </row>
    <row r="49" spans="1:11" ht="19" x14ac:dyDescent="0.2">
      <c r="A49" s="144"/>
      <c r="B49" s="145"/>
      <c r="C49" s="149"/>
      <c r="D49" s="147"/>
      <c r="E49" s="150"/>
      <c r="F49" s="139"/>
      <c r="G49" s="139"/>
      <c r="H49" s="139"/>
      <c r="I49" s="139"/>
      <c r="J49" s="139">
        <v>100000</v>
      </c>
      <c r="K49" s="139" t="s">
        <v>1597</v>
      </c>
    </row>
    <row r="50" spans="1:11" ht="19" x14ac:dyDescent="0.2">
      <c r="A50" s="143"/>
      <c r="B50" s="153"/>
      <c r="C50" s="171"/>
      <c r="D50" s="155"/>
      <c r="E50" s="164"/>
      <c r="F50" s="119"/>
      <c r="G50" s="119"/>
      <c r="H50" s="119"/>
      <c r="I50" s="119"/>
      <c r="J50" s="119">
        <v>60000</v>
      </c>
      <c r="K50" s="119" t="s">
        <v>2918</v>
      </c>
    </row>
    <row r="51" spans="1:11" ht="19" x14ac:dyDescent="0.2">
      <c r="A51" s="144"/>
      <c r="B51" s="145"/>
      <c r="C51" s="149"/>
      <c r="D51" s="147"/>
      <c r="E51" s="150"/>
      <c r="F51" s="139"/>
      <c r="G51" s="139"/>
      <c r="H51" s="139"/>
      <c r="I51" s="139"/>
      <c r="J51" s="139">
        <v>144000</v>
      </c>
      <c r="K51" s="139" t="s">
        <v>1245</v>
      </c>
    </row>
    <row r="52" spans="1:11" ht="19" x14ac:dyDescent="0.2">
      <c r="A52" s="143">
        <v>1410000</v>
      </c>
      <c r="B52" s="153"/>
      <c r="C52" s="171" t="s">
        <v>10</v>
      </c>
      <c r="D52" s="155" t="s">
        <v>2820</v>
      </c>
      <c r="E52" s="164">
        <v>775000</v>
      </c>
      <c r="F52" s="119">
        <v>495000</v>
      </c>
      <c r="G52" s="119">
        <v>140000</v>
      </c>
      <c r="H52" s="119"/>
      <c r="I52" s="119"/>
      <c r="J52" s="119">
        <v>240000</v>
      </c>
      <c r="K52" s="119" t="s">
        <v>1543</v>
      </c>
    </row>
    <row r="53" spans="1:11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>
        <v>200000</v>
      </c>
      <c r="K53" s="139" t="s">
        <v>2796</v>
      </c>
    </row>
    <row r="54" spans="1:11" ht="19" x14ac:dyDescent="0.2">
      <c r="A54" s="143"/>
      <c r="B54" s="153"/>
      <c r="C54" s="171"/>
      <c r="D54" s="155"/>
      <c r="E54" s="164"/>
      <c r="F54" s="119"/>
      <c r="G54" s="119"/>
      <c r="H54" s="119"/>
      <c r="I54" s="119"/>
      <c r="J54" s="119">
        <v>45000</v>
      </c>
      <c r="K54" s="119" t="s">
        <v>1467</v>
      </c>
    </row>
    <row r="55" spans="1:11" ht="19" x14ac:dyDescent="0.2">
      <c r="A55" s="144"/>
      <c r="B55" s="145"/>
      <c r="C55" s="149"/>
      <c r="D55" s="147"/>
      <c r="E55" s="150"/>
      <c r="F55" s="139"/>
      <c r="G55" s="139"/>
      <c r="H55" s="139"/>
      <c r="I55" s="139"/>
      <c r="J55" s="139">
        <v>75000</v>
      </c>
      <c r="K55" s="139" t="s">
        <v>2919</v>
      </c>
    </row>
    <row r="56" spans="1:11" ht="19" x14ac:dyDescent="0.2">
      <c r="A56" s="143"/>
      <c r="B56" s="153"/>
      <c r="C56" s="171"/>
      <c r="D56" s="155"/>
      <c r="E56" s="164"/>
      <c r="F56" s="119"/>
      <c r="G56" s="119"/>
      <c r="H56" s="119"/>
      <c r="I56" s="119"/>
      <c r="J56" s="119"/>
      <c r="K56" s="119"/>
    </row>
    <row r="57" spans="1:11" ht="19" x14ac:dyDescent="0.2">
      <c r="A57" s="144">
        <v>3376000</v>
      </c>
      <c r="B57" s="145">
        <v>45419</v>
      </c>
      <c r="C57" s="149" t="s">
        <v>9</v>
      </c>
      <c r="D57" s="147" t="s">
        <v>685</v>
      </c>
      <c r="E57" s="150">
        <v>2639000</v>
      </c>
      <c r="F57" s="139">
        <v>685000</v>
      </c>
      <c r="G57" s="139">
        <v>52000</v>
      </c>
      <c r="H57" s="139"/>
      <c r="I57" s="139"/>
      <c r="J57" s="139">
        <v>150000</v>
      </c>
      <c r="K57" s="139" t="s">
        <v>2039</v>
      </c>
    </row>
    <row r="58" spans="1:11" ht="19" x14ac:dyDescent="0.2">
      <c r="A58" s="143"/>
      <c r="B58" s="153"/>
      <c r="C58" s="171"/>
      <c r="D58" s="155"/>
      <c r="E58" s="164"/>
      <c r="F58" s="119"/>
      <c r="G58" s="119"/>
      <c r="H58" s="119"/>
      <c r="I58" s="119"/>
      <c r="J58" s="119"/>
      <c r="K58" s="119"/>
    </row>
    <row r="59" spans="1:11" ht="19" x14ac:dyDescent="0.2">
      <c r="A59" s="144">
        <v>2171000</v>
      </c>
      <c r="B59" s="145"/>
      <c r="C59" s="149" t="s">
        <v>1787</v>
      </c>
      <c r="D59" s="147" t="s">
        <v>2820</v>
      </c>
      <c r="E59" s="150">
        <v>1558000</v>
      </c>
      <c r="F59" s="139">
        <v>285000</v>
      </c>
      <c r="G59" s="139">
        <v>328000</v>
      </c>
      <c r="H59" s="139"/>
      <c r="I59" s="139"/>
      <c r="J59" s="139">
        <v>75000</v>
      </c>
      <c r="K59" s="139" t="s">
        <v>654</v>
      </c>
    </row>
    <row r="60" spans="1:11" ht="19" x14ac:dyDescent="0.2">
      <c r="A60" s="143"/>
      <c r="B60" s="153"/>
      <c r="C60" s="171"/>
      <c r="D60" s="155"/>
      <c r="E60" s="164"/>
      <c r="F60" s="119"/>
      <c r="G60" s="119"/>
      <c r="H60" s="119"/>
      <c r="I60" s="119"/>
      <c r="J60" s="119"/>
      <c r="K60" s="119"/>
    </row>
    <row r="61" spans="1:11" ht="19" x14ac:dyDescent="0.2">
      <c r="A61" s="144">
        <v>3395000</v>
      </c>
      <c r="B61" s="145">
        <v>45420</v>
      </c>
      <c r="C61" s="149" t="s">
        <v>9</v>
      </c>
      <c r="D61" s="147" t="s">
        <v>685</v>
      </c>
      <c r="E61" s="150">
        <v>2079000</v>
      </c>
      <c r="F61" s="139">
        <v>1134000</v>
      </c>
      <c r="G61" s="139">
        <v>182000</v>
      </c>
      <c r="H61" s="139"/>
      <c r="I61" s="139"/>
      <c r="J61" s="139">
        <v>55000</v>
      </c>
      <c r="K61" s="139" t="s">
        <v>2920</v>
      </c>
    </row>
    <row r="62" spans="1:11" ht="19" x14ac:dyDescent="0.2">
      <c r="A62" s="143"/>
      <c r="B62" s="153"/>
      <c r="C62" s="171"/>
      <c r="D62" s="155"/>
      <c r="E62" s="164"/>
      <c r="F62" s="119"/>
      <c r="G62" s="119"/>
      <c r="H62" s="173"/>
      <c r="I62" s="119"/>
      <c r="J62" s="119">
        <v>150000</v>
      </c>
      <c r="K62" s="119" t="s">
        <v>1518</v>
      </c>
    </row>
    <row r="63" spans="1:11" ht="19" x14ac:dyDescent="0.2">
      <c r="A63" s="144">
        <v>1565000</v>
      </c>
      <c r="B63" s="145"/>
      <c r="C63" s="149" t="s">
        <v>10</v>
      </c>
      <c r="D63" s="147" t="s">
        <v>2820</v>
      </c>
      <c r="E63" s="150">
        <v>819000</v>
      </c>
      <c r="F63" s="139">
        <v>746000</v>
      </c>
      <c r="G63" s="139">
        <v>0</v>
      </c>
      <c r="H63" s="157"/>
      <c r="I63" s="139"/>
      <c r="J63" s="139">
        <v>150000</v>
      </c>
      <c r="K63" s="139" t="s">
        <v>1618</v>
      </c>
    </row>
    <row r="64" spans="1:11" ht="19" x14ac:dyDescent="0.2">
      <c r="A64" s="143"/>
      <c r="B64" s="153"/>
      <c r="C64" s="171"/>
      <c r="D64" s="155"/>
      <c r="E64" s="164"/>
      <c r="F64" s="119"/>
      <c r="G64" s="119"/>
      <c r="H64" s="173"/>
      <c r="I64" s="119"/>
      <c r="J64" s="119"/>
      <c r="K64" s="119"/>
    </row>
    <row r="65" spans="1:11" ht="19" x14ac:dyDescent="0.2">
      <c r="A65" s="144">
        <v>2567000</v>
      </c>
      <c r="B65" s="145">
        <v>45421</v>
      </c>
      <c r="C65" s="149" t="s">
        <v>9</v>
      </c>
      <c r="D65" s="147" t="s">
        <v>685</v>
      </c>
      <c r="E65" s="150">
        <v>1439000</v>
      </c>
      <c r="F65" s="139">
        <v>892000</v>
      </c>
      <c r="G65" s="139">
        <v>236000</v>
      </c>
      <c r="H65" s="157"/>
      <c r="I65" s="139"/>
      <c r="J65" s="139">
        <v>66000</v>
      </c>
      <c r="K65" s="139" t="s">
        <v>1872</v>
      </c>
    </row>
    <row r="66" spans="1:11" ht="19" x14ac:dyDescent="0.2">
      <c r="A66" s="143"/>
      <c r="B66" s="153"/>
      <c r="C66" s="171"/>
      <c r="D66" s="155"/>
      <c r="E66" s="164"/>
      <c r="F66" s="119"/>
      <c r="G66" s="119"/>
      <c r="H66" s="119"/>
      <c r="I66" s="119"/>
      <c r="J66" s="119">
        <v>75000</v>
      </c>
      <c r="K66" s="119" t="s">
        <v>1789</v>
      </c>
    </row>
    <row r="67" spans="1:11" ht="19" x14ac:dyDescent="0.2">
      <c r="A67" s="144"/>
      <c r="B67" s="145"/>
      <c r="C67" s="149"/>
      <c r="D67" s="147"/>
      <c r="E67" s="150"/>
      <c r="F67" s="139"/>
      <c r="G67" s="139"/>
      <c r="H67" s="139"/>
      <c r="I67" s="139"/>
      <c r="J67" s="139">
        <v>132000</v>
      </c>
      <c r="K67" s="139" t="s">
        <v>2921</v>
      </c>
    </row>
    <row r="68" spans="1:11" ht="19" x14ac:dyDescent="0.2">
      <c r="A68" s="143"/>
      <c r="B68" s="153"/>
      <c r="C68" s="171"/>
      <c r="D68" s="155"/>
      <c r="E68" s="164"/>
      <c r="F68" s="119"/>
      <c r="G68" s="119"/>
      <c r="H68" s="119"/>
      <c r="I68" s="119"/>
      <c r="J68" s="119">
        <v>114000</v>
      </c>
      <c r="K68" s="119" t="s">
        <v>2922</v>
      </c>
    </row>
    <row r="69" spans="1:11" ht="19" x14ac:dyDescent="0.2">
      <c r="A69" s="144"/>
      <c r="B69" s="145"/>
      <c r="C69" s="149"/>
      <c r="D69" s="147"/>
      <c r="E69" s="150"/>
      <c r="F69" s="139"/>
      <c r="G69" s="139"/>
      <c r="H69" s="139"/>
      <c r="I69" s="139"/>
      <c r="J69" s="139">
        <v>26000</v>
      </c>
      <c r="K69" s="139" t="s">
        <v>2923</v>
      </c>
    </row>
    <row r="70" spans="1:11" ht="19" x14ac:dyDescent="0.2">
      <c r="A70" s="143"/>
      <c r="B70" s="153"/>
      <c r="C70" s="171"/>
      <c r="D70" s="155"/>
      <c r="E70" s="164"/>
      <c r="F70" s="119"/>
      <c r="G70" s="119"/>
      <c r="H70" s="119"/>
      <c r="I70" s="119"/>
      <c r="J70" s="119">
        <v>10000</v>
      </c>
      <c r="K70" s="119" t="s">
        <v>1582</v>
      </c>
    </row>
    <row r="71" spans="1:11" ht="19" x14ac:dyDescent="0.2">
      <c r="A71" s="144"/>
      <c r="B71" s="145"/>
      <c r="C71" s="149"/>
      <c r="D71" s="147"/>
      <c r="E71" s="150"/>
      <c r="F71" s="139"/>
      <c r="G71" s="139"/>
      <c r="H71" s="139"/>
      <c r="I71" s="139"/>
      <c r="J71" s="139">
        <v>30000</v>
      </c>
      <c r="K71" s="139" t="s">
        <v>1728</v>
      </c>
    </row>
    <row r="72" spans="1:11" ht="19" x14ac:dyDescent="0.2">
      <c r="A72" s="143"/>
      <c r="B72" s="153"/>
      <c r="C72" s="171"/>
      <c r="D72" s="155"/>
      <c r="E72" s="164"/>
      <c r="F72" s="119"/>
      <c r="G72" s="119"/>
      <c r="H72" s="119"/>
      <c r="I72" s="119"/>
      <c r="J72" s="119">
        <v>75000</v>
      </c>
      <c r="K72" s="119" t="s">
        <v>2924</v>
      </c>
    </row>
    <row r="73" spans="1:11" ht="19" x14ac:dyDescent="0.2">
      <c r="A73" s="285"/>
      <c r="B73" s="286"/>
      <c r="C73" s="149"/>
      <c r="D73" s="147"/>
      <c r="E73" s="287"/>
      <c r="F73" s="288"/>
      <c r="G73" s="288"/>
      <c r="H73" s="288"/>
      <c r="I73" s="288"/>
      <c r="J73" s="288">
        <v>75000</v>
      </c>
      <c r="K73" s="139" t="s">
        <v>2925</v>
      </c>
    </row>
    <row r="74" spans="1:11" ht="19" x14ac:dyDescent="0.2">
      <c r="A74" s="143"/>
      <c r="B74" s="153"/>
      <c r="C74" s="171"/>
      <c r="D74" s="155"/>
      <c r="E74" s="164"/>
      <c r="F74" s="119"/>
      <c r="G74" s="119"/>
      <c r="H74" s="119"/>
      <c r="I74" s="119"/>
      <c r="J74" s="119">
        <v>43000</v>
      </c>
      <c r="K74" s="119" t="s">
        <v>1493</v>
      </c>
    </row>
    <row r="75" spans="1:11" ht="19" x14ac:dyDescent="0.2">
      <c r="A75" s="144">
        <v>1850000</v>
      </c>
      <c r="B75" s="145"/>
      <c r="C75" s="149" t="s">
        <v>10</v>
      </c>
      <c r="D75" s="147" t="s">
        <v>2767</v>
      </c>
      <c r="E75" s="150">
        <v>1074000</v>
      </c>
      <c r="F75" s="139">
        <v>476000</v>
      </c>
      <c r="G75" s="139">
        <v>300000</v>
      </c>
      <c r="H75" s="139"/>
      <c r="I75" s="139"/>
      <c r="J75" s="139">
        <v>150000</v>
      </c>
      <c r="K75" s="139" t="s">
        <v>2926</v>
      </c>
    </row>
    <row r="76" spans="1:11" ht="19" x14ac:dyDescent="0.2">
      <c r="A76" s="143"/>
      <c r="B76" s="153"/>
      <c r="C76" s="171"/>
      <c r="D76" s="155"/>
      <c r="E76" s="164"/>
      <c r="F76" s="119"/>
      <c r="G76" s="119"/>
      <c r="H76" s="119"/>
      <c r="I76" s="119"/>
      <c r="J76" s="119">
        <v>168000</v>
      </c>
      <c r="K76" s="119" t="s">
        <v>2927</v>
      </c>
    </row>
    <row r="77" spans="1:11" ht="19" x14ac:dyDescent="0.2">
      <c r="A77" s="144">
        <v>3917000</v>
      </c>
      <c r="B77" s="145">
        <v>45422</v>
      </c>
      <c r="C77" s="149" t="s">
        <v>9</v>
      </c>
      <c r="D77" s="147" t="s">
        <v>565</v>
      </c>
      <c r="E77" s="150">
        <v>2981000</v>
      </c>
      <c r="F77" s="139">
        <v>641000</v>
      </c>
      <c r="G77" s="139">
        <v>295000</v>
      </c>
      <c r="H77" s="139">
        <v>3810000</v>
      </c>
      <c r="I77" s="139" t="s">
        <v>1799</v>
      </c>
      <c r="J77" s="139">
        <v>116000</v>
      </c>
      <c r="K77" s="139" t="s">
        <v>1282</v>
      </c>
    </row>
    <row r="78" spans="1:11" ht="19" x14ac:dyDescent="0.2">
      <c r="A78" s="142"/>
      <c r="B78" s="153"/>
      <c r="C78" s="163"/>
      <c r="D78" s="155"/>
      <c r="E78" s="164"/>
      <c r="F78" s="119"/>
      <c r="G78" s="119"/>
      <c r="H78" s="119"/>
      <c r="I78" s="119"/>
      <c r="J78" s="119">
        <v>115000</v>
      </c>
      <c r="K78" s="119" t="s">
        <v>2928</v>
      </c>
    </row>
    <row r="79" spans="1:11" ht="19" x14ac:dyDescent="0.2">
      <c r="A79" s="144"/>
      <c r="B79" s="145"/>
      <c r="C79" s="151"/>
      <c r="D79" s="147"/>
      <c r="E79" s="150"/>
      <c r="F79" s="139"/>
      <c r="G79" s="139"/>
      <c r="H79" s="139"/>
      <c r="I79" s="139"/>
      <c r="J79" s="139">
        <v>5000</v>
      </c>
      <c r="K79" s="139" t="s">
        <v>2929</v>
      </c>
    </row>
    <row r="80" spans="1:11" ht="19" x14ac:dyDescent="0.2">
      <c r="A80" s="143"/>
      <c r="B80" s="153"/>
      <c r="C80" s="171"/>
      <c r="D80" s="155"/>
      <c r="E80" s="164"/>
      <c r="F80" s="119"/>
      <c r="G80" s="119"/>
      <c r="H80" s="175"/>
      <c r="I80" s="175"/>
      <c r="J80" s="119">
        <v>35000</v>
      </c>
      <c r="K80" s="119" t="s">
        <v>2401</v>
      </c>
    </row>
    <row r="81" spans="1:11" ht="19" x14ac:dyDescent="0.2">
      <c r="A81" s="144"/>
      <c r="B81" s="145"/>
      <c r="C81" s="149"/>
      <c r="D81" s="147"/>
      <c r="E81" s="150"/>
      <c r="F81" s="139"/>
      <c r="G81" s="139"/>
      <c r="H81" s="152"/>
      <c r="I81" s="152"/>
      <c r="J81" s="139">
        <v>225000</v>
      </c>
      <c r="K81" s="139" t="s">
        <v>2203</v>
      </c>
    </row>
    <row r="82" spans="1:11" ht="19" x14ac:dyDescent="0.2">
      <c r="A82" s="143">
        <v>1773000</v>
      </c>
      <c r="B82" s="153"/>
      <c r="C82" s="171" t="s">
        <v>10</v>
      </c>
      <c r="D82" s="155" t="s">
        <v>2820</v>
      </c>
      <c r="E82" s="164">
        <v>1262000</v>
      </c>
      <c r="F82" s="119">
        <v>358000</v>
      </c>
      <c r="G82" s="119">
        <v>153000</v>
      </c>
      <c r="H82" s="175"/>
      <c r="I82" s="175"/>
      <c r="J82" s="119"/>
      <c r="K82" s="119"/>
    </row>
    <row r="83" spans="1:11" ht="19" x14ac:dyDescent="0.2">
      <c r="A83" s="144">
        <v>2887000</v>
      </c>
      <c r="B83" s="145">
        <v>45423</v>
      </c>
      <c r="C83" s="149" t="s">
        <v>9</v>
      </c>
      <c r="D83" s="147" t="s">
        <v>685</v>
      </c>
      <c r="E83" s="150">
        <v>1940000</v>
      </c>
      <c r="F83" s="139">
        <v>852000</v>
      </c>
      <c r="G83" s="139">
        <v>95000</v>
      </c>
      <c r="H83" s="139">
        <v>2600000</v>
      </c>
      <c r="I83" s="139" t="s">
        <v>812</v>
      </c>
      <c r="J83" s="139">
        <v>100000</v>
      </c>
      <c r="K83" s="139" t="s">
        <v>2930</v>
      </c>
    </row>
    <row r="84" spans="1:11" ht="19" x14ac:dyDescent="0.2">
      <c r="A84" s="143"/>
      <c r="B84" s="153"/>
      <c r="C84" s="171"/>
      <c r="D84" s="155"/>
      <c r="E84" s="164"/>
      <c r="F84" s="119"/>
      <c r="G84" s="119"/>
      <c r="H84" s="174"/>
      <c r="I84" s="174"/>
      <c r="J84" s="119">
        <v>200000</v>
      </c>
      <c r="K84" s="119" t="s">
        <v>2931</v>
      </c>
    </row>
    <row r="85" spans="1:11" ht="19" x14ac:dyDescent="0.2">
      <c r="A85" s="144"/>
      <c r="B85" s="145"/>
      <c r="C85" s="149"/>
      <c r="D85" s="147"/>
      <c r="E85" s="150"/>
      <c r="F85" s="139"/>
      <c r="G85" s="139"/>
      <c r="H85" s="152"/>
      <c r="I85" s="152"/>
      <c r="J85" s="139">
        <v>27000</v>
      </c>
      <c r="K85" s="139" t="s">
        <v>2932</v>
      </c>
    </row>
    <row r="86" spans="1:11" ht="19" x14ac:dyDescent="0.2">
      <c r="A86" s="143"/>
      <c r="B86" s="153"/>
      <c r="C86" s="171"/>
      <c r="D86" s="155"/>
      <c r="E86" s="164"/>
      <c r="F86" s="119"/>
      <c r="G86" s="119"/>
      <c r="H86" s="175"/>
      <c r="I86" s="175"/>
      <c r="J86" s="119">
        <v>37000</v>
      </c>
      <c r="K86" s="119" t="s">
        <v>1493</v>
      </c>
    </row>
    <row r="87" spans="1:11" ht="19" x14ac:dyDescent="0.2">
      <c r="A87" s="144"/>
      <c r="B87" s="145"/>
      <c r="C87" s="149"/>
      <c r="D87" s="147"/>
      <c r="E87" s="150"/>
      <c r="F87" s="139"/>
      <c r="G87" s="139"/>
      <c r="H87" s="152"/>
      <c r="I87" s="152"/>
      <c r="J87" s="139">
        <v>150000</v>
      </c>
      <c r="K87" s="139" t="s">
        <v>2933</v>
      </c>
    </row>
    <row r="88" spans="1:11" ht="19" x14ac:dyDescent="0.2">
      <c r="A88" s="143"/>
      <c r="B88" s="153"/>
      <c r="C88" s="171"/>
      <c r="D88" s="155"/>
      <c r="E88" s="164"/>
      <c r="F88" s="119"/>
      <c r="G88" s="119"/>
      <c r="H88" s="175"/>
      <c r="I88" s="175"/>
      <c r="J88" s="119">
        <v>150000</v>
      </c>
      <c r="K88" s="119" t="s">
        <v>2934</v>
      </c>
    </row>
    <row r="89" spans="1:11" ht="19" x14ac:dyDescent="0.2">
      <c r="A89" s="144"/>
      <c r="B89" s="145"/>
      <c r="C89" s="149"/>
      <c r="D89" s="147"/>
      <c r="E89" s="150"/>
      <c r="F89" s="139"/>
      <c r="G89" s="139"/>
      <c r="H89" s="152"/>
      <c r="I89" s="152"/>
      <c r="J89" s="139">
        <v>27000</v>
      </c>
      <c r="K89" s="139" t="s">
        <v>2935</v>
      </c>
    </row>
    <row r="90" spans="1:11" ht="19" x14ac:dyDescent="0.2">
      <c r="A90" s="143"/>
      <c r="B90" s="153"/>
      <c r="C90" s="171"/>
      <c r="D90" s="155"/>
      <c r="E90" s="164"/>
      <c r="F90" s="119"/>
      <c r="G90" s="119"/>
      <c r="H90" s="175"/>
      <c r="I90" s="175"/>
      <c r="J90" s="119"/>
      <c r="K90" s="119"/>
    </row>
    <row r="91" spans="1:11" ht="19" x14ac:dyDescent="0.2">
      <c r="A91" s="144">
        <v>1797000</v>
      </c>
      <c r="B91" s="145"/>
      <c r="C91" s="149" t="s">
        <v>10</v>
      </c>
      <c r="D91" s="147" t="s">
        <v>2820</v>
      </c>
      <c r="E91" s="150">
        <v>976000</v>
      </c>
      <c r="F91" s="139">
        <v>146000</v>
      </c>
      <c r="G91" s="139">
        <v>675000</v>
      </c>
      <c r="H91" s="152"/>
      <c r="I91" s="152"/>
      <c r="J91" s="139">
        <v>50000</v>
      </c>
      <c r="K91" s="139" t="s">
        <v>123</v>
      </c>
    </row>
    <row r="92" spans="1:11" ht="19" x14ac:dyDescent="0.2">
      <c r="A92" s="143"/>
      <c r="B92" s="153"/>
      <c r="C92" s="49"/>
      <c r="D92" s="13"/>
      <c r="E92" s="15"/>
      <c r="F92" s="9"/>
      <c r="G92" s="9"/>
      <c r="H92" s="175"/>
      <c r="I92" s="9"/>
      <c r="J92" s="9"/>
      <c r="K92" s="9"/>
    </row>
    <row r="93" spans="1:11" ht="19" x14ac:dyDescent="0.2">
      <c r="A93" s="144">
        <v>2169000</v>
      </c>
      <c r="B93" s="145">
        <v>45424</v>
      </c>
      <c r="C93" s="149" t="s">
        <v>9</v>
      </c>
      <c r="D93" s="147" t="s">
        <v>685</v>
      </c>
      <c r="E93" s="150">
        <v>1523000</v>
      </c>
      <c r="F93" s="139">
        <v>525000</v>
      </c>
      <c r="G93" s="139">
        <v>121000</v>
      </c>
      <c r="H93" s="139"/>
      <c r="I93" s="139"/>
      <c r="J93" s="139"/>
      <c r="K93" s="139"/>
    </row>
    <row r="94" spans="1:11" ht="19" x14ac:dyDescent="0.2">
      <c r="A94" s="143"/>
      <c r="B94" s="32"/>
      <c r="C94" s="49"/>
      <c r="D94" s="13"/>
      <c r="E94" s="15"/>
      <c r="F94" s="9"/>
      <c r="G94" s="9"/>
      <c r="H94" s="9"/>
      <c r="I94" s="9"/>
      <c r="J94" s="9"/>
      <c r="K94" s="9"/>
    </row>
    <row r="95" spans="1:11" ht="19" x14ac:dyDescent="0.2">
      <c r="A95" s="144">
        <v>1438000</v>
      </c>
      <c r="B95" s="145"/>
      <c r="C95" s="149" t="s">
        <v>10</v>
      </c>
      <c r="D95" s="147" t="s">
        <v>2820</v>
      </c>
      <c r="E95" s="150">
        <v>1153000</v>
      </c>
      <c r="F95" s="139">
        <v>151000</v>
      </c>
      <c r="G95" s="139">
        <v>134000</v>
      </c>
      <c r="H95" s="139"/>
      <c r="I95" s="139"/>
      <c r="J95" s="139">
        <v>225000</v>
      </c>
      <c r="K95" s="139" t="s">
        <v>2203</v>
      </c>
    </row>
    <row r="96" spans="1:11" ht="19" x14ac:dyDescent="0.2">
      <c r="A96" s="143"/>
      <c r="B96" s="32"/>
      <c r="C96" s="49"/>
      <c r="D96" s="13"/>
      <c r="E96" s="15"/>
      <c r="F96" s="9"/>
      <c r="G96" s="9"/>
      <c r="H96" s="60"/>
      <c r="I96" s="60"/>
      <c r="J96" s="9"/>
      <c r="K96" s="9"/>
    </row>
    <row r="97" spans="1:11" ht="19" x14ac:dyDescent="0.2">
      <c r="A97" s="144">
        <v>2752000</v>
      </c>
      <c r="B97" s="145">
        <v>45425</v>
      </c>
      <c r="C97" s="159" t="s">
        <v>9</v>
      </c>
      <c r="D97" s="147" t="s">
        <v>685</v>
      </c>
      <c r="E97" s="150">
        <v>2028000</v>
      </c>
      <c r="F97" s="139">
        <v>487000</v>
      </c>
      <c r="G97" s="139">
        <v>237000</v>
      </c>
      <c r="H97" s="139"/>
      <c r="I97" s="139"/>
      <c r="J97" s="139">
        <v>285000</v>
      </c>
      <c r="K97" s="139" t="s">
        <v>2936</v>
      </c>
    </row>
    <row r="98" spans="1:11" ht="19" x14ac:dyDescent="0.2">
      <c r="A98" s="143"/>
      <c r="B98" s="32"/>
      <c r="C98" s="49"/>
      <c r="D98" s="13"/>
      <c r="E98" s="15"/>
      <c r="F98" s="9"/>
      <c r="G98" s="9"/>
      <c r="H98" s="9"/>
      <c r="I98" s="9"/>
      <c r="J98" s="9">
        <v>12000</v>
      </c>
      <c r="K98" s="9" t="s">
        <v>2937</v>
      </c>
    </row>
    <row r="99" spans="1:11" ht="19" x14ac:dyDescent="0.2">
      <c r="A99" s="144"/>
      <c r="B99" s="145"/>
      <c r="C99" s="149"/>
      <c r="D99" s="147"/>
      <c r="E99" s="150"/>
      <c r="F99" s="139"/>
      <c r="G99" s="139"/>
      <c r="H99" s="139"/>
      <c r="I99" s="139"/>
      <c r="J99" s="139">
        <v>94000</v>
      </c>
      <c r="K99" s="139" t="s">
        <v>2938</v>
      </c>
    </row>
    <row r="100" spans="1:11" ht="19" x14ac:dyDescent="0.2">
      <c r="A100" s="143"/>
      <c r="B100" s="153"/>
      <c r="C100" s="171"/>
      <c r="D100" s="155"/>
      <c r="E100" s="164"/>
      <c r="F100" s="119"/>
      <c r="G100" s="119"/>
      <c r="H100" s="119"/>
      <c r="I100" s="119"/>
      <c r="J100" s="119">
        <v>65000</v>
      </c>
      <c r="K100" s="119" t="s">
        <v>2939</v>
      </c>
    </row>
    <row r="101" spans="1:11" ht="19" x14ac:dyDescent="0.2">
      <c r="A101" s="144">
        <v>1333000</v>
      </c>
      <c r="B101" s="145"/>
      <c r="C101" s="149" t="s">
        <v>10</v>
      </c>
      <c r="D101" s="147" t="s">
        <v>2820</v>
      </c>
      <c r="E101" s="150">
        <v>918000</v>
      </c>
      <c r="F101" s="139">
        <v>167000</v>
      </c>
      <c r="G101" s="139">
        <v>248000</v>
      </c>
      <c r="H101" s="139"/>
      <c r="I101" s="139"/>
      <c r="J101" s="139">
        <v>240000</v>
      </c>
      <c r="K101" s="139" t="s">
        <v>1543</v>
      </c>
    </row>
    <row r="102" spans="1:11" ht="19" x14ac:dyDescent="0.2">
      <c r="A102" s="143"/>
      <c r="B102" s="153"/>
      <c r="C102" s="171"/>
      <c r="D102" s="155"/>
      <c r="E102" s="164"/>
      <c r="F102" s="119"/>
      <c r="G102" s="119"/>
      <c r="H102" s="119"/>
      <c r="I102" s="119"/>
      <c r="J102" s="119"/>
      <c r="K102" s="119"/>
    </row>
    <row r="103" spans="1:11" ht="19" x14ac:dyDescent="0.2">
      <c r="A103" s="144">
        <v>2806000</v>
      </c>
      <c r="B103" s="145">
        <v>45426</v>
      </c>
      <c r="C103" s="149" t="s">
        <v>9</v>
      </c>
      <c r="D103" s="147" t="s">
        <v>685</v>
      </c>
      <c r="E103" s="150">
        <v>1836000</v>
      </c>
      <c r="F103" s="139">
        <v>528000</v>
      </c>
      <c r="G103" s="139">
        <v>442000</v>
      </c>
      <c r="H103" s="139"/>
      <c r="I103" s="139"/>
      <c r="J103" s="139">
        <v>520000</v>
      </c>
      <c r="K103" s="139" t="s">
        <v>1462</v>
      </c>
    </row>
    <row r="104" spans="1:11" ht="19" x14ac:dyDescent="0.2">
      <c r="A104" s="143"/>
      <c r="B104" s="153"/>
      <c r="C104" s="171"/>
      <c r="D104" s="155"/>
      <c r="E104" s="164"/>
      <c r="F104" s="119"/>
      <c r="G104" s="119"/>
      <c r="H104" s="175"/>
      <c r="I104" s="175"/>
      <c r="J104" s="119">
        <v>48000</v>
      </c>
      <c r="K104" s="119" t="s">
        <v>2940</v>
      </c>
    </row>
    <row r="105" spans="1:11" ht="19" x14ac:dyDescent="0.2">
      <c r="A105" s="144"/>
      <c r="B105" s="145"/>
      <c r="C105" s="149"/>
      <c r="D105" s="147"/>
      <c r="E105" s="150"/>
      <c r="F105" s="139"/>
      <c r="G105" s="139"/>
      <c r="H105" s="152"/>
      <c r="I105" s="152"/>
      <c r="J105" s="139">
        <v>74000</v>
      </c>
      <c r="K105" s="139" t="s">
        <v>2941</v>
      </c>
    </row>
    <row r="106" spans="1:11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/>
      <c r="J106" s="119">
        <v>50000</v>
      </c>
      <c r="K106" s="119" t="s">
        <v>1762</v>
      </c>
    </row>
    <row r="107" spans="1:11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/>
      <c r="J107" s="139">
        <v>11000</v>
      </c>
      <c r="K107" s="139" t="s">
        <v>1734</v>
      </c>
    </row>
    <row r="108" spans="1:11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/>
      <c r="J108" s="119">
        <v>49000</v>
      </c>
      <c r="K108" s="119" t="s">
        <v>2942</v>
      </c>
    </row>
    <row r="109" spans="1:11" ht="19" x14ac:dyDescent="0.2">
      <c r="A109" s="148"/>
      <c r="B109" s="145"/>
      <c r="C109" s="149"/>
      <c r="D109" s="160"/>
      <c r="E109" s="150"/>
      <c r="F109" s="139"/>
      <c r="G109" s="139"/>
      <c r="H109" s="139"/>
      <c r="I109" s="139"/>
      <c r="J109" s="139">
        <v>45000</v>
      </c>
      <c r="K109" s="139" t="s">
        <v>1493</v>
      </c>
    </row>
    <row r="110" spans="1:11" ht="19" x14ac:dyDescent="0.2">
      <c r="A110" s="143">
        <v>1644000</v>
      </c>
      <c r="B110" s="32"/>
      <c r="C110" s="49" t="s">
        <v>10</v>
      </c>
      <c r="D110" s="13" t="s">
        <v>2820</v>
      </c>
      <c r="E110" s="15">
        <v>956000</v>
      </c>
      <c r="F110" s="9">
        <v>454000</v>
      </c>
      <c r="G110" s="9">
        <v>234000</v>
      </c>
      <c r="H110" s="9"/>
      <c r="I110" s="9"/>
      <c r="J110" s="9">
        <v>150000</v>
      </c>
      <c r="K110" s="9" t="s">
        <v>2943</v>
      </c>
    </row>
    <row r="111" spans="1:11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/>
      <c r="J111" s="139">
        <v>200000</v>
      </c>
      <c r="K111" s="139" t="s">
        <v>2796</v>
      </c>
    </row>
    <row r="112" spans="1:11" ht="19" x14ac:dyDescent="0.2">
      <c r="A112" s="143"/>
      <c r="B112" s="153"/>
      <c r="C112" s="171"/>
      <c r="D112" s="155"/>
      <c r="E112" s="164"/>
      <c r="F112" s="119"/>
      <c r="G112" s="119"/>
      <c r="H112" s="119"/>
      <c r="I112" s="119"/>
      <c r="J112" s="119">
        <v>45000</v>
      </c>
      <c r="K112" s="119" t="s">
        <v>1467</v>
      </c>
    </row>
    <row r="113" spans="1:11" ht="19" x14ac:dyDescent="0.2">
      <c r="A113" s="144"/>
      <c r="B113" s="145"/>
      <c r="C113" s="149"/>
      <c r="D113" s="147"/>
      <c r="E113" s="150"/>
      <c r="F113" s="139"/>
      <c r="G113" s="139"/>
      <c r="H113" s="139"/>
      <c r="I113" s="139"/>
      <c r="J113" s="139"/>
      <c r="K113" s="139"/>
    </row>
    <row r="114" spans="1:11" ht="32" x14ac:dyDescent="0.2">
      <c r="A114" s="143">
        <v>3568000</v>
      </c>
      <c r="B114" s="153">
        <v>45427</v>
      </c>
      <c r="C114" s="171" t="s">
        <v>9</v>
      </c>
      <c r="D114" s="155" t="s">
        <v>685</v>
      </c>
      <c r="E114" s="164">
        <v>2268000</v>
      </c>
      <c r="F114" s="119">
        <v>970000</v>
      </c>
      <c r="G114" s="119">
        <v>330000</v>
      </c>
      <c r="H114" s="119">
        <v>1550000</v>
      </c>
      <c r="I114" s="176" t="s">
        <v>2944</v>
      </c>
      <c r="J114" s="119">
        <v>111000</v>
      </c>
      <c r="K114" s="119" t="s">
        <v>2945</v>
      </c>
    </row>
    <row r="115" spans="1:11" ht="19" x14ac:dyDescent="0.2">
      <c r="A115" s="144"/>
      <c r="B115" s="145"/>
      <c r="C115" s="149"/>
      <c r="D115" s="147"/>
      <c r="E115" s="150"/>
      <c r="F115" s="139"/>
      <c r="G115" s="139"/>
      <c r="H115" s="139">
        <v>2200000</v>
      </c>
      <c r="I115" s="139" t="s">
        <v>2946</v>
      </c>
      <c r="J115" s="139">
        <v>33000</v>
      </c>
      <c r="K115" s="139" t="s">
        <v>2947</v>
      </c>
    </row>
    <row r="116" spans="1:11" ht="19" x14ac:dyDescent="0.2">
      <c r="A116" s="143"/>
      <c r="B116" s="153"/>
      <c r="C116" s="171"/>
      <c r="D116" s="155"/>
      <c r="E116" s="164"/>
      <c r="F116" s="119"/>
      <c r="G116" s="119"/>
      <c r="H116" s="119">
        <v>600000</v>
      </c>
      <c r="I116" s="119" t="s">
        <v>2948</v>
      </c>
      <c r="J116" s="119">
        <v>41000</v>
      </c>
      <c r="K116" s="119" t="s">
        <v>2949</v>
      </c>
    </row>
    <row r="117" spans="1:11" ht="19" x14ac:dyDescent="0.2">
      <c r="A117" s="144"/>
      <c r="B117" s="145"/>
      <c r="C117" s="149"/>
      <c r="D117" s="147"/>
      <c r="E117" s="150"/>
      <c r="F117" s="139"/>
      <c r="G117" s="139"/>
      <c r="H117" s="139">
        <v>200000</v>
      </c>
      <c r="I117" s="139" t="s">
        <v>2950</v>
      </c>
      <c r="J117" s="162">
        <v>90000</v>
      </c>
      <c r="K117" s="162" t="s">
        <v>2951</v>
      </c>
    </row>
    <row r="118" spans="1:11" ht="19" x14ac:dyDescent="0.2">
      <c r="A118" s="143">
        <v>2056000</v>
      </c>
      <c r="B118" s="153"/>
      <c r="C118" s="171" t="s">
        <v>10</v>
      </c>
      <c r="D118" s="155" t="s">
        <v>2767</v>
      </c>
      <c r="E118" s="164">
        <v>1432000</v>
      </c>
      <c r="F118" s="119">
        <v>177000</v>
      </c>
      <c r="G118" s="119">
        <v>447000</v>
      </c>
      <c r="H118" s="119"/>
      <c r="I118" s="175"/>
      <c r="J118" s="174">
        <v>66000</v>
      </c>
      <c r="K118" s="174" t="s">
        <v>1500</v>
      </c>
    </row>
    <row r="119" spans="1:11" ht="19" x14ac:dyDescent="0.2">
      <c r="A119" s="144"/>
      <c r="B119" s="145"/>
      <c r="C119" s="149"/>
      <c r="D119" s="147"/>
      <c r="E119" s="150"/>
      <c r="F119" s="139"/>
      <c r="G119" s="139"/>
      <c r="H119" s="139"/>
      <c r="I119" s="139"/>
      <c r="J119" s="139">
        <v>34000</v>
      </c>
      <c r="K119" s="139" t="s">
        <v>2952</v>
      </c>
    </row>
    <row r="120" spans="1:11" ht="19" x14ac:dyDescent="0.2">
      <c r="A120" s="143"/>
      <c r="B120" s="153"/>
      <c r="C120" s="171"/>
      <c r="D120" s="155"/>
      <c r="E120" s="164"/>
      <c r="F120" s="119"/>
      <c r="G120" s="119"/>
      <c r="H120" s="119"/>
      <c r="I120" s="175"/>
      <c r="J120" s="119">
        <v>159000</v>
      </c>
      <c r="K120" s="119" t="s">
        <v>2732</v>
      </c>
    </row>
    <row r="121" spans="1:11" ht="19" x14ac:dyDescent="0.2">
      <c r="A121" s="144"/>
      <c r="B121" s="145"/>
      <c r="C121" s="149"/>
      <c r="D121" s="147"/>
      <c r="E121" s="150"/>
      <c r="F121" s="139"/>
      <c r="G121" s="139"/>
      <c r="H121" s="139"/>
      <c r="I121" s="139"/>
      <c r="J121" s="139">
        <v>90000</v>
      </c>
      <c r="K121" s="139" t="s">
        <v>1310</v>
      </c>
    </row>
    <row r="122" spans="1:11" ht="19" x14ac:dyDescent="0.2">
      <c r="A122" s="143"/>
      <c r="B122" s="153"/>
      <c r="C122" s="171"/>
      <c r="D122" s="155"/>
      <c r="E122" s="164"/>
      <c r="F122" s="119"/>
      <c r="G122" s="119"/>
      <c r="H122" s="119"/>
      <c r="I122" s="119"/>
      <c r="J122" s="119">
        <v>48000</v>
      </c>
      <c r="K122" s="119" t="s">
        <v>1493</v>
      </c>
    </row>
    <row r="123" spans="1:11" ht="19" x14ac:dyDescent="0.2">
      <c r="A123" s="144">
        <v>3103000</v>
      </c>
      <c r="B123" s="145">
        <v>45428</v>
      </c>
      <c r="C123" s="149" t="s">
        <v>9</v>
      </c>
      <c r="D123" s="147" t="s">
        <v>685</v>
      </c>
      <c r="E123" s="150">
        <v>1981000</v>
      </c>
      <c r="F123" s="139">
        <v>634000</v>
      </c>
      <c r="G123" s="139">
        <v>488000</v>
      </c>
      <c r="H123" s="139"/>
      <c r="I123" s="139"/>
      <c r="J123" s="139">
        <v>140000</v>
      </c>
      <c r="K123" s="139" t="s">
        <v>2953</v>
      </c>
    </row>
    <row r="124" spans="1:11" ht="19" x14ac:dyDescent="0.2">
      <c r="A124" s="143"/>
      <c r="B124" s="153"/>
      <c r="C124" s="163"/>
      <c r="D124" s="155"/>
      <c r="E124" s="164"/>
      <c r="F124" s="119"/>
      <c r="G124" s="119"/>
      <c r="H124" s="119"/>
      <c r="I124" s="119"/>
      <c r="J124" s="174">
        <v>52000</v>
      </c>
      <c r="K124" s="174" t="s">
        <v>2954</v>
      </c>
    </row>
    <row r="125" spans="1:11" ht="19" x14ac:dyDescent="0.2">
      <c r="A125" s="144"/>
      <c r="B125" s="145"/>
      <c r="C125" s="151"/>
      <c r="D125" s="147"/>
      <c r="E125" s="150"/>
      <c r="F125" s="139"/>
      <c r="G125" s="139"/>
      <c r="H125" s="139"/>
      <c r="I125" s="139"/>
      <c r="J125" s="162">
        <v>60000</v>
      </c>
      <c r="K125" s="162" t="s">
        <v>2955</v>
      </c>
    </row>
    <row r="126" spans="1:11" ht="19" x14ac:dyDescent="0.2">
      <c r="A126" s="143"/>
      <c r="B126" s="153"/>
      <c r="C126" s="171"/>
      <c r="D126" s="155"/>
      <c r="E126" s="164"/>
      <c r="F126" s="119"/>
      <c r="G126" s="119"/>
      <c r="H126" s="119"/>
      <c r="I126" s="119"/>
      <c r="J126" s="174">
        <v>34000</v>
      </c>
      <c r="K126" s="174" t="s">
        <v>2956</v>
      </c>
    </row>
    <row r="127" spans="1:11" ht="19" x14ac:dyDescent="0.2">
      <c r="A127" s="144"/>
      <c r="B127" s="145"/>
      <c r="C127" s="149"/>
      <c r="D127" s="147"/>
      <c r="E127" s="150"/>
      <c r="F127" s="139"/>
      <c r="G127" s="139"/>
      <c r="H127" s="139"/>
      <c r="I127" s="139"/>
      <c r="J127" s="162">
        <v>127000</v>
      </c>
      <c r="K127" s="162" t="s">
        <v>2957</v>
      </c>
    </row>
    <row r="128" spans="1:11" ht="19" x14ac:dyDescent="0.2">
      <c r="A128" s="143"/>
      <c r="B128" s="153"/>
      <c r="C128" s="163"/>
      <c r="D128" s="155"/>
      <c r="E128" s="164"/>
      <c r="F128" s="119"/>
      <c r="G128" s="119"/>
      <c r="H128" s="119"/>
      <c r="I128" s="119"/>
      <c r="J128" s="174">
        <v>10000</v>
      </c>
      <c r="K128" s="174" t="s">
        <v>2958</v>
      </c>
    </row>
    <row r="129" spans="1:11" ht="19" x14ac:dyDescent="0.2">
      <c r="A129" s="148"/>
      <c r="B129" s="145"/>
      <c r="C129" s="159"/>
      <c r="D129" s="147"/>
      <c r="E129" s="150"/>
      <c r="F129" s="139"/>
      <c r="G129" s="139"/>
      <c r="H129" s="139"/>
      <c r="I129" s="139"/>
      <c r="J129" s="139">
        <v>7000</v>
      </c>
      <c r="K129" s="139" t="s">
        <v>1826</v>
      </c>
    </row>
    <row r="130" spans="1:11" ht="19" x14ac:dyDescent="0.2">
      <c r="A130" s="142"/>
      <c r="B130" s="153"/>
      <c r="C130" s="170"/>
      <c r="D130" s="172"/>
      <c r="E130" s="164"/>
      <c r="F130" s="119"/>
      <c r="G130" s="119"/>
      <c r="H130" s="119"/>
      <c r="I130" s="119"/>
      <c r="J130" s="174">
        <v>90000</v>
      </c>
      <c r="K130" s="174" t="s">
        <v>1641</v>
      </c>
    </row>
    <row r="131" spans="1:11" ht="19" x14ac:dyDescent="0.2">
      <c r="A131" s="144">
        <v>1750000</v>
      </c>
      <c r="B131" s="145"/>
      <c r="C131" s="151" t="s">
        <v>10</v>
      </c>
      <c r="D131" s="147" t="s">
        <v>2767</v>
      </c>
      <c r="E131" s="150">
        <v>1267000</v>
      </c>
      <c r="F131" s="139">
        <v>353000</v>
      </c>
      <c r="G131" s="139">
        <v>130000</v>
      </c>
      <c r="H131" s="139"/>
      <c r="I131" s="139"/>
      <c r="J131" s="162">
        <v>288000</v>
      </c>
      <c r="K131" s="162" t="s">
        <v>1509</v>
      </c>
    </row>
    <row r="132" spans="1:11" ht="19" x14ac:dyDescent="0.2">
      <c r="A132" s="143"/>
      <c r="B132" s="153"/>
      <c r="C132" s="163"/>
      <c r="D132" s="155"/>
      <c r="E132" s="119"/>
      <c r="F132" s="119"/>
      <c r="G132" s="119"/>
      <c r="H132" s="119"/>
      <c r="I132" s="119"/>
      <c r="J132" s="119">
        <v>150000</v>
      </c>
      <c r="K132" s="119" t="s">
        <v>1710</v>
      </c>
    </row>
    <row r="133" spans="1:11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/>
      <c r="J133" s="139">
        <v>144000</v>
      </c>
      <c r="K133" s="139" t="s">
        <v>1245</v>
      </c>
    </row>
    <row r="134" spans="1:11" ht="19" x14ac:dyDescent="0.2">
      <c r="A134" s="143"/>
      <c r="B134" s="153"/>
      <c r="C134" s="163"/>
      <c r="D134" s="155"/>
      <c r="E134" s="164"/>
      <c r="F134" s="119"/>
      <c r="G134" s="119"/>
      <c r="H134" s="119"/>
      <c r="I134" s="119"/>
      <c r="J134" s="119">
        <v>80000</v>
      </c>
      <c r="K134" s="119" t="s">
        <v>1285</v>
      </c>
    </row>
    <row r="135" spans="1:11" ht="19" x14ac:dyDescent="0.2">
      <c r="A135" s="144"/>
      <c r="B135" s="145"/>
      <c r="C135" s="151"/>
      <c r="D135" s="147"/>
      <c r="E135" s="150"/>
      <c r="F135" s="139"/>
      <c r="G135" s="139"/>
      <c r="H135" s="139"/>
      <c r="I135" s="139"/>
      <c r="J135" s="139">
        <v>240000</v>
      </c>
      <c r="K135" s="139" t="s">
        <v>2474</v>
      </c>
    </row>
    <row r="136" spans="1:11" ht="19" x14ac:dyDescent="0.2">
      <c r="A136" s="143">
        <v>3163000</v>
      </c>
      <c r="B136" s="153">
        <v>45429</v>
      </c>
      <c r="C136" s="163" t="s">
        <v>9</v>
      </c>
      <c r="D136" s="155" t="s">
        <v>685</v>
      </c>
      <c r="E136" s="164">
        <v>1753000</v>
      </c>
      <c r="F136" s="119">
        <v>1112000</v>
      </c>
      <c r="G136" s="119">
        <v>298000</v>
      </c>
      <c r="H136" s="119"/>
      <c r="I136" s="119"/>
      <c r="J136" s="119">
        <v>150000</v>
      </c>
      <c r="K136" s="119" t="s">
        <v>2959</v>
      </c>
    </row>
    <row r="137" spans="1:11" ht="19" x14ac:dyDescent="0.2">
      <c r="A137" s="144"/>
      <c r="B137" s="145"/>
      <c r="C137" s="151"/>
      <c r="D137" s="147"/>
      <c r="E137" s="150"/>
      <c r="F137" s="139"/>
      <c r="G137" s="139"/>
      <c r="H137" s="139"/>
      <c r="I137" s="139"/>
      <c r="J137" s="139">
        <v>150000</v>
      </c>
      <c r="K137" s="139" t="s">
        <v>2960</v>
      </c>
    </row>
    <row r="138" spans="1:11" ht="19" x14ac:dyDescent="0.2">
      <c r="A138" s="143"/>
      <c r="B138" s="153"/>
      <c r="C138" s="163"/>
      <c r="D138" s="155"/>
      <c r="E138" s="164"/>
      <c r="F138" s="119"/>
      <c r="G138" s="119"/>
      <c r="H138" s="119"/>
      <c r="I138" s="119"/>
      <c r="J138" s="119">
        <v>150000</v>
      </c>
      <c r="K138" s="119" t="s">
        <v>2961</v>
      </c>
    </row>
    <row r="139" spans="1:11" ht="19" x14ac:dyDescent="0.2">
      <c r="A139" s="144">
        <v>1984000</v>
      </c>
      <c r="B139" s="145"/>
      <c r="C139" s="151" t="s">
        <v>10</v>
      </c>
      <c r="D139" s="147" t="s">
        <v>2767</v>
      </c>
      <c r="E139" s="150">
        <v>1363000</v>
      </c>
      <c r="F139" s="139">
        <v>280000</v>
      </c>
      <c r="G139" s="139">
        <v>341000</v>
      </c>
      <c r="H139" s="139"/>
      <c r="I139" s="139"/>
      <c r="J139" s="152"/>
      <c r="K139" s="152"/>
    </row>
    <row r="140" spans="1:11" ht="19" x14ac:dyDescent="0.2">
      <c r="A140" s="143"/>
      <c r="B140" s="270"/>
      <c r="C140" s="163"/>
      <c r="D140" s="155"/>
      <c r="E140" s="164"/>
      <c r="F140" s="119"/>
      <c r="G140" s="119"/>
      <c r="H140" s="119"/>
      <c r="I140" s="175"/>
      <c r="J140" s="175"/>
      <c r="K140" s="175"/>
    </row>
    <row r="141" spans="1:11" ht="19" x14ac:dyDescent="0.2">
      <c r="A141" s="144">
        <v>2299000</v>
      </c>
      <c r="B141" s="145">
        <v>45430</v>
      </c>
      <c r="C141" s="151" t="s">
        <v>9</v>
      </c>
      <c r="D141" s="147" t="s">
        <v>685</v>
      </c>
      <c r="E141" s="150">
        <v>1599000</v>
      </c>
      <c r="F141" s="139">
        <v>343000</v>
      </c>
      <c r="G141" s="139">
        <v>357000</v>
      </c>
      <c r="H141" s="139"/>
      <c r="I141" s="139"/>
      <c r="J141" s="139">
        <v>78000</v>
      </c>
      <c r="K141" s="139" t="s">
        <v>1491</v>
      </c>
    </row>
    <row r="142" spans="1:11" ht="19" x14ac:dyDescent="0.2">
      <c r="A142" s="143"/>
      <c r="B142" s="153"/>
      <c r="C142" s="163"/>
      <c r="D142" s="155"/>
      <c r="E142" s="164"/>
      <c r="F142" s="119"/>
      <c r="G142" s="119"/>
      <c r="H142" s="175"/>
      <c r="I142" s="175"/>
      <c r="J142" s="119">
        <v>119000</v>
      </c>
      <c r="K142" s="119" t="s">
        <v>2962</v>
      </c>
    </row>
    <row r="143" spans="1:11" ht="19" x14ac:dyDescent="0.2">
      <c r="A143" s="144"/>
      <c r="B143" s="145"/>
      <c r="C143" s="151"/>
      <c r="D143" s="147"/>
      <c r="E143" s="150"/>
      <c r="F143" s="139"/>
      <c r="G143" s="139"/>
      <c r="H143" s="139"/>
      <c r="I143" s="139"/>
      <c r="J143" s="139">
        <v>75000</v>
      </c>
      <c r="K143" s="139" t="s">
        <v>2963</v>
      </c>
    </row>
    <row r="144" spans="1:11" ht="19" x14ac:dyDescent="0.2">
      <c r="A144" s="143">
        <v>2124000</v>
      </c>
      <c r="B144" s="270"/>
      <c r="C144" s="163" t="s">
        <v>10</v>
      </c>
      <c r="D144" s="155" t="s">
        <v>2767</v>
      </c>
      <c r="E144" s="164">
        <v>1334000</v>
      </c>
      <c r="F144" s="119">
        <v>379000</v>
      </c>
      <c r="G144" s="119">
        <v>411000</v>
      </c>
      <c r="H144" s="119"/>
      <c r="I144" s="119"/>
      <c r="J144" s="119"/>
      <c r="K144" s="119"/>
    </row>
    <row r="145" spans="1:11" ht="19" x14ac:dyDescent="0.2">
      <c r="A145" s="144"/>
      <c r="B145" s="145"/>
      <c r="C145" s="159"/>
      <c r="D145" s="147"/>
      <c r="E145" s="150"/>
      <c r="F145" s="139"/>
      <c r="G145" s="139"/>
      <c r="H145" s="139"/>
      <c r="I145" s="139"/>
      <c r="J145" s="139"/>
      <c r="K145" s="139"/>
    </row>
    <row r="146" spans="1:11" ht="19" x14ac:dyDescent="0.2">
      <c r="A146" s="143">
        <v>2680000</v>
      </c>
      <c r="B146" s="153">
        <v>45431</v>
      </c>
      <c r="C146" s="163" t="s">
        <v>9</v>
      </c>
      <c r="D146" s="155" t="s">
        <v>685</v>
      </c>
      <c r="E146" s="164">
        <v>1438000</v>
      </c>
      <c r="F146" s="119">
        <v>947000</v>
      </c>
      <c r="G146" s="119">
        <v>295000</v>
      </c>
      <c r="H146" s="119"/>
      <c r="I146" s="119"/>
      <c r="J146" s="119">
        <v>50000</v>
      </c>
      <c r="K146" s="119" t="s">
        <v>123</v>
      </c>
    </row>
    <row r="147" spans="1:11" ht="19" x14ac:dyDescent="0.2">
      <c r="A147" s="144">
        <v>1810000</v>
      </c>
      <c r="B147" s="145"/>
      <c r="C147" s="151" t="s">
        <v>10</v>
      </c>
      <c r="D147" s="160" t="s">
        <v>2767</v>
      </c>
      <c r="E147" s="150">
        <v>1458000</v>
      </c>
      <c r="F147" s="139">
        <v>224000</v>
      </c>
      <c r="G147" s="139">
        <v>128000</v>
      </c>
      <c r="H147" s="139"/>
      <c r="I147" s="139"/>
      <c r="J147" s="162">
        <v>240000</v>
      </c>
      <c r="K147" s="162" t="s">
        <v>1543</v>
      </c>
    </row>
    <row r="148" spans="1:11" ht="19" x14ac:dyDescent="0.2">
      <c r="A148" s="143"/>
      <c r="B148" s="153"/>
      <c r="C148" s="163"/>
      <c r="D148" s="155"/>
      <c r="E148" s="164"/>
      <c r="F148" s="119"/>
      <c r="G148" s="119"/>
      <c r="H148" s="119"/>
      <c r="I148" s="119"/>
      <c r="J148" s="119"/>
      <c r="K148" s="119"/>
    </row>
    <row r="149" spans="1:11" ht="19" x14ac:dyDescent="0.2">
      <c r="A149" s="148">
        <v>2596000</v>
      </c>
      <c r="B149" s="145">
        <v>45432</v>
      </c>
      <c r="C149" s="151" t="s">
        <v>9</v>
      </c>
      <c r="D149" s="147" t="s">
        <v>685</v>
      </c>
      <c r="E149" s="150">
        <v>1621000</v>
      </c>
      <c r="F149" s="139">
        <v>694000</v>
      </c>
      <c r="G149" s="139">
        <v>281000</v>
      </c>
      <c r="H149" s="139">
        <v>2600000</v>
      </c>
      <c r="I149" s="139" t="s">
        <v>2964</v>
      </c>
      <c r="J149" s="139">
        <v>33000</v>
      </c>
      <c r="K149" s="139" t="s">
        <v>2965</v>
      </c>
    </row>
    <row r="150" spans="1:11" ht="19" x14ac:dyDescent="0.2">
      <c r="A150" s="142"/>
      <c r="B150" s="153"/>
      <c r="C150" s="163"/>
      <c r="D150" s="172"/>
      <c r="E150" s="164"/>
      <c r="F150" s="119"/>
      <c r="G150" s="119"/>
      <c r="H150" s="119"/>
      <c r="I150" s="119"/>
      <c r="J150" s="119">
        <v>10000</v>
      </c>
      <c r="K150" s="119" t="s">
        <v>1305</v>
      </c>
    </row>
    <row r="151" spans="1:11" ht="19" x14ac:dyDescent="0.2">
      <c r="A151" s="148"/>
      <c r="B151" s="158"/>
      <c r="C151" s="151"/>
      <c r="D151" s="160"/>
      <c r="E151" s="150"/>
      <c r="F151" s="139"/>
      <c r="G151" s="139"/>
      <c r="H151" s="139"/>
      <c r="I151" s="139"/>
      <c r="J151" s="139">
        <v>103000</v>
      </c>
      <c r="K151" s="139" t="s">
        <v>2966</v>
      </c>
    </row>
    <row r="152" spans="1:11" ht="19" x14ac:dyDescent="0.2">
      <c r="A152" s="142"/>
      <c r="B152" s="153"/>
      <c r="C152" s="163"/>
      <c r="D152" s="172"/>
      <c r="E152" s="164"/>
      <c r="F152" s="119"/>
      <c r="G152" s="119"/>
      <c r="H152" s="119"/>
      <c r="I152" s="119"/>
      <c r="J152" s="119">
        <v>29000</v>
      </c>
      <c r="K152" s="119" t="s">
        <v>2967</v>
      </c>
    </row>
    <row r="153" spans="1:11" ht="19" x14ac:dyDescent="0.2">
      <c r="A153" s="148"/>
      <c r="B153" s="145"/>
      <c r="C153" s="151"/>
      <c r="D153" s="160"/>
      <c r="E153" s="150"/>
      <c r="F153" s="139"/>
      <c r="G153" s="139"/>
      <c r="H153" s="139"/>
      <c r="I153" s="139"/>
      <c r="J153" s="139">
        <v>99000</v>
      </c>
      <c r="K153" s="139" t="s">
        <v>1738</v>
      </c>
    </row>
    <row r="154" spans="1:11" ht="19" x14ac:dyDescent="0.2">
      <c r="A154" s="143"/>
      <c r="B154" s="153"/>
      <c r="C154" s="163"/>
      <c r="D154" s="155"/>
      <c r="E154" s="164"/>
      <c r="F154" s="119"/>
      <c r="G154" s="119"/>
      <c r="H154" s="119"/>
      <c r="I154" s="119"/>
      <c r="J154" s="119">
        <v>240000</v>
      </c>
      <c r="K154" s="119" t="s">
        <v>2474</v>
      </c>
    </row>
    <row r="155" spans="1:11" ht="19" x14ac:dyDescent="0.2">
      <c r="A155" s="144"/>
      <c r="B155" s="158"/>
      <c r="C155" s="151"/>
      <c r="D155" s="147"/>
      <c r="E155" s="150"/>
      <c r="F155" s="139"/>
      <c r="G155" s="139"/>
      <c r="H155" s="139"/>
      <c r="I155" s="139"/>
      <c r="J155" s="139">
        <v>75000</v>
      </c>
      <c r="K155" s="139" t="s">
        <v>2968</v>
      </c>
    </row>
    <row r="156" spans="1:11" ht="19" x14ac:dyDescent="0.2">
      <c r="A156" s="143"/>
      <c r="B156" s="153"/>
      <c r="C156" s="154"/>
      <c r="D156" s="155"/>
      <c r="E156" s="164"/>
      <c r="F156" s="119"/>
      <c r="G156" s="119"/>
      <c r="H156" s="119"/>
      <c r="I156" s="119"/>
      <c r="J156" s="119">
        <v>75000</v>
      </c>
      <c r="K156" s="119" t="s">
        <v>2969</v>
      </c>
    </row>
    <row r="157" spans="1:11" ht="19" x14ac:dyDescent="0.2">
      <c r="A157" s="144">
        <v>2293000</v>
      </c>
      <c r="B157" s="145"/>
      <c r="C157" s="149" t="s">
        <v>10</v>
      </c>
      <c r="D157" s="160" t="s">
        <v>2767</v>
      </c>
      <c r="E157" s="150">
        <v>1523000</v>
      </c>
      <c r="F157" s="139">
        <v>286000</v>
      </c>
      <c r="G157" s="139">
        <v>484000</v>
      </c>
      <c r="H157" s="139"/>
      <c r="I157" s="139"/>
      <c r="J157" s="139"/>
      <c r="K157" s="139"/>
    </row>
    <row r="158" spans="1:11" ht="19" x14ac:dyDescent="0.2">
      <c r="A158" s="143"/>
      <c r="B158" s="153"/>
      <c r="C158" s="171"/>
      <c r="D158" s="155"/>
      <c r="E158" s="164"/>
      <c r="F158" s="119"/>
      <c r="G158" s="119"/>
      <c r="H158" s="119"/>
      <c r="I158" s="119"/>
      <c r="J158" s="119"/>
      <c r="K158" s="119"/>
    </row>
    <row r="159" spans="1:11" ht="19" x14ac:dyDescent="0.2">
      <c r="A159" s="144">
        <v>2357000</v>
      </c>
      <c r="B159" s="145">
        <v>45433</v>
      </c>
      <c r="C159" s="151" t="s">
        <v>9</v>
      </c>
      <c r="D159" s="147" t="s">
        <v>685</v>
      </c>
      <c r="E159" s="150">
        <v>1443000</v>
      </c>
      <c r="F159" s="139">
        <v>414000</v>
      </c>
      <c r="G159" s="139">
        <v>500000</v>
      </c>
      <c r="H159" s="139"/>
      <c r="I159" s="139"/>
      <c r="J159" s="139">
        <v>90000</v>
      </c>
      <c r="K159" s="139" t="s">
        <v>1641</v>
      </c>
    </row>
    <row r="160" spans="1:11" ht="19" x14ac:dyDescent="0.2">
      <c r="A160" s="143"/>
      <c r="B160" s="153"/>
      <c r="C160" s="154"/>
      <c r="D160" s="155"/>
      <c r="E160" s="164"/>
      <c r="F160" s="119"/>
      <c r="G160" s="119"/>
      <c r="H160" s="119"/>
      <c r="I160" s="168"/>
      <c r="J160" s="119">
        <v>11000</v>
      </c>
      <c r="K160" s="119" t="s">
        <v>2970</v>
      </c>
    </row>
    <row r="161" spans="1:11" ht="19" x14ac:dyDescent="0.2">
      <c r="A161" s="144"/>
      <c r="B161" s="145"/>
      <c r="C161" s="151"/>
      <c r="D161" s="147"/>
      <c r="E161" s="150"/>
      <c r="F161" s="139"/>
      <c r="G161" s="139"/>
      <c r="H161" s="139"/>
      <c r="I161" s="165"/>
      <c r="J161" s="139">
        <v>7000</v>
      </c>
      <c r="K161" s="139" t="s">
        <v>1734</v>
      </c>
    </row>
    <row r="162" spans="1:11" ht="19" x14ac:dyDescent="0.2">
      <c r="A162" s="143">
        <v>1788000</v>
      </c>
      <c r="B162" s="153"/>
      <c r="C162" s="154" t="s">
        <v>10</v>
      </c>
      <c r="D162" s="155" t="s">
        <v>2767</v>
      </c>
      <c r="E162" s="164">
        <v>1274000</v>
      </c>
      <c r="F162" s="119">
        <v>404000</v>
      </c>
      <c r="G162" s="119">
        <v>110000</v>
      </c>
      <c r="H162" s="119"/>
      <c r="I162" s="168"/>
      <c r="J162" s="119">
        <v>200000</v>
      </c>
      <c r="K162" s="119" t="s">
        <v>2796</v>
      </c>
    </row>
    <row r="163" spans="1:11" ht="19" x14ac:dyDescent="0.2">
      <c r="A163" s="144"/>
      <c r="B163" s="145"/>
      <c r="C163" s="146"/>
      <c r="D163" s="147"/>
      <c r="E163" s="150"/>
      <c r="F163" s="139"/>
      <c r="G163" s="139"/>
      <c r="H163" s="139"/>
      <c r="I163" s="165"/>
      <c r="J163" s="139">
        <v>45000</v>
      </c>
      <c r="K163" s="139" t="s">
        <v>2971</v>
      </c>
    </row>
    <row r="164" spans="1:11" ht="19" x14ac:dyDescent="0.2">
      <c r="A164" s="289"/>
      <c r="B164" s="153"/>
      <c r="C164" s="163"/>
      <c r="D164" s="155"/>
      <c r="E164" s="164"/>
      <c r="F164" s="119"/>
      <c r="G164" s="119"/>
      <c r="H164" s="119"/>
      <c r="I164" s="168"/>
      <c r="J164" s="119">
        <v>150000</v>
      </c>
      <c r="K164" s="119" t="s">
        <v>1710</v>
      </c>
    </row>
    <row r="165" spans="1:11" ht="19" x14ac:dyDescent="0.2">
      <c r="A165" s="144"/>
      <c r="B165" s="145"/>
      <c r="C165" s="151"/>
      <c r="D165" s="160"/>
      <c r="E165" s="150"/>
      <c r="F165" s="139"/>
      <c r="G165" s="139"/>
      <c r="H165" s="139"/>
      <c r="I165" s="165"/>
      <c r="J165" s="139">
        <v>100000</v>
      </c>
      <c r="K165" s="139" t="s">
        <v>1285</v>
      </c>
    </row>
    <row r="166" spans="1:11" ht="19" x14ac:dyDescent="0.2">
      <c r="A166" s="142"/>
      <c r="B166" s="153"/>
      <c r="C166" s="163"/>
      <c r="D166" s="172"/>
      <c r="E166" s="164"/>
      <c r="F166" s="119"/>
      <c r="G166" s="119"/>
      <c r="H166" s="119"/>
      <c r="I166" s="168"/>
      <c r="J166" s="119">
        <v>150000</v>
      </c>
      <c r="K166" s="119" t="s">
        <v>1296</v>
      </c>
    </row>
    <row r="167" spans="1:11" ht="19" x14ac:dyDescent="0.2">
      <c r="A167" s="148"/>
      <c r="B167" s="145"/>
      <c r="C167" s="151"/>
      <c r="D167" s="160"/>
      <c r="E167" s="150"/>
      <c r="F167" s="139"/>
      <c r="G167" s="139"/>
      <c r="H167" s="139"/>
      <c r="I167" s="165"/>
      <c r="J167" s="139">
        <v>160000</v>
      </c>
      <c r="K167" s="139" t="s">
        <v>1245</v>
      </c>
    </row>
    <row r="168" spans="1:11" ht="19" x14ac:dyDescent="0.2">
      <c r="A168" s="143"/>
      <c r="B168" s="153"/>
      <c r="C168" s="170"/>
      <c r="D168" s="155"/>
      <c r="E168" s="164"/>
      <c r="F168" s="119"/>
      <c r="G168" s="119"/>
      <c r="H168" s="119"/>
      <c r="I168" s="168"/>
      <c r="J168" s="119"/>
      <c r="K168" s="290"/>
    </row>
    <row r="169" spans="1:11" ht="19" x14ac:dyDescent="0.2">
      <c r="A169" s="144">
        <v>3023000</v>
      </c>
      <c r="B169" s="145">
        <v>45434</v>
      </c>
      <c r="C169" s="149" t="s">
        <v>9</v>
      </c>
      <c r="D169" s="147" t="s">
        <v>685</v>
      </c>
      <c r="E169" s="150">
        <v>2007000</v>
      </c>
      <c r="F169" s="139">
        <v>429000</v>
      </c>
      <c r="G169" s="139">
        <v>587000</v>
      </c>
      <c r="H169" s="139"/>
      <c r="I169" s="165"/>
      <c r="J169" s="139">
        <v>138000</v>
      </c>
      <c r="K169" s="139" t="s">
        <v>1895</v>
      </c>
    </row>
    <row r="170" spans="1:11" ht="19" x14ac:dyDescent="0.2">
      <c r="A170" s="143"/>
      <c r="B170" s="153"/>
      <c r="C170" s="154"/>
      <c r="D170" s="155"/>
      <c r="E170" s="164"/>
      <c r="F170" s="119"/>
      <c r="G170" s="119"/>
      <c r="H170" s="119"/>
      <c r="I170" s="168"/>
      <c r="J170" s="119">
        <v>11000</v>
      </c>
      <c r="K170" s="119" t="s">
        <v>2972</v>
      </c>
    </row>
    <row r="171" spans="1:11" ht="19" x14ac:dyDescent="0.2">
      <c r="A171" s="144"/>
      <c r="B171" s="145"/>
      <c r="C171" s="149"/>
      <c r="D171" s="147"/>
      <c r="E171" s="150"/>
      <c r="F171" s="139"/>
      <c r="G171" s="139"/>
      <c r="H171" s="139"/>
      <c r="I171" s="165"/>
      <c r="J171" s="139">
        <v>81000</v>
      </c>
      <c r="K171" s="139" t="s">
        <v>2494</v>
      </c>
    </row>
    <row r="172" spans="1:11" ht="19" x14ac:dyDescent="0.2">
      <c r="A172" s="143"/>
      <c r="B172" s="153"/>
      <c r="C172" s="291"/>
      <c r="D172" s="155"/>
      <c r="E172" s="164"/>
      <c r="F172" s="119"/>
      <c r="G172" s="119"/>
      <c r="H172" s="119"/>
      <c r="I172" s="119"/>
      <c r="J172" s="119">
        <v>147000</v>
      </c>
      <c r="K172" s="119" t="s">
        <v>2637</v>
      </c>
    </row>
    <row r="173" spans="1:11" ht="19" x14ac:dyDescent="0.2">
      <c r="A173" s="144"/>
      <c r="B173" s="145"/>
      <c r="C173" s="146"/>
      <c r="D173" s="147"/>
      <c r="E173" s="150"/>
      <c r="F173" s="139"/>
      <c r="G173" s="139"/>
      <c r="H173" s="139"/>
      <c r="I173" s="139"/>
      <c r="J173" s="139">
        <v>8000</v>
      </c>
      <c r="K173" s="139" t="s">
        <v>1582</v>
      </c>
    </row>
    <row r="174" spans="1:11" ht="19" x14ac:dyDescent="0.2">
      <c r="A174" s="143"/>
      <c r="B174" s="153"/>
      <c r="C174" s="163"/>
      <c r="D174" s="155"/>
      <c r="E174" s="164"/>
      <c r="F174" s="119"/>
      <c r="G174" s="119"/>
      <c r="H174" s="119"/>
      <c r="I174" s="168"/>
      <c r="J174" s="119">
        <v>104000</v>
      </c>
      <c r="K174" s="119" t="s">
        <v>2973</v>
      </c>
    </row>
    <row r="175" spans="1:11" ht="19" x14ac:dyDescent="0.2">
      <c r="A175" s="144"/>
      <c r="B175" s="145"/>
      <c r="C175" s="151"/>
      <c r="D175" s="147"/>
      <c r="E175" s="150"/>
      <c r="F175" s="139"/>
      <c r="G175" s="139"/>
      <c r="H175" s="139"/>
      <c r="I175" s="165"/>
      <c r="J175" s="139">
        <v>35000</v>
      </c>
      <c r="K175" s="139" t="s">
        <v>1885</v>
      </c>
    </row>
    <row r="176" spans="1:11" ht="19" x14ac:dyDescent="0.2">
      <c r="A176" s="143"/>
      <c r="B176" s="153"/>
      <c r="C176" s="163"/>
      <c r="D176" s="155"/>
      <c r="E176" s="164"/>
      <c r="F176" s="119"/>
      <c r="G176" s="119"/>
      <c r="H176" s="119"/>
      <c r="I176" s="168"/>
      <c r="J176" s="119">
        <v>67000</v>
      </c>
      <c r="K176" s="119" t="s">
        <v>2974</v>
      </c>
    </row>
    <row r="177" spans="1:11" ht="19" x14ac:dyDescent="0.2">
      <c r="A177" s="144"/>
      <c r="B177" s="145"/>
      <c r="C177" s="151"/>
      <c r="D177" s="147"/>
      <c r="E177" s="150"/>
      <c r="F177" s="139"/>
      <c r="G177" s="139"/>
      <c r="H177" s="139"/>
      <c r="I177" s="165"/>
      <c r="J177" s="139">
        <v>58000</v>
      </c>
      <c r="K177" s="139" t="s">
        <v>1449</v>
      </c>
    </row>
    <row r="178" spans="1:11" ht="19" x14ac:dyDescent="0.2">
      <c r="A178" s="143"/>
      <c r="B178" s="153"/>
      <c r="C178" s="171"/>
      <c r="D178" s="155"/>
      <c r="E178" s="164"/>
      <c r="F178" s="119"/>
      <c r="G178" s="119"/>
      <c r="H178" s="119"/>
      <c r="I178" s="119"/>
      <c r="J178" s="119">
        <v>288000</v>
      </c>
      <c r="K178" s="119" t="s">
        <v>1509</v>
      </c>
    </row>
    <row r="179" spans="1:11" ht="19" x14ac:dyDescent="0.2">
      <c r="A179" s="144"/>
      <c r="B179" s="145"/>
      <c r="C179" s="149"/>
      <c r="D179" s="147"/>
      <c r="E179" s="150"/>
      <c r="F179" s="139"/>
      <c r="G179" s="139"/>
      <c r="H179" s="139"/>
      <c r="I179" s="139"/>
      <c r="J179" s="165"/>
      <c r="K179" s="165"/>
    </row>
    <row r="180" spans="1:11" ht="19" x14ac:dyDescent="0.2">
      <c r="A180" s="143">
        <v>1944000</v>
      </c>
      <c r="B180" s="153"/>
      <c r="C180" s="171" t="s">
        <v>10</v>
      </c>
      <c r="D180" s="155" t="s">
        <v>2975</v>
      </c>
      <c r="E180" s="164">
        <v>1541000</v>
      </c>
      <c r="F180" s="119">
        <v>267000</v>
      </c>
      <c r="G180" s="119">
        <v>136000</v>
      </c>
      <c r="H180" s="119"/>
      <c r="I180" s="119"/>
      <c r="J180" s="175"/>
      <c r="K180" s="175"/>
    </row>
    <row r="181" spans="1:11" ht="32" x14ac:dyDescent="0.2">
      <c r="A181" s="144"/>
      <c r="B181" s="145"/>
      <c r="C181" s="149"/>
      <c r="D181" s="147"/>
      <c r="E181" s="150"/>
      <c r="F181" s="139"/>
      <c r="G181" s="139"/>
      <c r="H181" s="139"/>
      <c r="I181" s="139"/>
      <c r="J181" s="139">
        <v>1000000</v>
      </c>
      <c r="K181" s="161" t="s">
        <v>2976</v>
      </c>
    </row>
    <row r="182" spans="1:11" ht="19" x14ac:dyDescent="0.2">
      <c r="A182" s="143">
        <v>3057000</v>
      </c>
      <c r="B182" s="153">
        <v>45435</v>
      </c>
      <c r="C182" s="171" t="s">
        <v>9</v>
      </c>
      <c r="D182" s="155" t="s">
        <v>685</v>
      </c>
      <c r="E182" s="164">
        <v>2008000</v>
      </c>
      <c r="F182" s="119">
        <v>838000</v>
      </c>
      <c r="G182" s="119">
        <v>211000</v>
      </c>
      <c r="H182" s="119">
        <v>2300000</v>
      </c>
      <c r="I182" s="119" t="s">
        <v>2977</v>
      </c>
      <c r="J182" s="168">
        <v>240000</v>
      </c>
      <c r="K182" s="168" t="s">
        <v>2978</v>
      </c>
    </row>
    <row r="183" spans="1:11" ht="19" x14ac:dyDescent="0.2">
      <c r="A183" s="144"/>
      <c r="B183" s="145"/>
      <c r="C183" s="149"/>
      <c r="D183" s="147"/>
      <c r="E183" s="150"/>
      <c r="F183" s="139"/>
      <c r="G183" s="139"/>
      <c r="H183" s="139"/>
      <c r="I183" s="139"/>
      <c r="J183" s="165">
        <v>72000</v>
      </c>
      <c r="K183" s="165" t="s">
        <v>2979</v>
      </c>
    </row>
    <row r="184" spans="1:11" ht="19" x14ac:dyDescent="0.2">
      <c r="A184" s="143"/>
      <c r="B184" s="32"/>
      <c r="C184" s="49"/>
      <c r="D184" s="13"/>
      <c r="E184" s="15"/>
      <c r="F184" s="9"/>
      <c r="G184" s="9"/>
      <c r="H184" s="9"/>
      <c r="I184" s="9"/>
      <c r="J184" s="77">
        <v>35000</v>
      </c>
      <c r="K184" s="77" t="s">
        <v>2980</v>
      </c>
    </row>
    <row r="185" spans="1:11" ht="19" x14ac:dyDescent="0.2">
      <c r="A185" s="144"/>
      <c r="B185" s="145"/>
      <c r="C185" s="149"/>
      <c r="D185" s="147"/>
      <c r="E185" s="150"/>
      <c r="F185" s="139"/>
      <c r="G185" s="139"/>
      <c r="H185" s="139"/>
      <c r="I185" s="139"/>
      <c r="J185" s="139">
        <v>25000</v>
      </c>
      <c r="K185" s="139" t="s">
        <v>2981</v>
      </c>
    </row>
    <row r="186" spans="1:11" ht="19" x14ac:dyDescent="0.2">
      <c r="A186" s="143"/>
      <c r="B186" s="32"/>
      <c r="C186" s="49"/>
      <c r="D186" s="13"/>
      <c r="E186" s="15"/>
      <c r="F186" s="9"/>
      <c r="G186" s="9"/>
      <c r="H186" s="9"/>
      <c r="I186" s="9"/>
      <c r="J186" s="77">
        <v>23000</v>
      </c>
      <c r="K186" s="77" t="s">
        <v>2982</v>
      </c>
    </row>
    <row r="187" spans="1:11" ht="19" x14ac:dyDescent="0.2">
      <c r="A187" s="144"/>
      <c r="B187" s="145"/>
      <c r="C187" s="149"/>
      <c r="D187" s="147"/>
      <c r="E187" s="150"/>
      <c r="F187" s="139"/>
      <c r="G187" s="139"/>
      <c r="H187" s="139"/>
      <c r="I187" s="139"/>
      <c r="J187" s="165">
        <v>7000</v>
      </c>
      <c r="K187" s="165" t="s">
        <v>1372</v>
      </c>
    </row>
    <row r="188" spans="1:11" ht="19" x14ac:dyDescent="0.2">
      <c r="A188" s="143"/>
      <c r="B188" s="153"/>
      <c r="C188" s="171"/>
      <c r="D188" s="155"/>
      <c r="E188" s="164"/>
      <c r="F188" s="119"/>
      <c r="G188" s="119"/>
      <c r="H188" s="119"/>
      <c r="I188" s="119"/>
      <c r="J188" s="168">
        <v>6000</v>
      </c>
      <c r="K188" s="168" t="s">
        <v>2983</v>
      </c>
    </row>
    <row r="189" spans="1:11" ht="19" x14ac:dyDescent="0.2">
      <c r="A189" s="144"/>
      <c r="B189" s="145"/>
      <c r="C189" s="149"/>
      <c r="D189" s="147"/>
      <c r="E189" s="150"/>
      <c r="F189" s="139"/>
      <c r="G189" s="139"/>
      <c r="H189" s="139"/>
      <c r="I189" s="139"/>
      <c r="J189" s="165">
        <v>20000</v>
      </c>
      <c r="K189" s="165" t="s">
        <v>2984</v>
      </c>
    </row>
    <row r="190" spans="1:11" ht="19" x14ac:dyDescent="0.2">
      <c r="A190" s="143"/>
      <c r="B190" s="153"/>
      <c r="C190" s="171"/>
      <c r="D190" s="155"/>
      <c r="E190" s="164"/>
      <c r="F190" s="119"/>
      <c r="G190" s="119"/>
      <c r="H190" s="119"/>
      <c r="I190" s="119"/>
      <c r="J190" s="168">
        <v>6000</v>
      </c>
      <c r="K190" s="168" t="s">
        <v>2985</v>
      </c>
    </row>
    <row r="191" spans="1:11" ht="19" x14ac:dyDescent="0.2">
      <c r="A191" s="144"/>
      <c r="B191" s="145"/>
      <c r="C191" s="149"/>
      <c r="D191" s="147"/>
      <c r="E191" s="150"/>
      <c r="F191" s="139"/>
      <c r="G191" s="139"/>
      <c r="H191" s="139"/>
      <c r="I191" s="139"/>
      <c r="J191" s="165">
        <v>30000</v>
      </c>
      <c r="K191" s="165" t="s">
        <v>2986</v>
      </c>
    </row>
    <row r="192" spans="1:11" ht="19" x14ac:dyDescent="0.2">
      <c r="A192" s="143"/>
      <c r="B192" s="153"/>
      <c r="C192" s="171"/>
      <c r="D192" s="155"/>
      <c r="E192" s="164"/>
      <c r="F192" s="119"/>
      <c r="G192" s="119"/>
      <c r="H192" s="119"/>
      <c r="I192" s="119"/>
      <c r="J192" s="168">
        <v>13000</v>
      </c>
      <c r="K192" s="168" t="s">
        <v>2839</v>
      </c>
    </row>
    <row r="193" spans="1:11" ht="19" x14ac:dyDescent="0.2">
      <c r="A193" s="144">
        <v>1682000</v>
      </c>
      <c r="B193" s="145"/>
      <c r="C193" s="149" t="s">
        <v>10</v>
      </c>
      <c r="D193" s="147" t="s">
        <v>2767</v>
      </c>
      <c r="E193" s="150">
        <v>1116000</v>
      </c>
      <c r="F193" s="139">
        <v>422000</v>
      </c>
      <c r="G193" s="139">
        <v>144000</v>
      </c>
      <c r="H193" s="139"/>
      <c r="I193" s="139"/>
      <c r="J193" s="165"/>
      <c r="K193" s="165"/>
    </row>
    <row r="194" spans="1:11" ht="19" x14ac:dyDescent="0.2">
      <c r="A194" s="143">
        <v>2942000</v>
      </c>
      <c r="B194" s="153">
        <v>45436</v>
      </c>
      <c r="C194" s="171" t="s">
        <v>9</v>
      </c>
      <c r="D194" s="155" t="s">
        <v>685</v>
      </c>
      <c r="E194" s="164">
        <v>2436000</v>
      </c>
      <c r="F194" s="119">
        <v>225000</v>
      </c>
      <c r="G194" s="119">
        <v>281000</v>
      </c>
      <c r="H194" s="119"/>
      <c r="I194" s="119"/>
      <c r="J194" s="168">
        <v>111000</v>
      </c>
      <c r="K194" s="168" t="s">
        <v>2987</v>
      </c>
    </row>
    <row r="195" spans="1:11" ht="19" x14ac:dyDescent="0.2">
      <c r="A195" s="144"/>
      <c r="B195" s="145"/>
      <c r="C195" s="149"/>
      <c r="D195" s="147"/>
      <c r="E195" s="150"/>
      <c r="F195" s="139"/>
      <c r="G195" s="139"/>
      <c r="H195" s="139"/>
      <c r="I195" s="139"/>
      <c r="J195" s="165">
        <v>100000</v>
      </c>
      <c r="K195" s="165" t="s">
        <v>2988</v>
      </c>
    </row>
    <row r="196" spans="1:11" ht="19" x14ac:dyDescent="0.2">
      <c r="A196" s="143"/>
      <c r="B196" s="153"/>
      <c r="C196" s="171"/>
      <c r="D196" s="155"/>
      <c r="E196" s="164"/>
      <c r="F196" s="119"/>
      <c r="G196" s="119"/>
      <c r="H196" s="119"/>
      <c r="I196" s="119"/>
      <c r="J196" s="168">
        <v>100000</v>
      </c>
      <c r="K196" s="168" t="s">
        <v>2989</v>
      </c>
    </row>
    <row r="197" spans="1:11" ht="19" x14ac:dyDescent="0.2">
      <c r="A197" s="144"/>
      <c r="B197" s="145"/>
      <c r="C197" s="149"/>
      <c r="D197" s="147"/>
      <c r="E197" s="150"/>
      <c r="F197" s="139"/>
      <c r="G197" s="139"/>
      <c r="H197" s="139"/>
      <c r="I197" s="139"/>
      <c r="J197" s="165">
        <v>55000</v>
      </c>
      <c r="K197" s="165" t="s">
        <v>2990</v>
      </c>
    </row>
    <row r="198" spans="1:11" ht="19" x14ac:dyDescent="0.2">
      <c r="A198" s="143"/>
      <c r="B198" s="153"/>
      <c r="C198" s="171"/>
      <c r="D198" s="155"/>
      <c r="E198" s="164"/>
      <c r="F198" s="119"/>
      <c r="G198" s="119"/>
      <c r="H198" s="119"/>
      <c r="I198" s="119"/>
      <c r="J198" s="168">
        <v>55000</v>
      </c>
      <c r="K198" s="168" t="s">
        <v>2991</v>
      </c>
    </row>
    <row r="199" spans="1:11" ht="19" x14ac:dyDescent="0.2">
      <c r="A199" s="144"/>
      <c r="B199" s="145"/>
      <c r="C199" s="149"/>
      <c r="D199" s="147"/>
      <c r="E199" s="150"/>
      <c r="F199" s="139"/>
      <c r="G199" s="139"/>
      <c r="H199" s="139"/>
      <c r="I199" s="139"/>
      <c r="J199" s="165">
        <v>100000</v>
      </c>
      <c r="K199" s="165" t="s">
        <v>2992</v>
      </c>
    </row>
    <row r="200" spans="1:11" ht="19" x14ac:dyDescent="0.2">
      <c r="A200" s="143"/>
      <c r="B200" s="153"/>
      <c r="C200" s="171"/>
      <c r="D200" s="155"/>
      <c r="E200" s="164"/>
      <c r="F200" s="119"/>
      <c r="G200" s="119"/>
      <c r="H200" s="119"/>
      <c r="I200" s="119"/>
      <c r="J200" s="168">
        <v>200000</v>
      </c>
      <c r="K200" s="168" t="s">
        <v>2488</v>
      </c>
    </row>
    <row r="201" spans="1:11" ht="19" x14ac:dyDescent="0.2">
      <c r="A201" s="144"/>
      <c r="B201" s="145"/>
      <c r="C201" s="149"/>
      <c r="D201" s="147"/>
      <c r="E201" s="150"/>
      <c r="F201" s="139"/>
      <c r="G201" s="139"/>
      <c r="H201" s="139"/>
      <c r="I201" s="139"/>
      <c r="J201" s="165">
        <v>225000</v>
      </c>
      <c r="K201" s="165" t="s">
        <v>2203</v>
      </c>
    </row>
    <row r="202" spans="1:11" ht="19" x14ac:dyDescent="0.2">
      <c r="A202" s="143"/>
      <c r="B202" s="153"/>
      <c r="C202" s="171"/>
      <c r="D202" s="155"/>
      <c r="E202" s="164"/>
      <c r="F202" s="119"/>
      <c r="G202" s="119"/>
      <c r="H202" s="119"/>
      <c r="I202" s="119"/>
      <c r="J202" s="168">
        <v>26000</v>
      </c>
      <c r="K202" s="168" t="s">
        <v>1859</v>
      </c>
    </row>
    <row r="203" spans="1:11" ht="19" x14ac:dyDescent="0.2">
      <c r="A203" s="144"/>
      <c r="B203" s="145"/>
      <c r="C203" s="149"/>
      <c r="D203" s="147"/>
      <c r="E203" s="150"/>
      <c r="F203" s="139"/>
      <c r="G203" s="139"/>
      <c r="H203" s="139"/>
      <c r="I203" s="139"/>
      <c r="J203" s="165">
        <v>27000</v>
      </c>
      <c r="K203" s="165" t="s">
        <v>2993</v>
      </c>
    </row>
    <row r="204" spans="1:11" ht="19" x14ac:dyDescent="0.2">
      <c r="A204" s="143">
        <v>2399000</v>
      </c>
      <c r="B204" s="153"/>
      <c r="C204" s="171" t="s">
        <v>10</v>
      </c>
      <c r="D204" s="155" t="s">
        <v>3013</v>
      </c>
      <c r="E204" s="164">
        <v>1756000</v>
      </c>
      <c r="F204" s="119">
        <v>568000</v>
      </c>
      <c r="G204" s="119">
        <v>75000</v>
      </c>
      <c r="H204" s="119"/>
      <c r="I204" s="119"/>
      <c r="J204" s="168">
        <v>312000</v>
      </c>
      <c r="K204" s="168" t="s">
        <v>1696</v>
      </c>
    </row>
    <row r="205" spans="1:11" ht="19" x14ac:dyDescent="0.2">
      <c r="A205" s="144">
        <v>1789000</v>
      </c>
      <c r="B205" s="145">
        <v>45437</v>
      </c>
      <c r="C205" s="149" t="s">
        <v>9</v>
      </c>
      <c r="D205" s="147" t="s">
        <v>685</v>
      </c>
      <c r="E205" s="150">
        <v>1153000</v>
      </c>
      <c r="F205" s="139">
        <v>248000</v>
      </c>
      <c r="G205" s="139">
        <v>388000</v>
      </c>
      <c r="H205" s="139"/>
      <c r="I205" s="139"/>
      <c r="J205" s="165"/>
      <c r="K205" s="165"/>
    </row>
    <row r="206" spans="1:11" ht="19" x14ac:dyDescent="0.2">
      <c r="A206" s="143">
        <v>1440000</v>
      </c>
      <c r="B206" s="153"/>
      <c r="C206" s="171" t="s">
        <v>10</v>
      </c>
      <c r="D206" s="155" t="s">
        <v>3014</v>
      </c>
      <c r="E206" s="164">
        <v>1001000</v>
      </c>
      <c r="F206" s="119">
        <v>203000</v>
      </c>
      <c r="G206" s="119">
        <v>236000</v>
      </c>
      <c r="H206" s="119"/>
      <c r="I206" s="119"/>
      <c r="J206" s="168">
        <v>50000</v>
      </c>
      <c r="K206" s="168" t="s">
        <v>123</v>
      </c>
    </row>
    <row r="207" spans="1:11" ht="19" x14ac:dyDescent="0.2">
      <c r="A207" s="144"/>
      <c r="B207" s="145"/>
      <c r="C207" s="149"/>
      <c r="D207" s="147"/>
      <c r="E207" s="150"/>
      <c r="F207" s="139"/>
      <c r="G207" s="139"/>
      <c r="H207" s="139"/>
      <c r="I207" s="139"/>
      <c r="J207" s="165"/>
      <c r="K207" s="165"/>
    </row>
    <row r="208" spans="1:11" ht="19" x14ac:dyDescent="0.2">
      <c r="A208" s="143"/>
      <c r="B208" s="153">
        <v>45438</v>
      </c>
      <c r="C208" s="171"/>
      <c r="D208" s="155"/>
      <c r="E208" s="164"/>
      <c r="F208" s="119"/>
      <c r="G208" s="119"/>
      <c r="H208" s="119"/>
      <c r="I208" s="119" t="s">
        <v>737</v>
      </c>
      <c r="J208" s="168"/>
      <c r="K208" s="168"/>
    </row>
    <row r="209" spans="1:11" ht="19" x14ac:dyDescent="0.2">
      <c r="A209" s="144"/>
      <c r="B209" s="145"/>
      <c r="C209" s="149"/>
      <c r="D209" s="147"/>
      <c r="E209" s="150"/>
      <c r="F209" s="139"/>
      <c r="G209" s="139"/>
      <c r="H209" s="139"/>
      <c r="I209" s="139"/>
      <c r="J209" s="165">
        <v>165000</v>
      </c>
      <c r="K209" s="165" t="s">
        <v>2994</v>
      </c>
    </row>
    <row r="210" spans="1:11" ht="19" x14ac:dyDescent="0.2">
      <c r="A210" s="143">
        <v>2006000</v>
      </c>
      <c r="B210" s="153">
        <v>45439</v>
      </c>
      <c r="C210" s="171" t="s">
        <v>9</v>
      </c>
      <c r="D210" s="155" t="s">
        <v>685</v>
      </c>
      <c r="E210" s="164">
        <v>1365000</v>
      </c>
      <c r="F210" s="119">
        <v>282000</v>
      </c>
      <c r="G210" s="119">
        <v>359000</v>
      </c>
      <c r="H210" s="119"/>
      <c r="I210" s="119"/>
      <c r="J210" s="168">
        <v>45000</v>
      </c>
      <c r="K210" s="168" t="s">
        <v>1493</v>
      </c>
    </row>
    <row r="211" spans="1:11" ht="19" x14ac:dyDescent="0.2">
      <c r="A211" s="144"/>
      <c r="B211" s="145"/>
      <c r="C211" s="149"/>
      <c r="D211" s="147"/>
      <c r="E211" s="150"/>
      <c r="F211" s="139"/>
      <c r="G211" s="139"/>
      <c r="H211" s="139"/>
      <c r="I211" s="139"/>
      <c r="J211" s="165">
        <v>106000</v>
      </c>
      <c r="K211" s="165" t="s">
        <v>2995</v>
      </c>
    </row>
    <row r="212" spans="1:11" ht="19" x14ac:dyDescent="0.2">
      <c r="A212" s="143"/>
      <c r="B212" s="153"/>
      <c r="C212" s="171"/>
      <c r="D212" s="155"/>
      <c r="E212" s="164"/>
      <c r="F212" s="119"/>
      <c r="G212" s="119"/>
      <c r="H212" s="119"/>
      <c r="I212" s="119"/>
      <c r="J212" s="168">
        <v>41000</v>
      </c>
      <c r="K212" s="168" t="s">
        <v>2996</v>
      </c>
    </row>
    <row r="213" spans="1:11" ht="19" x14ac:dyDescent="0.2">
      <c r="A213" s="144"/>
      <c r="B213" s="145"/>
      <c r="C213" s="149"/>
      <c r="D213" s="147"/>
      <c r="E213" s="150"/>
      <c r="F213" s="139"/>
      <c r="G213" s="139"/>
      <c r="H213" s="139"/>
      <c r="I213" s="139"/>
      <c r="J213" s="165">
        <v>158000</v>
      </c>
      <c r="K213" s="165" t="s">
        <v>2997</v>
      </c>
    </row>
    <row r="214" spans="1:11" ht="19" x14ac:dyDescent="0.2">
      <c r="A214" s="143"/>
      <c r="B214" s="153"/>
      <c r="C214" s="171"/>
      <c r="D214" s="155"/>
      <c r="E214" s="164"/>
      <c r="F214" s="119"/>
      <c r="G214" s="119"/>
      <c r="H214" s="119"/>
      <c r="I214" s="119"/>
      <c r="J214" s="168">
        <v>191000</v>
      </c>
      <c r="K214" s="168" t="s">
        <v>2998</v>
      </c>
    </row>
    <row r="215" spans="1:11" ht="19" x14ac:dyDescent="0.2">
      <c r="A215" s="144"/>
      <c r="B215" s="145"/>
      <c r="C215" s="149"/>
      <c r="D215" s="147"/>
      <c r="E215" s="150"/>
      <c r="F215" s="139"/>
      <c r="G215" s="139"/>
      <c r="H215" s="139"/>
      <c r="I215" s="139"/>
      <c r="J215" s="165">
        <v>59000</v>
      </c>
      <c r="K215" s="165" t="s">
        <v>1500</v>
      </c>
    </row>
    <row r="216" spans="1:11" ht="19" x14ac:dyDescent="0.2">
      <c r="A216" s="143"/>
      <c r="B216" s="153"/>
      <c r="C216" s="171"/>
      <c r="D216" s="155"/>
      <c r="E216" s="164"/>
      <c r="F216" s="119"/>
      <c r="G216" s="119"/>
      <c r="H216" s="119"/>
      <c r="I216" s="119"/>
      <c r="J216" s="168">
        <v>520000</v>
      </c>
      <c r="K216" s="168" t="s">
        <v>1462</v>
      </c>
    </row>
    <row r="217" spans="1:11" ht="19" x14ac:dyDescent="0.2">
      <c r="A217" s="144"/>
      <c r="B217" s="145"/>
      <c r="C217" s="149"/>
      <c r="D217" s="147"/>
      <c r="E217" s="150"/>
      <c r="F217" s="139"/>
      <c r="G217" s="139"/>
      <c r="H217" s="139"/>
      <c r="I217" s="139"/>
      <c r="J217" s="165">
        <v>10000</v>
      </c>
      <c r="K217" s="165" t="s">
        <v>1375</v>
      </c>
    </row>
    <row r="218" spans="1:11" ht="19" x14ac:dyDescent="0.2">
      <c r="A218" s="143">
        <v>2237000</v>
      </c>
      <c r="B218" s="153"/>
      <c r="C218" s="171" t="s">
        <v>10</v>
      </c>
      <c r="D218" s="155" t="s">
        <v>3013</v>
      </c>
      <c r="E218" s="164">
        <v>1854000</v>
      </c>
      <c r="F218" s="119">
        <v>178000</v>
      </c>
      <c r="G218" s="119">
        <v>205000</v>
      </c>
      <c r="H218" s="119"/>
      <c r="I218" s="119"/>
      <c r="J218" s="168">
        <v>48000</v>
      </c>
      <c r="K218" s="168" t="s">
        <v>2999</v>
      </c>
    </row>
    <row r="219" spans="1:11" ht="19" x14ac:dyDescent="0.2">
      <c r="A219" s="144"/>
      <c r="B219" s="145"/>
      <c r="C219" s="149"/>
      <c r="D219" s="147"/>
      <c r="E219" s="150"/>
      <c r="F219" s="139"/>
      <c r="G219" s="139"/>
      <c r="H219" s="139"/>
      <c r="I219" s="139"/>
      <c r="J219" s="165"/>
      <c r="K219" s="165"/>
    </row>
    <row r="220" spans="1:11" ht="19" x14ac:dyDescent="0.2">
      <c r="A220" s="143">
        <v>3011000</v>
      </c>
      <c r="B220" s="153">
        <v>45440</v>
      </c>
      <c r="C220" s="171" t="s">
        <v>9</v>
      </c>
      <c r="D220" s="155" t="s">
        <v>685</v>
      </c>
      <c r="E220" s="164">
        <v>1538000</v>
      </c>
      <c r="F220" s="119">
        <v>739000</v>
      </c>
      <c r="G220" s="119">
        <v>734000</v>
      </c>
      <c r="H220" s="119">
        <v>2600000</v>
      </c>
      <c r="I220" s="119" t="s">
        <v>812</v>
      </c>
      <c r="J220" s="168">
        <v>25000</v>
      </c>
      <c r="K220" s="168" t="s">
        <v>3000</v>
      </c>
    </row>
    <row r="221" spans="1:11" ht="19" x14ac:dyDescent="0.2">
      <c r="A221" s="144"/>
      <c r="B221" s="145"/>
      <c r="C221" s="149"/>
      <c r="D221" s="147"/>
      <c r="E221" s="150"/>
      <c r="F221" s="139"/>
      <c r="G221" s="139"/>
      <c r="H221" s="139"/>
      <c r="I221" s="139"/>
      <c r="J221" s="165">
        <v>45000</v>
      </c>
      <c r="K221" s="165" t="s">
        <v>1493</v>
      </c>
    </row>
    <row r="222" spans="1:11" ht="19" x14ac:dyDescent="0.2">
      <c r="A222" s="143">
        <v>1553000</v>
      </c>
      <c r="B222" s="153"/>
      <c r="C222" s="171" t="s">
        <v>10</v>
      </c>
      <c r="D222" s="155" t="s">
        <v>3013</v>
      </c>
      <c r="E222" s="164">
        <v>989000</v>
      </c>
      <c r="F222" s="119">
        <v>70000</v>
      </c>
      <c r="G222" s="119">
        <v>494000</v>
      </c>
      <c r="H222" s="119"/>
      <c r="I222" s="119"/>
      <c r="J222" s="168">
        <v>150000</v>
      </c>
      <c r="K222" s="168" t="s">
        <v>1710</v>
      </c>
    </row>
    <row r="223" spans="1:11" ht="19" x14ac:dyDescent="0.2">
      <c r="A223" s="144"/>
      <c r="B223" s="145"/>
      <c r="C223" s="149"/>
      <c r="D223" s="147"/>
      <c r="E223" s="150"/>
      <c r="F223" s="139"/>
      <c r="G223" s="139"/>
      <c r="H223" s="139"/>
      <c r="I223" s="139"/>
      <c r="J223" s="165">
        <v>45000</v>
      </c>
      <c r="K223" s="165" t="s">
        <v>1467</v>
      </c>
    </row>
    <row r="224" spans="1:11" ht="19" x14ac:dyDescent="0.2">
      <c r="A224" s="143"/>
      <c r="B224" s="153"/>
      <c r="C224" s="171"/>
      <c r="D224" s="155"/>
      <c r="E224" s="164"/>
      <c r="F224" s="119"/>
      <c r="G224" s="119"/>
      <c r="H224" s="119"/>
      <c r="I224" s="119"/>
      <c r="J224" s="168">
        <v>200000</v>
      </c>
      <c r="K224" s="168" t="s">
        <v>2796</v>
      </c>
    </row>
    <row r="225" spans="1:11" ht="19" x14ac:dyDescent="0.2">
      <c r="A225" s="144"/>
      <c r="B225" s="145"/>
      <c r="C225" s="149"/>
      <c r="D225" s="147"/>
      <c r="E225" s="150"/>
      <c r="F225" s="139"/>
      <c r="G225" s="139"/>
      <c r="H225" s="139"/>
      <c r="I225" s="139"/>
      <c r="J225" s="165">
        <v>101000</v>
      </c>
      <c r="K225" s="165" t="s">
        <v>3001</v>
      </c>
    </row>
    <row r="226" spans="1:11" ht="19" x14ac:dyDescent="0.2">
      <c r="A226" s="143">
        <v>2838000</v>
      </c>
      <c r="B226" s="153">
        <v>45441</v>
      </c>
      <c r="C226" s="171" t="s">
        <v>9</v>
      </c>
      <c r="D226" s="155" t="s">
        <v>685</v>
      </c>
      <c r="E226" s="164">
        <v>1621000</v>
      </c>
      <c r="F226" s="119">
        <v>744000</v>
      </c>
      <c r="G226" s="119">
        <v>473000</v>
      </c>
      <c r="H226" s="119"/>
      <c r="I226" s="119"/>
      <c r="J226" s="168">
        <v>52000</v>
      </c>
      <c r="K226" s="168" t="s">
        <v>1449</v>
      </c>
    </row>
    <row r="227" spans="1:11" ht="19" x14ac:dyDescent="0.2">
      <c r="A227" s="144"/>
      <c r="B227" s="145"/>
      <c r="C227" s="149"/>
      <c r="D227" s="147"/>
      <c r="E227" s="150"/>
      <c r="F227" s="139"/>
      <c r="G227" s="139"/>
      <c r="H227" s="139"/>
      <c r="I227" s="139"/>
      <c r="J227" s="165">
        <v>14000</v>
      </c>
      <c r="K227" s="165" t="s">
        <v>3002</v>
      </c>
    </row>
    <row r="228" spans="1:11" ht="19" x14ac:dyDescent="0.2">
      <c r="A228" s="143"/>
      <c r="B228" s="153"/>
      <c r="C228" s="171"/>
      <c r="D228" s="155"/>
      <c r="E228" s="164"/>
      <c r="F228" s="119"/>
      <c r="G228" s="119"/>
      <c r="H228" s="119"/>
      <c r="I228" s="119"/>
      <c r="J228" s="168">
        <v>350000</v>
      </c>
      <c r="K228" s="168" t="s">
        <v>3003</v>
      </c>
    </row>
    <row r="229" spans="1:11" ht="19" x14ac:dyDescent="0.2">
      <c r="A229" s="144"/>
      <c r="B229" s="145"/>
      <c r="C229" s="149"/>
      <c r="D229" s="147"/>
      <c r="E229" s="150"/>
      <c r="F229" s="139"/>
      <c r="G229" s="139"/>
      <c r="H229" s="139"/>
      <c r="I229" s="139"/>
      <c r="J229" s="165">
        <v>300000</v>
      </c>
      <c r="K229" s="165" t="s">
        <v>3004</v>
      </c>
    </row>
    <row r="230" spans="1:11" ht="19" x14ac:dyDescent="0.2">
      <c r="A230" s="143"/>
      <c r="B230" s="153"/>
      <c r="C230" s="171"/>
      <c r="D230" s="155"/>
      <c r="E230" s="164"/>
      <c r="F230" s="119"/>
      <c r="G230" s="119"/>
      <c r="H230" s="119"/>
      <c r="I230" s="119"/>
      <c r="J230" s="168">
        <v>150000</v>
      </c>
      <c r="K230" s="168" t="s">
        <v>3016</v>
      </c>
    </row>
    <row r="231" spans="1:11" ht="19" x14ac:dyDescent="0.2">
      <c r="A231" s="144"/>
      <c r="B231" s="145"/>
      <c r="C231" s="149"/>
      <c r="D231" s="147"/>
      <c r="E231" s="150"/>
      <c r="F231" s="139"/>
      <c r="G231" s="139"/>
      <c r="H231" s="139"/>
      <c r="I231" s="139"/>
      <c r="J231" s="165">
        <v>195000</v>
      </c>
      <c r="K231" s="165" t="s">
        <v>2255</v>
      </c>
    </row>
    <row r="232" spans="1:11" ht="19" x14ac:dyDescent="0.2">
      <c r="A232" s="143">
        <v>1918000</v>
      </c>
      <c r="B232" s="153"/>
      <c r="C232" s="171" t="s">
        <v>10</v>
      </c>
      <c r="D232" s="155" t="s">
        <v>3013</v>
      </c>
      <c r="E232" s="164">
        <v>1172000</v>
      </c>
      <c r="F232" s="119">
        <v>390000</v>
      </c>
      <c r="G232" s="119">
        <v>356000</v>
      </c>
      <c r="H232" s="119"/>
      <c r="I232" s="119"/>
      <c r="J232" s="168">
        <v>80000</v>
      </c>
      <c r="K232" s="168" t="s">
        <v>1285</v>
      </c>
    </row>
    <row r="233" spans="1:11" ht="19" x14ac:dyDescent="0.2">
      <c r="A233" s="144"/>
      <c r="B233" s="145"/>
      <c r="C233" s="149"/>
      <c r="D233" s="147"/>
      <c r="E233" s="150"/>
      <c r="F233" s="139"/>
      <c r="G233" s="139"/>
      <c r="H233" s="139"/>
      <c r="I233" s="139"/>
      <c r="J233" s="165">
        <v>150000</v>
      </c>
      <c r="K233" s="165" t="s">
        <v>2723</v>
      </c>
    </row>
    <row r="234" spans="1:11" ht="19" x14ac:dyDescent="0.2">
      <c r="A234" s="143">
        <v>2803000</v>
      </c>
      <c r="B234" s="153">
        <v>45442</v>
      </c>
      <c r="C234" s="171" t="s">
        <v>9</v>
      </c>
      <c r="D234" s="155" t="s">
        <v>685</v>
      </c>
      <c r="E234" s="164">
        <v>1912000</v>
      </c>
      <c r="F234" s="119">
        <v>575000</v>
      </c>
      <c r="G234" s="119">
        <v>316000</v>
      </c>
      <c r="H234" s="119"/>
      <c r="I234" s="119"/>
      <c r="J234" s="168">
        <v>150000</v>
      </c>
      <c r="K234" s="168" t="s">
        <v>3005</v>
      </c>
    </row>
    <row r="235" spans="1:11" ht="19" x14ac:dyDescent="0.2">
      <c r="A235" s="144"/>
      <c r="B235" s="145"/>
      <c r="C235" s="149"/>
      <c r="D235" s="147"/>
      <c r="E235" s="150"/>
      <c r="F235" s="139"/>
      <c r="G235" s="139"/>
      <c r="H235" s="139"/>
      <c r="I235" s="139"/>
      <c r="J235" s="165"/>
      <c r="K235" s="165"/>
    </row>
    <row r="236" spans="1:11" ht="19" x14ac:dyDescent="0.2">
      <c r="A236" s="143">
        <v>1534000</v>
      </c>
      <c r="B236" s="153"/>
      <c r="C236" s="171" t="s">
        <v>10</v>
      </c>
      <c r="D236" s="155" t="s">
        <v>3013</v>
      </c>
      <c r="E236" s="164">
        <v>1037000</v>
      </c>
      <c r="F236" s="119">
        <v>279000</v>
      </c>
      <c r="G236" s="119">
        <v>218000</v>
      </c>
      <c r="H236" s="119"/>
      <c r="I236" s="119"/>
      <c r="J236" s="168"/>
      <c r="K236" s="168"/>
    </row>
    <row r="237" spans="1:11" ht="19" x14ac:dyDescent="0.2">
      <c r="A237" s="144"/>
      <c r="B237" s="145"/>
      <c r="C237" s="149"/>
      <c r="D237" s="147"/>
      <c r="E237" s="150"/>
      <c r="F237" s="139"/>
      <c r="G237" s="139"/>
      <c r="H237" s="139"/>
      <c r="I237" s="139"/>
      <c r="J237" s="165">
        <v>1720000</v>
      </c>
      <c r="K237" s="165" t="s">
        <v>3006</v>
      </c>
    </row>
    <row r="238" spans="1:11" ht="19" x14ac:dyDescent="0.2">
      <c r="A238" s="143">
        <v>3523000</v>
      </c>
      <c r="B238" s="153">
        <v>45443</v>
      </c>
      <c r="C238" s="171" t="s">
        <v>9</v>
      </c>
      <c r="D238" s="155" t="s">
        <v>685</v>
      </c>
      <c r="E238" s="164">
        <v>2536000</v>
      </c>
      <c r="F238" s="119">
        <v>656000</v>
      </c>
      <c r="G238" s="119">
        <v>331000</v>
      </c>
      <c r="H238" s="119"/>
      <c r="I238" s="119"/>
      <c r="J238" s="168">
        <v>26000</v>
      </c>
      <c r="K238" s="168" t="s">
        <v>1859</v>
      </c>
    </row>
    <row r="239" spans="1:11" ht="19" x14ac:dyDescent="0.2">
      <c r="A239" s="144"/>
      <c r="B239" s="145"/>
      <c r="C239" s="149"/>
      <c r="D239" s="147"/>
      <c r="E239" s="150"/>
      <c r="F239" s="139"/>
      <c r="G239" s="139"/>
      <c r="H239" s="139"/>
      <c r="I239" s="139"/>
      <c r="J239" s="165">
        <v>45000</v>
      </c>
      <c r="K239" s="165" t="s">
        <v>1493</v>
      </c>
    </row>
    <row r="240" spans="1:11" ht="19" x14ac:dyDescent="0.2">
      <c r="A240" s="143"/>
      <c r="B240" s="153"/>
      <c r="C240" s="171"/>
      <c r="D240" s="155"/>
      <c r="E240" s="164"/>
      <c r="F240" s="119"/>
      <c r="G240" s="119"/>
      <c r="H240" s="119"/>
      <c r="I240" s="119"/>
      <c r="J240" s="168">
        <v>82000</v>
      </c>
      <c r="K240" s="168" t="s">
        <v>3007</v>
      </c>
    </row>
    <row r="241" spans="1:11" ht="19" x14ac:dyDescent="0.2">
      <c r="A241" s="144"/>
      <c r="B241" s="145"/>
      <c r="C241" s="149"/>
      <c r="D241" s="147"/>
      <c r="E241" s="150"/>
      <c r="F241" s="139"/>
      <c r="G241" s="139"/>
      <c r="H241" s="139"/>
      <c r="I241" s="139"/>
      <c r="J241" s="165">
        <v>21000</v>
      </c>
      <c r="K241" s="165" t="s">
        <v>3008</v>
      </c>
    </row>
    <row r="242" spans="1:11" ht="19" x14ac:dyDescent="0.2">
      <c r="A242" s="143"/>
      <c r="B242" s="153"/>
      <c r="C242" s="171"/>
      <c r="D242" s="155"/>
      <c r="E242" s="164"/>
      <c r="F242" s="119"/>
      <c r="G242" s="119"/>
      <c r="H242" s="119"/>
      <c r="I242" s="119"/>
      <c r="J242" s="168">
        <v>35000</v>
      </c>
      <c r="K242" s="168" t="s">
        <v>1885</v>
      </c>
    </row>
    <row r="243" spans="1:11" ht="19" x14ac:dyDescent="0.2">
      <c r="A243" s="144">
        <v>1504000</v>
      </c>
      <c r="B243" s="145"/>
      <c r="C243" s="149" t="s">
        <v>10</v>
      </c>
      <c r="D243" s="147" t="s">
        <v>3015</v>
      </c>
      <c r="E243" s="150">
        <v>1118000</v>
      </c>
      <c r="F243" s="139">
        <v>180000</v>
      </c>
      <c r="G243" s="139">
        <v>206000</v>
      </c>
      <c r="H243" s="139">
        <v>2950000</v>
      </c>
      <c r="I243" s="139" t="s">
        <v>2184</v>
      </c>
      <c r="J243" s="165">
        <v>240000</v>
      </c>
      <c r="K243" s="165" t="s">
        <v>1543</v>
      </c>
    </row>
    <row r="244" spans="1:11" ht="19" x14ac:dyDescent="0.2">
      <c r="A244" s="143"/>
      <c r="B244" s="153"/>
      <c r="C244" s="171"/>
      <c r="D244" s="155"/>
      <c r="E244" s="164"/>
      <c r="F244" s="119"/>
      <c r="G244" s="119"/>
      <c r="H244" s="119">
        <v>2800000</v>
      </c>
      <c r="I244" s="119" t="s">
        <v>2827</v>
      </c>
      <c r="J244" s="168">
        <v>180000</v>
      </c>
      <c r="K244" s="168" t="s">
        <v>1838</v>
      </c>
    </row>
    <row r="245" spans="1:11" ht="32" x14ac:dyDescent="0.2">
      <c r="A245" s="144"/>
      <c r="B245" s="145"/>
      <c r="C245" s="149"/>
      <c r="D245" s="147"/>
      <c r="E245" s="150"/>
      <c r="F245" s="139"/>
      <c r="G245" s="139"/>
      <c r="H245" s="139">
        <v>1300000</v>
      </c>
      <c r="I245" s="161" t="s">
        <v>3009</v>
      </c>
      <c r="J245" s="165">
        <v>94000</v>
      </c>
      <c r="K245" s="165" t="s">
        <v>3010</v>
      </c>
    </row>
    <row r="246" spans="1:11" ht="48" x14ac:dyDescent="0.2">
      <c r="A246" s="143"/>
      <c r="B246" s="153"/>
      <c r="C246" s="171"/>
      <c r="D246" s="155"/>
      <c r="E246" s="164"/>
      <c r="F246" s="119"/>
      <c r="G246" s="119"/>
      <c r="H246" s="119">
        <v>5718000</v>
      </c>
      <c r="I246" s="176" t="s">
        <v>2878</v>
      </c>
      <c r="J246" s="168">
        <v>5000</v>
      </c>
      <c r="K246" s="168" t="s">
        <v>1667</v>
      </c>
    </row>
    <row r="247" spans="1:11" ht="32" x14ac:dyDescent="0.2">
      <c r="A247" s="144"/>
      <c r="B247" s="145"/>
      <c r="C247" s="149"/>
      <c r="D247" s="147"/>
      <c r="E247" s="150"/>
      <c r="F247" s="139"/>
      <c r="G247" s="139"/>
      <c r="H247" s="139">
        <v>2496000</v>
      </c>
      <c r="I247" s="161" t="s">
        <v>3011</v>
      </c>
      <c r="J247" s="165">
        <v>76000</v>
      </c>
      <c r="K247" s="165" t="s">
        <v>3012</v>
      </c>
    </row>
    <row r="248" spans="1:11" ht="19" x14ac:dyDescent="0.2">
      <c r="A248" s="143"/>
      <c r="B248" s="153"/>
      <c r="C248" s="171"/>
      <c r="D248" s="155"/>
      <c r="E248" s="164"/>
      <c r="F248" s="119"/>
      <c r="G248" s="119"/>
      <c r="H248" s="119">
        <v>1200000</v>
      </c>
      <c r="I248" s="119" t="s">
        <v>785</v>
      </c>
      <c r="J248" s="168">
        <v>35000</v>
      </c>
      <c r="K248" s="168" t="s">
        <v>1857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K217"/>
  <sheetViews>
    <sheetView workbookViewId="0">
      <selection activeCell="K42" sqref="K42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5.6640625" bestFit="1" customWidth="1"/>
    <col min="5" max="5" width="20.33203125" bestFit="1" customWidth="1"/>
    <col min="6" max="6" width="24.1640625" customWidth="1"/>
    <col min="7" max="7" width="24.5" customWidth="1"/>
    <col min="8" max="8" width="20.33203125" bestFit="1" customWidth="1"/>
    <col min="9" max="9" width="33.5" customWidth="1"/>
    <col min="10" max="10" width="20.33203125" bestFit="1" customWidth="1"/>
    <col min="11" max="11" width="27.83203125" bestFit="1" customWidth="1"/>
  </cols>
  <sheetData>
    <row r="3" spans="1:11" ht="21" x14ac:dyDescent="0.2">
      <c r="H3" s="73"/>
      <c r="I3" s="71" t="s">
        <v>174</v>
      </c>
      <c r="J3" s="71">
        <f>L10/A10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20446000</v>
      </c>
      <c r="K4" s="72">
        <f>J4/10820</f>
        <v>1889.6487985212568</v>
      </c>
    </row>
    <row r="5" spans="1:11" ht="24" x14ac:dyDescent="0.3">
      <c r="B5" s="99" t="s">
        <v>3127</v>
      </c>
      <c r="H5" s="73"/>
      <c r="I5" s="71" t="s">
        <v>2315</v>
      </c>
      <c r="J5" s="71">
        <v>20446000</v>
      </c>
      <c r="K5" s="72">
        <f>J5/10820</f>
        <v>1889.6487985212568</v>
      </c>
    </row>
    <row r="6" spans="1:11" ht="24" x14ac:dyDescent="0.3">
      <c r="B6" s="99"/>
      <c r="H6" s="73"/>
      <c r="I6" s="71" t="s">
        <v>178</v>
      </c>
      <c r="J6" s="71">
        <v>12402640</v>
      </c>
      <c r="K6" s="72" t="s">
        <v>3128</v>
      </c>
    </row>
    <row r="7" spans="1:11" ht="26" x14ac:dyDescent="0.3">
      <c r="B7" s="100" t="s">
        <v>3126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SUM(A11:A388)</f>
        <v>108837000</v>
      </c>
      <c r="B10" s="65"/>
      <c r="C10" s="66" t="s">
        <v>13</v>
      </c>
      <c r="D10" s="67"/>
      <c r="E10" s="68">
        <f>SUM(E11:E388)</f>
        <v>71866000</v>
      </c>
      <c r="F10" s="69">
        <f>SUM(F11:F388)</f>
        <v>20462000</v>
      </c>
      <c r="G10" s="69">
        <f>SUM(G11:G375)</f>
        <v>16509000</v>
      </c>
      <c r="H10" s="69">
        <f>SUM(H11:H388)</f>
        <v>19179000</v>
      </c>
      <c r="I10" s="69"/>
      <c r="J10" s="69">
        <f>SUM(J11:J388)</f>
        <v>21195000</v>
      </c>
      <c r="K10" s="69"/>
    </row>
    <row r="11" spans="1:11" ht="19" x14ac:dyDescent="0.2">
      <c r="A11" s="283">
        <v>1984000</v>
      </c>
      <c r="B11" s="145">
        <v>45444</v>
      </c>
      <c r="C11" s="146" t="s">
        <v>9</v>
      </c>
      <c r="D11" s="147" t="s">
        <v>685</v>
      </c>
      <c r="E11" s="139">
        <v>1431000</v>
      </c>
      <c r="F11" s="139">
        <v>267000</v>
      </c>
      <c r="G11" s="139">
        <v>286000</v>
      </c>
      <c r="H11" s="139">
        <v>454000</v>
      </c>
      <c r="I11" s="139" t="s">
        <v>3123</v>
      </c>
      <c r="J11" s="139">
        <v>144000</v>
      </c>
      <c r="K11" s="139" t="s">
        <v>615</v>
      </c>
    </row>
    <row r="12" spans="1:11" ht="19" x14ac:dyDescent="0.2">
      <c r="A12" s="142"/>
      <c r="B12" s="32"/>
      <c r="C12" s="49"/>
      <c r="D12" s="13"/>
      <c r="E12" s="15"/>
      <c r="F12" s="9"/>
      <c r="G12" s="9"/>
      <c r="H12" s="9"/>
      <c r="I12" s="9"/>
      <c r="J12" s="119">
        <v>105000</v>
      </c>
      <c r="K12" s="9" t="s">
        <v>3021</v>
      </c>
    </row>
    <row r="13" spans="1:11" ht="19" x14ac:dyDescent="0.2">
      <c r="A13" s="144">
        <v>1928000</v>
      </c>
      <c r="B13" s="145"/>
      <c r="C13" s="151" t="s">
        <v>10</v>
      </c>
      <c r="D13" s="147" t="s">
        <v>2767</v>
      </c>
      <c r="E13" s="150">
        <v>1264000</v>
      </c>
      <c r="F13" s="139">
        <v>268000</v>
      </c>
      <c r="G13" s="139">
        <v>396000</v>
      </c>
      <c r="H13" s="152"/>
      <c r="I13" s="152"/>
      <c r="J13" s="139">
        <v>50000</v>
      </c>
      <c r="K13" s="139" t="s">
        <v>206</v>
      </c>
    </row>
    <row r="14" spans="1:11" ht="19" x14ac:dyDescent="0.2">
      <c r="A14" s="143"/>
      <c r="B14" s="153"/>
      <c r="C14" s="163"/>
      <c r="D14" s="155"/>
      <c r="E14" s="164"/>
      <c r="F14" s="119"/>
      <c r="G14" s="119"/>
      <c r="H14" s="175"/>
      <c r="I14" s="175"/>
      <c r="J14" s="119"/>
      <c r="K14" s="119"/>
    </row>
    <row r="15" spans="1:11" ht="19" x14ac:dyDescent="0.2">
      <c r="A15" s="144">
        <v>1447000</v>
      </c>
      <c r="B15" s="145">
        <v>45445</v>
      </c>
      <c r="C15" s="151" t="s">
        <v>9</v>
      </c>
      <c r="D15" s="147" t="s">
        <v>685</v>
      </c>
      <c r="E15" s="150">
        <v>1163000</v>
      </c>
      <c r="F15" s="139"/>
      <c r="G15" s="139">
        <v>284000</v>
      </c>
      <c r="H15" s="152"/>
      <c r="I15" s="152"/>
      <c r="J15" s="139"/>
      <c r="K15" s="139"/>
    </row>
    <row r="16" spans="1:11" ht="19" x14ac:dyDescent="0.2">
      <c r="A16" s="143"/>
      <c r="B16" s="153"/>
      <c r="C16" s="163" t="s">
        <v>10</v>
      </c>
      <c r="D16" s="155"/>
      <c r="E16" s="164"/>
      <c r="F16" s="119"/>
      <c r="G16" s="119"/>
      <c r="H16" s="119"/>
      <c r="I16" s="119" t="s">
        <v>737</v>
      </c>
      <c r="J16" s="119"/>
      <c r="K16" s="119"/>
    </row>
    <row r="17" spans="1:11" ht="19" x14ac:dyDescent="0.2">
      <c r="A17" s="144">
        <v>2517000</v>
      </c>
      <c r="B17" s="145">
        <v>45446</v>
      </c>
      <c r="C17" s="151" t="s">
        <v>9</v>
      </c>
      <c r="D17" s="147" t="s">
        <v>685</v>
      </c>
      <c r="E17" s="150">
        <v>1424000</v>
      </c>
      <c r="F17" s="139">
        <v>552000</v>
      </c>
      <c r="G17" s="139">
        <v>541000</v>
      </c>
      <c r="H17" s="139"/>
      <c r="I17" s="139"/>
      <c r="J17" s="139">
        <v>75000</v>
      </c>
      <c r="K17" s="139" t="s">
        <v>3022</v>
      </c>
    </row>
    <row r="18" spans="1:11" ht="19" x14ac:dyDescent="0.2">
      <c r="A18" s="143"/>
      <c r="B18" s="153"/>
      <c r="C18" s="163"/>
      <c r="D18" s="155"/>
      <c r="E18" s="164"/>
      <c r="F18" s="119"/>
      <c r="G18" s="119"/>
      <c r="H18" s="119"/>
      <c r="I18" s="119"/>
      <c r="J18" s="119">
        <v>75000</v>
      </c>
      <c r="K18" s="119" t="s">
        <v>3023</v>
      </c>
    </row>
    <row r="19" spans="1:11" ht="19" x14ac:dyDescent="0.2">
      <c r="A19" s="144">
        <v>2137000</v>
      </c>
      <c r="B19" s="145"/>
      <c r="C19" s="151" t="s">
        <v>10</v>
      </c>
      <c r="D19" s="147" t="s">
        <v>2767</v>
      </c>
      <c r="E19" s="150">
        <v>1515000</v>
      </c>
      <c r="F19" s="139">
        <v>308000</v>
      </c>
      <c r="G19" s="139">
        <v>314000</v>
      </c>
      <c r="H19" s="139"/>
      <c r="I19" s="139"/>
      <c r="J19" s="139">
        <v>75000</v>
      </c>
      <c r="K19" s="139" t="s">
        <v>3024</v>
      </c>
    </row>
    <row r="20" spans="1:11" ht="19" x14ac:dyDescent="0.2">
      <c r="A20" s="143"/>
      <c r="B20" s="153"/>
      <c r="C20" s="163"/>
      <c r="D20" s="155"/>
      <c r="E20" s="164"/>
      <c r="F20" s="119"/>
      <c r="G20" s="119"/>
      <c r="H20" s="119"/>
      <c r="I20" s="119"/>
      <c r="J20" s="119">
        <v>105000</v>
      </c>
      <c r="K20" s="119" t="s">
        <v>821</v>
      </c>
    </row>
    <row r="21" spans="1:11" ht="19" x14ac:dyDescent="0.2">
      <c r="A21" s="144"/>
      <c r="B21" s="145"/>
      <c r="C21" s="149"/>
      <c r="D21" s="147"/>
      <c r="E21" s="150"/>
      <c r="F21" s="139"/>
      <c r="G21" s="139"/>
      <c r="H21" s="139"/>
      <c r="I21" s="139"/>
      <c r="J21" s="139">
        <v>300000</v>
      </c>
      <c r="K21" s="139" t="s">
        <v>3025</v>
      </c>
    </row>
    <row r="22" spans="1:11" ht="19" x14ac:dyDescent="0.2">
      <c r="A22" s="143"/>
      <c r="B22" s="32"/>
      <c r="C22" s="49"/>
      <c r="D22" s="13"/>
      <c r="E22" s="15"/>
      <c r="F22" s="9"/>
      <c r="G22" s="9"/>
      <c r="H22" s="9"/>
      <c r="I22" s="9"/>
      <c r="J22" s="9">
        <v>90000</v>
      </c>
      <c r="K22" s="9" t="s">
        <v>537</v>
      </c>
    </row>
    <row r="23" spans="1:11" ht="19" x14ac:dyDescent="0.2">
      <c r="A23" s="144"/>
      <c r="B23" s="145"/>
      <c r="C23" s="149"/>
      <c r="D23" s="147"/>
      <c r="E23" s="150"/>
      <c r="F23" s="139"/>
      <c r="G23" s="139"/>
      <c r="H23" s="139"/>
      <c r="I23" s="139"/>
      <c r="J23" s="139">
        <v>91000</v>
      </c>
      <c r="K23" s="139" t="s">
        <v>3026</v>
      </c>
    </row>
    <row r="24" spans="1:11" ht="19" x14ac:dyDescent="0.2">
      <c r="A24" s="142"/>
      <c r="B24" s="32"/>
      <c r="C24" s="49"/>
      <c r="D24" s="13"/>
      <c r="E24" s="15"/>
      <c r="F24" s="9"/>
      <c r="G24" s="9"/>
      <c r="H24" s="9"/>
      <c r="I24" s="9"/>
      <c r="J24" s="9">
        <v>7000</v>
      </c>
      <c r="K24" s="9" t="s">
        <v>642</v>
      </c>
    </row>
    <row r="25" spans="1:11" ht="19" x14ac:dyDescent="0.2">
      <c r="A25" s="148">
        <v>3238000</v>
      </c>
      <c r="B25" s="145">
        <v>45447</v>
      </c>
      <c r="C25" s="149" t="s">
        <v>9</v>
      </c>
      <c r="D25" s="147" t="s">
        <v>565</v>
      </c>
      <c r="E25" s="150">
        <v>2050000</v>
      </c>
      <c r="F25" s="139">
        <v>501000</v>
      </c>
      <c r="G25" s="139">
        <v>687000</v>
      </c>
      <c r="H25" s="139"/>
      <c r="I25" s="139"/>
      <c r="J25" s="139">
        <v>494000</v>
      </c>
      <c r="K25" s="139" t="s">
        <v>3027</v>
      </c>
    </row>
    <row r="26" spans="1:11" ht="19" x14ac:dyDescent="0.2">
      <c r="A26" s="142"/>
      <c r="B26" s="153"/>
      <c r="C26" s="171"/>
      <c r="D26" s="155"/>
      <c r="E26" s="164"/>
      <c r="F26" s="119"/>
      <c r="G26" s="119"/>
      <c r="H26" s="119"/>
      <c r="I26" s="119"/>
      <c r="J26" s="119">
        <v>57000</v>
      </c>
      <c r="K26" s="119" t="s">
        <v>3028</v>
      </c>
    </row>
    <row r="27" spans="1:11" ht="19" x14ac:dyDescent="0.2">
      <c r="A27" s="148">
        <v>1171000</v>
      </c>
      <c r="B27" s="145"/>
      <c r="C27" s="149" t="s">
        <v>10</v>
      </c>
      <c r="D27" s="147" t="s">
        <v>2767</v>
      </c>
      <c r="E27" s="150">
        <v>805000</v>
      </c>
      <c r="F27" s="139">
        <v>154000</v>
      </c>
      <c r="G27" s="139">
        <v>212000</v>
      </c>
      <c r="H27" s="139"/>
      <c r="I27" s="139"/>
      <c r="J27" s="139">
        <v>30000</v>
      </c>
      <c r="K27" s="139" t="s">
        <v>3029</v>
      </c>
    </row>
    <row r="28" spans="1:11" ht="19" x14ac:dyDescent="0.2">
      <c r="A28" s="143"/>
      <c r="B28" s="32"/>
      <c r="C28" s="49"/>
      <c r="D28" s="13"/>
      <c r="E28" s="15"/>
      <c r="F28" s="9"/>
      <c r="G28" s="9"/>
      <c r="H28" s="9"/>
      <c r="I28" s="9"/>
      <c r="J28" s="9">
        <v>35000</v>
      </c>
      <c r="K28" s="106" t="s">
        <v>2048</v>
      </c>
    </row>
    <row r="29" spans="1:11" ht="19" x14ac:dyDescent="0.2">
      <c r="A29" s="144"/>
      <c r="B29" s="145"/>
      <c r="C29" s="149"/>
      <c r="D29" s="147"/>
      <c r="E29" s="150"/>
      <c r="F29" s="139"/>
      <c r="G29" s="139"/>
      <c r="H29" s="139"/>
      <c r="I29" s="139"/>
      <c r="J29" s="139">
        <v>225000</v>
      </c>
      <c r="K29" s="139" t="s">
        <v>2052</v>
      </c>
    </row>
    <row r="30" spans="1:11" ht="19" x14ac:dyDescent="0.2">
      <c r="A30" s="143"/>
      <c r="B30" s="32"/>
      <c r="C30" s="49"/>
      <c r="D30" s="13"/>
      <c r="E30" s="15"/>
      <c r="F30" s="174"/>
      <c r="G30" s="174"/>
      <c r="H30" s="9"/>
      <c r="I30" s="9"/>
      <c r="J30" s="9">
        <v>200000</v>
      </c>
      <c r="K30" s="9" t="s">
        <v>3030</v>
      </c>
    </row>
    <row r="31" spans="1:11" ht="19" x14ac:dyDescent="0.2">
      <c r="A31" s="144"/>
      <c r="B31" s="145"/>
      <c r="C31" s="149"/>
      <c r="D31" s="147"/>
      <c r="E31" s="150"/>
      <c r="F31" s="139"/>
      <c r="G31" s="139"/>
      <c r="H31" s="139"/>
      <c r="I31" s="139"/>
      <c r="J31" s="139">
        <v>45000</v>
      </c>
      <c r="K31" s="139" t="s">
        <v>655</v>
      </c>
    </row>
    <row r="32" spans="1:11" ht="19" x14ac:dyDescent="0.2">
      <c r="A32" s="143"/>
      <c r="B32" s="32"/>
      <c r="C32" s="49"/>
      <c r="D32" s="13"/>
      <c r="E32" s="15"/>
      <c r="F32" s="9"/>
      <c r="G32" s="9"/>
      <c r="H32" s="9"/>
      <c r="I32" s="9"/>
      <c r="J32" s="9">
        <v>150000</v>
      </c>
      <c r="K32" s="9" t="s">
        <v>827</v>
      </c>
    </row>
    <row r="33" spans="1:11" ht="19" x14ac:dyDescent="0.2">
      <c r="A33" s="144">
        <v>2425000</v>
      </c>
      <c r="B33" s="145">
        <v>45448</v>
      </c>
      <c r="C33" s="149" t="s">
        <v>9</v>
      </c>
      <c r="D33" s="147" t="s">
        <v>565</v>
      </c>
      <c r="E33" s="150">
        <v>1294000</v>
      </c>
      <c r="F33" s="139">
        <v>630000</v>
      </c>
      <c r="G33" s="139">
        <v>501000</v>
      </c>
      <c r="H33" s="139"/>
      <c r="I33" s="139"/>
      <c r="J33" s="139">
        <v>98000</v>
      </c>
      <c r="K33" s="139" t="s">
        <v>3031</v>
      </c>
    </row>
    <row r="34" spans="1:11" ht="19" x14ac:dyDescent="0.2">
      <c r="A34" s="143"/>
      <c r="B34" s="153"/>
      <c r="C34" s="171"/>
      <c r="D34" s="155"/>
      <c r="E34" s="164"/>
      <c r="F34" s="119"/>
      <c r="G34" s="119"/>
      <c r="H34" s="119"/>
      <c r="I34" s="119"/>
      <c r="J34" s="119">
        <v>70000</v>
      </c>
      <c r="K34" s="119" t="s">
        <v>3032</v>
      </c>
    </row>
    <row r="35" spans="1:11" ht="19" x14ac:dyDescent="0.2">
      <c r="A35" s="144"/>
      <c r="B35" s="145"/>
      <c r="C35" s="149"/>
      <c r="D35" s="147"/>
      <c r="E35" s="150"/>
      <c r="F35" s="139"/>
      <c r="G35" s="139"/>
      <c r="H35" s="139"/>
      <c r="I35" s="284"/>
      <c r="J35" s="139">
        <v>28000</v>
      </c>
      <c r="K35" s="139" t="s">
        <v>3033</v>
      </c>
    </row>
    <row r="36" spans="1:11" ht="19" x14ac:dyDescent="0.2">
      <c r="A36" s="143"/>
      <c r="B36" s="32"/>
      <c r="C36" s="49"/>
      <c r="D36" s="13"/>
      <c r="E36" s="15"/>
      <c r="F36" s="9"/>
      <c r="G36" s="9"/>
      <c r="H36" s="9"/>
      <c r="I36" s="135"/>
      <c r="J36" s="9">
        <v>104000</v>
      </c>
      <c r="K36" s="9" t="s">
        <v>2138</v>
      </c>
    </row>
    <row r="37" spans="1:11" ht="19" x14ac:dyDescent="0.2">
      <c r="A37" s="144">
        <v>1629000</v>
      </c>
      <c r="B37" s="145"/>
      <c r="C37" s="149" t="s">
        <v>10</v>
      </c>
      <c r="D37" s="147" t="s">
        <v>2767</v>
      </c>
      <c r="E37" s="150">
        <v>1227000</v>
      </c>
      <c r="F37" s="139">
        <v>207000</v>
      </c>
      <c r="G37" s="139">
        <v>195000</v>
      </c>
      <c r="H37" s="139"/>
      <c r="I37" s="139"/>
      <c r="J37" s="139">
        <v>34000</v>
      </c>
      <c r="K37" s="139" t="s">
        <v>3034</v>
      </c>
    </row>
    <row r="38" spans="1:11" ht="19" x14ac:dyDescent="0.2">
      <c r="A38" s="143"/>
      <c r="B38" s="32"/>
      <c r="C38" s="49"/>
      <c r="D38" s="13"/>
      <c r="E38" s="15"/>
      <c r="F38" s="9"/>
      <c r="G38" s="9"/>
      <c r="H38" s="9"/>
      <c r="I38" s="9"/>
      <c r="J38" s="9">
        <v>89500</v>
      </c>
      <c r="K38" s="9" t="s">
        <v>692</v>
      </c>
    </row>
    <row r="39" spans="1:11" ht="19" x14ac:dyDescent="0.2">
      <c r="A39" s="144"/>
      <c r="B39" s="145"/>
      <c r="C39" s="149"/>
      <c r="D39" s="147"/>
      <c r="E39" s="150"/>
      <c r="F39" s="139"/>
      <c r="G39" s="139"/>
      <c r="H39" s="139"/>
      <c r="I39" s="139"/>
      <c r="J39" s="139">
        <v>99000</v>
      </c>
      <c r="K39" s="139" t="s">
        <v>2262</v>
      </c>
    </row>
    <row r="40" spans="1:11" ht="19" x14ac:dyDescent="0.2">
      <c r="A40" s="143">
        <v>3176000</v>
      </c>
      <c r="B40" s="153">
        <v>45449</v>
      </c>
      <c r="C40" s="171" t="s">
        <v>9</v>
      </c>
      <c r="D40" s="155" t="s">
        <v>565</v>
      </c>
      <c r="E40" s="164">
        <v>1827000</v>
      </c>
      <c r="F40" s="119">
        <v>688000</v>
      </c>
      <c r="G40" s="119">
        <v>661000</v>
      </c>
      <c r="H40" s="119"/>
      <c r="I40" s="119"/>
      <c r="J40" s="119">
        <v>150000</v>
      </c>
      <c r="K40" s="119" t="s">
        <v>2487</v>
      </c>
    </row>
    <row r="41" spans="1:11" ht="19" x14ac:dyDescent="0.2">
      <c r="A41" s="144"/>
      <c r="B41" s="145"/>
      <c r="C41" s="149"/>
      <c r="D41" s="147"/>
      <c r="E41" s="150"/>
      <c r="F41" s="139"/>
      <c r="G41" s="139"/>
      <c r="H41" s="139"/>
      <c r="I41" s="139"/>
      <c r="J41" s="139">
        <v>300000</v>
      </c>
      <c r="K41" s="139" t="s">
        <v>3035</v>
      </c>
    </row>
    <row r="42" spans="1:11" ht="19" x14ac:dyDescent="0.2">
      <c r="A42" s="143">
        <v>1578000</v>
      </c>
      <c r="B42" s="153"/>
      <c r="C42" s="171" t="s">
        <v>10</v>
      </c>
      <c r="D42" s="155" t="s">
        <v>2767</v>
      </c>
      <c r="E42" s="164">
        <v>1353000</v>
      </c>
      <c r="F42" s="119">
        <v>114000</v>
      </c>
      <c r="G42" s="119">
        <v>111000</v>
      </c>
      <c r="H42" s="119"/>
      <c r="I42" s="119"/>
      <c r="J42" s="119">
        <v>950000</v>
      </c>
      <c r="K42" s="119" t="s">
        <v>3120</v>
      </c>
    </row>
    <row r="43" spans="1:11" ht="19" x14ac:dyDescent="0.2">
      <c r="A43" s="144"/>
      <c r="B43" s="145"/>
      <c r="C43" s="149"/>
      <c r="D43" s="147"/>
      <c r="E43" s="150"/>
      <c r="F43" s="139"/>
      <c r="G43" s="139"/>
      <c r="H43" s="139"/>
      <c r="I43" s="139"/>
      <c r="J43" s="139">
        <v>1320000</v>
      </c>
      <c r="K43" s="139" t="s">
        <v>3121</v>
      </c>
    </row>
    <row r="44" spans="1:11" ht="19" x14ac:dyDescent="0.2">
      <c r="A44" s="143">
        <v>2639000</v>
      </c>
      <c r="B44" s="153">
        <v>45450</v>
      </c>
      <c r="C44" s="171" t="s">
        <v>9</v>
      </c>
      <c r="D44" s="155" t="s">
        <v>685</v>
      </c>
      <c r="E44" s="164">
        <v>1747000</v>
      </c>
      <c r="F44" s="119">
        <v>652000</v>
      </c>
      <c r="G44" s="119">
        <v>240000</v>
      </c>
      <c r="H44" s="119"/>
      <c r="I44" s="119"/>
      <c r="J44" s="119">
        <v>47000</v>
      </c>
      <c r="K44" s="119" t="s">
        <v>1755</v>
      </c>
    </row>
    <row r="45" spans="1:11" ht="19" x14ac:dyDescent="0.2">
      <c r="A45" s="144"/>
      <c r="B45" s="145"/>
      <c r="C45" s="149"/>
      <c r="D45" s="147"/>
      <c r="E45" s="150"/>
      <c r="F45" s="139"/>
      <c r="G45" s="139"/>
      <c r="H45" s="139"/>
      <c r="I45" s="139"/>
      <c r="J45" s="139">
        <v>13000</v>
      </c>
      <c r="K45" s="139" t="s">
        <v>2670</v>
      </c>
    </row>
    <row r="46" spans="1:11" ht="19" x14ac:dyDescent="0.2">
      <c r="A46" s="143"/>
      <c r="B46" s="153"/>
      <c r="C46" s="171"/>
      <c r="D46" s="155"/>
      <c r="E46" s="164"/>
      <c r="F46" s="119"/>
      <c r="G46" s="119"/>
      <c r="H46" s="119"/>
      <c r="I46" s="119"/>
      <c r="J46" s="119">
        <v>50000</v>
      </c>
      <c r="K46" s="119" t="s">
        <v>3036</v>
      </c>
    </row>
    <row r="47" spans="1:11" ht="19" x14ac:dyDescent="0.2">
      <c r="A47" s="144"/>
      <c r="B47" s="145"/>
      <c r="C47" s="149"/>
      <c r="D47" s="147"/>
      <c r="E47" s="150"/>
      <c r="F47" s="139"/>
      <c r="G47" s="139"/>
      <c r="H47" s="139"/>
      <c r="I47" s="139"/>
      <c r="J47" s="139">
        <v>95000</v>
      </c>
      <c r="K47" s="139" t="s">
        <v>3037</v>
      </c>
    </row>
    <row r="48" spans="1:11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>
        <v>200000</v>
      </c>
      <c r="K48" s="119" t="s">
        <v>2931</v>
      </c>
    </row>
    <row r="49" spans="1:11" ht="19" x14ac:dyDescent="0.2">
      <c r="A49" s="144"/>
      <c r="B49" s="145"/>
      <c r="C49" s="149"/>
      <c r="D49" s="147"/>
      <c r="E49" s="150"/>
      <c r="F49" s="139"/>
      <c r="G49" s="139"/>
      <c r="H49" s="139"/>
      <c r="I49" s="139"/>
      <c r="J49" s="139">
        <v>120000</v>
      </c>
      <c r="K49" s="139" t="s">
        <v>1553</v>
      </c>
    </row>
    <row r="50" spans="1:11" ht="19" x14ac:dyDescent="0.2">
      <c r="A50" s="143">
        <v>1239000</v>
      </c>
      <c r="B50" s="153"/>
      <c r="C50" s="171" t="s">
        <v>10</v>
      </c>
      <c r="D50" s="155" t="s">
        <v>2767</v>
      </c>
      <c r="E50" s="164">
        <v>895000</v>
      </c>
      <c r="F50" s="119">
        <v>246000</v>
      </c>
      <c r="G50" s="119">
        <v>98000</v>
      </c>
      <c r="H50" s="119"/>
      <c r="I50" s="119"/>
      <c r="J50" s="119"/>
      <c r="K50" s="119"/>
    </row>
    <row r="51" spans="1:11" ht="19" x14ac:dyDescent="0.2">
      <c r="A51" s="144"/>
      <c r="B51" s="145"/>
      <c r="C51" s="149"/>
      <c r="D51" s="147"/>
      <c r="E51" s="150"/>
      <c r="F51" s="139"/>
      <c r="G51" s="139"/>
      <c r="H51" s="139"/>
      <c r="I51" s="139"/>
      <c r="J51" s="139"/>
      <c r="K51" s="139"/>
    </row>
    <row r="52" spans="1:11" ht="19" x14ac:dyDescent="0.2">
      <c r="A52" s="143">
        <v>2364000</v>
      </c>
      <c r="B52" s="153">
        <v>45451</v>
      </c>
      <c r="C52" s="171" t="s">
        <v>9</v>
      </c>
      <c r="D52" s="155" t="s">
        <v>685</v>
      </c>
      <c r="E52" s="164">
        <v>1822000</v>
      </c>
      <c r="F52" s="119">
        <v>297000</v>
      </c>
      <c r="G52" s="119">
        <v>245000</v>
      </c>
      <c r="H52" s="119"/>
      <c r="I52" s="119"/>
      <c r="J52" s="119">
        <v>494000</v>
      </c>
      <c r="K52" s="119" t="s">
        <v>3038</v>
      </c>
    </row>
    <row r="53" spans="1:11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/>
      <c r="K53" s="139"/>
    </row>
    <row r="54" spans="1:11" ht="19" x14ac:dyDescent="0.2">
      <c r="A54" s="143">
        <v>1651000</v>
      </c>
      <c r="B54" s="153"/>
      <c r="C54" s="171" t="s">
        <v>10</v>
      </c>
      <c r="D54" s="155" t="s">
        <v>2767</v>
      </c>
      <c r="E54" s="164">
        <v>1476000</v>
      </c>
      <c r="F54" s="119">
        <v>64000</v>
      </c>
      <c r="G54" s="119">
        <v>111000</v>
      </c>
      <c r="H54" s="173"/>
      <c r="I54" s="119"/>
      <c r="J54" s="119">
        <v>22000</v>
      </c>
      <c r="K54" s="119" t="s">
        <v>3039</v>
      </c>
    </row>
    <row r="55" spans="1:11" ht="19" x14ac:dyDescent="0.2">
      <c r="A55" s="144"/>
      <c r="B55" s="145"/>
      <c r="C55" s="149"/>
      <c r="D55" s="147"/>
      <c r="E55" s="150"/>
      <c r="F55" s="139"/>
      <c r="G55" s="139"/>
      <c r="H55" s="157"/>
      <c r="I55" s="139"/>
      <c r="J55" s="139">
        <v>41000</v>
      </c>
      <c r="K55" s="139" t="s">
        <v>3040</v>
      </c>
    </row>
    <row r="56" spans="1:11" ht="19" x14ac:dyDescent="0.2">
      <c r="A56" s="143"/>
      <c r="B56" s="153"/>
      <c r="C56" s="171"/>
      <c r="D56" s="155"/>
      <c r="E56" s="164"/>
      <c r="F56" s="119"/>
      <c r="G56" s="119"/>
      <c r="H56" s="173"/>
      <c r="I56" s="119"/>
      <c r="J56" s="119">
        <v>63000</v>
      </c>
      <c r="K56" s="119" t="s">
        <v>1759</v>
      </c>
    </row>
    <row r="57" spans="1:11" ht="19" x14ac:dyDescent="0.2">
      <c r="A57" s="144"/>
      <c r="B57" s="145"/>
      <c r="C57" s="149"/>
      <c r="D57" s="147"/>
      <c r="E57" s="150"/>
      <c r="F57" s="139"/>
      <c r="G57" s="139"/>
      <c r="H57" s="157"/>
      <c r="I57" s="139"/>
      <c r="J57" s="139">
        <v>47000</v>
      </c>
      <c r="K57" s="139" t="s">
        <v>1493</v>
      </c>
    </row>
    <row r="58" spans="1:11" ht="19" x14ac:dyDescent="0.2">
      <c r="A58" s="143"/>
      <c r="B58" s="153"/>
      <c r="C58" s="171"/>
      <c r="D58" s="155"/>
      <c r="E58" s="164"/>
      <c r="F58" s="119"/>
      <c r="G58" s="119"/>
      <c r="H58" s="119"/>
      <c r="I58" s="119"/>
      <c r="J58" s="119">
        <v>50000</v>
      </c>
      <c r="K58" s="119" t="s">
        <v>123</v>
      </c>
    </row>
    <row r="59" spans="1:11" ht="19" x14ac:dyDescent="0.2">
      <c r="A59" s="144">
        <v>1557000</v>
      </c>
      <c r="B59" s="145">
        <v>45452</v>
      </c>
      <c r="C59" s="149" t="s">
        <v>9</v>
      </c>
      <c r="D59" s="147" t="s">
        <v>685</v>
      </c>
      <c r="E59" s="150">
        <v>1198000</v>
      </c>
      <c r="F59" s="150">
        <v>86000</v>
      </c>
      <c r="G59" s="139">
        <v>273000</v>
      </c>
      <c r="H59" s="139"/>
      <c r="I59" s="139"/>
      <c r="J59" s="139">
        <v>175000</v>
      </c>
      <c r="K59" s="139" t="s">
        <v>1296</v>
      </c>
    </row>
    <row r="60" spans="1:11" ht="19" x14ac:dyDescent="0.2">
      <c r="A60" s="143"/>
      <c r="B60" s="153"/>
      <c r="C60" s="171" t="s">
        <v>10</v>
      </c>
      <c r="D60" s="155"/>
      <c r="E60" s="164"/>
      <c r="F60" s="119"/>
      <c r="G60" s="119"/>
      <c r="H60" s="119"/>
      <c r="I60" s="119" t="s">
        <v>1721</v>
      </c>
      <c r="J60" s="119">
        <v>120000</v>
      </c>
      <c r="K60" s="119" t="s">
        <v>2299</v>
      </c>
    </row>
    <row r="61" spans="1:11" ht="19" x14ac:dyDescent="0.2">
      <c r="A61" s="144"/>
      <c r="B61" s="145"/>
      <c r="C61" s="149"/>
      <c r="D61" s="147"/>
      <c r="E61" s="150"/>
      <c r="F61" s="139"/>
      <c r="G61" s="139"/>
      <c r="H61" s="139"/>
      <c r="I61" s="139"/>
      <c r="J61" s="139">
        <v>192000</v>
      </c>
      <c r="K61" s="139" t="s">
        <v>1245</v>
      </c>
    </row>
    <row r="62" spans="1:11" ht="19" x14ac:dyDescent="0.2">
      <c r="A62" s="143">
        <v>2569000</v>
      </c>
      <c r="B62" s="153">
        <v>45453</v>
      </c>
      <c r="C62" s="171" t="s">
        <v>9</v>
      </c>
      <c r="D62" s="155" t="s">
        <v>685</v>
      </c>
      <c r="E62" s="164">
        <v>1684000</v>
      </c>
      <c r="F62" s="119">
        <v>563000</v>
      </c>
      <c r="G62" s="119">
        <v>322000</v>
      </c>
      <c r="H62" s="119"/>
      <c r="I62" s="119"/>
      <c r="J62" s="119">
        <v>225000</v>
      </c>
      <c r="K62" s="119" t="s">
        <v>2203</v>
      </c>
    </row>
    <row r="63" spans="1:11" ht="19" x14ac:dyDescent="0.2">
      <c r="A63" s="144"/>
      <c r="B63" s="145"/>
      <c r="C63" s="149"/>
      <c r="D63" s="147"/>
      <c r="E63" s="150"/>
      <c r="F63" s="139"/>
      <c r="G63" s="139"/>
      <c r="H63" s="139"/>
      <c r="I63" s="139"/>
      <c r="J63" s="139"/>
      <c r="K63" s="139"/>
    </row>
    <row r="64" spans="1:11" ht="19" x14ac:dyDescent="0.2">
      <c r="A64" s="206">
        <v>2079000</v>
      </c>
      <c r="B64" s="207"/>
      <c r="C64" s="171" t="s">
        <v>10</v>
      </c>
      <c r="D64" s="155" t="s">
        <v>2767</v>
      </c>
      <c r="E64" s="210">
        <v>1368000</v>
      </c>
      <c r="F64" s="211">
        <v>175000</v>
      </c>
      <c r="G64" s="211">
        <v>536000</v>
      </c>
      <c r="H64" s="211"/>
      <c r="I64" s="211"/>
      <c r="J64" s="211"/>
      <c r="K64" s="119"/>
    </row>
    <row r="65" spans="1:11" ht="19" x14ac:dyDescent="0.2">
      <c r="A65" s="144"/>
      <c r="B65" s="145"/>
      <c r="C65" s="149"/>
      <c r="D65" s="147"/>
      <c r="E65" s="150"/>
      <c r="F65" s="139"/>
      <c r="G65" s="139"/>
      <c r="H65" s="139"/>
      <c r="I65" s="139"/>
      <c r="J65" s="139"/>
      <c r="K65" s="139"/>
    </row>
    <row r="66" spans="1:11" ht="19" x14ac:dyDescent="0.2">
      <c r="A66" s="143">
        <v>2087000</v>
      </c>
      <c r="B66" s="32">
        <v>45454</v>
      </c>
      <c r="C66" s="49" t="s">
        <v>9</v>
      </c>
      <c r="D66" s="13" t="s">
        <v>685</v>
      </c>
      <c r="E66" s="15">
        <v>1607000</v>
      </c>
      <c r="F66" s="9">
        <v>392000</v>
      </c>
      <c r="G66" s="9">
        <v>88000</v>
      </c>
      <c r="H66" s="9"/>
      <c r="I66" s="9"/>
      <c r="J66" s="9">
        <v>50000</v>
      </c>
      <c r="K66" s="9" t="s">
        <v>3041</v>
      </c>
    </row>
    <row r="67" spans="1:11" ht="19" x14ac:dyDescent="0.2">
      <c r="A67" s="144"/>
      <c r="B67" s="145"/>
      <c r="C67" s="149"/>
      <c r="D67" s="147"/>
      <c r="E67" s="150"/>
      <c r="F67" s="139"/>
      <c r="G67" s="139"/>
      <c r="H67" s="139"/>
      <c r="I67" s="139"/>
      <c r="J67" s="139">
        <v>40000</v>
      </c>
      <c r="K67" s="139" t="s">
        <v>2247</v>
      </c>
    </row>
    <row r="68" spans="1:11" ht="19" x14ac:dyDescent="0.2">
      <c r="A68" s="143"/>
      <c r="B68" s="32"/>
      <c r="C68" s="49"/>
      <c r="D68" s="13"/>
      <c r="E68" s="15"/>
      <c r="F68" s="9"/>
      <c r="G68" s="9"/>
      <c r="H68" s="9"/>
      <c r="I68" s="9"/>
      <c r="J68" s="9">
        <v>51000</v>
      </c>
      <c r="K68" s="9" t="s">
        <v>3042</v>
      </c>
    </row>
    <row r="69" spans="1:11" ht="19" x14ac:dyDescent="0.2">
      <c r="A69" s="148"/>
      <c r="B69" s="145"/>
      <c r="C69" s="151"/>
      <c r="D69" s="147"/>
      <c r="E69" s="150"/>
      <c r="F69" s="139"/>
      <c r="G69" s="139"/>
      <c r="H69" s="139"/>
      <c r="I69" s="139"/>
      <c r="J69" s="139">
        <v>74000</v>
      </c>
      <c r="K69" s="139" t="s">
        <v>3012</v>
      </c>
    </row>
    <row r="70" spans="1:11" ht="19" x14ac:dyDescent="0.2">
      <c r="A70" s="143"/>
      <c r="B70" s="153"/>
      <c r="C70" s="163"/>
      <c r="D70" s="155"/>
      <c r="E70" s="164"/>
      <c r="F70" s="119"/>
      <c r="G70" s="119"/>
      <c r="H70" s="119"/>
      <c r="I70" s="119"/>
      <c r="J70" s="119">
        <v>68000</v>
      </c>
      <c r="K70" s="119" t="s">
        <v>1500</v>
      </c>
    </row>
    <row r="71" spans="1:11" ht="19" x14ac:dyDescent="0.2">
      <c r="A71" s="144"/>
      <c r="B71" s="145"/>
      <c r="C71" s="149"/>
      <c r="D71" s="147"/>
      <c r="E71" s="150"/>
      <c r="F71" s="139"/>
      <c r="G71" s="139"/>
      <c r="H71" s="152"/>
      <c r="I71" s="152"/>
      <c r="J71" s="139">
        <v>68000</v>
      </c>
      <c r="K71" s="139" t="s">
        <v>1872</v>
      </c>
    </row>
    <row r="72" spans="1:11" ht="19" x14ac:dyDescent="0.2">
      <c r="A72" s="143"/>
      <c r="B72" s="32"/>
      <c r="C72" s="49"/>
      <c r="D72" s="13"/>
      <c r="E72" s="15"/>
      <c r="F72" s="9"/>
      <c r="G72" s="9"/>
      <c r="H72" s="60"/>
      <c r="I72" s="60"/>
      <c r="J72" s="9">
        <v>191000</v>
      </c>
      <c r="K72" s="9" t="s">
        <v>2998</v>
      </c>
    </row>
    <row r="73" spans="1:11" ht="19" x14ac:dyDescent="0.2">
      <c r="A73" s="144"/>
      <c r="B73" s="145"/>
      <c r="C73" s="149"/>
      <c r="D73" s="147"/>
      <c r="E73" s="150"/>
      <c r="F73" s="139"/>
      <c r="G73" s="139"/>
      <c r="H73" s="152"/>
      <c r="I73" s="152"/>
      <c r="J73" s="139">
        <v>110000</v>
      </c>
      <c r="K73" s="139" t="s">
        <v>3043</v>
      </c>
    </row>
    <row r="74" spans="1:11" ht="19" x14ac:dyDescent="0.2">
      <c r="A74" s="143"/>
      <c r="B74" s="153"/>
      <c r="C74" s="171"/>
      <c r="D74" s="155"/>
      <c r="E74" s="164"/>
      <c r="F74" s="119"/>
      <c r="G74" s="119"/>
      <c r="H74" s="175"/>
      <c r="I74" s="175"/>
      <c r="J74" s="119">
        <v>7000</v>
      </c>
      <c r="K74" s="119" t="s">
        <v>3044</v>
      </c>
    </row>
    <row r="75" spans="1:11" ht="19" x14ac:dyDescent="0.2">
      <c r="A75" s="144"/>
      <c r="B75" s="145"/>
      <c r="C75" s="149"/>
      <c r="D75" s="147"/>
      <c r="E75" s="150"/>
      <c r="F75" s="139"/>
      <c r="G75" s="139"/>
      <c r="H75" s="152"/>
      <c r="I75" s="152"/>
      <c r="J75" s="139">
        <v>24000</v>
      </c>
      <c r="K75" s="139" t="s">
        <v>3045</v>
      </c>
    </row>
    <row r="76" spans="1:11" ht="19" x14ac:dyDescent="0.2">
      <c r="A76" s="143"/>
      <c r="B76" s="153"/>
      <c r="C76" s="171"/>
      <c r="D76" s="155"/>
      <c r="E76" s="164"/>
      <c r="F76" s="119"/>
      <c r="G76" s="119"/>
      <c r="H76" s="119"/>
      <c r="I76" s="119"/>
      <c r="J76" s="119">
        <v>20000</v>
      </c>
      <c r="K76" s="119" t="s">
        <v>3046</v>
      </c>
    </row>
    <row r="77" spans="1:11" ht="19" x14ac:dyDescent="0.2">
      <c r="A77" s="144"/>
      <c r="B77" s="145"/>
      <c r="C77" s="149"/>
      <c r="D77" s="147"/>
      <c r="E77" s="150"/>
      <c r="F77" s="139"/>
      <c r="G77" s="139"/>
      <c r="H77" s="152"/>
      <c r="I77" s="152"/>
      <c r="J77" s="139">
        <v>6000</v>
      </c>
      <c r="K77" s="139" t="s">
        <v>3047</v>
      </c>
    </row>
    <row r="78" spans="1:11" ht="19" x14ac:dyDescent="0.2">
      <c r="A78" s="143"/>
      <c r="B78" s="153"/>
      <c r="C78" s="171"/>
      <c r="D78" s="155"/>
      <c r="E78" s="15"/>
      <c r="F78" s="9"/>
      <c r="G78" s="9"/>
      <c r="H78" s="9"/>
      <c r="I78" s="9"/>
      <c r="J78" s="9">
        <v>13000</v>
      </c>
      <c r="K78" s="9" t="s">
        <v>2839</v>
      </c>
    </row>
    <row r="79" spans="1:11" ht="19" x14ac:dyDescent="0.2">
      <c r="A79" s="144">
        <v>1634000</v>
      </c>
      <c r="B79" s="145"/>
      <c r="C79" s="149" t="s">
        <v>10</v>
      </c>
      <c r="D79" s="147" t="s">
        <v>2767</v>
      </c>
      <c r="E79" s="150">
        <v>1151000</v>
      </c>
      <c r="F79" s="139">
        <v>182000</v>
      </c>
      <c r="G79" s="139">
        <v>301000</v>
      </c>
      <c r="H79" s="152"/>
      <c r="I79" s="152"/>
      <c r="J79" s="139"/>
      <c r="K79" s="139"/>
    </row>
    <row r="80" spans="1:11" ht="19" x14ac:dyDescent="0.2">
      <c r="A80" s="143"/>
      <c r="B80" s="153"/>
      <c r="C80" s="171"/>
      <c r="D80" s="155"/>
      <c r="E80" s="15"/>
      <c r="F80" s="9"/>
      <c r="G80" s="9"/>
      <c r="H80" s="106"/>
      <c r="I80" s="106"/>
      <c r="J80" s="9"/>
      <c r="K80" s="9"/>
    </row>
    <row r="81" spans="1:11" ht="19" x14ac:dyDescent="0.2">
      <c r="A81" s="144">
        <v>2307000</v>
      </c>
      <c r="B81" s="145">
        <v>45455</v>
      </c>
      <c r="C81" s="149" t="s">
        <v>9</v>
      </c>
      <c r="D81" s="147" t="s">
        <v>685</v>
      </c>
      <c r="E81" s="150">
        <v>1415000</v>
      </c>
      <c r="F81" s="139">
        <v>638000</v>
      </c>
      <c r="G81" s="139">
        <v>254000</v>
      </c>
      <c r="H81" s="152"/>
      <c r="I81" s="152"/>
      <c r="J81" s="139">
        <v>37000</v>
      </c>
      <c r="K81" s="139" t="s">
        <v>1493</v>
      </c>
    </row>
    <row r="82" spans="1:11" ht="19" x14ac:dyDescent="0.2">
      <c r="A82" s="143"/>
      <c r="B82" s="153"/>
      <c r="C82" s="171"/>
      <c r="D82" s="155"/>
      <c r="E82" s="164"/>
      <c r="F82" s="119"/>
      <c r="G82" s="119"/>
      <c r="H82" s="175"/>
      <c r="I82" s="175"/>
      <c r="J82" s="9">
        <v>9000</v>
      </c>
      <c r="K82" s="119" t="s">
        <v>3048</v>
      </c>
    </row>
    <row r="83" spans="1:11" ht="19" x14ac:dyDescent="0.2">
      <c r="A83" s="144"/>
      <c r="B83" s="145"/>
      <c r="C83" s="149"/>
      <c r="D83" s="147"/>
      <c r="E83" s="150"/>
      <c r="F83" s="139"/>
      <c r="G83" s="139"/>
      <c r="H83" s="152"/>
      <c r="I83" s="152"/>
      <c r="J83" s="139">
        <v>103000</v>
      </c>
      <c r="K83" s="139" t="s">
        <v>3049</v>
      </c>
    </row>
    <row r="84" spans="1:11" ht="19" x14ac:dyDescent="0.2">
      <c r="A84" s="143"/>
      <c r="B84" s="153"/>
      <c r="C84" s="171"/>
      <c r="D84" s="155"/>
      <c r="E84" s="164"/>
      <c r="F84" s="119"/>
      <c r="G84" s="119"/>
      <c r="H84" s="60"/>
      <c r="I84" s="60"/>
      <c r="J84" s="119">
        <v>40000</v>
      </c>
      <c r="K84" s="119" t="s">
        <v>3050</v>
      </c>
    </row>
    <row r="85" spans="1:11" ht="19" x14ac:dyDescent="0.2">
      <c r="A85" s="144"/>
      <c r="B85" s="145"/>
      <c r="C85" s="149"/>
      <c r="D85" s="147"/>
      <c r="E85" s="150"/>
      <c r="F85" s="139"/>
      <c r="G85" s="139"/>
      <c r="H85" s="152"/>
      <c r="I85" s="152"/>
      <c r="J85" s="139">
        <v>180000</v>
      </c>
      <c r="K85" s="139" t="s">
        <v>1838</v>
      </c>
    </row>
    <row r="86" spans="1:11" ht="19" x14ac:dyDescent="0.2">
      <c r="A86" s="143">
        <v>1590000</v>
      </c>
      <c r="B86" s="153"/>
      <c r="C86" s="171" t="s">
        <v>10</v>
      </c>
      <c r="D86" s="155" t="s">
        <v>2767</v>
      </c>
      <c r="E86" s="164">
        <v>1003000</v>
      </c>
      <c r="F86" s="119">
        <v>369000</v>
      </c>
      <c r="G86" s="119">
        <v>218000</v>
      </c>
      <c r="H86" s="175"/>
      <c r="I86" s="175"/>
      <c r="J86" s="119"/>
      <c r="K86" s="119"/>
    </row>
    <row r="87" spans="1:11" ht="19" x14ac:dyDescent="0.2">
      <c r="A87" s="144"/>
      <c r="B87" s="145"/>
      <c r="C87" s="149"/>
      <c r="D87" s="147"/>
      <c r="E87" s="150"/>
      <c r="F87" s="139"/>
      <c r="G87" s="139"/>
      <c r="H87" s="152"/>
      <c r="I87" s="152"/>
      <c r="J87" s="139">
        <v>550000</v>
      </c>
      <c r="K87" s="139" t="s">
        <v>3122</v>
      </c>
    </row>
    <row r="88" spans="1:11" ht="19" x14ac:dyDescent="0.2">
      <c r="A88" s="143">
        <v>3026000</v>
      </c>
      <c r="B88" s="153">
        <v>45456</v>
      </c>
      <c r="C88" s="49" t="s">
        <v>9</v>
      </c>
      <c r="D88" s="13" t="s">
        <v>685</v>
      </c>
      <c r="E88" s="15">
        <v>1498000</v>
      </c>
      <c r="F88" s="9">
        <v>519000</v>
      </c>
      <c r="G88" s="9">
        <v>1009000</v>
      </c>
      <c r="H88" s="119">
        <v>3780000</v>
      </c>
      <c r="I88" s="9" t="s">
        <v>3124</v>
      </c>
      <c r="J88" s="9">
        <v>63000</v>
      </c>
      <c r="K88" s="9" t="s">
        <v>3051</v>
      </c>
    </row>
    <row r="89" spans="1:11" ht="19" x14ac:dyDescent="0.2">
      <c r="A89" s="144"/>
      <c r="B89" s="145"/>
      <c r="C89" s="149"/>
      <c r="D89" s="147"/>
      <c r="E89" s="150"/>
      <c r="F89" s="139"/>
      <c r="G89" s="139"/>
      <c r="H89" s="139"/>
      <c r="I89" s="139"/>
      <c r="J89" s="139">
        <v>25000</v>
      </c>
      <c r="K89" s="139" t="s">
        <v>3052</v>
      </c>
    </row>
    <row r="90" spans="1:11" ht="19" x14ac:dyDescent="0.2">
      <c r="A90" s="143"/>
      <c r="B90" s="32"/>
      <c r="C90" s="49"/>
      <c r="D90" s="13"/>
      <c r="E90" s="15"/>
      <c r="F90" s="9"/>
      <c r="G90" s="9"/>
      <c r="H90" s="9"/>
      <c r="I90" s="9"/>
      <c r="J90" s="9">
        <v>74000</v>
      </c>
      <c r="K90" s="9" t="s">
        <v>1641</v>
      </c>
    </row>
    <row r="91" spans="1:11" ht="19" x14ac:dyDescent="0.2">
      <c r="A91" s="144"/>
      <c r="B91" s="145"/>
      <c r="C91" s="149"/>
      <c r="D91" s="147"/>
      <c r="E91" s="150"/>
      <c r="F91" s="139"/>
      <c r="G91" s="139"/>
      <c r="H91" s="139"/>
      <c r="I91" s="139"/>
      <c r="J91" s="139">
        <v>50000</v>
      </c>
      <c r="K91" s="139" t="s">
        <v>3036</v>
      </c>
    </row>
    <row r="92" spans="1:11" ht="19" x14ac:dyDescent="0.2">
      <c r="A92" s="143"/>
      <c r="B92" s="32"/>
      <c r="C92" s="49"/>
      <c r="D92" s="13"/>
      <c r="E92" s="15"/>
      <c r="F92" s="9"/>
      <c r="G92" s="9"/>
      <c r="H92" s="60"/>
      <c r="I92" s="60"/>
      <c r="J92" s="9">
        <v>150000</v>
      </c>
      <c r="K92" s="9" t="s">
        <v>2961</v>
      </c>
    </row>
    <row r="93" spans="1:11" ht="19" x14ac:dyDescent="0.2">
      <c r="A93" s="144"/>
      <c r="B93" s="145"/>
      <c r="C93" s="159"/>
      <c r="D93" s="147"/>
      <c r="E93" s="150"/>
      <c r="F93" s="139"/>
      <c r="G93" s="139"/>
      <c r="H93" s="139"/>
      <c r="I93" s="139"/>
      <c r="J93" s="139">
        <v>150000</v>
      </c>
      <c r="K93" s="139" t="s">
        <v>3053</v>
      </c>
    </row>
    <row r="94" spans="1:11" ht="19" x14ac:dyDescent="0.2">
      <c r="A94" s="143"/>
      <c r="B94" s="153"/>
      <c r="C94" s="171"/>
      <c r="D94" s="155"/>
      <c r="E94" s="164"/>
      <c r="F94" s="119"/>
      <c r="G94" s="119"/>
      <c r="H94" s="119"/>
      <c r="I94" s="119"/>
      <c r="J94" s="119">
        <v>150000</v>
      </c>
      <c r="K94" s="119" t="s">
        <v>3054</v>
      </c>
    </row>
    <row r="95" spans="1:11" ht="19" x14ac:dyDescent="0.2">
      <c r="A95" s="144"/>
      <c r="B95" s="145"/>
      <c r="C95" s="149"/>
      <c r="D95" s="147"/>
      <c r="E95" s="150"/>
      <c r="F95" s="139"/>
      <c r="G95" s="139"/>
      <c r="H95" s="139"/>
      <c r="I95" s="139"/>
      <c r="J95" s="139">
        <v>150000</v>
      </c>
      <c r="K95" s="139" t="s">
        <v>3055</v>
      </c>
    </row>
    <row r="96" spans="1:11" ht="19" x14ac:dyDescent="0.2">
      <c r="A96" s="143"/>
      <c r="B96" s="153"/>
      <c r="C96" s="171"/>
      <c r="D96" s="155"/>
      <c r="E96" s="164"/>
      <c r="F96" s="119"/>
      <c r="G96" s="119"/>
      <c r="H96" s="119"/>
      <c r="I96" s="119"/>
      <c r="J96" s="119">
        <v>56000</v>
      </c>
      <c r="K96" s="119" t="s">
        <v>3056</v>
      </c>
    </row>
    <row r="97" spans="1:11" ht="19" x14ac:dyDescent="0.2">
      <c r="A97" s="144"/>
      <c r="B97" s="145"/>
      <c r="C97" s="149"/>
      <c r="D97" s="147"/>
      <c r="E97" s="150"/>
      <c r="F97" s="139"/>
      <c r="G97" s="139"/>
      <c r="H97" s="139"/>
      <c r="I97" s="139"/>
      <c r="J97" s="139">
        <v>28000</v>
      </c>
      <c r="K97" s="139" t="s">
        <v>3057</v>
      </c>
    </row>
    <row r="98" spans="1:11" ht="19" x14ac:dyDescent="0.2">
      <c r="A98" s="143">
        <v>1743000</v>
      </c>
      <c r="B98" s="153"/>
      <c r="C98" s="171" t="s">
        <v>10</v>
      </c>
      <c r="D98" s="155" t="s">
        <v>2767</v>
      </c>
      <c r="E98" s="164">
        <v>1112000</v>
      </c>
      <c r="F98" s="119">
        <v>597000</v>
      </c>
      <c r="G98" s="119">
        <v>34000</v>
      </c>
      <c r="H98" s="119"/>
      <c r="I98" s="119"/>
      <c r="J98" s="119">
        <v>200000</v>
      </c>
      <c r="K98" s="119" t="s">
        <v>2796</v>
      </c>
    </row>
    <row r="99" spans="1:11" ht="19" x14ac:dyDescent="0.2">
      <c r="A99" s="144"/>
      <c r="B99" s="145"/>
      <c r="C99" s="149"/>
      <c r="D99" s="147"/>
      <c r="E99" s="150"/>
      <c r="F99" s="139"/>
      <c r="G99" s="139"/>
      <c r="H99" s="139"/>
      <c r="I99" s="139"/>
      <c r="J99" s="139">
        <v>45000</v>
      </c>
      <c r="K99" s="139" t="s">
        <v>1467</v>
      </c>
    </row>
    <row r="100" spans="1:11" ht="19" x14ac:dyDescent="0.2">
      <c r="A100" s="143"/>
      <c r="B100" s="153"/>
      <c r="C100" s="171"/>
      <c r="D100" s="155"/>
      <c r="E100" s="164"/>
      <c r="F100" s="119"/>
      <c r="G100" s="119"/>
      <c r="H100" s="175"/>
      <c r="I100" s="175"/>
      <c r="J100" s="119">
        <v>150000</v>
      </c>
      <c r="K100" s="119" t="s">
        <v>1710</v>
      </c>
    </row>
    <row r="101" spans="1:11" ht="19" x14ac:dyDescent="0.2">
      <c r="A101" s="144">
        <v>3252000</v>
      </c>
      <c r="B101" s="145">
        <v>45457</v>
      </c>
      <c r="C101" s="149" t="s">
        <v>9</v>
      </c>
      <c r="D101" s="147" t="s">
        <v>685</v>
      </c>
      <c r="E101" s="150">
        <v>2003000</v>
      </c>
      <c r="F101" s="139">
        <v>741000</v>
      </c>
      <c r="G101" s="139">
        <v>508000</v>
      </c>
      <c r="H101" s="152"/>
      <c r="I101" s="152"/>
      <c r="J101" s="139">
        <v>103000</v>
      </c>
      <c r="K101" s="139" t="s">
        <v>2714</v>
      </c>
    </row>
    <row r="102" spans="1:11" ht="19" x14ac:dyDescent="0.2">
      <c r="A102" s="143"/>
      <c r="B102" s="153"/>
      <c r="C102" s="171"/>
      <c r="D102" s="155"/>
      <c r="E102" s="164"/>
      <c r="F102" s="119"/>
      <c r="G102" s="119"/>
      <c r="H102" s="119"/>
      <c r="I102" s="119"/>
      <c r="J102" s="119">
        <v>135000</v>
      </c>
      <c r="K102" s="119" t="s">
        <v>1649</v>
      </c>
    </row>
    <row r="103" spans="1:11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/>
      <c r="J103" s="139"/>
      <c r="K103" s="139"/>
    </row>
    <row r="104" spans="1:11" ht="19" x14ac:dyDescent="0.2">
      <c r="A104" s="143">
        <v>1739000</v>
      </c>
      <c r="B104" s="153"/>
      <c r="C104" s="171" t="s">
        <v>10</v>
      </c>
      <c r="D104" s="155" t="s">
        <v>2767</v>
      </c>
      <c r="E104" s="164">
        <v>1092000</v>
      </c>
      <c r="F104" s="119">
        <v>456000</v>
      </c>
      <c r="G104" s="119">
        <v>191000</v>
      </c>
      <c r="H104" s="119"/>
      <c r="I104" s="119"/>
      <c r="J104" s="119"/>
      <c r="K104" s="119"/>
    </row>
    <row r="105" spans="1:11" ht="19" x14ac:dyDescent="0.2">
      <c r="A105" s="148"/>
      <c r="B105" s="145"/>
      <c r="C105" s="149"/>
      <c r="D105" s="160"/>
      <c r="E105" s="150"/>
      <c r="F105" s="139"/>
      <c r="G105" s="139"/>
      <c r="H105" s="139"/>
      <c r="I105" s="139"/>
      <c r="J105" s="139"/>
      <c r="K105" s="139"/>
    </row>
    <row r="106" spans="1:11" ht="19" x14ac:dyDescent="0.2">
      <c r="A106" s="293">
        <v>1956000</v>
      </c>
      <c r="B106" s="153">
        <v>45458</v>
      </c>
      <c r="C106" s="171" t="s">
        <v>9</v>
      </c>
      <c r="D106" s="155" t="s">
        <v>685</v>
      </c>
      <c r="E106" s="164">
        <v>1379000</v>
      </c>
      <c r="F106" s="119">
        <v>350000</v>
      </c>
      <c r="G106" s="119">
        <v>227000</v>
      </c>
      <c r="H106" s="119"/>
      <c r="I106" s="119"/>
      <c r="J106" s="119">
        <v>52000</v>
      </c>
      <c r="K106" s="119" t="s">
        <v>1449</v>
      </c>
    </row>
    <row r="107" spans="1:11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/>
      <c r="J107" s="139">
        <v>13000</v>
      </c>
      <c r="K107" s="139" t="s">
        <v>2670</v>
      </c>
    </row>
    <row r="108" spans="1:11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/>
      <c r="J108" s="119">
        <v>7000</v>
      </c>
      <c r="K108" s="119" t="s">
        <v>2248</v>
      </c>
    </row>
    <row r="109" spans="1:11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/>
      <c r="J109" s="139">
        <v>19000</v>
      </c>
      <c r="K109" s="139" t="s">
        <v>3058</v>
      </c>
    </row>
    <row r="110" spans="1:11" ht="19" x14ac:dyDescent="0.2">
      <c r="A110" s="143"/>
      <c r="B110" s="153"/>
      <c r="C110" s="171"/>
      <c r="D110" s="155"/>
      <c r="E110" s="164"/>
      <c r="F110" s="119"/>
      <c r="G110" s="119"/>
      <c r="H110" s="119"/>
      <c r="I110" s="119"/>
      <c r="J110" s="119">
        <v>7000</v>
      </c>
      <c r="K110" s="119" t="s">
        <v>3059</v>
      </c>
    </row>
    <row r="111" spans="1:11" ht="19" x14ac:dyDescent="0.2">
      <c r="A111" s="144"/>
      <c r="B111" s="145"/>
      <c r="C111" s="149"/>
      <c r="D111" s="147"/>
      <c r="E111" s="150"/>
      <c r="F111" s="139"/>
      <c r="G111" s="139"/>
      <c r="H111" s="139"/>
      <c r="I111" s="152"/>
      <c r="J111" s="139">
        <v>86000</v>
      </c>
      <c r="K111" s="139" t="s">
        <v>3060</v>
      </c>
    </row>
    <row r="112" spans="1:11" ht="19" x14ac:dyDescent="0.2">
      <c r="A112" s="143"/>
      <c r="B112" s="153"/>
      <c r="C112" s="171"/>
      <c r="D112" s="155"/>
      <c r="E112" s="164"/>
      <c r="F112" s="119"/>
      <c r="G112" s="119"/>
      <c r="H112" s="119"/>
      <c r="I112" s="119"/>
      <c r="J112" s="119">
        <v>24000</v>
      </c>
      <c r="K112" s="119" t="s">
        <v>3061</v>
      </c>
    </row>
    <row r="113" spans="1:11" ht="19" x14ac:dyDescent="0.2">
      <c r="A113" s="144"/>
      <c r="B113" s="145"/>
      <c r="C113" s="149"/>
      <c r="D113" s="147"/>
      <c r="E113" s="150"/>
      <c r="F113" s="139"/>
      <c r="G113" s="139"/>
      <c r="H113" s="139"/>
      <c r="I113" s="139"/>
      <c r="J113" s="139"/>
      <c r="K113" s="139"/>
    </row>
    <row r="114" spans="1:11" ht="19" x14ac:dyDescent="0.2">
      <c r="A114" s="143">
        <v>1936000</v>
      </c>
      <c r="B114" s="153"/>
      <c r="C114" s="171" t="s">
        <v>10</v>
      </c>
      <c r="D114" s="155" t="s">
        <v>565</v>
      </c>
      <c r="E114" s="164">
        <v>1654000</v>
      </c>
      <c r="F114" s="119">
        <v>231000</v>
      </c>
      <c r="G114" s="119">
        <v>51000</v>
      </c>
      <c r="H114" s="119"/>
      <c r="I114" s="119"/>
      <c r="J114" s="174"/>
      <c r="K114" s="174"/>
    </row>
    <row r="115" spans="1:11" ht="32" x14ac:dyDescent="0.2">
      <c r="A115" s="144"/>
      <c r="B115" s="145"/>
      <c r="C115" s="149"/>
      <c r="D115" s="147"/>
      <c r="E115" s="150"/>
      <c r="F115" s="139"/>
      <c r="G115" s="139"/>
      <c r="H115" s="139">
        <v>1350000</v>
      </c>
      <c r="I115" s="161" t="s">
        <v>3062</v>
      </c>
      <c r="J115" s="162"/>
      <c r="K115" s="162"/>
    </row>
    <row r="116" spans="1:11" ht="19" x14ac:dyDescent="0.2">
      <c r="A116" s="143"/>
      <c r="B116" s="153"/>
      <c r="C116" s="171"/>
      <c r="D116" s="155"/>
      <c r="E116" s="164"/>
      <c r="F116" s="119"/>
      <c r="G116" s="119"/>
      <c r="H116" s="119">
        <v>2400000</v>
      </c>
      <c r="I116" s="119" t="s">
        <v>3063</v>
      </c>
      <c r="J116" s="119"/>
      <c r="K116" s="119"/>
    </row>
    <row r="117" spans="1:11" ht="19" x14ac:dyDescent="0.2">
      <c r="A117" s="144"/>
      <c r="B117" s="145"/>
      <c r="C117" s="149"/>
      <c r="D117" s="147"/>
      <c r="E117" s="150"/>
      <c r="F117" s="139"/>
      <c r="G117" s="139"/>
      <c r="H117" s="139">
        <v>800000</v>
      </c>
      <c r="I117" s="139" t="s">
        <v>3064</v>
      </c>
      <c r="J117" s="139">
        <v>450000</v>
      </c>
      <c r="K117" s="139" t="s">
        <v>3065</v>
      </c>
    </row>
    <row r="118" spans="1:11" ht="19" x14ac:dyDescent="0.2">
      <c r="A118" s="143"/>
      <c r="B118" s="153">
        <v>45459</v>
      </c>
      <c r="C118" s="171"/>
      <c r="D118" s="155"/>
      <c r="E118" s="164"/>
      <c r="F118" s="119"/>
      <c r="G118" s="119"/>
      <c r="H118" s="119"/>
      <c r="I118" s="119" t="s">
        <v>737</v>
      </c>
      <c r="J118" s="119">
        <v>500000</v>
      </c>
      <c r="K118" s="119" t="s">
        <v>3066</v>
      </c>
    </row>
    <row r="119" spans="1:11" ht="19" x14ac:dyDescent="0.2">
      <c r="A119" s="144">
        <v>1110000</v>
      </c>
      <c r="B119" s="145">
        <v>45460</v>
      </c>
      <c r="C119" s="149" t="s">
        <v>9</v>
      </c>
      <c r="D119" s="147" t="s">
        <v>565</v>
      </c>
      <c r="E119" s="150">
        <v>935000</v>
      </c>
      <c r="F119" s="139">
        <v>73000</v>
      </c>
      <c r="G119" s="139">
        <v>102000</v>
      </c>
      <c r="H119" s="139"/>
      <c r="I119" s="139"/>
      <c r="J119" s="139">
        <v>105000</v>
      </c>
      <c r="K119" s="139" t="s">
        <v>3067</v>
      </c>
    </row>
    <row r="120" spans="1:11" ht="19" x14ac:dyDescent="0.2">
      <c r="A120" s="143"/>
      <c r="B120" s="153"/>
      <c r="C120" s="171"/>
      <c r="D120" s="155"/>
      <c r="E120" s="164"/>
      <c r="F120" s="119"/>
      <c r="G120" s="119"/>
      <c r="H120" s="119"/>
      <c r="I120" s="119"/>
      <c r="J120" s="119">
        <v>50000</v>
      </c>
      <c r="K120" s="119" t="s">
        <v>123</v>
      </c>
    </row>
    <row r="121" spans="1:11" ht="19" x14ac:dyDescent="0.2">
      <c r="A121" s="144">
        <v>2156000</v>
      </c>
      <c r="B121" s="145"/>
      <c r="C121" s="149" t="s">
        <v>10</v>
      </c>
      <c r="D121" s="147" t="s">
        <v>2767</v>
      </c>
      <c r="E121" s="150">
        <v>1260000</v>
      </c>
      <c r="F121" s="139">
        <v>370000</v>
      </c>
      <c r="G121" s="139">
        <v>526000</v>
      </c>
      <c r="H121" s="139"/>
      <c r="I121" s="139"/>
      <c r="J121" s="139">
        <v>490000</v>
      </c>
      <c r="K121" s="139" t="s">
        <v>1888</v>
      </c>
    </row>
    <row r="122" spans="1:11" ht="19" x14ac:dyDescent="0.2">
      <c r="A122" s="143"/>
      <c r="B122" s="153"/>
      <c r="C122" s="163"/>
      <c r="D122" s="155"/>
      <c r="E122" s="164"/>
      <c r="F122" s="119"/>
      <c r="G122" s="119"/>
      <c r="H122" s="119"/>
      <c r="I122" s="119"/>
      <c r="J122" s="174">
        <v>225000</v>
      </c>
      <c r="K122" s="174" t="s">
        <v>2203</v>
      </c>
    </row>
    <row r="123" spans="1:11" ht="19" x14ac:dyDescent="0.2">
      <c r="A123" s="144">
        <v>1855000</v>
      </c>
      <c r="B123" s="145">
        <v>45461</v>
      </c>
      <c r="C123" s="151" t="s">
        <v>9</v>
      </c>
      <c r="D123" s="147" t="s">
        <v>685</v>
      </c>
      <c r="E123" s="150">
        <v>1318000</v>
      </c>
      <c r="F123" s="139">
        <v>223000</v>
      </c>
      <c r="G123" s="139">
        <v>314000</v>
      </c>
      <c r="H123" s="139"/>
      <c r="I123" s="139"/>
      <c r="J123" s="162">
        <v>66000</v>
      </c>
      <c r="K123" s="162" t="s">
        <v>1500</v>
      </c>
    </row>
    <row r="124" spans="1:11" ht="19" x14ac:dyDescent="0.2">
      <c r="A124" s="143"/>
      <c r="B124" s="153"/>
      <c r="C124" s="171"/>
      <c r="D124" s="155"/>
      <c r="E124" s="164"/>
      <c r="F124" s="119"/>
      <c r="G124" s="119"/>
      <c r="H124" s="119"/>
      <c r="I124" s="119"/>
      <c r="J124" s="174">
        <v>191000</v>
      </c>
      <c r="K124" s="174" t="s">
        <v>3068</v>
      </c>
    </row>
    <row r="125" spans="1:11" ht="19" x14ac:dyDescent="0.2">
      <c r="A125" s="144"/>
      <c r="B125" s="145"/>
      <c r="C125" s="149"/>
      <c r="D125" s="147"/>
      <c r="E125" s="150"/>
      <c r="F125" s="139"/>
      <c r="G125" s="139"/>
      <c r="H125" s="139"/>
      <c r="I125" s="139"/>
      <c r="J125" s="162">
        <v>56000</v>
      </c>
      <c r="K125" s="162" t="s">
        <v>3069</v>
      </c>
    </row>
    <row r="126" spans="1:11" ht="19" x14ac:dyDescent="0.2">
      <c r="A126" s="143"/>
      <c r="B126" s="153"/>
      <c r="C126" s="163"/>
      <c r="D126" s="155"/>
      <c r="E126" s="164"/>
      <c r="F126" s="119"/>
      <c r="G126" s="119"/>
      <c r="H126" s="119"/>
      <c r="I126" s="119"/>
      <c r="J126" s="174">
        <v>92000</v>
      </c>
      <c r="K126" s="174" t="s">
        <v>1908</v>
      </c>
    </row>
    <row r="127" spans="1:11" ht="19" x14ac:dyDescent="0.2">
      <c r="A127" s="148">
        <v>2246000</v>
      </c>
      <c r="B127" s="145"/>
      <c r="C127" s="159" t="s">
        <v>10</v>
      </c>
      <c r="D127" s="147" t="s">
        <v>2767</v>
      </c>
      <c r="E127" s="150">
        <v>1891000</v>
      </c>
      <c r="F127" s="139">
        <v>110000</v>
      </c>
      <c r="G127" s="139">
        <v>245000</v>
      </c>
      <c r="H127" s="139"/>
      <c r="I127" s="139"/>
      <c r="J127" s="139">
        <v>83000</v>
      </c>
      <c r="K127" s="139" t="s">
        <v>3070</v>
      </c>
    </row>
    <row r="128" spans="1:11" ht="19" x14ac:dyDescent="0.2">
      <c r="A128" s="142"/>
      <c r="B128" s="153"/>
      <c r="C128" s="170"/>
      <c r="D128" s="172"/>
      <c r="E128" s="164"/>
      <c r="F128" s="119"/>
      <c r="G128" s="119"/>
      <c r="H128" s="119"/>
      <c r="I128" s="119"/>
      <c r="J128" s="174">
        <v>47000</v>
      </c>
      <c r="K128" s="174" t="s">
        <v>1493</v>
      </c>
    </row>
    <row r="129" spans="1:11" ht="19" x14ac:dyDescent="0.2">
      <c r="A129" s="144"/>
      <c r="B129" s="145"/>
      <c r="C129" s="151"/>
      <c r="D129" s="147"/>
      <c r="E129" s="150"/>
      <c r="F129" s="139"/>
      <c r="G129" s="139"/>
      <c r="H129" s="139"/>
      <c r="I129" s="139"/>
      <c r="J129" s="162">
        <v>29000</v>
      </c>
      <c r="K129" s="162" t="s">
        <v>1829</v>
      </c>
    </row>
    <row r="130" spans="1:11" ht="19" x14ac:dyDescent="0.2">
      <c r="A130" s="143">
        <v>3101000</v>
      </c>
      <c r="B130" s="153">
        <v>45462</v>
      </c>
      <c r="C130" s="163" t="s">
        <v>9</v>
      </c>
      <c r="D130" s="155" t="s">
        <v>685</v>
      </c>
      <c r="E130" s="119">
        <v>1564000</v>
      </c>
      <c r="F130" s="119">
        <v>1020000</v>
      </c>
      <c r="G130" s="119">
        <v>517000</v>
      </c>
      <c r="H130" s="119"/>
      <c r="I130" s="119"/>
      <c r="J130" s="119">
        <v>260000</v>
      </c>
      <c r="K130" s="119" t="s">
        <v>3071</v>
      </c>
    </row>
    <row r="131" spans="1:11" ht="19" x14ac:dyDescent="0.2">
      <c r="A131" s="144"/>
      <c r="B131" s="145"/>
      <c r="C131" s="151"/>
      <c r="D131" s="147"/>
      <c r="E131" s="150"/>
      <c r="F131" s="139" t="s">
        <v>547</v>
      </c>
      <c r="G131" s="139"/>
      <c r="H131" s="139"/>
      <c r="I131" s="139"/>
      <c r="J131" s="139">
        <v>18000</v>
      </c>
      <c r="K131" s="139" t="s">
        <v>543</v>
      </c>
    </row>
    <row r="132" spans="1:11" ht="19" x14ac:dyDescent="0.2">
      <c r="A132" s="143"/>
      <c r="B132" s="153"/>
      <c r="C132" s="163"/>
      <c r="D132" s="155"/>
      <c r="E132" s="164"/>
      <c r="F132" s="119"/>
      <c r="G132" s="119"/>
      <c r="H132" s="119"/>
      <c r="I132" s="119"/>
      <c r="J132" s="119">
        <v>80000</v>
      </c>
      <c r="K132" s="119" t="s">
        <v>3072</v>
      </c>
    </row>
    <row r="133" spans="1:11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/>
      <c r="J133" s="139">
        <v>87000</v>
      </c>
      <c r="K133" s="139" t="s">
        <v>3073</v>
      </c>
    </row>
    <row r="134" spans="1:11" ht="19" x14ac:dyDescent="0.2">
      <c r="A134" s="143"/>
      <c r="B134" s="153"/>
      <c r="C134" s="163"/>
      <c r="D134" s="155"/>
      <c r="E134" s="164"/>
      <c r="F134" s="119"/>
      <c r="G134" s="119"/>
      <c r="H134" s="119"/>
      <c r="I134" s="119"/>
      <c r="J134" s="119">
        <v>48000</v>
      </c>
      <c r="K134" s="119" t="s">
        <v>3074</v>
      </c>
    </row>
    <row r="135" spans="1:11" ht="19" x14ac:dyDescent="0.2">
      <c r="A135" s="144"/>
      <c r="B135" s="145"/>
      <c r="C135" s="151"/>
      <c r="D135" s="147"/>
      <c r="E135" s="150"/>
      <c r="F135" s="139"/>
      <c r="G135" s="139"/>
      <c r="H135" s="139"/>
      <c r="I135" s="139"/>
      <c r="J135" s="139">
        <v>150000</v>
      </c>
      <c r="K135" s="139" t="s">
        <v>881</v>
      </c>
    </row>
    <row r="136" spans="1:11" ht="19" x14ac:dyDescent="0.2">
      <c r="A136" s="143">
        <v>1245000</v>
      </c>
      <c r="B136" s="153"/>
      <c r="C136" s="163" t="s">
        <v>10</v>
      </c>
      <c r="D136" s="155" t="s">
        <v>2767</v>
      </c>
      <c r="E136" s="164">
        <v>884000</v>
      </c>
      <c r="F136" s="119">
        <v>70000</v>
      </c>
      <c r="G136" s="119">
        <v>291000</v>
      </c>
      <c r="H136" s="119"/>
      <c r="I136" s="119"/>
      <c r="J136" s="119">
        <v>53000</v>
      </c>
      <c r="K136" s="119" t="s">
        <v>2623</v>
      </c>
    </row>
    <row r="137" spans="1:11" ht="19" x14ac:dyDescent="0.2">
      <c r="A137" s="144"/>
      <c r="B137" s="145"/>
      <c r="C137" s="151"/>
      <c r="D137" s="147"/>
      <c r="E137" s="150"/>
      <c r="F137" s="139"/>
      <c r="G137" s="139"/>
      <c r="H137" s="139"/>
      <c r="I137" s="139"/>
      <c r="J137" s="139">
        <v>7000</v>
      </c>
      <c r="K137" s="139" t="s">
        <v>642</v>
      </c>
    </row>
    <row r="138" spans="1:11" ht="19" x14ac:dyDescent="0.2">
      <c r="A138" s="143"/>
      <c r="B138" s="153"/>
      <c r="C138" s="163"/>
      <c r="D138" s="155"/>
      <c r="E138" s="164"/>
      <c r="F138" s="119"/>
      <c r="G138" s="119"/>
      <c r="H138" s="119"/>
      <c r="I138" s="119"/>
      <c r="J138" s="119">
        <v>245000</v>
      </c>
      <c r="K138" s="119" t="s">
        <v>3075</v>
      </c>
    </row>
    <row r="139" spans="1:11" ht="19" x14ac:dyDescent="0.2">
      <c r="A139" s="144">
        <v>2677000</v>
      </c>
      <c r="B139" s="145">
        <v>45463</v>
      </c>
      <c r="C139" s="151" t="s">
        <v>9</v>
      </c>
      <c r="D139" s="147" t="s">
        <v>685</v>
      </c>
      <c r="E139" s="150">
        <v>1698000</v>
      </c>
      <c r="F139" s="139">
        <v>696000</v>
      </c>
      <c r="G139" s="139">
        <v>283000</v>
      </c>
      <c r="H139" s="139"/>
      <c r="I139" s="139"/>
      <c r="J139" s="139">
        <v>138000</v>
      </c>
      <c r="K139" s="139" t="s">
        <v>3076</v>
      </c>
    </row>
    <row r="140" spans="1:11" ht="19" x14ac:dyDescent="0.2">
      <c r="A140" s="143"/>
      <c r="B140" s="153"/>
      <c r="C140" s="163"/>
      <c r="D140" s="155"/>
      <c r="E140" s="164"/>
      <c r="F140" s="119"/>
      <c r="G140" s="119"/>
      <c r="H140" s="119"/>
      <c r="I140" s="119"/>
      <c r="J140" s="119">
        <v>192000</v>
      </c>
      <c r="K140" s="119" t="s">
        <v>615</v>
      </c>
    </row>
    <row r="141" spans="1:11" ht="19" x14ac:dyDescent="0.2">
      <c r="A141" s="144"/>
      <c r="B141" s="158"/>
      <c r="C141" s="151"/>
      <c r="D141" s="147"/>
      <c r="E141" s="150"/>
      <c r="F141" s="139"/>
      <c r="G141" s="139"/>
      <c r="H141" s="139"/>
      <c r="I141" s="152"/>
      <c r="J141" s="139">
        <v>43000</v>
      </c>
      <c r="K141" s="139" t="s">
        <v>640</v>
      </c>
    </row>
    <row r="142" spans="1:11" ht="19" x14ac:dyDescent="0.2">
      <c r="A142" s="143"/>
      <c r="B142" s="153"/>
      <c r="C142" s="163"/>
      <c r="D142" s="155"/>
      <c r="E142" s="164"/>
      <c r="F142" s="119"/>
      <c r="G142" s="119"/>
      <c r="H142" s="119"/>
      <c r="I142" s="119"/>
      <c r="J142" s="119">
        <v>3000</v>
      </c>
      <c r="K142" s="119" t="s">
        <v>3077</v>
      </c>
    </row>
    <row r="143" spans="1:11" ht="19" x14ac:dyDescent="0.2">
      <c r="A143" s="144">
        <v>1433000</v>
      </c>
      <c r="B143" s="145"/>
      <c r="C143" s="151" t="s">
        <v>10</v>
      </c>
      <c r="D143" s="147" t="s">
        <v>2767</v>
      </c>
      <c r="E143" s="150">
        <v>899000</v>
      </c>
      <c r="F143" s="139">
        <v>235000</v>
      </c>
      <c r="G143" s="139">
        <v>299000</v>
      </c>
      <c r="H143" s="152"/>
      <c r="I143" s="152"/>
      <c r="J143" s="139">
        <v>200000</v>
      </c>
      <c r="K143" s="139" t="s">
        <v>3030</v>
      </c>
    </row>
    <row r="144" spans="1:11" ht="19" x14ac:dyDescent="0.2">
      <c r="A144" s="143"/>
      <c r="B144" s="153"/>
      <c r="C144" s="163"/>
      <c r="D144" s="155"/>
      <c r="E144" s="164"/>
      <c r="F144" s="119"/>
      <c r="G144" s="119"/>
      <c r="H144" s="119"/>
      <c r="I144" s="119"/>
      <c r="J144" s="119">
        <v>45000</v>
      </c>
      <c r="K144" s="119" t="s">
        <v>655</v>
      </c>
    </row>
    <row r="145" spans="1:11" ht="19" x14ac:dyDescent="0.2">
      <c r="A145" s="144"/>
      <c r="B145" s="158"/>
      <c r="C145" s="151"/>
      <c r="D145" s="147"/>
      <c r="E145" s="150"/>
      <c r="F145" s="139"/>
      <c r="G145" s="139"/>
      <c r="H145" s="139"/>
      <c r="I145" s="139"/>
      <c r="J145" s="139">
        <v>150000</v>
      </c>
      <c r="K145" s="139" t="s">
        <v>827</v>
      </c>
    </row>
    <row r="146" spans="1:11" ht="19" x14ac:dyDescent="0.2">
      <c r="A146" s="143">
        <v>2972000</v>
      </c>
      <c r="B146" s="153">
        <v>45464</v>
      </c>
      <c r="C146" s="170" t="s">
        <v>9</v>
      </c>
      <c r="D146" s="155" t="s">
        <v>685</v>
      </c>
      <c r="E146" s="164">
        <v>1619000</v>
      </c>
      <c r="F146" s="119">
        <v>735000</v>
      </c>
      <c r="G146" s="119">
        <v>618000</v>
      </c>
      <c r="H146" s="119">
        <v>265000</v>
      </c>
      <c r="I146" s="119" t="s">
        <v>1800</v>
      </c>
      <c r="J146" s="119">
        <v>89500</v>
      </c>
      <c r="K146" s="119" t="s">
        <v>760</v>
      </c>
    </row>
    <row r="147" spans="1:11" ht="19" x14ac:dyDescent="0.2">
      <c r="A147" s="144"/>
      <c r="B147" s="145"/>
      <c r="C147" s="151"/>
      <c r="D147" s="147"/>
      <c r="E147" s="150"/>
      <c r="F147" s="139"/>
      <c r="G147" s="139"/>
      <c r="H147" s="139"/>
      <c r="I147" s="139"/>
      <c r="J147" s="139">
        <v>66000</v>
      </c>
      <c r="K147" s="139" t="s">
        <v>3078</v>
      </c>
    </row>
    <row r="148" spans="1:11" ht="19" x14ac:dyDescent="0.2">
      <c r="A148" s="143"/>
      <c r="B148" s="153"/>
      <c r="C148" s="163"/>
      <c r="D148" s="172"/>
      <c r="E148" s="164"/>
      <c r="F148" s="119"/>
      <c r="G148" s="119"/>
      <c r="H148" s="119"/>
      <c r="I148" s="119"/>
      <c r="J148" s="174">
        <v>34500</v>
      </c>
      <c r="K148" s="174" t="s">
        <v>3079</v>
      </c>
    </row>
    <row r="149" spans="1:11" ht="19" x14ac:dyDescent="0.2">
      <c r="A149" s="144"/>
      <c r="B149" s="145"/>
      <c r="C149" s="151"/>
      <c r="D149" s="147"/>
      <c r="E149" s="150"/>
      <c r="F149" s="139"/>
      <c r="G149" s="139"/>
      <c r="H149" s="139"/>
      <c r="I149" s="139"/>
      <c r="J149" s="139">
        <v>8500</v>
      </c>
      <c r="K149" s="139" t="s">
        <v>3080</v>
      </c>
    </row>
    <row r="150" spans="1:11" ht="19" x14ac:dyDescent="0.2">
      <c r="A150" s="142"/>
      <c r="B150" s="153"/>
      <c r="C150" s="163"/>
      <c r="D150" s="155"/>
      <c r="E150" s="164"/>
      <c r="F150" s="119"/>
      <c r="G150" s="119"/>
      <c r="H150" s="119"/>
      <c r="I150" s="119"/>
      <c r="J150" s="119">
        <v>19500</v>
      </c>
      <c r="K150" s="119" t="s">
        <v>3081</v>
      </c>
    </row>
    <row r="151" spans="1:11" ht="19" x14ac:dyDescent="0.2">
      <c r="A151" s="148"/>
      <c r="B151" s="145"/>
      <c r="C151" s="151"/>
      <c r="D151" s="160"/>
      <c r="E151" s="150"/>
      <c r="F151" s="139"/>
      <c r="G151" s="139"/>
      <c r="H151" s="139"/>
      <c r="I151" s="139"/>
      <c r="J151" s="139">
        <v>78000</v>
      </c>
      <c r="K151" s="139" t="s">
        <v>3082</v>
      </c>
    </row>
    <row r="152" spans="1:11" ht="19" x14ac:dyDescent="0.2">
      <c r="A152" s="142"/>
      <c r="B152" s="270"/>
      <c r="C152" s="163"/>
      <c r="D152" s="172"/>
      <c r="E152" s="164"/>
      <c r="F152" s="119"/>
      <c r="G152" s="119"/>
      <c r="H152" s="119"/>
      <c r="I152" s="119"/>
      <c r="J152" s="119">
        <v>91000</v>
      </c>
      <c r="K152" s="119" t="s">
        <v>3083</v>
      </c>
    </row>
    <row r="153" spans="1:11" ht="19" x14ac:dyDescent="0.2">
      <c r="A153" s="148">
        <v>1895000</v>
      </c>
      <c r="B153" s="145"/>
      <c r="C153" s="151" t="s">
        <v>10</v>
      </c>
      <c r="D153" s="160" t="s">
        <v>2767</v>
      </c>
      <c r="E153" s="150">
        <v>1281000</v>
      </c>
      <c r="F153" s="139">
        <v>233000</v>
      </c>
      <c r="G153" s="139">
        <v>381000</v>
      </c>
      <c r="H153" s="139"/>
      <c r="I153" s="139"/>
      <c r="J153" s="139">
        <v>15000</v>
      </c>
      <c r="K153" s="139" t="s">
        <v>3084</v>
      </c>
    </row>
    <row r="154" spans="1:11" ht="19" x14ac:dyDescent="0.2">
      <c r="A154" s="142"/>
      <c r="B154" s="153"/>
      <c r="C154" s="163"/>
      <c r="D154" s="172"/>
      <c r="E154" s="164"/>
      <c r="F154" s="119"/>
      <c r="G154" s="119"/>
      <c r="H154" s="119"/>
      <c r="I154" s="119"/>
      <c r="J154" s="119">
        <v>43000</v>
      </c>
      <c r="K154" s="119" t="s">
        <v>1493</v>
      </c>
    </row>
    <row r="155" spans="1:11" ht="19" x14ac:dyDescent="0.2">
      <c r="A155" s="144"/>
      <c r="B155" s="145"/>
      <c r="C155" s="151"/>
      <c r="D155" s="147"/>
      <c r="E155" s="150"/>
      <c r="F155" s="139"/>
      <c r="G155" s="139"/>
      <c r="H155" s="139"/>
      <c r="I155" s="139"/>
      <c r="J155" s="139">
        <v>180000</v>
      </c>
      <c r="K155" s="139" t="s">
        <v>2028</v>
      </c>
    </row>
    <row r="156" spans="1:11" ht="19" x14ac:dyDescent="0.2">
      <c r="A156" s="143">
        <v>2555000</v>
      </c>
      <c r="B156" s="153">
        <v>45465</v>
      </c>
      <c r="C156" s="163" t="s">
        <v>9</v>
      </c>
      <c r="D156" s="155" t="s">
        <v>685</v>
      </c>
      <c r="E156" s="164">
        <v>1920000</v>
      </c>
      <c r="F156" s="119">
        <v>533000</v>
      </c>
      <c r="G156" s="119">
        <v>102000</v>
      </c>
      <c r="H156" s="119"/>
      <c r="I156" s="119"/>
      <c r="J156" s="119">
        <v>150000</v>
      </c>
      <c r="K156" s="119" t="s">
        <v>3085</v>
      </c>
    </row>
    <row r="157" spans="1:11" ht="19" x14ac:dyDescent="0.2">
      <c r="A157" s="144"/>
      <c r="B157" s="145"/>
      <c r="C157" s="146"/>
      <c r="D157" s="147"/>
      <c r="E157" s="150"/>
      <c r="F157" s="139"/>
      <c r="G157" s="139"/>
      <c r="H157" s="139"/>
      <c r="I157" s="139"/>
      <c r="J157" s="139">
        <v>103500</v>
      </c>
      <c r="K157" s="139" t="s">
        <v>1282</v>
      </c>
    </row>
    <row r="158" spans="1:11" ht="19" x14ac:dyDescent="0.2">
      <c r="A158" s="143"/>
      <c r="B158" s="153"/>
      <c r="C158" s="171"/>
      <c r="D158" s="172"/>
      <c r="E158" s="164"/>
      <c r="F158" s="119"/>
      <c r="G158" s="119"/>
      <c r="H158" s="119"/>
      <c r="I158" s="119"/>
      <c r="J158" s="119">
        <v>13500</v>
      </c>
      <c r="K158" s="119" t="s">
        <v>3086</v>
      </c>
    </row>
    <row r="159" spans="1:11" ht="19" x14ac:dyDescent="0.2">
      <c r="A159" s="144"/>
      <c r="B159" s="145"/>
      <c r="C159" s="149"/>
      <c r="D159" s="147"/>
      <c r="E159" s="150"/>
      <c r="F159" s="139"/>
      <c r="G159" s="139"/>
      <c r="H159" s="139"/>
      <c r="I159" s="139"/>
      <c r="J159" s="139">
        <v>6000</v>
      </c>
      <c r="K159" s="139" t="s">
        <v>3087</v>
      </c>
    </row>
    <row r="160" spans="1:11" ht="19" x14ac:dyDescent="0.2">
      <c r="A160" s="143"/>
      <c r="B160" s="153"/>
      <c r="C160" s="163"/>
      <c r="D160" s="155"/>
      <c r="E160" s="164"/>
      <c r="F160" s="119"/>
      <c r="G160" s="119"/>
      <c r="H160" s="119"/>
      <c r="I160" s="292"/>
      <c r="J160" s="119">
        <v>97500</v>
      </c>
      <c r="K160" s="119" t="s">
        <v>3088</v>
      </c>
    </row>
    <row r="161" spans="1:11" ht="19" x14ac:dyDescent="0.2">
      <c r="A161" s="144"/>
      <c r="B161" s="145"/>
      <c r="C161" s="146"/>
      <c r="D161" s="147"/>
      <c r="E161" s="150"/>
      <c r="F161" s="139"/>
      <c r="G161" s="139"/>
      <c r="H161" s="139"/>
      <c r="I161" s="165"/>
      <c r="J161" s="139">
        <v>25500</v>
      </c>
      <c r="K161" s="139" t="s">
        <v>3089</v>
      </c>
    </row>
    <row r="162" spans="1:11" ht="19" x14ac:dyDescent="0.2">
      <c r="A162" s="143"/>
      <c r="B162" s="153"/>
      <c r="C162" s="163"/>
      <c r="D162" s="155"/>
      <c r="E162" s="164"/>
      <c r="F162" s="119"/>
      <c r="G162" s="119"/>
      <c r="H162" s="119"/>
      <c r="I162" s="168"/>
      <c r="J162" s="119">
        <v>50000</v>
      </c>
      <c r="K162" s="119" t="s">
        <v>3090</v>
      </c>
    </row>
    <row r="163" spans="1:11" ht="19" x14ac:dyDescent="0.2">
      <c r="A163" s="144">
        <v>1429000</v>
      </c>
      <c r="B163" s="145"/>
      <c r="C163" s="146" t="s">
        <v>10</v>
      </c>
      <c r="D163" s="147" t="s">
        <v>2767</v>
      </c>
      <c r="E163" s="150">
        <v>794000</v>
      </c>
      <c r="F163" s="139">
        <v>324000</v>
      </c>
      <c r="G163" s="139">
        <v>311000</v>
      </c>
      <c r="H163" s="139"/>
      <c r="I163" s="165"/>
      <c r="J163" s="139">
        <v>159500</v>
      </c>
      <c r="K163" s="139" t="s">
        <v>3091</v>
      </c>
    </row>
    <row r="164" spans="1:11" ht="19" x14ac:dyDescent="0.2">
      <c r="A164" s="143"/>
      <c r="B164" s="153"/>
      <c r="C164" s="154"/>
      <c r="D164" s="155"/>
      <c r="E164" s="164"/>
      <c r="F164" s="119"/>
      <c r="G164" s="119"/>
      <c r="H164" s="119"/>
      <c r="I164" s="168"/>
      <c r="J164" s="119">
        <v>20500</v>
      </c>
      <c r="K164" s="119" t="s">
        <v>3092</v>
      </c>
    </row>
    <row r="165" spans="1:11" ht="19" x14ac:dyDescent="0.2">
      <c r="A165" s="294"/>
      <c r="B165" s="145"/>
      <c r="C165" s="151"/>
      <c r="D165" s="147"/>
      <c r="E165" s="150"/>
      <c r="F165" s="139"/>
      <c r="G165" s="139"/>
      <c r="H165" s="139"/>
      <c r="I165" s="165"/>
      <c r="J165" s="139">
        <v>50000</v>
      </c>
      <c r="K165" s="139" t="s">
        <v>59</v>
      </c>
    </row>
    <row r="166" spans="1:11" ht="19" x14ac:dyDescent="0.2">
      <c r="A166" s="143"/>
      <c r="B166" s="153">
        <v>45466</v>
      </c>
      <c r="C166" s="163"/>
      <c r="D166" s="172"/>
      <c r="E166" s="164"/>
      <c r="F166" s="119"/>
      <c r="G166" s="119"/>
      <c r="H166" s="119"/>
      <c r="I166" s="168" t="s">
        <v>737</v>
      </c>
      <c r="J166" s="119"/>
      <c r="K166" s="119"/>
    </row>
    <row r="167" spans="1:11" ht="19" x14ac:dyDescent="0.2">
      <c r="A167" s="148"/>
      <c r="B167" s="145"/>
      <c r="C167" s="151"/>
      <c r="D167" s="160"/>
      <c r="E167" s="150"/>
      <c r="F167" s="139"/>
      <c r="G167" s="139"/>
      <c r="H167" s="139"/>
      <c r="I167" s="165"/>
      <c r="J167" s="139"/>
      <c r="K167" s="139"/>
    </row>
    <row r="168" spans="1:11" ht="19" x14ac:dyDescent="0.2">
      <c r="A168" s="142">
        <v>2311000</v>
      </c>
      <c r="B168" s="153">
        <v>45467</v>
      </c>
      <c r="C168" s="163" t="s">
        <v>9</v>
      </c>
      <c r="D168" s="172" t="s">
        <v>685</v>
      </c>
      <c r="E168" s="164">
        <v>1680000</v>
      </c>
      <c r="F168" s="119">
        <v>382000</v>
      </c>
      <c r="G168" s="119">
        <v>249000</v>
      </c>
      <c r="H168" s="119"/>
      <c r="I168" s="168"/>
      <c r="J168" s="119">
        <v>42000</v>
      </c>
      <c r="K168" s="119" t="s">
        <v>2024</v>
      </c>
    </row>
    <row r="169" spans="1:11" ht="19" x14ac:dyDescent="0.2">
      <c r="A169" s="144"/>
      <c r="B169" s="145"/>
      <c r="C169" s="159"/>
      <c r="D169" s="147"/>
      <c r="E169" s="150"/>
      <c r="F169" s="139"/>
      <c r="G169" s="139"/>
      <c r="H169" s="139"/>
      <c r="I169" s="165"/>
      <c r="J169" s="139">
        <v>58500</v>
      </c>
      <c r="K169" s="262" t="s">
        <v>2392</v>
      </c>
    </row>
    <row r="170" spans="1:11" ht="19" x14ac:dyDescent="0.2">
      <c r="A170" s="143"/>
      <c r="B170" s="153"/>
      <c r="C170" s="171"/>
      <c r="D170" s="155"/>
      <c r="E170" s="164"/>
      <c r="F170" s="119"/>
      <c r="G170" s="119"/>
      <c r="H170" s="119"/>
      <c r="I170" s="168"/>
      <c r="J170" s="119">
        <v>75000</v>
      </c>
      <c r="K170" s="119" t="s">
        <v>2632</v>
      </c>
    </row>
    <row r="171" spans="1:11" ht="19" x14ac:dyDescent="0.2">
      <c r="A171" s="144"/>
      <c r="B171" s="145"/>
      <c r="C171" s="146"/>
      <c r="D171" s="147"/>
      <c r="E171" s="150"/>
      <c r="F171" s="139"/>
      <c r="G171" s="139"/>
      <c r="H171" s="139"/>
      <c r="I171" s="165"/>
      <c r="J171" s="139">
        <v>75000</v>
      </c>
      <c r="K171" s="139" t="s">
        <v>3093</v>
      </c>
    </row>
    <row r="172" spans="1:11" ht="19" x14ac:dyDescent="0.2">
      <c r="A172" s="143"/>
      <c r="B172" s="153"/>
      <c r="C172" s="171"/>
      <c r="D172" s="155"/>
      <c r="E172" s="164"/>
      <c r="F172" s="119"/>
      <c r="G172" s="119"/>
      <c r="H172" s="119"/>
      <c r="I172" s="168"/>
      <c r="J172" s="119">
        <v>135000</v>
      </c>
      <c r="K172" s="119" t="s">
        <v>3094</v>
      </c>
    </row>
    <row r="173" spans="1:11" ht="19" x14ac:dyDescent="0.2">
      <c r="A173" s="144">
        <v>1667000</v>
      </c>
      <c r="B173" s="145"/>
      <c r="C173" s="263" t="s">
        <v>10</v>
      </c>
      <c r="D173" s="147" t="s">
        <v>2767</v>
      </c>
      <c r="E173" s="150">
        <v>1109000</v>
      </c>
      <c r="F173" s="139">
        <v>204000</v>
      </c>
      <c r="G173" s="139">
        <v>354000</v>
      </c>
      <c r="H173" s="139"/>
      <c r="I173" s="139"/>
      <c r="J173" s="139"/>
      <c r="K173" s="139"/>
    </row>
    <row r="174" spans="1:11" ht="19" x14ac:dyDescent="0.2">
      <c r="A174" s="143"/>
      <c r="B174" s="153"/>
      <c r="C174" s="154"/>
      <c r="D174" s="155"/>
      <c r="E174" s="164"/>
      <c r="F174" s="119"/>
      <c r="G174" s="119"/>
      <c r="H174" s="119"/>
      <c r="I174" s="119"/>
      <c r="J174" s="119"/>
      <c r="K174" s="119"/>
    </row>
    <row r="175" spans="1:11" ht="19" x14ac:dyDescent="0.2">
      <c r="A175" s="144">
        <v>2330000</v>
      </c>
      <c r="B175" s="145">
        <v>45468</v>
      </c>
      <c r="C175" s="151" t="s">
        <v>9</v>
      </c>
      <c r="D175" s="147" t="s">
        <v>685</v>
      </c>
      <c r="E175" s="150">
        <v>1512000</v>
      </c>
      <c r="F175" s="139">
        <v>499000</v>
      </c>
      <c r="G175" s="139">
        <v>319000</v>
      </c>
      <c r="H175" s="139"/>
      <c r="I175" s="165"/>
      <c r="J175" s="139">
        <v>192000</v>
      </c>
      <c r="K175" s="139" t="s">
        <v>2998</v>
      </c>
    </row>
    <row r="176" spans="1:11" ht="19" x14ac:dyDescent="0.2">
      <c r="A176" s="143"/>
      <c r="B176" s="153"/>
      <c r="C176" s="163"/>
      <c r="D176" s="155"/>
      <c r="E176" s="164"/>
      <c r="F176" s="119"/>
      <c r="G176" s="119"/>
      <c r="H176" s="119"/>
      <c r="I176" s="168"/>
      <c r="J176" s="119">
        <v>63000</v>
      </c>
      <c r="K176" s="119" t="s">
        <v>3095</v>
      </c>
    </row>
    <row r="177" spans="1:11" ht="19" x14ac:dyDescent="0.2">
      <c r="A177" s="144"/>
      <c r="B177" s="145"/>
      <c r="C177" s="151"/>
      <c r="D177" s="147"/>
      <c r="E177" s="150"/>
      <c r="F177" s="139"/>
      <c r="G177" s="139"/>
      <c r="H177" s="139"/>
      <c r="I177" s="165"/>
      <c r="J177" s="139">
        <v>80000</v>
      </c>
      <c r="K177" s="139" t="s">
        <v>3096</v>
      </c>
    </row>
    <row r="178" spans="1:11" ht="19" x14ac:dyDescent="0.2">
      <c r="A178" s="143">
        <v>2324000</v>
      </c>
      <c r="B178" s="153"/>
      <c r="C178" s="163" t="s">
        <v>10</v>
      </c>
      <c r="D178" s="155" t="s">
        <v>2767</v>
      </c>
      <c r="E178" s="164">
        <v>1159000</v>
      </c>
      <c r="F178" s="119">
        <v>856000</v>
      </c>
      <c r="G178" s="119">
        <v>309000</v>
      </c>
      <c r="H178" s="119"/>
      <c r="I178" s="168"/>
      <c r="J178" s="119">
        <v>94000</v>
      </c>
      <c r="K178" s="119" t="s">
        <v>1641</v>
      </c>
    </row>
    <row r="179" spans="1:11" ht="19" x14ac:dyDescent="0.2">
      <c r="A179" s="144"/>
      <c r="B179" s="145"/>
      <c r="C179" s="149"/>
      <c r="D179" s="147"/>
      <c r="E179" s="150"/>
      <c r="F179" s="139"/>
      <c r="G179" s="139"/>
      <c r="H179" s="139"/>
      <c r="I179" s="139"/>
      <c r="J179" s="139">
        <v>94000</v>
      </c>
      <c r="K179" s="139" t="s">
        <v>3097</v>
      </c>
    </row>
    <row r="180" spans="1:11" ht="19" x14ac:dyDescent="0.2">
      <c r="A180" s="143"/>
      <c r="B180" s="153"/>
      <c r="C180" s="171"/>
      <c r="D180" s="155"/>
      <c r="E180" s="164"/>
      <c r="F180" s="119"/>
      <c r="G180" s="119"/>
      <c r="H180" s="119"/>
      <c r="I180" s="119"/>
      <c r="J180" s="168">
        <v>87000</v>
      </c>
      <c r="K180" s="168" t="s">
        <v>3098</v>
      </c>
    </row>
    <row r="181" spans="1:11" ht="19" x14ac:dyDescent="0.2">
      <c r="A181" s="144"/>
      <c r="B181" s="145"/>
      <c r="C181" s="149"/>
      <c r="D181" s="147"/>
      <c r="E181" s="150"/>
      <c r="F181" s="139"/>
      <c r="G181" s="139"/>
      <c r="H181" s="139"/>
      <c r="I181" s="139"/>
      <c r="J181" s="162">
        <v>21000</v>
      </c>
      <c r="K181" s="162" t="s">
        <v>3099</v>
      </c>
    </row>
    <row r="182" spans="1:11" ht="19" x14ac:dyDescent="0.2">
      <c r="A182" s="143"/>
      <c r="B182" s="153"/>
      <c r="C182" s="171"/>
      <c r="D182" s="155"/>
      <c r="E182" s="164"/>
      <c r="F182" s="119"/>
      <c r="G182" s="119"/>
      <c r="H182" s="119"/>
      <c r="I182" s="119"/>
      <c r="J182" s="119">
        <v>175000</v>
      </c>
      <c r="K182" s="119" t="s">
        <v>2129</v>
      </c>
    </row>
    <row r="183" spans="1:11" ht="19" x14ac:dyDescent="0.2">
      <c r="A183" s="144"/>
      <c r="B183" s="145"/>
      <c r="C183" s="149"/>
      <c r="D183" s="147"/>
      <c r="E183" s="150"/>
      <c r="F183" s="139"/>
      <c r="G183" s="139"/>
      <c r="H183" s="139"/>
      <c r="I183" s="139"/>
      <c r="J183" s="165">
        <v>192000</v>
      </c>
      <c r="K183" s="165" t="s">
        <v>615</v>
      </c>
    </row>
    <row r="184" spans="1:11" ht="19" x14ac:dyDescent="0.2">
      <c r="A184" s="143"/>
      <c r="B184" s="153"/>
      <c r="C184" s="171"/>
      <c r="D184" s="155"/>
      <c r="E184" s="164"/>
      <c r="F184" s="119"/>
      <c r="G184" s="119"/>
      <c r="H184" s="119"/>
      <c r="I184" s="119"/>
      <c r="J184" s="168">
        <v>60000</v>
      </c>
      <c r="K184" s="168" t="s">
        <v>652</v>
      </c>
    </row>
    <row r="185" spans="1:11" ht="19" x14ac:dyDescent="0.2">
      <c r="A185" s="144"/>
      <c r="B185" s="145"/>
      <c r="C185" s="149"/>
      <c r="D185" s="147"/>
      <c r="E185" s="150"/>
      <c r="F185" s="139"/>
      <c r="G185" s="139"/>
      <c r="H185" s="139"/>
      <c r="I185" s="139"/>
      <c r="J185" s="165">
        <v>16000</v>
      </c>
      <c r="K185" s="165" t="s">
        <v>3100</v>
      </c>
    </row>
    <row r="186" spans="1:11" ht="19" x14ac:dyDescent="0.2">
      <c r="A186" s="143"/>
      <c r="B186" s="153"/>
      <c r="C186" s="171"/>
      <c r="D186" s="155"/>
      <c r="E186" s="164"/>
      <c r="F186" s="119"/>
      <c r="G186" s="119"/>
      <c r="H186" s="119"/>
      <c r="I186" s="119"/>
      <c r="J186" s="119">
        <v>210000</v>
      </c>
      <c r="K186" s="119" t="s">
        <v>2098</v>
      </c>
    </row>
    <row r="187" spans="1:11" ht="19" x14ac:dyDescent="0.2">
      <c r="A187" s="144">
        <v>2474000</v>
      </c>
      <c r="B187" s="145">
        <v>45469</v>
      </c>
      <c r="C187" s="149" t="s">
        <v>9</v>
      </c>
      <c r="D187" s="147" t="s">
        <v>685</v>
      </c>
      <c r="E187" s="150">
        <v>1418000</v>
      </c>
      <c r="F187" s="139">
        <v>502000</v>
      </c>
      <c r="G187" s="139">
        <v>554000</v>
      </c>
      <c r="H187" s="139"/>
      <c r="I187" s="139"/>
      <c r="J187" s="165">
        <v>6000</v>
      </c>
      <c r="K187" s="165" t="s">
        <v>642</v>
      </c>
    </row>
    <row r="188" spans="1:11" ht="19" x14ac:dyDescent="0.2">
      <c r="A188" s="143"/>
      <c r="B188" s="153"/>
      <c r="C188" s="171"/>
      <c r="D188" s="155"/>
      <c r="E188" s="164"/>
      <c r="F188" s="119"/>
      <c r="G188" s="119"/>
      <c r="H188" s="119"/>
      <c r="I188" s="119"/>
      <c r="J188" s="168">
        <v>192000</v>
      </c>
      <c r="K188" s="168" t="s">
        <v>2998</v>
      </c>
    </row>
    <row r="189" spans="1:11" ht="19" x14ac:dyDescent="0.2">
      <c r="A189" s="144"/>
      <c r="B189" s="145"/>
      <c r="C189" s="149"/>
      <c r="D189" s="147"/>
      <c r="E189" s="150"/>
      <c r="F189" s="139"/>
      <c r="G189" s="139"/>
      <c r="H189" s="139"/>
      <c r="I189" s="139"/>
      <c r="J189" s="165">
        <v>103000</v>
      </c>
      <c r="K189" s="165" t="s">
        <v>3101</v>
      </c>
    </row>
    <row r="190" spans="1:11" ht="19" x14ac:dyDescent="0.2">
      <c r="A190" s="143">
        <v>1219000</v>
      </c>
      <c r="B190" s="153"/>
      <c r="C190" s="171" t="s">
        <v>10</v>
      </c>
      <c r="D190" s="155" t="s">
        <v>2767</v>
      </c>
      <c r="E190" s="164">
        <v>889000</v>
      </c>
      <c r="F190" s="119">
        <v>289000</v>
      </c>
      <c r="G190" s="119">
        <v>41000</v>
      </c>
      <c r="H190" s="119"/>
      <c r="I190" s="119"/>
      <c r="J190" s="168">
        <v>87000</v>
      </c>
      <c r="K190" s="168" t="s">
        <v>3102</v>
      </c>
    </row>
    <row r="191" spans="1:11" ht="19" x14ac:dyDescent="0.2">
      <c r="A191" s="144"/>
      <c r="B191" s="145"/>
      <c r="C191" s="149"/>
      <c r="D191" s="147"/>
      <c r="E191" s="150"/>
      <c r="F191" s="139"/>
      <c r="G191" s="139"/>
      <c r="H191" s="139"/>
      <c r="I191" s="139"/>
      <c r="J191" s="165">
        <v>200000</v>
      </c>
      <c r="K191" s="165" t="s">
        <v>3030</v>
      </c>
    </row>
    <row r="192" spans="1:11" ht="19" x14ac:dyDescent="0.2">
      <c r="A192" s="143"/>
      <c r="B192" s="153"/>
      <c r="C192" s="171"/>
      <c r="D192" s="155"/>
      <c r="E192" s="164"/>
      <c r="F192" s="119"/>
      <c r="G192" s="119"/>
      <c r="H192" s="119"/>
      <c r="I192" s="119"/>
      <c r="J192" s="168">
        <v>45000</v>
      </c>
      <c r="K192" s="168" t="s">
        <v>655</v>
      </c>
    </row>
    <row r="193" spans="1:11" ht="19" x14ac:dyDescent="0.2">
      <c r="A193" s="144"/>
      <c r="B193" s="145"/>
      <c r="C193" s="149"/>
      <c r="D193" s="147"/>
      <c r="E193" s="150"/>
      <c r="F193" s="139"/>
      <c r="G193" s="139"/>
      <c r="H193" s="139"/>
      <c r="I193" s="139"/>
      <c r="J193" s="165">
        <v>150000</v>
      </c>
      <c r="K193" s="165" t="s">
        <v>827</v>
      </c>
    </row>
    <row r="194" spans="1:11" ht="19" x14ac:dyDescent="0.2">
      <c r="A194" s="143">
        <v>2650000</v>
      </c>
      <c r="B194" s="153">
        <v>45470</v>
      </c>
      <c r="C194" s="171" t="s">
        <v>9</v>
      </c>
      <c r="D194" s="155" t="s">
        <v>3103</v>
      </c>
      <c r="E194" s="164">
        <v>1753000</v>
      </c>
      <c r="F194" s="119">
        <v>535000</v>
      </c>
      <c r="G194" s="119">
        <v>362000</v>
      </c>
      <c r="H194" s="119"/>
      <c r="I194" s="119"/>
      <c r="J194" s="168">
        <v>120000</v>
      </c>
      <c r="K194" s="168" t="s">
        <v>703</v>
      </c>
    </row>
    <row r="195" spans="1:11" ht="19" x14ac:dyDescent="0.2">
      <c r="A195" s="144"/>
      <c r="B195" s="145"/>
      <c r="C195" s="149"/>
      <c r="D195" s="147"/>
      <c r="E195" s="150"/>
      <c r="F195" s="139"/>
      <c r="G195" s="139"/>
      <c r="H195" s="139"/>
      <c r="I195" s="139"/>
      <c r="J195" s="165">
        <v>24000</v>
      </c>
      <c r="K195" s="165" t="s">
        <v>3104</v>
      </c>
    </row>
    <row r="196" spans="1:11" ht="19" x14ac:dyDescent="0.2">
      <c r="A196" s="143"/>
      <c r="B196" s="153"/>
      <c r="C196" s="171"/>
      <c r="D196" s="155"/>
      <c r="E196" s="164"/>
      <c r="F196" s="119"/>
      <c r="G196" s="119"/>
      <c r="H196" s="119"/>
      <c r="I196" s="119"/>
      <c r="J196" s="168">
        <v>50000</v>
      </c>
      <c r="K196" s="168" t="s">
        <v>3105</v>
      </c>
    </row>
    <row r="197" spans="1:11" ht="19" x14ac:dyDescent="0.2">
      <c r="A197" s="144"/>
      <c r="B197" s="145"/>
      <c r="C197" s="149"/>
      <c r="D197" s="147"/>
      <c r="E197" s="150"/>
      <c r="F197" s="139"/>
      <c r="G197" s="139"/>
      <c r="H197" s="139"/>
      <c r="I197" s="139"/>
      <c r="J197" s="165">
        <v>260000</v>
      </c>
      <c r="K197" s="165" t="s">
        <v>3106</v>
      </c>
    </row>
    <row r="198" spans="1:11" ht="19" x14ac:dyDescent="0.2">
      <c r="A198" s="143"/>
      <c r="B198" s="153"/>
      <c r="C198" s="171"/>
      <c r="D198" s="155"/>
      <c r="E198" s="164"/>
      <c r="F198" s="119"/>
      <c r="G198" s="119"/>
      <c r="H198" s="119"/>
      <c r="I198" s="119"/>
      <c r="J198" s="168">
        <v>21000</v>
      </c>
      <c r="K198" s="168" t="s">
        <v>3107</v>
      </c>
    </row>
    <row r="199" spans="1:11" ht="19" x14ac:dyDescent="0.2">
      <c r="A199" s="144">
        <v>1566000</v>
      </c>
      <c r="B199" s="145"/>
      <c r="C199" s="149" t="s">
        <v>10</v>
      </c>
      <c r="D199" s="147" t="s">
        <v>2767</v>
      </c>
      <c r="E199" s="150">
        <v>1077000</v>
      </c>
      <c r="F199" s="139">
        <v>154000</v>
      </c>
      <c r="G199" s="139">
        <v>335000</v>
      </c>
      <c r="H199" s="139"/>
      <c r="I199" s="139"/>
      <c r="J199" s="165">
        <v>35000</v>
      </c>
      <c r="K199" s="165" t="s">
        <v>2401</v>
      </c>
    </row>
    <row r="200" spans="1:11" ht="19" x14ac:dyDescent="0.2">
      <c r="A200" s="143"/>
      <c r="B200" s="153"/>
      <c r="C200" s="171"/>
      <c r="D200" s="155"/>
      <c r="E200" s="164"/>
      <c r="F200" s="119"/>
      <c r="G200" s="119"/>
      <c r="H200" s="119"/>
      <c r="I200" s="119"/>
      <c r="J200" s="168">
        <v>126500</v>
      </c>
      <c r="K200" s="168" t="s">
        <v>3108</v>
      </c>
    </row>
    <row r="201" spans="1:11" ht="19" x14ac:dyDescent="0.2">
      <c r="A201" s="144"/>
      <c r="B201" s="145"/>
      <c r="C201" s="149"/>
      <c r="D201" s="147"/>
      <c r="E201" s="150"/>
      <c r="F201" s="139"/>
      <c r="G201" s="139"/>
      <c r="H201" s="139"/>
      <c r="I201" s="139"/>
      <c r="J201" s="165">
        <v>94000</v>
      </c>
      <c r="K201" s="165" t="s">
        <v>537</v>
      </c>
    </row>
    <row r="202" spans="1:11" ht="19" x14ac:dyDescent="0.2">
      <c r="A202" s="143">
        <v>2859000</v>
      </c>
      <c r="B202" s="153">
        <v>45471</v>
      </c>
      <c r="C202" s="171" t="s">
        <v>9</v>
      </c>
      <c r="D202" s="155" t="s">
        <v>3103</v>
      </c>
      <c r="E202" s="164">
        <v>1762000</v>
      </c>
      <c r="F202" s="119">
        <v>658000</v>
      </c>
      <c r="G202" s="119">
        <v>439000</v>
      </c>
      <c r="H202" s="119"/>
      <c r="I202" s="119"/>
      <c r="J202" s="168">
        <v>495000</v>
      </c>
      <c r="K202" s="168" t="s">
        <v>3109</v>
      </c>
    </row>
    <row r="203" spans="1:11" ht="19" x14ac:dyDescent="0.2">
      <c r="A203" s="144"/>
      <c r="B203" s="145"/>
      <c r="C203" s="149"/>
      <c r="D203" s="147"/>
      <c r="E203" s="150"/>
      <c r="F203" s="139"/>
      <c r="G203" s="139"/>
      <c r="H203" s="139"/>
      <c r="I203" s="139"/>
      <c r="J203" s="165">
        <v>120000</v>
      </c>
      <c r="K203" s="165" t="s">
        <v>1553</v>
      </c>
    </row>
    <row r="204" spans="1:11" ht="19" x14ac:dyDescent="0.2">
      <c r="A204" s="143">
        <v>1437000</v>
      </c>
      <c r="B204" s="153"/>
      <c r="C204" s="171" t="s">
        <v>10</v>
      </c>
      <c r="D204" s="155" t="s">
        <v>2767</v>
      </c>
      <c r="E204" s="164">
        <v>626000</v>
      </c>
      <c r="F204" s="119">
        <v>413000</v>
      </c>
      <c r="G204" s="119">
        <v>398000</v>
      </c>
      <c r="H204" s="119"/>
      <c r="I204" s="119"/>
      <c r="J204" s="168"/>
      <c r="K204" s="168"/>
    </row>
    <row r="205" spans="1:11" ht="19" x14ac:dyDescent="0.2">
      <c r="A205" s="144"/>
      <c r="B205" s="145"/>
      <c r="C205" s="149"/>
      <c r="D205" s="147"/>
      <c r="E205" s="150"/>
      <c r="F205" s="139"/>
      <c r="G205" s="139"/>
      <c r="H205" s="139"/>
      <c r="I205" s="139"/>
      <c r="J205" s="165"/>
      <c r="K205" s="165"/>
    </row>
    <row r="206" spans="1:11" ht="19" x14ac:dyDescent="0.2">
      <c r="A206" s="143">
        <v>2568000</v>
      </c>
      <c r="B206" s="153">
        <v>45472</v>
      </c>
      <c r="C206" s="171" t="s">
        <v>9</v>
      </c>
      <c r="D206" s="155" t="s">
        <v>3110</v>
      </c>
      <c r="E206" s="164">
        <v>1681000</v>
      </c>
      <c r="F206" s="119">
        <v>686000</v>
      </c>
      <c r="G206" s="119">
        <v>201000</v>
      </c>
      <c r="H206" s="119"/>
      <c r="I206" s="119"/>
      <c r="J206" s="168">
        <v>300000</v>
      </c>
      <c r="K206" s="168" t="s">
        <v>3111</v>
      </c>
    </row>
    <row r="207" spans="1:11" ht="19" x14ac:dyDescent="0.2">
      <c r="A207" s="144"/>
      <c r="B207" s="145"/>
      <c r="C207" s="149"/>
      <c r="D207" s="147"/>
      <c r="E207" s="150"/>
      <c r="F207" s="139"/>
      <c r="G207" s="139"/>
      <c r="H207" s="139"/>
      <c r="I207" s="139"/>
      <c r="J207" s="165">
        <v>150000</v>
      </c>
      <c r="K207" s="165" t="s">
        <v>3112</v>
      </c>
    </row>
    <row r="208" spans="1:11" ht="19" x14ac:dyDescent="0.2">
      <c r="A208" s="143"/>
      <c r="B208" s="153"/>
      <c r="C208" s="171"/>
      <c r="D208" s="155"/>
      <c r="E208" s="164"/>
      <c r="F208" s="119"/>
      <c r="G208" s="119"/>
      <c r="H208" s="119"/>
      <c r="I208" s="119"/>
      <c r="J208" s="168">
        <v>105000</v>
      </c>
      <c r="K208" s="168" t="s">
        <v>1854</v>
      </c>
    </row>
    <row r="209" spans="1:11" ht="19" x14ac:dyDescent="0.2">
      <c r="A209" s="144"/>
      <c r="B209" s="145"/>
      <c r="C209" s="149"/>
      <c r="D209" s="147"/>
      <c r="E209" s="150"/>
      <c r="F209" s="139"/>
      <c r="G209" s="139"/>
      <c r="H209" s="139"/>
      <c r="I209" s="139"/>
      <c r="J209" s="165">
        <v>90000</v>
      </c>
      <c r="K209" s="165" t="s">
        <v>1536</v>
      </c>
    </row>
    <row r="210" spans="1:11" ht="19" x14ac:dyDescent="0.2">
      <c r="A210" s="143"/>
      <c r="B210" s="153"/>
      <c r="C210" s="171"/>
      <c r="D210" s="155"/>
      <c r="E210" s="164"/>
      <c r="F210" s="119"/>
      <c r="G210" s="119"/>
      <c r="H210" s="119"/>
      <c r="I210" s="119"/>
      <c r="J210" s="168">
        <v>192000</v>
      </c>
      <c r="K210" s="168" t="s">
        <v>1245</v>
      </c>
    </row>
    <row r="211" spans="1:11" ht="19" x14ac:dyDescent="0.2">
      <c r="A211" s="144">
        <v>2160000</v>
      </c>
      <c r="B211" s="145"/>
      <c r="C211" s="149" t="s">
        <v>10</v>
      </c>
      <c r="D211" s="147" t="s">
        <v>2767</v>
      </c>
      <c r="E211" s="150">
        <v>1680000</v>
      </c>
      <c r="F211" s="139">
        <v>415000</v>
      </c>
      <c r="G211" s="139">
        <v>65000</v>
      </c>
      <c r="H211" s="139">
        <v>1260000</v>
      </c>
      <c r="I211" s="139" t="s">
        <v>3125</v>
      </c>
      <c r="J211" s="165">
        <v>50000</v>
      </c>
      <c r="K211" s="165" t="s">
        <v>123</v>
      </c>
    </row>
    <row r="212" spans="1:11" ht="19" x14ac:dyDescent="0.2">
      <c r="A212" s="143"/>
      <c r="B212" s="153"/>
      <c r="C212" s="171"/>
      <c r="D212" s="155"/>
      <c r="E212" s="164"/>
      <c r="F212" s="119"/>
      <c r="G212" s="119"/>
      <c r="H212" s="119">
        <v>1200000</v>
      </c>
      <c r="I212" s="119" t="s">
        <v>785</v>
      </c>
      <c r="J212" s="168">
        <v>100500</v>
      </c>
      <c r="K212" s="168" t="s">
        <v>3113</v>
      </c>
    </row>
    <row r="213" spans="1:11" ht="19" x14ac:dyDescent="0.2">
      <c r="A213" s="144"/>
      <c r="B213" s="145">
        <v>45473</v>
      </c>
      <c r="C213" s="149"/>
      <c r="D213" s="147"/>
      <c r="E213" s="150"/>
      <c r="F213" s="139"/>
      <c r="G213" s="139"/>
      <c r="H213" s="139"/>
      <c r="I213" s="139" t="s">
        <v>737</v>
      </c>
      <c r="J213" s="165">
        <v>40000</v>
      </c>
      <c r="K213" s="165" t="s">
        <v>3114</v>
      </c>
    </row>
    <row r="214" spans="1:11" ht="19" x14ac:dyDescent="0.2">
      <c r="A214" s="143"/>
      <c r="B214" s="153"/>
      <c r="C214" s="171"/>
      <c r="D214" s="155"/>
      <c r="E214" s="164"/>
      <c r="F214" s="119"/>
      <c r="G214" s="119"/>
      <c r="H214" s="119">
        <v>2200000</v>
      </c>
      <c r="I214" s="119" t="s">
        <v>1481</v>
      </c>
      <c r="J214" s="168">
        <v>7000</v>
      </c>
      <c r="K214" s="168" t="s">
        <v>824</v>
      </c>
    </row>
    <row r="215" spans="1:11" ht="19" x14ac:dyDescent="0.2">
      <c r="A215" s="144"/>
      <c r="B215" s="145"/>
      <c r="C215" s="149"/>
      <c r="D215" s="147"/>
      <c r="E215" s="150"/>
      <c r="F215" s="139"/>
      <c r="G215" s="139"/>
      <c r="H215" s="139">
        <v>2400000</v>
      </c>
      <c r="I215" s="139" t="s">
        <v>3115</v>
      </c>
      <c r="J215" s="165">
        <v>25000</v>
      </c>
      <c r="K215" s="165" t="s">
        <v>3116</v>
      </c>
    </row>
    <row r="216" spans="1:11" ht="32" x14ac:dyDescent="0.2">
      <c r="A216" s="143"/>
      <c r="B216" s="153"/>
      <c r="C216" s="171"/>
      <c r="D216" s="155"/>
      <c r="E216" s="164"/>
      <c r="F216" s="119"/>
      <c r="G216" s="119"/>
      <c r="H216" s="119">
        <v>2620000</v>
      </c>
      <c r="I216" s="176" t="s">
        <v>3117</v>
      </c>
      <c r="J216" s="168">
        <v>6000</v>
      </c>
      <c r="K216" s="168" t="s">
        <v>3118</v>
      </c>
    </row>
    <row r="217" spans="1:11" ht="19" x14ac:dyDescent="0.2">
      <c r="A217" s="144"/>
      <c r="B217" s="145"/>
      <c r="C217" s="149"/>
      <c r="D217" s="147"/>
      <c r="E217" s="150"/>
      <c r="F217" s="139"/>
      <c r="G217" s="139"/>
      <c r="H217" s="139">
        <v>450000</v>
      </c>
      <c r="I217" s="139" t="s">
        <v>3119</v>
      </c>
      <c r="J217" s="165"/>
      <c r="K217" s="16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3:K260"/>
  <sheetViews>
    <sheetView workbookViewId="0">
      <selection activeCell="K91" sqref="K91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8.5" bestFit="1" customWidth="1"/>
    <col min="5" max="5" width="20.33203125" bestFit="1" customWidth="1"/>
    <col min="6" max="6" width="30.83203125" customWidth="1"/>
    <col min="7" max="8" width="20.33203125" bestFit="1" customWidth="1"/>
    <col min="9" max="9" width="32.1640625" customWidth="1"/>
    <col min="10" max="10" width="20.33203125" bestFit="1" customWidth="1"/>
    <col min="11" max="11" width="27.3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16359000</v>
      </c>
      <c r="K4" s="72">
        <f>J4/10820</f>
        <v>1511.9223659889094</v>
      </c>
    </row>
    <row r="5" spans="1:11" ht="24" x14ac:dyDescent="0.3">
      <c r="B5" s="99" t="s">
        <v>3254</v>
      </c>
      <c r="H5" s="73"/>
      <c r="I5" s="71" t="s">
        <v>2315</v>
      </c>
      <c r="J5" s="71">
        <v>16359000</v>
      </c>
      <c r="K5" s="72">
        <f>J5/10820</f>
        <v>1511.9223659889094</v>
      </c>
    </row>
    <row r="6" spans="1:11" ht="24" x14ac:dyDescent="0.3">
      <c r="B6" s="99"/>
      <c r="H6" s="73"/>
      <c r="I6" s="71" t="s">
        <v>178</v>
      </c>
      <c r="J6" s="71">
        <v>10890471</v>
      </c>
      <c r="K6" s="72" t="s">
        <v>3255</v>
      </c>
    </row>
    <row r="7" spans="1:11" ht="26" x14ac:dyDescent="0.3">
      <c r="B7" s="100" t="s">
        <v>3256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SUM(A11:A431)</f>
        <v>108071000</v>
      </c>
      <c r="B10" s="65"/>
      <c r="C10" s="66" t="s">
        <v>13</v>
      </c>
      <c r="D10" s="67"/>
      <c r="E10" s="68">
        <f>SUM(E11:E431)</f>
        <v>70004000</v>
      </c>
      <c r="F10" s="69">
        <f>SUM(F11:F431)</f>
        <v>19707000</v>
      </c>
      <c r="G10" s="69">
        <f>SUM(G11:G418)</f>
        <v>18360000</v>
      </c>
      <c r="H10" s="69">
        <f>SUM(H11:H431)</f>
        <v>21391000</v>
      </c>
      <c r="I10" s="69"/>
      <c r="J10" s="69">
        <f>SUM(J11:J431)</f>
        <v>17562000</v>
      </c>
      <c r="K10" s="69"/>
    </row>
    <row r="11" spans="1:11" ht="19" x14ac:dyDescent="0.2">
      <c r="A11" s="283">
        <v>2852000</v>
      </c>
      <c r="B11" s="145">
        <v>45474</v>
      </c>
      <c r="C11" s="146" t="s">
        <v>9</v>
      </c>
      <c r="D11" s="147" t="s">
        <v>685</v>
      </c>
      <c r="E11" s="139">
        <v>1499000</v>
      </c>
      <c r="F11" s="139">
        <v>788000</v>
      </c>
      <c r="G11" s="139">
        <v>565000</v>
      </c>
      <c r="H11" s="139">
        <v>454000</v>
      </c>
      <c r="I11" s="139" t="s">
        <v>3252</v>
      </c>
      <c r="J11" s="139">
        <v>138000</v>
      </c>
      <c r="K11" s="139" t="s">
        <v>1097</v>
      </c>
    </row>
    <row r="12" spans="1:11" ht="19" x14ac:dyDescent="0.2">
      <c r="A12" s="142"/>
      <c r="B12" s="32"/>
      <c r="C12" s="49"/>
      <c r="D12" s="13"/>
      <c r="E12" s="15"/>
      <c r="F12" s="9"/>
      <c r="G12" s="9"/>
      <c r="H12" s="9"/>
      <c r="I12" s="295"/>
      <c r="J12" s="119">
        <v>52000</v>
      </c>
      <c r="K12" s="9" t="s">
        <v>891</v>
      </c>
    </row>
    <row r="13" spans="1:11" ht="19" x14ac:dyDescent="0.2">
      <c r="A13" s="144"/>
      <c r="B13" s="145"/>
      <c r="C13" s="151"/>
      <c r="D13" s="147"/>
      <c r="E13" s="150"/>
      <c r="F13" s="139"/>
      <c r="G13" s="139"/>
      <c r="H13" s="152"/>
      <c r="I13" s="296"/>
      <c r="J13" s="139">
        <v>99000</v>
      </c>
      <c r="K13" s="139" t="s">
        <v>3129</v>
      </c>
    </row>
    <row r="14" spans="1:11" ht="19" x14ac:dyDescent="0.2">
      <c r="A14" s="143"/>
      <c r="B14" s="153"/>
      <c r="C14" s="163"/>
      <c r="D14" s="155"/>
      <c r="E14" s="164"/>
      <c r="F14" s="119"/>
      <c r="G14" s="119"/>
      <c r="H14" s="175"/>
      <c r="I14" s="174"/>
      <c r="J14" s="119">
        <v>124000</v>
      </c>
      <c r="K14" s="119" t="s">
        <v>3130</v>
      </c>
    </row>
    <row r="15" spans="1:11" ht="19" x14ac:dyDescent="0.2">
      <c r="A15" s="144"/>
      <c r="B15" s="145"/>
      <c r="C15" s="151"/>
      <c r="D15" s="147"/>
      <c r="E15" s="150"/>
      <c r="F15" s="139"/>
      <c r="G15" s="139"/>
      <c r="H15" s="152"/>
      <c r="I15" s="162"/>
      <c r="J15" s="139">
        <v>103000</v>
      </c>
      <c r="K15" s="139" t="s">
        <v>3131</v>
      </c>
    </row>
    <row r="16" spans="1:11" ht="19" x14ac:dyDescent="0.2">
      <c r="A16" s="143"/>
      <c r="B16" s="153"/>
      <c r="C16" s="163"/>
      <c r="D16" s="155"/>
      <c r="E16" s="164"/>
      <c r="F16" s="119"/>
      <c r="G16" s="119"/>
      <c r="H16" s="119"/>
      <c r="I16" s="174"/>
      <c r="J16" s="119">
        <v>47000</v>
      </c>
      <c r="K16" s="119" t="s">
        <v>1493</v>
      </c>
    </row>
    <row r="17" spans="1:11" ht="19" x14ac:dyDescent="0.2">
      <c r="A17" s="144"/>
      <c r="B17" s="145"/>
      <c r="C17" s="151"/>
      <c r="D17" s="147"/>
      <c r="E17" s="150"/>
      <c r="F17" s="139"/>
      <c r="G17" s="139"/>
      <c r="H17" s="139"/>
      <c r="I17" s="162"/>
      <c r="J17" s="139">
        <v>8000</v>
      </c>
      <c r="K17" s="139" t="s">
        <v>3132</v>
      </c>
    </row>
    <row r="18" spans="1:11" ht="19" x14ac:dyDescent="0.2">
      <c r="A18" s="143"/>
      <c r="B18" s="153"/>
      <c r="C18" s="163"/>
      <c r="D18" s="155"/>
      <c r="E18" s="164"/>
      <c r="F18" s="119"/>
      <c r="G18" s="119"/>
      <c r="H18" s="119"/>
      <c r="I18" s="174"/>
      <c r="J18" s="119">
        <v>30000</v>
      </c>
      <c r="K18" s="119" t="s">
        <v>3133</v>
      </c>
    </row>
    <row r="19" spans="1:11" ht="19" x14ac:dyDescent="0.2">
      <c r="A19" s="144"/>
      <c r="B19" s="145"/>
      <c r="C19" s="151"/>
      <c r="D19" s="147"/>
      <c r="E19" s="150"/>
      <c r="F19" s="139"/>
      <c r="G19" s="139"/>
      <c r="H19" s="139"/>
      <c r="I19" s="162"/>
      <c r="J19" s="139">
        <v>56000</v>
      </c>
      <c r="K19" s="139" t="s">
        <v>3134</v>
      </c>
    </row>
    <row r="20" spans="1:11" ht="19" x14ac:dyDescent="0.2">
      <c r="A20" s="143"/>
      <c r="B20" s="153"/>
      <c r="C20" s="163"/>
      <c r="D20" s="155"/>
      <c r="E20" s="164"/>
      <c r="F20" s="119"/>
      <c r="G20" s="119"/>
      <c r="H20" s="119"/>
      <c r="I20" s="119"/>
      <c r="J20" s="119"/>
      <c r="K20" s="119"/>
    </row>
    <row r="21" spans="1:11" ht="19" x14ac:dyDescent="0.2">
      <c r="A21" s="144">
        <v>843000</v>
      </c>
      <c r="B21" s="145"/>
      <c r="C21" s="149" t="s">
        <v>10</v>
      </c>
      <c r="D21" s="147" t="s">
        <v>2767</v>
      </c>
      <c r="E21" s="150">
        <v>675000</v>
      </c>
      <c r="F21" s="139">
        <v>118000</v>
      </c>
      <c r="G21" s="139">
        <v>50000</v>
      </c>
      <c r="H21" s="139"/>
      <c r="I21" s="139"/>
      <c r="J21" s="139"/>
      <c r="K21" s="139"/>
    </row>
    <row r="22" spans="1:11" ht="19" x14ac:dyDescent="0.2">
      <c r="A22" s="143"/>
      <c r="B22" s="32"/>
      <c r="C22" s="49"/>
      <c r="D22" s="13"/>
      <c r="E22" s="15"/>
      <c r="F22" s="9"/>
      <c r="G22" s="9"/>
      <c r="H22" s="9"/>
      <c r="I22" s="9"/>
      <c r="J22" s="9"/>
      <c r="K22" s="9"/>
    </row>
    <row r="23" spans="1:11" ht="19" x14ac:dyDescent="0.2">
      <c r="A23" s="144">
        <v>2348000</v>
      </c>
      <c r="B23" s="145">
        <v>45475</v>
      </c>
      <c r="C23" s="149" t="s">
        <v>9</v>
      </c>
      <c r="D23" s="147" t="s">
        <v>685</v>
      </c>
      <c r="E23" s="150">
        <v>1475000</v>
      </c>
      <c r="F23" s="139">
        <v>576000</v>
      </c>
      <c r="G23" s="139">
        <v>297000</v>
      </c>
      <c r="H23" s="139"/>
      <c r="I23" s="139"/>
      <c r="J23" s="139">
        <v>200000</v>
      </c>
      <c r="K23" s="139" t="s">
        <v>3135</v>
      </c>
    </row>
    <row r="24" spans="1:11" ht="19" x14ac:dyDescent="0.2">
      <c r="A24" s="142"/>
      <c r="B24" s="32"/>
      <c r="C24" s="49"/>
      <c r="D24" s="13"/>
      <c r="E24" s="15"/>
      <c r="F24" s="9"/>
      <c r="G24" s="9"/>
      <c r="H24" s="9"/>
      <c r="I24" s="9"/>
      <c r="J24" s="9">
        <v>100000</v>
      </c>
      <c r="K24" s="9" t="s">
        <v>3136</v>
      </c>
    </row>
    <row r="25" spans="1:11" ht="19" x14ac:dyDescent="0.2">
      <c r="A25" s="148"/>
      <c r="B25" s="145"/>
      <c r="C25" s="149"/>
      <c r="D25" s="147"/>
      <c r="E25" s="150"/>
      <c r="F25" s="139"/>
      <c r="G25" s="139"/>
      <c r="H25" s="139"/>
      <c r="I25" s="139"/>
      <c r="J25" s="162">
        <v>192000</v>
      </c>
      <c r="K25" s="162" t="s">
        <v>1245</v>
      </c>
    </row>
    <row r="26" spans="1:11" ht="19" x14ac:dyDescent="0.2">
      <c r="A26" s="142"/>
      <c r="B26" s="153"/>
      <c r="C26" s="171"/>
      <c r="D26" s="155"/>
      <c r="E26" s="164"/>
      <c r="F26" s="119"/>
      <c r="G26" s="119"/>
      <c r="H26" s="119"/>
      <c r="I26" s="119"/>
      <c r="J26" s="119">
        <v>120000</v>
      </c>
      <c r="K26" s="119" t="s">
        <v>1553</v>
      </c>
    </row>
    <row r="27" spans="1:11" ht="19" x14ac:dyDescent="0.2">
      <c r="A27" s="148">
        <v>1946000</v>
      </c>
      <c r="B27" s="145"/>
      <c r="C27" s="149" t="s">
        <v>10</v>
      </c>
      <c r="D27" s="147" t="s">
        <v>2767</v>
      </c>
      <c r="E27" s="150">
        <v>1226000</v>
      </c>
      <c r="F27" s="139">
        <v>183000</v>
      </c>
      <c r="G27" s="139">
        <v>537000</v>
      </c>
      <c r="H27" s="139"/>
      <c r="I27" s="139"/>
      <c r="J27" s="139">
        <v>633000</v>
      </c>
      <c r="K27" s="139" t="s">
        <v>3137</v>
      </c>
    </row>
    <row r="28" spans="1:11" ht="19" x14ac:dyDescent="0.2">
      <c r="A28" s="143"/>
      <c r="B28" s="32"/>
      <c r="C28" s="49"/>
      <c r="D28" s="13"/>
      <c r="E28" s="15"/>
      <c r="F28" s="9"/>
      <c r="G28" s="9"/>
      <c r="H28" s="9"/>
      <c r="I28" s="9"/>
      <c r="J28" s="9">
        <v>15000</v>
      </c>
      <c r="K28" s="106" t="s">
        <v>3138</v>
      </c>
    </row>
    <row r="29" spans="1:11" ht="19" x14ac:dyDescent="0.2">
      <c r="A29" s="144"/>
      <c r="B29" s="145"/>
      <c r="C29" s="149"/>
      <c r="D29" s="147"/>
      <c r="E29" s="150"/>
      <c r="F29" s="139"/>
      <c r="G29" s="139"/>
      <c r="H29" s="139"/>
      <c r="I29" s="139"/>
      <c r="J29" s="139">
        <v>270000</v>
      </c>
      <c r="K29" s="139" t="s">
        <v>3139</v>
      </c>
    </row>
    <row r="30" spans="1:11" ht="19" x14ac:dyDescent="0.2">
      <c r="A30" s="143"/>
      <c r="B30" s="32"/>
      <c r="C30" s="49"/>
      <c r="D30" s="13"/>
      <c r="E30" s="15"/>
      <c r="F30" s="174"/>
      <c r="G30" s="174"/>
      <c r="H30" s="9"/>
      <c r="I30" s="9"/>
      <c r="J30" s="9"/>
      <c r="K30" s="9"/>
    </row>
    <row r="31" spans="1:11" ht="19" x14ac:dyDescent="0.2">
      <c r="A31" s="144">
        <v>3042000</v>
      </c>
      <c r="B31" s="145">
        <v>45476</v>
      </c>
      <c r="C31" s="149" t="s">
        <v>9</v>
      </c>
      <c r="D31" s="147" t="s">
        <v>565</v>
      </c>
      <c r="E31" s="150">
        <v>1697000</v>
      </c>
      <c r="F31" s="139">
        <v>374000</v>
      </c>
      <c r="G31" s="139">
        <v>971000</v>
      </c>
      <c r="H31" s="139"/>
      <c r="I31" s="139"/>
      <c r="J31" s="139">
        <v>52000</v>
      </c>
      <c r="K31" s="139" t="s">
        <v>1449</v>
      </c>
    </row>
    <row r="32" spans="1:11" ht="19" x14ac:dyDescent="0.2">
      <c r="A32" s="143"/>
      <c r="B32" s="32"/>
      <c r="C32" s="49"/>
      <c r="D32" s="13"/>
      <c r="E32" s="15"/>
      <c r="F32" s="9"/>
      <c r="G32" s="9"/>
      <c r="H32" s="9"/>
      <c r="I32" s="119"/>
      <c r="J32" s="9">
        <v>58000</v>
      </c>
      <c r="K32" s="9" t="s">
        <v>3140</v>
      </c>
    </row>
    <row r="33" spans="1:11" ht="19" x14ac:dyDescent="0.2">
      <c r="A33" s="144"/>
      <c r="B33" s="145"/>
      <c r="C33" s="149"/>
      <c r="D33" s="147"/>
      <c r="E33" s="150"/>
      <c r="F33" s="139"/>
      <c r="G33" s="139"/>
      <c r="H33" s="139"/>
      <c r="I33" s="139"/>
      <c r="J33" s="139">
        <v>67000</v>
      </c>
      <c r="K33" s="139" t="s">
        <v>3141</v>
      </c>
    </row>
    <row r="34" spans="1:11" ht="19" x14ac:dyDescent="0.2">
      <c r="A34" s="143"/>
      <c r="B34" s="153"/>
      <c r="C34" s="171"/>
      <c r="D34" s="155"/>
      <c r="E34" s="164"/>
      <c r="F34" s="119"/>
      <c r="G34" s="119"/>
      <c r="H34" s="119"/>
      <c r="I34" s="119"/>
      <c r="J34" s="119">
        <v>94000</v>
      </c>
      <c r="K34" s="119" t="s">
        <v>1641</v>
      </c>
    </row>
    <row r="35" spans="1:11" ht="19" x14ac:dyDescent="0.2">
      <c r="A35" s="144"/>
      <c r="B35" s="145"/>
      <c r="C35" s="149"/>
      <c r="D35" s="147"/>
      <c r="E35" s="150"/>
      <c r="F35" s="139"/>
      <c r="G35" s="139"/>
      <c r="H35" s="139"/>
      <c r="I35" s="139"/>
      <c r="J35" s="139">
        <v>30000</v>
      </c>
      <c r="K35" s="139" t="s">
        <v>3142</v>
      </c>
    </row>
    <row r="36" spans="1:11" ht="19" x14ac:dyDescent="0.2">
      <c r="A36" s="143"/>
      <c r="B36" s="32"/>
      <c r="C36" s="49"/>
      <c r="D36" s="13"/>
      <c r="E36" s="15"/>
      <c r="F36" s="9"/>
      <c r="G36" s="9"/>
      <c r="H36" s="9"/>
      <c r="I36" s="119"/>
      <c r="J36" s="9">
        <v>6000</v>
      </c>
      <c r="K36" s="9" t="s">
        <v>3143</v>
      </c>
    </row>
    <row r="37" spans="1:11" ht="19" x14ac:dyDescent="0.2">
      <c r="A37" s="144"/>
      <c r="B37" s="145"/>
      <c r="C37" s="149"/>
      <c r="D37" s="147"/>
      <c r="E37" s="150"/>
      <c r="F37" s="139"/>
      <c r="G37" s="139"/>
      <c r="H37" s="139"/>
      <c r="I37" s="139"/>
      <c r="J37" s="139">
        <v>7000</v>
      </c>
      <c r="K37" s="139" t="s">
        <v>1667</v>
      </c>
    </row>
    <row r="38" spans="1:11" ht="19" x14ac:dyDescent="0.2">
      <c r="A38" s="143"/>
      <c r="B38" s="32"/>
      <c r="C38" s="49"/>
      <c r="D38" s="13"/>
      <c r="E38" s="15"/>
      <c r="F38" s="9"/>
      <c r="G38" s="9"/>
      <c r="H38" s="9"/>
      <c r="I38" s="119"/>
      <c r="J38" s="9">
        <v>6000</v>
      </c>
      <c r="K38" s="9" t="s">
        <v>3144</v>
      </c>
    </row>
    <row r="39" spans="1:11" ht="19" x14ac:dyDescent="0.2">
      <c r="A39" s="144"/>
      <c r="B39" s="145"/>
      <c r="C39" s="149"/>
      <c r="D39" s="147"/>
      <c r="E39" s="150"/>
      <c r="F39" s="139"/>
      <c r="G39" s="139"/>
      <c r="H39" s="139"/>
      <c r="I39" s="139"/>
      <c r="J39" s="139">
        <v>52000</v>
      </c>
      <c r="K39" s="139" t="s">
        <v>1449</v>
      </c>
    </row>
    <row r="40" spans="1:11" ht="19" x14ac:dyDescent="0.2">
      <c r="A40" s="143"/>
      <c r="B40" s="153"/>
      <c r="C40" s="171"/>
      <c r="D40" s="155"/>
      <c r="E40" s="164"/>
      <c r="F40" s="119"/>
      <c r="G40" s="119"/>
      <c r="H40" s="119"/>
      <c r="I40" s="119"/>
      <c r="J40" s="119">
        <v>43000</v>
      </c>
      <c r="K40" s="119" t="s">
        <v>1493</v>
      </c>
    </row>
    <row r="41" spans="1:11" ht="19" x14ac:dyDescent="0.2">
      <c r="A41" s="144"/>
      <c r="B41" s="145"/>
      <c r="C41" s="149"/>
      <c r="D41" s="147"/>
      <c r="E41" s="150"/>
      <c r="F41" s="139"/>
      <c r="G41" s="139"/>
      <c r="H41" s="139"/>
      <c r="I41" s="139"/>
      <c r="J41" s="139">
        <v>75000</v>
      </c>
      <c r="K41" s="139" t="s">
        <v>3145</v>
      </c>
    </row>
    <row r="42" spans="1:11" ht="19" x14ac:dyDescent="0.2">
      <c r="A42" s="143"/>
      <c r="B42" s="153"/>
      <c r="C42" s="171"/>
      <c r="D42" s="155"/>
      <c r="E42" s="164"/>
      <c r="F42" s="119"/>
      <c r="G42" s="119"/>
      <c r="H42" s="119"/>
      <c r="I42" s="119"/>
      <c r="J42" s="119">
        <v>75000</v>
      </c>
      <c r="K42" s="119" t="s">
        <v>3146</v>
      </c>
    </row>
    <row r="43" spans="1:11" ht="19" x14ac:dyDescent="0.2">
      <c r="A43" s="144"/>
      <c r="B43" s="145"/>
      <c r="C43" s="149"/>
      <c r="D43" s="147"/>
      <c r="E43" s="150"/>
      <c r="F43" s="139"/>
      <c r="G43" s="139"/>
      <c r="H43" s="139"/>
      <c r="I43" s="139"/>
      <c r="J43" s="139">
        <v>96000</v>
      </c>
      <c r="K43" s="139" t="s">
        <v>3147</v>
      </c>
    </row>
    <row r="44" spans="1:11" ht="19" x14ac:dyDescent="0.2">
      <c r="A44" s="143"/>
      <c r="B44" s="153"/>
      <c r="C44" s="171"/>
      <c r="D44" s="155"/>
      <c r="E44" s="164"/>
      <c r="F44" s="119"/>
      <c r="G44" s="119"/>
      <c r="H44" s="119"/>
      <c r="I44" s="119"/>
      <c r="J44" s="119">
        <v>60000</v>
      </c>
      <c r="K44" s="119" t="s">
        <v>1598</v>
      </c>
    </row>
    <row r="45" spans="1:11" ht="19" x14ac:dyDescent="0.2">
      <c r="A45" s="144">
        <v>1661000</v>
      </c>
      <c r="B45" s="145"/>
      <c r="C45" s="149" t="s">
        <v>10</v>
      </c>
      <c r="D45" s="147" t="s">
        <v>2767</v>
      </c>
      <c r="E45" s="150">
        <v>770000</v>
      </c>
      <c r="F45" s="139">
        <v>460000</v>
      </c>
      <c r="G45" s="139">
        <v>431000</v>
      </c>
      <c r="H45" s="139">
        <v>270000</v>
      </c>
      <c r="I45" s="139" t="s">
        <v>1800</v>
      </c>
      <c r="J45" s="139">
        <v>195000</v>
      </c>
      <c r="K45" s="139" t="s">
        <v>2255</v>
      </c>
    </row>
    <row r="46" spans="1:11" ht="19" x14ac:dyDescent="0.2">
      <c r="A46" s="143"/>
      <c r="B46" s="153"/>
      <c r="C46" s="171"/>
      <c r="D46" s="155"/>
      <c r="E46" s="164"/>
      <c r="F46" s="119"/>
      <c r="G46" s="119"/>
      <c r="H46" s="119"/>
      <c r="I46" s="119"/>
      <c r="J46" s="119"/>
      <c r="K46" s="119"/>
    </row>
    <row r="47" spans="1:11" ht="19" x14ac:dyDescent="0.2">
      <c r="A47" s="144">
        <v>3155000</v>
      </c>
      <c r="B47" s="145">
        <v>45477</v>
      </c>
      <c r="C47" s="149" t="s">
        <v>9</v>
      </c>
      <c r="D47" s="147" t="s">
        <v>565</v>
      </c>
      <c r="E47" s="150">
        <v>1784000</v>
      </c>
      <c r="F47" s="139">
        <v>928000</v>
      </c>
      <c r="G47" s="139">
        <v>443000</v>
      </c>
      <c r="H47" s="139"/>
      <c r="I47" s="139"/>
      <c r="J47" s="139">
        <v>191000</v>
      </c>
      <c r="K47" s="139" t="s">
        <v>2998</v>
      </c>
    </row>
    <row r="48" spans="1:11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>
        <v>33000</v>
      </c>
      <c r="K48" s="119" t="s">
        <v>1728</v>
      </c>
    </row>
    <row r="49" spans="1:11" ht="19" x14ac:dyDescent="0.2">
      <c r="A49" s="144"/>
      <c r="B49" s="145"/>
      <c r="C49" s="149"/>
      <c r="D49" s="147"/>
      <c r="E49" s="150"/>
      <c r="F49" s="139"/>
      <c r="G49" s="139"/>
      <c r="H49" s="139"/>
      <c r="I49" s="139"/>
      <c r="J49" s="139">
        <v>8000</v>
      </c>
      <c r="K49" s="139" t="s">
        <v>3148</v>
      </c>
    </row>
    <row r="50" spans="1:11" ht="19" x14ac:dyDescent="0.2">
      <c r="A50" s="143"/>
      <c r="B50" s="153"/>
      <c r="C50" s="171"/>
      <c r="D50" s="155"/>
      <c r="E50" s="164"/>
      <c r="F50" s="119"/>
      <c r="G50" s="119"/>
      <c r="H50" s="119"/>
      <c r="I50" s="119"/>
      <c r="J50" s="119">
        <v>79000</v>
      </c>
      <c r="K50" s="119" t="s">
        <v>3149</v>
      </c>
    </row>
    <row r="51" spans="1:11" ht="19" x14ac:dyDescent="0.2">
      <c r="A51" s="144"/>
      <c r="B51" s="145"/>
      <c r="C51" s="149"/>
      <c r="D51" s="147"/>
      <c r="E51" s="150"/>
      <c r="F51" s="139"/>
      <c r="G51" s="139"/>
      <c r="H51" s="139"/>
      <c r="I51" s="139"/>
      <c r="J51" s="139">
        <v>71000</v>
      </c>
      <c r="K51" s="139" t="s">
        <v>3150</v>
      </c>
    </row>
    <row r="52" spans="1:11" ht="19" x14ac:dyDescent="0.2">
      <c r="A52" s="143">
        <v>2120000</v>
      </c>
      <c r="B52" s="153"/>
      <c r="C52" s="171" t="s">
        <v>10</v>
      </c>
      <c r="D52" s="155" t="s">
        <v>2767</v>
      </c>
      <c r="E52" s="164">
        <v>1504000</v>
      </c>
      <c r="F52" s="119">
        <v>441000</v>
      </c>
      <c r="G52" s="119">
        <v>175000</v>
      </c>
      <c r="H52" s="119"/>
      <c r="I52" s="119"/>
      <c r="J52" s="119">
        <v>127000</v>
      </c>
      <c r="K52" s="119" t="s">
        <v>3151</v>
      </c>
    </row>
    <row r="53" spans="1:11" ht="19" x14ac:dyDescent="0.2">
      <c r="A53" s="144"/>
      <c r="B53" s="145"/>
      <c r="C53" s="149"/>
      <c r="D53" s="147"/>
      <c r="E53" s="150"/>
      <c r="F53" s="139"/>
      <c r="G53" s="139"/>
      <c r="H53" s="139"/>
      <c r="I53" s="139"/>
      <c r="J53" s="139">
        <v>33000</v>
      </c>
      <c r="K53" s="139" t="s">
        <v>3152</v>
      </c>
    </row>
    <row r="54" spans="1:11" ht="19" x14ac:dyDescent="0.2">
      <c r="A54" s="143"/>
      <c r="B54" s="153"/>
      <c r="C54" s="171"/>
      <c r="D54" s="155"/>
      <c r="E54" s="164"/>
      <c r="F54" s="119"/>
      <c r="G54" s="119"/>
      <c r="H54" s="173"/>
      <c r="I54" s="119"/>
      <c r="J54" s="119">
        <v>45000</v>
      </c>
      <c r="K54" s="119" t="s">
        <v>3153</v>
      </c>
    </row>
    <row r="55" spans="1:11" ht="19" x14ac:dyDescent="0.2">
      <c r="A55" s="144"/>
      <c r="B55" s="145"/>
      <c r="C55" s="149"/>
      <c r="D55" s="147"/>
      <c r="E55" s="150"/>
      <c r="F55" s="139"/>
      <c r="G55" s="139"/>
      <c r="H55" s="157"/>
      <c r="I55" s="139"/>
      <c r="J55" s="139">
        <v>175000</v>
      </c>
      <c r="K55" s="139" t="s">
        <v>889</v>
      </c>
    </row>
    <row r="56" spans="1:11" ht="19" x14ac:dyDescent="0.2">
      <c r="A56" s="143">
        <v>2587000</v>
      </c>
      <c r="B56" s="153">
        <v>45478</v>
      </c>
      <c r="C56" s="171" t="s">
        <v>9</v>
      </c>
      <c r="D56" s="155" t="s">
        <v>565</v>
      </c>
      <c r="E56" s="164">
        <v>1563000</v>
      </c>
      <c r="F56" s="119">
        <v>539000</v>
      </c>
      <c r="G56" s="119">
        <v>485000</v>
      </c>
      <c r="H56" s="173"/>
      <c r="I56" s="119"/>
      <c r="J56" s="119">
        <v>520000</v>
      </c>
      <c r="K56" s="119" t="s">
        <v>741</v>
      </c>
    </row>
    <row r="57" spans="1:11" ht="19" x14ac:dyDescent="0.2">
      <c r="A57" s="144"/>
      <c r="B57" s="145"/>
      <c r="C57" s="149"/>
      <c r="D57" s="147"/>
      <c r="E57" s="150"/>
      <c r="F57" s="139"/>
      <c r="G57" s="139"/>
      <c r="H57" s="157"/>
      <c r="I57" s="139"/>
      <c r="J57" s="139">
        <v>60000</v>
      </c>
      <c r="K57" s="139" t="s">
        <v>1093</v>
      </c>
    </row>
    <row r="58" spans="1:11" ht="19" x14ac:dyDescent="0.2">
      <c r="A58" s="143"/>
      <c r="B58" s="153"/>
      <c r="C58" s="171"/>
      <c r="D58" s="155"/>
      <c r="E58" s="164"/>
      <c r="F58" s="119"/>
      <c r="G58" s="119"/>
      <c r="H58" s="119"/>
      <c r="I58" s="119"/>
      <c r="J58" s="119">
        <v>120000</v>
      </c>
      <c r="K58" s="119" t="s">
        <v>703</v>
      </c>
    </row>
    <row r="59" spans="1:11" ht="19" x14ac:dyDescent="0.2">
      <c r="A59" s="144"/>
      <c r="B59" s="145"/>
      <c r="C59" s="149"/>
      <c r="D59" s="147"/>
      <c r="E59" s="150"/>
      <c r="F59" s="150"/>
      <c r="G59" s="139"/>
      <c r="H59" s="139"/>
      <c r="I59" s="139"/>
      <c r="J59" s="139">
        <v>2000</v>
      </c>
      <c r="K59" s="139" t="s">
        <v>3154</v>
      </c>
    </row>
    <row r="60" spans="1:11" ht="19" x14ac:dyDescent="0.2">
      <c r="A60" s="143"/>
      <c r="B60" s="153"/>
      <c r="C60" s="171"/>
      <c r="D60" s="155"/>
      <c r="E60" s="164"/>
      <c r="F60" s="119"/>
      <c r="G60" s="119"/>
      <c r="H60" s="119"/>
      <c r="I60" s="119"/>
      <c r="J60" s="119">
        <v>50000</v>
      </c>
      <c r="K60" s="119" t="s">
        <v>3090</v>
      </c>
    </row>
    <row r="61" spans="1:11" ht="19" x14ac:dyDescent="0.2">
      <c r="A61" s="144"/>
      <c r="B61" s="145"/>
      <c r="C61" s="149"/>
      <c r="D61" s="147"/>
      <c r="E61" s="150"/>
      <c r="F61" s="139"/>
      <c r="G61" s="139"/>
      <c r="H61" s="139"/>
      <c r="I61" s="139"/>
      <c r="J61" s="139">
        <v>148000</v>
      </c>
      <c r="K61" s="139" t="s">
        <v>3155</v>
      </c>
    </row>
    <row r="62" spans="1:11" ht="19" x14ac:dyDescent="0.2">
      <c r="A62" s="143"/>
      <c r="B62" s="153"/>
      <c r="C62" s="171"/>
      <c r="D62" s="155"/>
      <c r="E62" s="164"/>
      <c r="F62" s="119"/>
      <c r="G62" s="119"/>
      <c r="H62" s="119"/>
      <c r="I62" s="119"/>
      <c r="J62" s="119">
        <v>30000</v>
      </c>
      <c r="K62" s="119" t="s">
        <v>3156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150000</v>
      </c>
      <c r="K63" s="119" t="s">
        <v>2917</v>
      </c>
    </row>
    <row r="64" spans="1:11" ht="19" x14ac:dyDescent="0.2">
      <c r="A64" s="144"/>
      <c r="B64" s="145"/>
      <c r="C64" s="149"/>
      <c r="D64" s="147"/>
      <c r="E64" s="150"/>
      <c r="F64" s="139"/>
      <c r="G64" s="139"/>
      <c r="H64" s="139"/>
      <c r="I64" s="139"/>
      <c r="J64" s="139">
        <v>150000</v>
      </c>
      <c r="K64" s="139" t="s">
        <v>3157</v>
      </c>
    </row>
    <row r="65" spans="1:11" ht="19" x14ac:dyDescent="0.2">
      <c r="A65" s="206">
        <v>2387000</v>
      </c>
      <c r="B65" s="207"/>
      <c r="C65" s="171" t="s">
        <v>10</v>
      </c>
      <c r="D65" s="155" t="s">
        <v>2767</v>
      </c>
      <c r="E65" s="210">
        <v>1804000</v>
      </c>
      <c r="F65" s="211">
        <v>188000</v>
      </c>
      <c r="G65" s="211">
        <v>395000</v>
      </c>
      <c r="H65" s="211"/>
      <c r="I65" s="211"/>
      <c r="J65" s="211">
        <v>200000</v>
      </c>
      <c r="K65" s="119" t="s">
        <v>2796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27000</v>
      </c>
      <c r="K66" s="139" t="s">
        <v>1688</v>
      </c>
    </row>
    <row r="67" spans="1:11" ht="19" x14ac:dyDescent="0.2">
      <c r="A67" s="143"/>
      <c r="B67" s="32"/>
      <c r="C67" s="49"/>
      <c r="D67" s="13"/>
      <c r="E67" s="15"/>
      <c r="F67" s="9"/>
      <c r="G67" s="9"/>
      <c r="H67" s="9"/>
      <c r="I67" s="9"/>
      <c r="J67" s="9">
        <v>135000</v>
      </c>
      <c r="K67" s="9" t="s">
        <v>3158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/>
      <c r="K68" s="139"/>
    </row>
    <row r="69" spans="1:11" ht="19" x14ac:dyDescent="0.2">
      <c r="A69" s="143">
        <v>1569000</v>
      </c>
      <c r="B69" s="32">
        <v>45479</v>
      </c>
      <c r="C69" s="49" t="s">
        <v>9</v>
      </c>
      <c r="D69" s="13" t="s">
        <v>565</v>
      </c>
      <c r="E69" s="15">
        <v>1064000</v>
      </c>
      <c r="F69" s="9">
        <v>235000</v>
      </c>
      <c r="G69" s="9">
        <v>270000</v>
      </c>
      <c r="H69" s="9"/>
      <c r="I69" s="9"/>
      <c r="J69" s="9">
        <v>206000</v>
      </c>
      <c r="K69" s="9" t="s">
        <v>3159</v>
      </c>
    </row>
    <row r="70" spans="1:11" ht="19" x14ac:dyDescent="0.2">
      <c r="A70" s="148"/>
      <c r="B70" s="145"/>
      <c r="C70" s="151"/>
      <c r="D70" s="147"/>
      <c r="E70" s="150"/>
      <c r="F70" s="139"/>
      <c r="G70" s="139"/>
      <c r="H70" s="139"/>
      <c r="I70" s="139"/>
      <c r="J70" s="139">
        <v>7000</v>
      </c>
      <c r="K70" s="139" t="s">
        <v>1734</v>
      </c>
    </row>
    <row r="71" spans="1:11" ht="19" x14ac:dyDescent="0.2">
      <c r="A71" s="143"/>
      <c r="B71" s="153"/>
      <c r="C71" s="163"/>
      <c r="D71" s="155"/>
      <c r="E71" s="164"/>
      <c r="F71" s="119"/>
      <c r="G71" s="119"/>
      <c r="H71" s="119"/>
      <c r="I71" s="119"/>
      <c r="J71" s="119">
        <v>102000</v>
      </c>
      <c r="K71" s="119" t="s">
        <v>3160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52"/>
      <c r="I72" s="152"/>
      <c r="J72" s="139">
        <v>9000</v>
      </c>
      <c r="K72" s="139" t="s">
        <v>3161</v>
      </c>
    </row>
    <row r="73" spans="1:11" ht="19" x14ac:dyDescent="0.2">
      <c r="A73" s="143">
        <v>1610000</v>
      </c>
      <c r="B73" s="32"/>
      <c r="C73" s="49" t="s">
        <v>10</v>
      </c>
      <c r="D73" s="13" t="s">
        <v>2767</v>
      </c>
      <c r="E73" s="15">
        <v>1187000</v>
      </c>
      <c r="F73" s="9">
        <v>237000</v>
      </c>
      <c r="G73" s="9">
        <v>186000</v>
      </c>
      <c r="H73" s="60"/>
      <c r="I73" s="60"/>
      <c r="J73" s="9">
        <v>94000</v>
      </c>
      <c r="K73" s="9" t="s">
        <v>1641</v>
      </c>
    </row>
    <row r="74" spans="1:11" ht="19" x14ac:dyDescent="0.2">
      <c r="A74" s="144"/>
      <c r="B74" s="145"/>
      <c r="C74" s="149"/>
      <c r="D74" s="147"/>
      <c r="E74" s="150"/>
      <c r="F74" s="139"/>
      <c r="G74" s="139"/>
      <c r="H74" s="152"/>
      <c r="I74" s="152"/>
      <c r="J74" s="139">
        <v>41000</v>
      </c>
      <c r="K74" s="139" t="s">
        <v>3162</v>
      </c>
    </row>
    <row r="75" spans="1:11" ht="19" x14ac:dyDescent="0.2">
      <c r="A75" s="143"/>
      <c r="B75" s="153"/>
      <c r="C75" s="171"/>
      <c r="D75" s="155"/>
      <c r="E75" s="164"/>
      <c r="F75" s="119"/>
      <c r="G75" s="119"/>
      <c r="H75" s="175"/>
      <c r="I75" s="175"/>
      <c r="J75" s="119">
        <v>9000</v>
      </c>
      <c r="K75" s="119" t="s">
        <v>3163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192000</v>
      </c>
      <c r="K76" s="139" t="s">
        <v>615</v>
      </c>
    </row>
    <row r="77" spans="1:11" ht="19" x14ac:dyDescent="0.2">
      <c r="A77" s="143"/>
      <c r="B77" s="153">
        <v>45480</v>
      </c>
      <c r="C77" s="171"/>
      <c r="D77" s="155"/>
      <c r="E77" s="164"/>
      <c r="F77" s="119"/>
      <c r="G77" s="119"/>
      <c r="H77" s="119"/>
      <c r="I77" s="119" t="s">
        <v>737</v>
      </c>
      <c r="J77" s="119"/>
      <c r="K77" s="119"/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/>
      <c r="K78" s="139"/>
    </row>
    <row r="79" spans="1:11" ht="19" x14ac:dyDescent="0.2">
      <c r="A79" s="143">
        <v>2222000</v>
      </c>
      <c r="B79" s="153">
        <v>45481</v>
      </c>
      <c r="C79" s="171" t="s">
        <v>9</v>
      </c>
      <c r="D79" s="155" t="s">
        <v>565</v>
      </c>
      <c r="E79" s="15">
        <v>1295000</v>
      </c>
      <c r="F79" s="9">
        <v>770000</v>
      </c>
      <c r="G79" s="9">
        <v>157000</v>
      </c>
      <c r="H79" s="9">
        <v>3780000</v>
      </c>
      <c r="I79" s="9" t="s">
        <v>3253</v>
      </c>
      <c r="J79" s="9">
        <v>40000</v>
      </c>
      <c r="K79" s="9" t="s">
        <v>3164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52"/>
      <c r="I80" s="152"/>
      <c r="J80" s="139">
        <v>29000</v>
      </c>
      <c r="K80" s="139" t="s">
        <v>3165</v>
      </c>
    </row>
    <row r="81" spans="1:11" ht="19" x14ac:dyDescent="0.2">
      <c r="A81" s="143"/>
      <c r="B81" s="153"/>
      <c r="C81" s="171"/>
      <c r="D81" s="155"/>
      <c r="E81" s="15"/>
      <c r="F81" s="9"/>
      <c r="G81" s="9"/>
      <c r="H81" s="106"/>
      <c r="I81" s="106"/>
      <c r="J81" s="9">
        <v>133000</v>
      </c>
      <c r="K81" s="9" t="s">
        <v>3166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5000</v>
      </c>
      <c r="K82" s="139" t="s">
        <v>1667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175"/>
      <c r="I83" s="175"/>
      <c r="J83" s="9">
        <v>180000</v>
      </c>
      <c r="K83" s="119" t="s">
        <v>1838</v>
      </c>
    </row>
    <row r="84" spans="1:11" ht="19" x14ac:dyDescent="0.2">
      <c r="A84" s="144">
        <v>1834000</v>
      </c>
      <c r="B84" s="145"/>
      <c r="C84" s="149" t="s">
        <v>10</v>
      </c>
      <c r="D84" s="147" t="s">
        <v>2767</v>
      </c>
      <c r="E84" s="150">
        <v>1102000</v>
      </c>
      <c r="F84" s="139">
        <v>238000</v>
      </c>
      <c r="G84" s="139">
        <v>494000</v>
      </c>
      <c r="H84" s="152"/>
      <c r="I84" s="152"/>
      <c r="J84" s="139">
        <v>50000</v>
      </c>
      <c r="K84" s="139" t="s">
        <v>123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60"/>
      <c r="I85" s="60"/>
      <c r="J85" s="119"/>
      <c r="K85" s="119"/>
    </row>
    <row r="86" spans="1:11" ht="19" x14ac:dyDescent="0.2">
      <c r="A86" s="144">
        <v>2348000</v>
      </c>
      <c r="B86" s="145">
        <v>45482</v>
      </c>
      <c r="C86" s="149" t="s">
        <v>9</v>
      </c>
      <c r="D86" s="147" t="s">
        <v>565</v>
      </c>
      <c r="E86" s="150">
        <v>1432000</v>
      </c>
      <c r="F86" s="139">
        <v>487000</v>
      </c>
      <c r="G86" s="139">
        <v>429000</v>
      </c>
      <c r="H86" s="152"/>
      <c r="I86" s="152"/>
      <c r="J86" s="139">
        <v>75000</v>
      </c>
      <c r="K86" s="139" t="s">
        <v>3167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75"/>
      <c r="I87" s="175"/>
      <c r="J87" s="119">
        <v>99000</v>
      </c>
      <c r="K87" s="119" t="s">
        <v>1929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52"/>
      <c r="I88" s="152"/>
      <c r="J88" s="139">
        <v>11000</v>
      </c>
      <c r="K88" s="139" t="s">
        <v>3168</v>
      </c>
    </row>
    <row r="89" spans="1:11" ht="19" x14ac:dyDescent="0.2">
      <c r="A89" s="143"/>
      <c r="B89" s="153"/>
      <c r="C89" s="49"/>
      <c r="D89" s="13"/>
      <c r="E89" s="15"/>
      <c r="F89" s="9"/>
      <c r="G89" s="9"/>
      <c r="H89" s="175"/>
      <c r="I89" s="9"/>
      <c r="J89" s="9">
        <v>41000</v>
      </c>
      <c r="K89" s="9" t="s">
        <v>3169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39"/>
      <c r="I90" s="139"/>
      <c r="J90" s="139">
        <v>55000</v>
      </c>
      <c r="K90" s="139" t="s">
        <v>3170</v>
      </c>
    </row>
    <row r="91" spans="1:11" ht="19" x14ac:dyDescent="0.2">
      <c r="A91" s="143"/>
      <c r="B91" s="32"/>
      <c r="C91" s="49"/>
      <c r="D91" s="13"/>
      <c r="E91" s="15"/>
      <c r="F91" s="9"/>
      <c r="G91" s="9"/>
      <c r="H91" s="9"/>
      <c r="I91" s="9"/>
      <c r="J91" s="9">
        <v>41000</v>
      </c>
      <c r="K91" s="9" t="s">
        <v>3171</v>
      </c>
    </row>
    <row r="92" spans="1:11" ht="19" x14ac:dyDescent="0.2">
      <c r="A92" s="144">
        <v>1923000</v>
      </c>
      <c r="B92" s="145"/>
      <c r="C92" s="149" t="s">
        <v>10</v>
      </c>
      <c r="D92" s="147" t="s">
        <v>2767</v>
      </c>
      <c r="E92" s="150">
        <v>1249000</v>
      </c>
      <c r="F92" s="139">
        <v>311000</v>
      </c>
      <c r="G92" s="139">
        <v>363000</v>
      </c>
      <c r="H92" s="139"/>
      <c r="I92" s="139"/>
      <c r="J92" s="139"/>
      <c r="K92" s="139"/>
    </row>
    <row r="93" spans="1:11" ht="19" x14ac:dyDescent="0.2">
      <c r="A93" s="143"/>
      <c r="B93" s="32"/>
      <c r="C93" s="49"/>
      <c r="D93" s="13"/>
      <c r="E93" s="15"/>
      <c r="F93" s="9"/>
      <c r="G93" s="9"/>
      <c r="H93" s="60"/>
      <c r="I93" s="60"/>
      <c r="J93" s="9"/>
      <c r="K93" s="9"/>
    </row>
    <row r="94" spans="1:11" ht="19" x14ac:dyDescent="0.2">
      <c r="A94" s="144">
        <v>2608000</v>
      </c>
      <c r="B94" s="145">
        <v>45483</v>
      </c>
      <c r="C94" s="159" t="s">
        <v>9</v>
      </c>
      <c r="D94" s="147" t="s">
        <v>565</v>
      </c>
      <c r="E94" s="150">
        <v>1764000</v>
      </c>
      <c r="F94" s="139">
        <v>416000</v>
      </c>
      <c r="G94" s="139">
        <v>428000</v>
      </c>
      <c r="H94" s="139"/>
      <c r="I94" s="139"/>
      <c r="J94" s="139">
        <v>134000</v>
      </c>
      <c r="K94" s="139" t="s">
        <v>3172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9">
        <v>77000</v>
      </c>
      <c r="K95" s="9" t="s">
        <v>3173</v>
      </c>
    </row>
    <row r="96" spans="1:11" ht="19" x14ac:dyDescent="0.2">
      <c r="A96" s="143"/>
      <c r="B96" s="32"/>
      <c r="C96" s="49"/>
      <c r="D96" s="13"/>
      <c r="E96" s="15"/>
      <c r="F96" s="9"/>
      <c r="G96" s="9"/>
      <c r="H96" s="9"/>
      <c r="I96" s="9"/>
      <c r="J96" s="9">
        <v>99000</v>
      </c>
      <c r="K96" s="9" t="s">
        <v>1738</v>
      </c>
    </row>
    <row r="97" spans="1:11" ht="19" x14ac:dyDescent="0.2">
      <c r="A97" s="144"/>
      <c r="B97" s="145"/>
      <c r="C97" s="149"/>
      <c r="D97" s="147"/>
      <c r="E97" s="150"/>
      <c r="F97" s="139"/>
      <c r="G97" s="139"/>
      <c r="H97" s="139"/>
      <c r="I97" s="139"/>
      <c r="J97" s="139">
        <v>165000</v>
      </c>
      <c r="K97" s="139" t="s">
        <v>1869</v>
      </c>
    </row>
    <row r="98" spans="1:11" ht="19" x14ac:dyDescent="0.2">
      <c r="A98" s="143"/>
      <c r="B98" s="153"/>
      <c r="C98" s="171"/>
      <c r="D98" s="155"/>
      <c r="E98" s="164"/>
      <c r="F98" s="119"/>
      <c r="G98" s="119"/>
      <c r="H98" s="119"/>
      <c r="I98" s="119"/>
      <c r="J98" s="119">
        <v>86000</v>
      </c>
      <c r="K98" s="119" t="s">
        <v>1641</v>
      </c>
    </row>
    <row r="99" spans="1:11" ht="19" x14ac:dyDescent="0.2">
      <c r="A99" s="144">
        <v>1165000</v>
      </c>
      <c r="B99" s="145"/>
      <c r="C99" s="149" t="s">
        <v>10</v>
      </c>
      <c r="D99" s="147" t="s">
        <v>2767</v>
      </c>
      <c r="E99" s="150">
        <v>821000</v>
      </c>
      <c r="F99" s="139">
        <v>143000</v>
      </c>
      <c r="G99" s="139">
        <v>201000</v>
      </c>
      <c r="H99" s="139"/>
      <c r="I99" s="139"/>
      <c r="J99" s="139">
        <v>200000</v>
      </c>
      <c r="K99" s="139" t="s">
        <v>3174</v>
      </c>
    </row>
    <row r="100" spans="1:11" ht="19" x14ac:dyDescent="0.2">
      <c r="A100" s="143"/>
      <c r="B100" s="153"/>
      <c r="C100" s="171"/>
      <c r="D100" s="155"/>
      <c r="E100" s="164"/>
      <c r="F100" s="119"/>
      <c r="G100" s="119"/>
      <c r="H100" s="119"/>
      <c r="I100" s="119"/>
      <c r="J100" s="119">
        <v>45000</v>
      </c>
      <c r="K100" s="119" t="s">
        <v>1467</v>
      </c>
    </row>
    <row r="101" spans="1:11" ht="19" x14ac:dyDescent="0.2">
      <c r="A101" s="144"/>
      <c r="B101" s="145"/>
      <c r="C101" s="149"/>
      <c r="D101" s="147"/>
      <c r="E101" s="150"/>
      <c r="F101" s="139"/>
      <c r="G101" s="139"/>
      <c r="H101" s="152"/>
      <c r="I101" s="152"/>
      <c r="J101" s="139">
        <v>150000</v>
      </c>
      <c r="K101" s="139" t="s">
        <v>1710</v>
      </c>
    </row>
    <row r="102" spans="1:11" ht="19" x14ac:dyDescent="0.2">
      <c r="A102" s="143">
        <v>2358000</v>
      </c>
      <c r="B102" s="153">
        <v>45484</v>
      </c>
      <c r="C102" s="171" t="s">
        <v>9</v>
      </c>
      <c r="D102" s="155" t="s">
        <v>565</v>
      </c>
      <c r="E102" s="164">
        <v>1235000</v>
      </c>
      <c r="F102" s="119">
        <v>664000</v>
      </c>
      <c r="G102" s="119">
        <v>459000</v>
      </c>
      <c r="H102" s="175"/>
      <c r="I102" s="175"/>
      <c r="J102" s="119">
        <v>164000</v>
      </c>
      <c r="K102" s="119" t="s">
        <v>3175</v>
      </c>
    </row>
    <row r="103" spans="1:11" ht="19" x14ac:dyDescent="0.2">
      <c r="A103" s="144"/>
      <c r="B103" s="145"/>
      <c r="C103" s="149"/>
      <c r="D103" s="147"/>
      <c r="E103" s="150"/>
      <c r="F103" s="139"/>
      <c r="G103" s="139"/>
      <c r="H103" s="139"/>
      <c r="I103" s="139"/>
      <c r="J103" s="139">
        <v>5000</v>
      </c>
      <c r="K103" s="139" t="s">
        <v>3176</v>
      </c>
    </row>
    <row r="104" spans="1:11" ht="19" x14ac:dyDescent="0.2">
      <c r="A104" s="143"/>
      <c r="B104" s="153"/>
      <c r="C104" s="171"/>
      <c r="D104" s="155"/>
      <c r="E104" s="164"/>
      <c r="F104" s="119"/>
      <c r="G104" s="119"/>
      <c r="H104" s="119"/>
      <c r="I104" s="119"/>
      <c r="J104" s="119">
        <v>29000</v>
      </c>
      <c r="K104" s="119" t="s">
        <v>3177</v>
      </c>
    </row>
    <row r="105" spans="1:11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/>
      <c r="J105" s="139">
        <v>50000</v>
      </c>
      <c r="K105" s="139" t="s">
        <v>3036</v>
      </c>
    </row>
    <row r="106" spans="1:11" ht="19" x14ac:dyDescent="0.2">
      <c r="A106" s="142"/>
      <c r="B106" s="153"/>
      <c r="C106" s="171"/>
      <c r="D106" s="172"/>
      <c r="E106" s="164"/>
      <c r="F106" s="119"/>
      <c r="G106" s="119"/>
      <c r="H106" s="119"/>
      <c r="I106" s="119"/>
      <c r="J106" s="119">
        <v>20000</v>
      </c>
      <c r="K106" s="119" t="s">
        <v>3058</v>
      </c>
    </row>
    <row r="107" spans="1:11" ht="19" x14ac:dyDescent="0.2">
      <c r="A107" s="297"/>
      <c r="B107" s="145"/>
      <c r="C107" s="149"/>
      <c r="D107" s="147"/>
      <c r="E107" s="150"/>
      <c r="F107" s="139"/>
      <c r="G107" s="139"/>
      <c r="H107" s="139"/>
      <c r="I107" s="139"/>
      <c r="J107" s="139">
        <v>57000</v>
      </c>
      <c r="K107" s="139" t="s">
        <v>3178</v>
      </c>
    </row>
    <row r="108" spans="1:11" ht="19" x14ac:dyDescent="0.2">
      <c r="A108" s="143"/>
      <c r="B108" s="153"/>
      <c r="C108" s="171"/>
      <c r="D108" s="155"/>
      <c r="E108" s="164"/>
      <c r="F108" s="119"/>
      <c r="G108" s="119"/>
      <c r="H108" s="119"/>
      <c r="I108" s="119"/>
      <c r="J108" s="119">
        <v>11000</v>
      </c>
      <c r="K108" s="119" t="s">
        <v>1873</v>
      </c>
    </row>
    <row r="109" spans="1:11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/>
      <c r="J109" s="139">
        <v>73000</v>
      </c>
      <c r="K109" s="139" t="s">
        <v>3179</v>
      </c>
    </row>
    <row r="110" spans="1:11" ht="19" x14ac:dyDescent="0.2">
      <c r="A110" s="143"/>
      <c r="B110" s="153"/>
      <c r="C110" s="171"/>
      <c r="D110" s="155"/>
      <c r="E110" s="164"/>
      <c r="F110" s="119"/>
      <c r="G110" s="119"/>
      <c r="H110" s="119"/>
      <c r="I110" s="119"/>
      <c r="J110" s="119">
        <v>150000</v>
      </c>
      <c r="K110" s="119" t="s">
        <v>3180</v>
      </c>
    </row>
    <row r="111" spans="1:11" ht="19" x14ac:dyDescent="0.2">
      <c r="A111" s="144">
        <v>1263000</v>
      </c>
      <c r="B111" s="145"/>
      <c r="C111" s="149" t="s">
        <v>10</v>
      </c>
      <c r="D111" s="147" t="s">
        <v>2767</v>
      </c>
      <c r="E111" s="150">
        <v>786000</v>
      </c>
      <c r="F111" s="139">
        <v>216000</v>
      </c>
      <c r="G111" s="139">
        <v>261000</v>
      </c>
      <c r="H111" s="139"/>
      <c r="I111" s="152"/>
      <c r="J111" s="139"/>
      <c r="K111" s="139"/>
    </row>
    <row r="112" spans="1:11" ht="19" x14ac:dyDescent="0.2">
      <c r="A112" s="143"/>
      <c r="B112" s="153"/>
      <c r="C112" s="171"/>
      <c r="D112" s="155"/>
      <c r="E112" s="164"/>
      <c r="F112" s="119"/>
      <c r="G112" s="119"/>
      <c r="H112" s="119"/>
      <c r="I112" s="119"/>
      <c r="J112" s="119"/>
      <c r="K112" s="119"/>
    </row>
    <row r="113" spans="1:11" ht="19" x14ac:dyDescent="0.2">
      <c r="A113" s="144">
        <v>2339000</v>
      </c>
      <c r="B113" s="145">
        <v>45485</v>
      </c>
      <c r="C113" s="149" t="s">
        <v>9</v>
      </c>
      <c r="D113" s="147" t="s">
        <v>565</v>
      </c>
      <c r="E113" s="150">
        <v>1588000</v>
      </c>
      <c r="F113" s="139">
        <v>362000</v>
      </c>
      <c r="G113" s="139">
        <v>389000</v>
      </c>
      <c r="H113" s="139"/>
      <c r="I113" s="139"/>
      <c r="J113" s="139">
        <v>60000</v>
      </c>
      <c r="K113" s="139" t="s">
        <v>3181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62">
        <v>5000</v>
      </c>
      <c r="K114" s="162" t="s">
        <v>3176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75"/>
      <c r="J115" s="174">
        <v>33000</v>
      </c>
      <c r="K115" s="174" t="s">
        <v>3182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39">
        <v>30000</v>
      </c>
      <c r="K116" s="139" t="s">
        <v>3183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19"/>
      <c r="J117" s="119">
        <v>100000</v>
      </c>
      <c r="K117" s="119" t="s">
        <v>3184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26000</v>
      </c>
      <c r="K118" s="139" t="s">
        <v>1859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/>
      <c r="K119" s="119"/>
    </row>
    <row r="120" spans="1:11" ht="19" x14ac:dyDescent="0.2">
      <c r="A120" s="144">
        <v>1268000</v>
      </c>
      <c r="B120" s="145"/>
      <c r="C120" s="149" t="s">
        <v>10</v>
      </c>
      <c r="D120" s="147" t="s">
        <v>2767</v>
      </c>
      <c r="E120" s="150">
        <v>456000</v>
      </c>
      <c r="F120" s="139">
        <v>365000</v>
      </c>
      <c r="G120" s="139">
        <v>447000</v>
      </c>
      <c r="H120" s="139"/>
      <c r="I120" s="139"/>
      <c r="J120" s="139"/>
      <c r="K120" s="139"/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/>
      <c r="K121" s="119"/>
    </row>
    <row r="122" spans="1:11" ht="19" x14ac:dyDescent="0.2">
      <c r="A122" s="144">
        <v>2530000</v>
      </c>
      <c r="B122" s="145">
        <v>45486</v>
      </c>
      <c r="C122" s="151" t="s">
        <v>9</v>
      </c>
      <c r="D122" s="147" t="s">
        <v>3185</v>
      </c>
      <c r="E122" s="150">
        <v>1823000</v>
      </c>
      <c r="F122" s="139">
        <v>399000</v>
      </c>
      <c r="G122" s="139">
        <v>308000</v>
      </c>
      <c r="H122" s="139"/>
      <c r="I122" s="139"/>
      <c r="J122" s="162">
        <v>300000</v>
      </c>
      <c r="K122" s="162" t="s">
        <v>3186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74000</v>
      </c>
      <c r="K123" s="174" t="s">
        <v>3187</v>
      </c>
    </row>
    <row r="124" spans="1:11" ht="19" x14ac:dyDescent="0.2">
      <c r="A124" s="144"/>
      <c r="B124" s="145"/>
      <c r="C124" s="149"/>
      <c r="D124" s="147"/>
      <c r="E124" s="150"/>
      <c r="F124" s="139"/>
      <c r="G124" s="139"/>
      <c r="H124" s="139"/>
      <c r="I124" s="139"/>
      <c r="J124" s="162">
        <v>7000</v>
      </c>
      <c r="K124" s="162" t="s">
        <v>3188</v>
      </c>
    </row>
    <row r="125" spans="1:11" ht="19" x14ac:dyDescent="0.2">
      <c r="A125" s="143"/>
      <c r="B125" s="153"/>
      <c r="C125" s="171"/>
      <c r="D125" s="155"/>
      <c r="E125" s="164"/>
      <c r="F125" s="119"/>
      <c r="G125" s="119"/>
      <c r="H125" s="119"/>
      <c r="I125" s="119"/>
      <c r="J125" s="174">
        <v>60000</v>
      </c>
      <c r="K125" s="174" t="s">
        <v>3189</v>
      </c>
    </row>
    <row r="126" spans="1:11" ht="19" x14ac:dyDescent="0.2">
      <c r="A126" s="144">
        <v>1552000</v>
      </c>
      <c r="B126" s="145"/>
      <c r="C126" s="151" t="s">
        <v>10</v>
      </c>
      <c r="D126" s="147" t="s">
        <v>2767</v>
      </c>
      <c r="E126" s="150">
        <v>1219000</v>
      </c>
      <c r="F126" s="139">
        <v>173000</v>
      </c>
      <c r="G126" s="139">
        <v>160000</v>
      </c>
      <c r="H126" s="139"/>
      <c r="I126" s="139"/>
      <c r="J126" s="162">
        <v>50000</v>
      </c>
      <c r="K126" s="162" t="s">
        <v>123</v>
      </c>
    </row>
    <row r="127" spans="1:11" ht="19" x14ac:dyDescent="0.2">
      <c r="A127" s="142"/>
      <c r="B127" s="153">
        <v>45487</v>
      </c>
      <c r="C127" s="170"/>
      <c r="D127" s="155"/>
      <c r="E127" s="164"/>
      <c r="F127" s="119" t="s">
        <v>1721</v>
      </c>
      <c r="G127" s="119"/>
      <c r="H127" s="119"/>
      <c r="I127" s="119"/>
      <c r="J127" s="119"/>
      <c r="K127" s="119"/>
    </row>
    <row r="128" spans="1:11" ht="19" x14ac:dyDescent="0.2">
      <c r="A128" s="148"/>
      <c r="B128" s="145"/>
      <c r="C128" s="159"/>
      <c r="D128" s="160"/>
      <c r="E128" s="150"/>
      <c r="F128" s="139"/>
      <c r="G128" s="139"/>
      <c r="H128" s="139"/>
      <c r="I128" s="139"/>
      <c r="J128" s="162"/>
      <c r="K128" s="162"/>
    </row>
    <row r="129" spans="1:11" ht="19" x14ac:dyDescent="0.2">
      <c r="A129" s="143">
        <v>2386000</v>
      </c>
      <c r="B129" s="153">
        <v>45488</v>
      </c>
      <c r="C129" s="163" t="s">
        <v>9</v>
      </c>
      <c r="D129" s="155" t="s">
        <v>565</v>
      </c>
      <c r="E129" s="164">
        <v>1333000</v>
      </c>
      <c r="F129" s="119">
        <v>638000</v>
      </c>
      <c r="G129" s="119">
        <v>415000</v>
      </c>
      <c r="H129" s="119"/>
      <c r="I129" s="119"/>
      <c r="J129" s="174">
        <v>86000</v>
      </c>
      <c r="K129" s="174" t="s">
        <v>1641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16000</v>
      </c>
      <c r="K130" s="139" t="s">
        <v>3190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200000</v>
      </c>
      <c r="K131" s="119" t="s">
        <v>3191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105000</v>
      </c>
      <c r="K132" s="139" t="s">
        <v>1771</v>
      </c>
    </row>
    <row r="133" spans="1:11" ht="19" x14ac:dyDescent="0.2">
      <c r="A133" s="143">
        <v>1543000</v>
      </c>
      <c r="B133" s="153"/>
      <c r="C133" s="163" t="s">
        <v>10</v>
      </c>
      <c r="D133" s="155" t="s">
        <v>2767</v>
      </c>
      <c r="E133" s="164">
        <v>1142000</v>
      </c>
      <c r="F133" s="119">
        <v>139000</v>
      </c>
      <c r="G133" s="119">
        <v>262000</v>
      </c>
      <c r="H133" s="119"/>
      <c r="I133" s="119"/>
      <c r="J133" s="119">
        <v>99000</v>
      </c>
      <c r="K133" s="119" t="s">
        <v>1738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>
        <v>170000</v>
      </c>
      <c r="I134" s="139" t="s">
        <v>3192</v>
      </c>
      <c r="J134" s="139">
        <v>66000</v>
      </c>
      <c r="K134" s="139" t="s">
        <v>3193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>
        <v>2600000</v>
      </c>
      <c r="I135" s="119" t="s">
        <v>3194</v>
      </c>
      <c r="J135" s="119">
        <v>260000</v>
      </c>
      <c r="K135" s="119" t="s">
        <v>3195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>
        <v>400000</v>
      </c>
      <c r="I136" s="139" t="s">
        <v>1082</v>
      </c>
      <c r="J136" s="139">
        <v>138000</v>
      </c>
      <c r="K136" s="139" t="s">
        <v>2830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>
        <v>2200000</v>
      </c>
      <c r="I137" s="119" t="s">
        <v>3196</v>
      </c>
      <c r="J137" s="119">
        <v>8000</v>
      </c>
      <c r="K137" s="119" t="s">
        <v>3197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90000</v>
      </c>
      <c r="K138" s="162" t="s">
        <v>1566</v>
      </c>
    </row>
    <row r="139" spans="1:11" ht="19" x14ac:dyDescent="0.2">
      <c r="A139" s="143"/>
      <c r="B139" s="153"/>
      <c r="C139" s="163"/>
      <c r="D139" s="155"/>
      <c r="E139" s="164"/>
      <c r="F139" s="119"/>
      <c r="G139" s="119"/>
      <c r="H139" s="119"/>
      <c r="I139" s="119"/>
      <c r="J139" s="174">
        <v>175000</v>
      </c>
      <c r="K139" s="174" t="s">
        <v>1296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39"/>
      <c r="J140" s="162">
        <v>192000</v>
      </c>
      <c r="K140" s="162" t="s">
        <v>1245</v>
      </c>
    </row>
    <row r="141" spans="1:11" ht="19" x14ac:dyDescent="0.2">
      <c r="A141" s="143">
        <v>2307000</v>
      </c>
      <c r="B141" s="153">
        <v>45489</v>
      </c>
      <c r="C141" s="163" t="s">
        <v>9</v>
      </c>
      <c r="D141" s="155" t="s">
        <v>565</v>
      </c>
      <c r="E141" s="164">
        <v>1403000</v>
      </c>
      <c r="F141" s="119">
        <v>572000</v>
      </c>
      <c r="G141" s="119">
        <v>332000</v>
      </c>
      <c r="H141" s="119"/>
      <c r="I141" s="119"/>
      <c r="J141" s="174">
        <v>20000</v>
      </c>
      <c r="K141" s="174" t="s">
        <v>3198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52"/>
      <c r="I142" s="152"/>
      <c r="J142" s="162">
        <v>82000</v>
      </c>
      <c r="K142" s="162" t="s">
        <v>3199</v>
      </c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>
        <v>137000</v>
      </c>
      <c r="K143" s="119" t="s">
        <v>3200</v>
      </c>
    </row>
    <row r="144" spans="1:11" ht="19" x14ac:dyDescent="0.2">
      <c r="A144" s="144">
        <v>1371000</v>
      </c>
      <c r="B144" s="158"/>
      <c r="C144" s="151" t="s">
        <v>10</v>
      </c>
      <c r="D144" s="147" t="s">
        <v>2767</v>
      </c>
      <c r="E144" s="150">
        <v>806000</v>
      </c>
      <c r="F144" s="139">
        <v>296000</v>
      </c>
      <c r="G144" s="139">
        <v>269000</v>
      </c>
      <c r="H144" s="139"/>
      <c r="I144" s="139"/>
      <c r="J144" s="139"/>
      <c r="K144" s="139"/>
    </row>
    <row r="145" spans="1:11" ht="19" x14ac:dyDescent="0.2">
      <c r="A145" s="143"/>
      <c r="B145" s="153"/>
      <c r="C145" s="170"/>
      <c r="D145" s="155"/>
      <c r="E145" s="164"/>
      <c r="F145" s="119"/>
      <c r="G145" s="119"/>
      <c r="H145" s="119"/>
      <c r="I145" s="119"/>
      <c r="J145" s="119"/>
      <c r="K145" s="119"/>
    </row>
    <row r="146" spans="1:11" ht="19" x14ac:dyDescent="0.2">
      <c r="A146" s="144">
        <v>2806000</v>
      </c>
      <c r="B146" s="145">
        <v>45490</v>
      </c>
      <c r="C146" s="151" t="s">
        <v>9</v>
      </c>
      <c r="D146" s="147" t="s">
        <v>565</v>
      </c>
      <c r="E146" s="150">
        <v>1616000</v>
      </c>
      <c r="F146" s="139">
        <v>872000</v>
      </c>
      <c r="G146" s="139">
        <v>318000</v>
      </c>
      <c r="H146" s="139"/>
      <c r="I146" s="139"/>
      <c r="J146" s="139">
        <v>12000</v>
      </c>
      <c r="K146" s="139" t="s">
        <v>1873</v>
      </c>
    </row>
    <row r="147" spans="1:11" ht="19" x14ac:dyDescent="0.2">
      <c r="A147" s="143"/>
      <c r="B147" s="153"/>
      <c r="C147" s="163"/>
      <c r="D147" s="172"/>
      <c r="E147" s="164"/>
      <c r="F147" s="119"/>
      <c r="G147" s="119"/>
      <c r="H147" s="119"/>
      <c r="I147" s="119"/>
      <c r="J147" s="174">
        <v>33000</v>
      </c>
      <c r="K147" s="174" t="s">
        <v>3201</v>
      </c>
    </row>
    <row r="148" spans="1:11" ht="19" x14ac:dyDescent="0.2">
      <c r="A148" s="144"/>
      <c r="B148" s="145"/>
      <c r="C148" s="151"/>
      <c r="D148" s="147"/>
      <c r="E148" s="150"/>
      <c r="F148" s="139"/>
      <c r="G148" s="139"/>
      <c r="H148" s="139"/>
      <c r="I148" s="139"/>
      <c r="J148" s="139">
        <v>61000</v>
      </c>
      <c r="K148" s="139" t="s">
        <v>3202</v>
      </c>
    </row>
    <row r="149" spans="1:11" ht="19" x14ac:dyDescent="0.2">
      <c r="A149" s="142"/>
      <c r="B149" s="153"/>
      <c r="C149" s="163"/>
      <c r="D149" s="155"/>
      <c r="E149" s="164"/>
      <c r="F149" s="119"/>
      <c r="G149" s="119"/>
      <c r="H149" s="119"/>
      <c r="I149" s="119"/>
      <c r="J149" s="119">
        <v>52000</v>
      </c>
      <c r="K149" s="119" t="s">
        <v>1449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7000</v>
      </c>
      <c r="K150" s="139" t="s">
        <v>3203</v>
      </c>
    </row>
    <row r="151" spans="1:11" ht="19" x14ac:dyDescent="0.2">
      <c r="A151" s="142"/>
      <c r="B151" s="270"/>
      <c r="C151" s="163"/>
      <c r="D151" s="172"/>
      <c r="E151" s="164"/>
      <c r="F151" s="119"/>
      <c r="G151" s="119"/>
      <c r="H151" s="119"/>
      <c r="I151" s="119"/>
      <c r="J151" s="119">
        <v>152000</v>
      </c>
      <c r="K151" s="119" t="s">
        <v>3204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13000</v>
      </c>
      <c r="K152" s="139" t="s">
        <v>3205</v>
      </c>
    </row>
    <row r="153" spans="1:11" ht="19" x14ac:dyDescent="0.2">
      <c r="A153" s="142">
        <v>1453000</v>
      </c>
      <c r="B153" s="153"/>
      <c r="C153" s="163" t="s">
        <v>10</v>
      </c>
      <c r="D153" s="172" t="s">
        <v>2767</v>
      </c>
      <c r="E153" s="164">
        <v>930000</v>
      </c>
      <c r="F153" s="119">
        <v>351000</v>
      </c>
      <c r="G153" s="119">
        <v>172000</v>
      </c>
      <c r="H153" s="119"/>
      <c r="I153" s="119"/>
      <c r="J153" s="119">
        <v>200000</v>
      </c>
      <c r="K153" s="119" t="s">
        <v>2796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45000</v>
      </c>
      <c r="K154" s="139" t="s">
        <v>3206</v>
      </c>
    </row>
    <row r="155" spans="1:11" ht="19" x14ac:dyDescent="0.2">
      <c r="A155" s="143"/>
      <c r="B155" s="153"/>
      <c r="C155" s="163"/>
      <c r="D155" s="155"/>
      <c r="E155" s="164"/>
      <c r="F155" s="119"/>
      <c r="G155" s="119"/>
      <c r="H155" s="119"/>
      <c r="I155" s="119"/>
      <c r="J155" s="119">
        <v>150000</v>
      </c>
      <c r="K155" s="119" t="s">
        <v>1710</v>
      </c>
    </row>
    <row r="156" spans="1:11" ht="19" x14ac:dyDescent="0.2">
      <c r="A156" s="144"/>
      <c r="B156" s="145"/>
      <c r="C156" s="146"/>
      <c r="D156" s="147"/>
      <c r="E156" s="150"/>
      <c r="F156" s="139"/>
      <c r="G156" s="139"/>
      <c r="H156" s="139"/>
      <c r="I156" s="139"/>
      <c r="J156" s="139"/>
      <c r="K156" s="139"/>
    </row>
    <row r="157" spans="1:11" ht="19" x14ac:dyDescent="0.2">
      <c r="A157" s="143">
        <v>3223000</v>
      </c>
      <c r="B157" s="153">
        <v>45491</v>
      </c>
      <c r="C157" s="171" t="s">
        <v>9</v>
      </c>
      <c r="D157" s="172" t="s">
        <v>565</v>
      </c>
      <c r="E157" s="164">
        <v>1792000</v>
      </c>
      <c r="F157" s="119">
        <v>737000</v>
      </c>
      <c r="G157" s="119">
        <v>694000</v>
      </c>
      <c r="H157" s="119"/>
      <c r="I157" s="119"/>
      <c r="J157" s="119">
        <v>43000</v>
      </c>
      <c r="K157" s="119" t="s">
        <v>1493</v>
      </c>
    </row>
    <row r="158" spans="1:11" ht="19" x14ac:dyDescent="0.2">
      <c r="A158" s="144"/>
      <c r="B158" s="145"/>
      <c r="C158" s="149"/>
      <c r="D158" s="147"/>
      <c r="E158" s="150"/>
      <c r="F158" s="139"/>
      <c r="G158" s="139"/>
      <c r="H158" s="139"/>
      <c r="I158" s="139"/>
      <c r="J158" s="139">
        <v>75000</v>
      </c>
      <c r="K158" s="139" t="s">
        <v>1307</v>
      </c>
    </row>
    <row r="159" spans="1:11" ht="19" x14ac:dyDescent="0.2">
      <c r="A159" s="143"/>
      <c r="B159" s="153"/>
      <c r="C159" s="163"/>
      <c r="D159" s="155"/>
      <c r="E159" s="164"/>
      <c r="F159" s="119"/>
      <c r="G159" s="119"/>
      <c r="H159" s="119"/>
      <c r="I159" s="292"/>
      <c r="J159" s="119"/>
      <c r="K159" s="119"/>
    </row>
    <row r="160" spans="1:11" ht="19" x14ac:dyDescent="0.2">
      <c r="A160" s="144">
        <v>1893000</v>
      </c>
      <c r="B160" s="145"/>
      <c r="C160" s="146" t="s">
        <v>10</v>
      </c>
      <c r="D160" s="147" t="s">
        <v>2767</v>
      </c>
      <c r="E160" s="150">
        <v>1450000</v>
      </c>
      <c r="F160" s="139">
        <v>215000</v>
      </c>
      <c r="G160" s="139">
        <v>228000</v>
      </c>
      <c r="H160" s="139"/>
      <c r="I160" s="165"/>
      <c r="J160" s="139"/>
      <c r="K160" s="139"/>
    </row>
    <row r="161" spans="1:11" ht="19" x14ac:dyDescent="0.2">
      <c r="A161" s="143"/>
      <c r="B161" s="153"/>
      <c r="C161" s="163"/>
      <c r="D161" s="155"/>
      <c r="E161" s="164"/>
      <c r="F161" s="119"/>
      <c r="G161" s="119"/>
      <c r="H161" s="119"/>
      <c r="I161" s="168"/>
      <c r="J161" s="119"/>
      <c r="K161" s="119"/>
    </row>
    <row r="162" spans="1:11" ht="19" x14ac:dyDescent="0.2">
      <c r="A162" s="144">
        <v>2730000</v>
      </c>
      <c r="B162" s="145">
        <v>45492</v>
      </c>
      <c r="C162" s="146" t="s">
        <v>9</v>
      </c>
      <c r="D162" s="147" t="s">
        <v>565</v>
      </c>
      <c r="E162" s="150">
        <v>1728000</v>
      </c>
      <c r="F162" s="139">
        <v>442000</v>
      </c>
      <c r="G162" s="139">
        <v>560000</v>
      </c>
      <c r="H162" s="139"/>
      <c r="I162" s="165"/>
      <c r="J162" s="139">
        <v>123000</v>
      </c>
      <c r="K162" s="139" t="s">
        <v>3207</v>
      </c>
    </row>
    <row r="163" spans="1:11" ht="19" x14ac:dyDescent="0.2">
      <c r="A163" s="143"/>
      <c r="B163" s="153"/>
      <c r="C163" s="154"/>
      <c r="D163" s="155"/>
      <c r="E163" s="164"/>
      <c r="F163" s="119"/>
      <c r="G163" s="119"/>
      <c r="H163" s="119"/>
      <c r="I163" s="168"/>
      <c r="J163" s="119">
        <v>37000</v>
      </c>
      <c r="K163" s="119" t="s">
        <v>3208</v>
      </c>
    </row>
    <row r="164" spans="1:11" ht="19" x14ac:dyDescent="0.2">
      <c r="A164" s="294"/>
      <c r="B164" s="145"/>
      <c r="C164" s="151"/>
      <c r="D164" s="147"/>
      <c r="E164" s="150"/>
      <c r="F164" s="139"/>
      <c r="G164" s="139"/>
      <c r="H164" s="139"/>
      <c r="I164" s="165"/>
      <c r="J164" s="139">
        <v>94000</v>
      </c>
      <c r="K164" s="139" t="s">
        <v>1641</v>
      </c>
    </row>
    <row r="165" spans="1:11" ht="19" x14ac:dyDescent="0.2">
      <c r="A165" s="143"/>
      <c r="B165" s="153"/>
      <c r="C165" s="163"/>
      <c r="D165" s="172"/>
      <c r="E165" s="164"/>
      <c r="F165" s="119"/>
      <c r="G165" s="119"/>
      <c r="H165" s="119"/>
      <c r="I165" s="168"/>
      <c r="J165" s="119">
        <v>9000</v>
      </c>
      <c r="K165" s="119" t="s">
        <v>3209</v>
      </c>
    </row>
    <row r="166" spans="1:11" ht="19" x14ac:dyDescent="0.2">
      <c r="A166" s="148"/>
      <c r="B166" s="145"/>
      <c r="C166" s="151"/>
      <c r="D166" s="160"/>
      <c r="E166" s="150"/>
      <c r="F166" s="139"/>
      <c r="G166" s="139"/>
      <c r="H166" s="139"/>
      <c r="I166" s="165"/>
      <c r="J166" s="139">
        <v>83000</v>
      </c>
      <c r="K166" s="139" t="s">
        <v>3210</v>
      </c>
    </row>
    <row r="167" spans="1:11" ht="19" x14ac:dyDescent="0.2">
      <c r="A167" s="143">
        <v>1676000</v>
      </c>
      <c r="B167" s="153"/>
      <c r="C167" s="170" t="s">
        <v>10</v>
      </c>
      <c r="D167" s="155" t="s">
        <v>2767</v>
      </c>
      <c r="E167" s="164">
        <v>1050000</v>
      </c>
      <c r="F167" s="119">
        <v>216000</v>
      </c>
      <c r="G167" s="119">
        <v>410000</v>
      </c>
      <c r="H167" s="119"/>
      <c r="I167" s="168"/>
      <c r="J167" s="119"/>
      <c r="K167" s="290"/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/>
      <c r="K168" s="139"/>
    </row>
    <row r="169" spans="1:11" ht="19" x14ac:dyDescent="0.2">
      <c r="A169" s="143">
        <v>1127000</v>
      </c>
      <c r="B169" s="153">
        <v>45493</v>
      </c>
      <c r="C169" s="154" t="s">
        <v>9</v>
      </c>
      <c r="D169" s="155" t="s">
        <v>565</v>
      </c>
      <c r="E169" s="164">
        <v>540000</v>
      </c>
      <c r="F169" s="119">
        <v>223000</v>
      </c>
      <c r="G169" s="119">
        <v>364000</v>
      </c>
      <c r="H169" s="119"/>
      <c r="I169" s="168"/>
      <c r="J169" s="119"/>
      <c r="K169" s="119"/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/>
      <c r="K170" s="139"/>
    </row>
    <row r="171" spans="1:11" ht="19" x14ac:dyDescent="0.2">
      <c r="A171" s="143">
        <v>2150000</v>
      </c>
      <c r="B171" s="153"/>
      <c r="C171" s="291" t="s">
        <v>3211</v>
      </c>
      <c r="D171" s="155" t="s">
        <v>2767</v>
      </c>
      <c r="E171" s="164">
        <v>1597000</v>
      </c>
      <c r="F171" s="119">
        <v>133000</v>
      </c>
      <c r="G171" s="119">
        <v>420000</v>
      </c>
      <c r="H171" s="119"/>
      <c r="I171" s="119"/>
      <c r="J171" s="119">
        <v>50000</v>
      </c>
      <c r="K171" s="119" t="s">
        <v>123</v>
      </c>
    </row>
    <row r="172" spans="1:11" ht="19" x14ac:dyDescent="0.2">
      <c r="A172" s="144"/>
      <c r="B172" s="145"/>
      <c r="C172" s="146"/>
      <c r="D172" s="147"/>
      <c r="E172" s="150"/>
      <c r="F172" s="139"/>
      <c r="G172" s="139"/>
      <c r="H172" s="139"/>
      <c r="I172" s="139"/>
      <c r="J172" s="139"/>
      <c r="K172" s="139"/>
    </row>
    <row r="173" spans="1:11" ht="19" x14ac:dyDescent="0.2">
      <c r="A173" s="143"/>
      <c r="B173" s="153">
        <v>45494</v>
      </c>
      <c r="C173" s="163"/>
      <c r="D173" s="155"/>
      <c r="E173" s="164" t="s">
        <v>1721</v>
      </c>
      <c r="F173" s="119"/>
      <c r="G173" s="119"/>
      <c r="H173" s="119"/>
      <c r="I173" s="168"/>
      <c r="J173" s="119"/>
      <c r="K173" s="119"/>
    </row>
    <row r="174" spans="1:11" ht="19" x14ac:dyDescent="0.2">
      <c r="A174" s="144">
        <v>2535000</v>
      </c>
      <c r="B174" s="145">
        <v>45495</v>
      </c>
      <c r="C174" s="151" t="s">
        <v>9</v>
      </c>
      <c r="D174" s="147" t="s">
        <v>3212</v>
      </c>
      <c r="E174" s="150">
        <v>1907000</v>
      </c>
      <c r="F174" s="139">
        <v>324000</v>
      </c>
      <c r="G174" s="139">
        <v>304000</v>
      </c>
      <c r="H174" s="139"/>
      <c r="I174" s="165"/>
      <c r="J174" s="139">
        <v>150000</v>
      </c>
      <c r="K174" s="139" t="s">
        <v>1518</v>
      </c>
    </row>
    <row r="175" spans="1:11" ht="19" x14ac:dyDescent="0.2">
      <c r="A175" s="143"/>
      <c r="B175" s="153"/>
      <c r="C175" s="163"/>
      <c r="D175" s="155"/>
      <c r="E175" s="164"/>
      <c r="F175" s="119"/>
      <c r="G175" s="119"/>
      <c r="H175" s="119"/>
      <c r="I175" s="168"/>
      <c r="J175" s="119">
        <v>126000</v>
      </c>
      <c r="K175" s="119" t="s">
        <v>3213</v>
      </c>
    </row>
    <row r="176" spans="1:11" ht="19" x14ac:dyDescent="0.2">
      <c r="A176" s="144"/>
      <c r="B176" s="145"/>
      <c r="C176" s="151"/>
      <c r="D176" s="147"/>
      <c r="E176" s="150"/>
      <c r="F176" s="139"/>
      <c r="G176" s="139"/>
      <c r="H176" s="139"/>
      <c r="I176" s="165"/>
      <c r="J176" s="139">
        <v>84000</v>
      </c>
      <c r="K176" s="139" t="s">
        <v>3214</v>
      </c>
    </row>
    <row r="177" spans="1:11" ht="19" x14ac:dyDescent="0.2">
      <c r="A177" s="143"/>
      <c r="B177" s="153"/>
      <c r="C177" s="171"/>
      <c r="D177" s="155"/>
      <c r="E177" s="164"/>
      <c r="F177" s="119"/>
      <c r="G177" s="119"/>
      <c r="H177" s="119"/>
      <c r="I177" s="119"/>
      <c r="J177" s="119">
        <v>192000</v>
      </c>
      <c r="K177" s="119" t="s">
        <v>1245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39"/>
      <c r="J178" s="165">
        <v>100000</v>
      </c>
      <c r="K178" s="165" t="s">
        <v>3215</v>
      </c>
    </row>
    <row r="179" spans="1:11" ht="19" x14ac:dyDescent="0.2">
      <c r="A179" s="143"/>
      <c r="B179" s="153"/>
      <c r="C179" s="171"/>
      <c r="D179" s="155"/>
      <c r="E179" s="164"/>
      <c r="F179" s="119"/>
      <c r="G179" s="119"/>
      <c r="H179" s="119"/>
      <c r="I179" s="119"/>
      <c r="J179" s="174">
        <v>100000</v>
      </c>
      <c r="K179" s="174" t="s">
        <v>3216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39"/>
      <c r="J180" s="162">
        <v>100000</v>
      </c>
      <c r="K180" s="162" t="s">
        <v>3217</v>
      </c>
    </row>
    <row r="181" spans="1:11" ht="19" x14ac:dyDescent="0.2">
      <c r="A181" s="143"/>
      <c r="B181" s="153"/>
      <c r="C181" s="171"/>
      <c r="D181" s="155"/>
      <c r="E181" s="164"/>
      <c r="F181" s="119"/>
      <c r="G181" s="119"/>
      <c r="H181" s="119"/>
      <c r="I181" s="119"/>
      <c r="J181" s="168">
        <v>18000</v>
      </c>
      <c r="K181" s="168" t="s">
        <v>2208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39"/>
      <c r="J182" s="165">
        <v>14000</v>
      </c>
      <c r="K182" s="165" t="s">
        <v>2839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19"/>
      <c r="J183" s="168">
        <v>4000</v>
      </c>
      <c r="K183" s="168" t="s">
        <v>3218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39"/>
      <c r="J184" s="139">
        <v>54000</v>
      </c>
      <c r="K184" s="139" t="s">
        <v>3219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19"/>
      <c r="J185" s="168">
        <v>25000</v>
      </c>
      <c r="K185" s="168" t="s">
        <v>3220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39"/>
      <c r="J186" s="165">
        <v>124000</v>
      </c>
      <c r="K186" s="165" t="s">
        <v>3221</v>
      </c>
    </row>
    <row r="187" spans="1:11" ht="19" x14ac:dyDescent="0.2">
      <c r="A187" s="143">
        <v>1289000</v>
      </c>
      <c r="B187" s="153"/>
      <c r="C187" s="171" t="s">
        <v>1787</v>
      </c>
      <c r="D187" s="155" t="s">
        <v>2767</v>
      </c>
      <c r="E187" s="164">
        <v>834000</v>
      </c>
      <c r="F187" s="119">
        <v>194000</v>
      </c>
      <c r="G187" s="119">
        <v>261000</v>
      </c>
      <c r="H187" s="119"/>
      <c r="I187" s="119"/>
      <c r="J187" s="168"/>
      <c r="K187" s="168"/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39"/>
      <c r="J188" s="165"/>
      <c r="K188" s="165"/>
    </row>
    <row r="189" spans="1:11" ht="19" x14ac:dyDescent="0.2">
      <c r="A189" s="143">
        <v>2395000</v>
      </c>
      <c r="B189" s="153">
        <v>45496</v>
      </c>
      <c r="C189" s="171" t="s">
        <v>9</v>
      </c>
      <c r="D189" s="155" t="s">
        <v>565</v>
      </c>
      <c r="E189" s="164">
        <v>1826000</v>
      </c>
      <c r="F189" s="119">
        <v>244000</v>
      </c>
      <c r="G189" s="119">
        <v>325000</v>
      </c>
      <c r="H189" s="119"/>
      <c r="I189" s="119"/>
      <c r="J189" s="168">
        <v>200000</v>
      </c>
      <c r="K189" s="168" t="s">
        <v>3222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39"/>
      <c r="J190" s="165">
        <v>52000</v>
      </c>
      <c r="K190" s="165" t="s">
        <v>1449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19"/>
      <c r="J191" s="168">
        <v>9000</v>
      </c>
      <c r="K191" s="168" t="s">
        <v>3223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39"/>
      <c r="J192" s="165">
        <v>60000</v>
      </c>
      <c r="K192" s="165" t="s">
        <v>3224</v>
      </c>
    </row>
    <row r="193" spans="1:11" ht="19" x14ac:dyDescent="0.2">
      <c r="A193" s="143">
        <v>1954000</v>
      </c>
      <c r="B193" s="153"/>
      <c r="C193" s="171" t="s">
        <v>10</v>
      </c>
      <c r="D193" s="155" t="s">
        <v>2767</v>
      </c>
      <c r="E193" s="164">
        <v>1456000</v>
      </c>
      <c r="F193" s="119">
        <v>35000</v>
      </c>
      <c r="G193" s="119">
        <v>463000</v>
      </c>
      <c r="H193" s="119"/>
      <c r="I193" s="119"/>
      <c r="J193" s="168"/>
      <c r="K193" s="168"/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/>
      <c r="I194" s="139"/>
      <c r="J194" s="165"/>
      <c r="K194" s="165"/>
    </row>
    <row r="195" spans="1:11" ht="19" x14ac:dyDescent="0.2">
      <c r="A195" s="143">
        <v>2732000</v>
      </c>
      <c r="B195" s="153">
        <v>45497</v>
      </c>
      <c r="C195" s="171" t="s">
        <v>9</v>
      </c>
      <c r="D195" s="155" t="s">
        <v>565</v>
      </c>
      <c r="E195" s="164">
        <v>1847000</v>
      </c>
      <c r="F195" s="119">
        <v>547000</v>
      </c>
      <c r="G195" s="119">
        <v>338000</v>
      </c>
      <c r="H195" s="119"/>
      <c r="I195" s="119"/>
      <c r="J195" s="168">
        <v>27000</v>
      </c>
      <c r="K195" s="168" t="s">
        <v>3225</v>
      </c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/>
      <c r="I196" s="139"/>
      <c r="J196" s="165">
        <v>177000</v>
      </c>
      <c r="K196" s="165" t="s">
        <v>3226</v>
      </c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19"/>
      <c r="J197" s="168">
        <v>55000</v>
      </c>
      <c r="K197" s="168" t="s">
        <v>3227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39"/>
      <c r="J198" s="165">
        <v>150000</v>
      </c>
      <c r="K198" s="165" t="s">
        <v>1518</v>
      </c>
    </row>
    <row r="199" spans="1:11" ht="19" x14ac:dyDescent="0.2">
      <c r="A199" s="143">
        <v>1221000</v>
      </c>
      <c r="B199" s="153"/>
      <c r="C199" s="171" t="s">
        <v>10</v>
      </c>
      <c r="D199" s="155" t="s">
        <v>2767</v>
      </c>
      <c r="E199" s="164">
        <v>523000</v>
      </c>
      <c r="F199" s="119">
        <v>415000</v>
      </c>
      <c r="G199" s="119">
        <v>283000</v>
      </c>
      <c r="H199" s="119"/>
      <c r="I199" s="119"/>
      <c r="J199" s="168"/>
      <c r="K199" s="168"/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39"/>
      <c r="J200" s="165"/>
      <c r="K200" s="165"/>
    </row>
    <row r="201" spans="1:11" ht="19" x14ac:dyDescent="0.2">
      <c r="A201" s="143">
        <v>1777000</v>
      </c>
      <c r="B201" s="153">
        <v>45498</v>
      </c>
      <c r="C201" s="171" t="s">
        <v>9</v>
      </c>
      <c r="D201" s="155" t="s">
        <v>565</v>
      </c>
      <c r="E201" s="164">
        <v>1174000</v>
      </c>
      <c r="F201" s="119">
        <v>499000</v>
      </c>
      <c r="G201" s="119">
        <v>104000</v>
      </c>
      <c r="H201" s="119"/>
      <c r="I201" s="119"/>
      <c r="J201" s="168">
        <v>94000</v>
      </c>
      <c r="K201" s="168" t="s">
        <v>1641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/>
      <c r="J202" s="165">
        <v>30000</v>
      </c>
      <c r="K202" s="165" t="s">
        <v>3228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19"/>
      <c r="J203" s="168">
        <v>5000</v>
      </c>
      <c r="K203" s="168" t="s">
        <v>3229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/>
      <c r="J204" s="165">
        <v>29000</v>
      </c>
      <c r="K204" s="165" t="s">
        <v>1653</v>
      </c>
    </row>
    <row r="205" spans="1:11" ht="19" x14ac:dyDescent="0.2">
      <c r="A205" s="143">
        <v>1849000</v>
      </c>
      <c r="B205" s="153"/>
      <c r="C205" s="171" t="s">
        <v>1787</v>
      </c>
      <c r="D205" s="155" t="s">
        <v>2767</v>
      </c>
      <c r="E205" s="164">
        <v>1337000</v>
      </c>
      <c r="F205" s="119">
        <v>226000</v>
      </c>
      <c r="G205" s="119">
        <v>286000</v>
      </c>
      <c r="H205" s="119"/>
      <c r="I205" s="119"/>
      <c r="J205" s="168"/>
      <c r="K205" s="168"/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39"/>
      <c r="J206" s="165"/>
      <c r="K206" s="165"/>
    </row>
    <row r="207" spans="1:11" ht="19" x14ac:dyDescent="0.2">
      <c r="A207" s="143">
        <v>1841000</v>
      </c>
      <c r="B207" s="153">
        <v>45499</v>
      </c>
      <c r="C207" s="171" t="s">
        <v>9</v>
      </c>
      <c r="D207" s="155" t="s">
        <v>2105</v>
      </c>
      <c r="E207" s="164">
        <v>1410000</v>
      </c>
      <c r="F207" s="119">
        <v>370000</v>
      </c>
      <c r="G207" s="119">
        <v>61000</v>
      </c>
      <c r="H207" s="119"/>
      <c r="I207" s="119"/>
      <c r="J207" s="168">
        <v>7000</v>
      </c>
      <c r="K207" s="168" t="s">
        <v>3230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39"/>
      <c r="J208" s="165">
        <v>53000</v>
      </c>
      <c r="K208" s="165" t="s">
        <v>3231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19"/>
      <c r="J209" s="168">
        <v>25000</v>
      </c>
      <c r="K209" s="168" t="s">
        <v>3232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39"/>
      <c r="J210" s="165">
        <v>14000</v>
      </c>
      <c r="K210" s="165" t="s">
        <v>2670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19"/>
      <c r="J211" s="168">
        <v>175000</v>
      </c>
      <c r="K211" s="168" t="s">
        <v>1296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39"/>
      <c r="J212" s="165">
        <v>120000</v>
      </c>
      <c r="K212" s="165" t="s">
        <v>1285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19"/>
      <c r="J213" s="168">
        <v>192000</v>
      </c>
      <c r="K213" s="168" t="s">
        <v>1245</v>
      </c>
    </row>
    <row r="214" spans="1:11" ht="19" x14ac:dyDescent="0.2">
      <c r="A214" s="144">
        <v>1491000</v>
      </c>
      <c r="B214" s="145"/>
      <c r="C214" s="149" t="s">
        <v>10</v>
      </c>
      <c r="D214" s="147" t="s">
        <v>2767</v>
      </c>
      <c r="E214" s="150">
        <v>1065000</v>
      </c>
      <c r="F214" s="139">
        <v>274000</v>
      </c>
      <c r="G214" s="139">
        <v>152000</v>
      </c>
      <c r="H214" s="139"/>
      <c r="I214" s="139"/>
      <c r="J214" s="165"/>
      <c r="K214" s="165"/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19"/>
      <c r="J215" s="168"/>
      <c r="K215" s="168"/>
    </row>
    <row r="216" spans="1:11" ht="19" x14ac:dyDescent="0.2">
      <c r="A216" s="144">
        <v>1470000</v>
      </c>
      <c r="B216" s="145">
        <v>45500</v>
      </c>
      <c r="C216" s="149" t="s">
        <v>9</v>
      </c>
      <c r="D216" s="147" t="s">
        <v>565</v>
      </c>
      <c r="E216" s="150">
        <v>962000</v>
      </c>
      <c r="F216" s="139">
        <v>262000</v>
      </c>
      <c r="G216" s="139">
        <v>246000</v>
      </c>
      <c r="H216" s="139"/>
      <c r="I216" s="139"/>
      <c r="J216" s="165">
        <v>94000</v>
      </c>
      <c r="K216" s="165" t="s">
        <v>3233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19"/>
      <c r="J217" s="168">
        <v>52000</v>
      </c>
      <c r="K217" s="168" t="s">
        <v>1449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39"/>
      <c r="J218" s="165">
        <v>10000</v>
      </c>
      <c r="K218" s="165" t="s">
        <v>3234</v>
      </c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19"/>
      <c r="J219" s="168">
        <v>48000</v>
      </c>
      <c r="K219" s="168" t="s">
        <v>3235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39"/>
      <c r="J220" s="165">
        <v>50000</v>
      </c>
      <c r="K220" s="165" t="s">
        <v>3036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19"/>
      <c r="J221" s="168">
        <v>347000</v>
      </c>
      <c r="K221" s="168" t="s">
        <v>3236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39"/>
      <c r="J222" s="165">
        <v>132000</v>
      </c>
      <c r="K222" s="165" t="s">
        <v>2013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19"/>
      <c r="J223" s="168">
        <v>132000</v>
      </c>
      <c r="K223" s="168" t="s">
        <v>2015</v>
      </c>
    </row>
    <row r="224" spans="1:11" ht="19" x14ac:dyDescent="0.2">
      <c r="A224" s="144"/>
      <c r="B224" s="145"/>
      <c r="C224" s="149"/>
      <c r="D224" s="147"/>
      <c r="E224" s="150"/>
      <c r="F224" s="139"/>
      <c r="G224" s="139"/>
      <c r="H224" s="139"/>
      <c r="I224" s="139"/>
      <c r="J224" s="165">
        <v>150000</v>
      </c>
      <c r="K224" s="165" t="s">
        <v>1518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/>
      <c r="I225" s="119"/>
      <c r="J225" s="168">
        <v>15000</v>
      </c>
      <c r="K225" s="168" t="s">
        <v>3237</v>
      </c>
    </row>
    <row r="226" spans="1:11" ht="19" x14ac:dyDescent="0.2">
      <c r="A226" s="144"/>
      <c r="B226" s="145"/>
      <c r="C226" s="149"/>
      <c r="D226" s="147"/>
      <c r="E226" s="150"/>
      <c r="F226" s="139"/>
      <c r="G226" s="139"/>
      <c r="H226" s="139"/>
      <c r="I226" s="139"/>
      <c r="J226" s="165">
        <v>200000</v>
      </c>
      <c r="K226" s="165" t="s">
        <v>2796</v>
      </c>
    </row>
    <row r="227" spans="1:11" ht="19" x14ac:dyDescent="0.2">
      <c r="A227" s="143"/>
      <c r="B227" s="153"/>
      <c r="C227" s="171"/>
      <c r="D227" s="155"/>
      <c r="E227" s="164"/>
      <c r="F227" s="119"/>
      <c r="G227" s="119"/>
      <c r="H227" s="119"/>
      <c r="I227" s="119"/>
      <c r="J227" s="168">
        <v>18000</v>
      </c>
      <c r="K227" s="168" t="s">
        <v>3238</v>
      </c>
    </row>
    <row r="228" spans="1:11" ht="19" x14ac:dyDescent="0.2">
      <c r="A228" s="144"/>
      <c r="B228" s="145"/>
      <c r="C228" s="149"/>
      <c r="D228" s="147"/>
      <c r="E228" s="150"/>
      <c r="F228" s="139"/>
      <c r="G228" s="139"/>
      <c r="H228" s="139"/>
      <c r="I228" s="139"/>
      <c r="J228" s="165">
        <v>150000</v>
      </c>
      <c r="K228" s="165" t="s">
        <v>1710</v>
      </c>
    </row>
    <row r="229" spans="1:11" ht="19" x14ac:dyDescent="0.2">
      <c r="A229" s="143">
        <v>1428000</v>
      </c>
      <c r="B229" s="153"/>
      <c r="C229" s="171" t="s">
        <v>10</v>
      </c>
      <c r="D229" s="155" t="s">
        <v>2767</v>
      </c>
      <c r="E229" s="164">
        <v>986000</v>
      </c>
      <c r="F229" s="119">
        <v>228000</v>
      </c>
      <c r="G229" s="119">
        <v>214000</v>
      </c>
      <c r="H229" s="119"/>
      <c r="I229" s="119"/>
      <c r="J229" s="168">
        <v>50000</v>
      </c>
      <c r="K229" s="168" t="s">
        <v>123</v>
      </c>
    </row>
    <row r="230" spans="1:11" ht="19" x14ac:dyDescent="0.2">
      <c r="A230" s="144"/>
      <c r="B230" s="145"/>
      <c r="C230" s="149"/>
      <c r="D230" s="147"/>
      <c r="E230" s="150"/>
      <c r="F230" s="139"/>
      <c r="G230" s="139"/>
      <c r="H230" s="139"/>
      <c r="I230" s="139"/>
      <c r="J230" s="165"/>
      <c r="K230" s="165"/>
    </row>
    <row r="231" spans="1:11" ht="19" x14ac:dyDescent="0.2">
      <c r="A231" s="143"/>
      <c r="B231" s="153">
        <v>45501</v>
      </c>
      <c r="C231" s="171"/>
      <c r="D231" s="155"/>
      <c r="E231" s="164" t="s">
        <v>1721</v>
      </c>
      <c r="F231" s="119"/>
      <c r="G231" s="119"/>
      <c r="H231" s="119"/>
      <c r="I231" s="119"/>
      <c r="J231" s="168"/>
      <c r="K231" s="168"/>
    </row>
    <row r="232" spans="1:11" ht="19" x14ac:dyDescent="0.2">
      <c r="A232" s="144">
        <v>1903000</v>
      </c>
      <c r="B232" s="145">
        <v>45502</v>
      </c>
      <c r="C232" s="149" t="s">
        <v>9</v>
      </c>
      <c r="D232" s="147" t="s">
        <v>565</v>
      </c>
      <c r="E232" s="150">
        <v>1385000</v>
      </c>
      <c r="F232" s="139">
        <v>256000</v>
      </c>
      <c r="G232" s="139">
        <v>262000</v>
      </c>
      <c r="H232" s="139"/>
      <c r="I232" s="139"/>
      <c r="J232" s="165">
        <v>72000</v>
      </c>
      <c r="K232" s="165" t="s">
        <v>3239</v>
      </c>
    </row>
    <row r="233" spans="1:11" ht="19" x14ac:dyDescent="0.2">
      <c r="A233" s="143"/>
      <c r="B233" s="153"/>
      <c r="C233" s="171"/>
      <c r="D233" s="155"/>
      <c r="E233" s="164"/>
      <c r="F233" s="119"/>
      <c r="G233" s="119"/>
      <c r="H233" s="119"/>
      <c r="I233" s="119"/>
      <c r="J233" s="168">
        <v>21000</v>
      </c>
      <c r="K233" s="168" t="s">
        <v>3240</v>
      </c>
    </row>
    <row r="234" spans="1:11" ht="19" x14ac:dyDescent="0.2">
      <c r="A234" s="144"/>
      <c r="B234" s="145"/>
      <c r="C234" s="149"/>
      <c r="D234" s="147"/>
      <c r="E234" s="150"/>
      <c r="F234" s="139"/>
      <c r="G234" s="139"/>
      <c r="H234" s="139"/>
      <c r="I234" s="139"/>
      <c r="J234" s="165">
        <v>120000</v>
      </c>
      <c r="K234" s="165" t="s">
        <v>1668</v>
      </c>
    </row>
    <row r="235" spans="1:11" ht="19" x14ac:dyDescent="0.2">
      <c r="A235" s="143"/>
      <c r="B235" s="153"/>
      <c r="C235" s="171"/>
      <c r="D235" s="155"/>
      <c r="E235" s="164"/>
      <c r="F235" s="119"/>
      <c r="G235" s="119"/>
      <c r="H235" s="119"/>
      <c r="I235" s="119"/>
      <c r="J235" s="168">
        <v>30000</v>
      </c>
      <c r="K235" s="168" t="s">
        <v>451</v>
      </c>
    </row>
    <row r="236" spans="1:11" ht="19" x14ac:dyDescent="0.2">
      <c r="A236" s="144"/>
      <c r="B236" s="145"/>
      <c r="C236" s="149"/>
      <c r="D236" s="147"/>
      <c r="E236" s="150"/>
      <c r="F236" s="139"/>
      <c r="G236" s="139"/>
      <c r="H236" s="139"/>
      <c r="I236" s="139"/>
      <c r="J236" s="165">
        <v>150000</v>
      </c>
      <c r="K236" s="165" t="s">
        <v>3241</v>
      </c>
    </row>
    <row r="237" spans="1:11" ht="19" x14ac:dyDescent="0.2">
      <c r="A237" s="143"/>
      <c r="B237" s="153"/>
      <c r="C237" s="171"/>
      <c r="D237" s="155"/>
      <c r="E237" s="164"/>
      <c r="F237" s="119"/>
      <c r="G237" s="119"/>
      <c r="H237" s="119"/>
      <c r="I237" s="119"/>
      <c r="J237" s="168">
        <v>150000</v>
      </c>
      <c r="K237" s="168" t="s">
        <v>3242</v>
      </c>
    </row>
    <row r="238" spans="1:11" ht="19" x14ac:dyDescent="0.2">
      <c r="A238" s="144"/>
      <c r="B238" s="145"/>
      <c r="C238" s="149"/>
      <c r="D238" s="147"/>
      <c r="E238" s="150"/>
      <c r="F238" s="139"/>
      <c r="G238" s="139"/>
      <c r="H238" s="139"/>
      <c r="I238" s="139"/>
      <c r="J238" s="165">
        <v>150000</v>
      </c>
      <c r="K238" s="165" t="s">
        <v>3112</v>
      </c>
    </row>
    <row r="239" spans="1:11" ht="19" x14ac:dyDescent="0.2">
      <c r="A239" s="143"/>
      <c r="B239" s="153"/>
      <c r="C239" s="171"/>
      <c r="D239" s="155"/>
      <c r="E239" s="164"/>
      <c r="F239" s="119"/>
      <c r="G239" s="119"/>
      <c r="H239" s="119"/>
      <c r="I239" s="119"/>
      <c r="J239" s="168">
        <v>150000</v>
      </c>
      <c r="K239" s="168" t="s">
        <v>3243</v>
      </c>
    </row>
    <row r="240" spans="1:11" ht="19" x14ac:dyDescent="0.2">
      <c r="A240" s="144">
        <v>1759000</v>
      </c>
      <c r="B240" s="145"/>
      <c r="C240" s="149" t="s">
        <v>10</v>
      </c>
      <c r="D240" s="147" t="s">
        <v>2767</v>
      </c>
      <c r="E240" s="150">
        <v>1161000</v>
      </c>
      <c r="F240" s="139">
        <v>346000</v>
      </c>
      <c r="G240" s="139">
        <v>252000</v>
      </c>
      <c r="H240" s="139"/>
      <c r="I240" s="139"/>
      <c r="J240" s="165"/>
      <c r="K240" s="165"/>
    </row>
    <row r="241" spans="1:11" ht="19" x14ac:dyDescent="0.2">
      <c r="A241" s="143"/>
      <c r="B241" s="153"/>
      <c r="C241" s="171"/>
      <c r="D241" s="155"/>
      <c r="E241" s="164"/>
      <c r="F241" s="119"/>
      <c r="G241" s="119"/>
      <c r="H241" s="119"/>
      <c r="I241" s="119"/>
      <c r="J241" s="168"/>
      <c r="K241" s="168"/>
    </row>
    <row r="242" spans="1:11" ht="19" x14ac:dyDescent="0.2">
      <c r="A242" s="144">
        <v>2512000</v>
      </c>
      <c r="B242" s="145">
        <v>45503</v>
      </c>
      <c r="C242" s="149" t="s">
        <v>9</v>
      </c>
      <c r="D242" s="147" t="s">
        <v>565</v>
      </c>
      <c r="E242" s="150">
        <v>1635000</v>
      </c>
      <c r="F242" s="139">
        <v>485000</v>
      </c>
      <c r="G242" s="139">
        <v>392000</v>
      </c>
      <c r="H242" s="139"/>
      <c r="I242" s="139"/>
      <c r="J242" s="165">
        <v>120000</v>
      </c>
      <c r="K242" s="165" t="s">
        <v>1553</v>
      </c>
    </row>
    <row r="243" spans="1:11" ht="19" x14ac:dyDescent="0.2">
      <c r="A243" s="143"/>
      <c r="B243" s="153"/>
      <c r="C243" s="171"/>
      <c r="D243" s="155"/>
      <c r="E243" s="164"/>
      <c r="F243" s="119"/>
      <c r="G243" s="119"/>
      <c r="H243" s="119"/>
      <c r="I243" s="119"/>
      <c r="J243" s="168">
        <v>68000</v>
      </c>
      <c r="K243" s="168" t="s">
        <v>1641</v>
      </c>
    </row>
    <row r="244" spans="1:11" ht="19" x14ac:dyDescent="0.2">
      <c r="A244" s="144"/>
      <c r="B244" s="145"/>
      <c r="C244" s="149"/>
      <c r="D244" s="147"/>
      <c r="E244" s="150"/>
      <c r="F244" s="139"/>
      <c r="G244" s="139"/>
      <c r="H244" s="139"/>
      <c r="I244" s="139"/>
      <c r="J244" s="165">
        <v>51000</v>
      </c>
      <c r="K244" s="165" t="s">
        <v>3244</v>
      </c>
    </row>
    <row r="245" spans="1:11" ht="19" x14ac:dyDescent="0.2">
      <c r="A245" s="143"/>
      <c r="B245" s="153"/>
      <c r="C245" s="171"/>
      <c r="D245" s="155"/>
      <c r="E245" s="164"/>
      <c r="F245" s="119"/>
      <c r="G245" s="119"/>
      <c r="H245" s="119"/>
      <c r="I245" s="119"/>
      <c r="J245" s="168">
        <v>102000</v>
      </c>
      <c r="K245" s="168" t="s">
        <v>3245</v>
      </c>
    </row>
    <row r="246" spans="1:11" ht="19" x14ac:dyDescent="0.2">
      <c r="A246" s="144"/>
      <c r="B246" s="145"/>
      <c r="C246" s="149"/>
      <c r="D246" s="147"/>
      <c r="E246" s="150"/>
      <c r="F246" s="139"/>
      <c r="G246" s="139"/>
      <c r="H246" s="139"/>
      <c r="I246" s="139"/>
      <c r="J246" s="165"/>
      <c r="K246" s="165"/>
    </row>
    <row r="247" spans="1:11" ht="19" x14ac:dyDescent="0.2">
      <c r="A247" s="143">
        <v>1432000</v>
      </c>
      <c r="B247" s="153"/>
      <c r="C247" s="171" t="s">
        <v>10</v>
      </c>
      <c r="D247" s="155" t="s">
        <v>2767</v>
      </c>
      <c r="E247" s="164">
        <v>994000</v>
      </c>
      <c r="F247" s="119">
        <v>106000</v>
      </c>
      <c r="G247" s="119">
        <v>332000</v>
      </c>
      <c r="H247" s="119"/>
      <c r="I247" s="119"/>
      <c r="J247" s="168"/>
      <c r="K247" s="168"/>
    </row>
    <row r="248" spans="1:11" ht="19" x14ac:dyDescent="0.2">
      <c r="A248" s="144"/>
      <c r="B248" s="145"/>
      <c r="C248" s="149"/>
      <c r="D248" s="147"/>
      <c r="E248" s="150"/>
      <c r="F248" s="139"/>
      <c r="G248" s="139"/>
      <c r="H248" s="139"/>
      <c r="I248" s="139"/>
      <c r="J248" s="165"/>
      <c r="K248" s="165"/>
    </row>
    <row r="249" spans="1:11" ht="19" x14ac:dyDescent="0.2">
      <c r="A249" s="143">
        <v>2851000</v>
      </c>
      <c r="B249" s="153">
        <v>45504</v>
      </c>
      <c r="C249" s="171" t="s">
        <v>9</v>
      </c>
      <c r="D249" s="155" t="s">
        <v>565</v>
      </c>
      <c r="E249" s="164">
        <v>1997000</v>
      </c>
      <c r="F249" s="119">
        <v>311000</v>
      </c>
      <c r="G249" s="119">
        <v>543000</v>
      </c>
      <c r="H249" s="119"/>
      <c r="I249" s="119"/>
      <c r="J249" s="168">
        <v>50000</v>
      </c>
      <c r="K249" s="168" t="s">
        <v>3036</v>
      </c>
    </row>
    <row r="250" spans="1:11" ht="19" x14ac:dyDescent="0.2">
      <c r="A250" s="144"/>
      <c r="B250" s="145"/>
      <c r="C250" s="149"/>
      <c r="D250" s="147"/>
      <c r="E250" s="150"/>
      <c r="F250" s="139"/>
      <c r="G250" s="139"/>
      <c r="H250" s="139"/>
      <c r="I250" s="139"/>
      <c r="J250" s="165">
        <v>17000</v>
      </c>
      <c r="K250" s="165" t="s">
        <v>3246</v>
      </c>
    </row>
    <row r="251" spans="1:11" ht="19" x14ac:dyDescent="0.2">
      <c r="A251" s="143"/>
      <c r="B251" s="153"/>
      <c r="C251" s="171"/>
      <c r="D251" s="155"/>
      <c r="E251" s="164"/>
      <c r="F251" s="119"/>
      <c r="G251" s="119"/>
      <c r="H251" s="119"/>
      <c r="I251" s="119"/>
      <c r="J251" s="168">
        <v>99000</v>
      </c>
      <c r="K251" s="168" t="s">
        <v>3247</v>
      </c>
    </row>
    <row r="252" spans="1:11" ht="19" x14ac:dyDescent="0.2">
      <c r="A252" s="144"/>
      <c r="B252" s="145"/>
      <c r="C252" s="149"/>
      <c r="D252" s="147"/>
      <c r="E252" s="150"/>
      <c r="F252" s="139"/>
      <c r="G252" s="139"/>
      <c r="H252" s="139"/>
      <c r="I252" s="139"/>
      <c r="J252" s="165">
        <v>150000</v>
      </c>
      <c r="K252" s="165" t="s">
        <v>3248</v>
      </c>
    </row>
    <row r="253" spans="1:11" ht="32" x14ac:dyDescent="0.2">
      <c r="A253" s="143">
        <v>1437000</v>
      </c>
      <c r="B253" s="153"/>
      <c r="C253" s="171" t="s">
        <v>10</v>
      </c>
      <c r="D253" s="155" t="s">
        <v>2767</v>
      </c>
      <c r="E253" s="164">
        <v>1100000</v>
      </c>
      <c r="F253" s="119">
        <v>140000</v>
      </c>
      <c r="G253" s="119">
        <v>197000</v>
      </c>
      <c r="H253" s="119">
        <v>1750000</v>
      </c>
      <c r="I253" s="176" t="s">
        <v>3249</v>
      </c>
      <c r="J253" s="168"/>
      <c r="K253" s="168"/>
    </row>
    <row r="254" spans="1:11" ht="19" x14ac:dyDescent="0.2">
      <c r="A254" s="144"/>
      <c r="B254" s="145"/>
      <c r="C254" s="149"/>
      <c r="D254" s="147"/>
      <c r="E254" s="150"/>
      <c r="F254" s="139"/>
      <c r="G254" s="139"/>
      <c r="H254" s="139">
        <v>400000</v>
      </c>
      <c r="I254" s="139" t="s">
        <v>3250</v>
      </c>
      <c r="J254" s="165"/>
      <c r="K254" s="165"/>
    </row>
    <row r="255" spans="1:11" ht="32" x14ac:dyDescent="0.2">
      <c r="A255" s="143"/>
      <c r="B255" s="153"/>
      <c r="C255" s="171"/>
      <c r="D255" s="155"/>
      <c r="E255" s="164"/>
      <c r="F255" s="119"/>
      <c r="G255" s="119"/>
      <c r="H255" s="119">
        <v>6907000</v>
      </c>
      <c r="I255" s="176" t="s">
        <v>3251</v>
      </c>
      <c r="J255" s="168"/>
      <c r="K255" s="168"/>
    </row>
    <row r="256" spans="1:11" ht="19" x14ac:dyDescent="0.2">
      <c r="A256" s="144"/>
      <c r="B256" s="145"/>
      <c r="C256" s="149"/>
      <c r="D256" s="147"/>
      <c r="E256" s="150"/>
      <c r="F256" s="139"/>
      <c r="G256" s="139"/>
      <c r="H256" s="139">
        <v>1200000</v>
      </c>
      <c r="I256" s="139" t="s">
        <v>717</v>
      </c>
      <c r="J256" s="165"/>
      <c r="K256" s="165"/>
    </row>
    <row r="257" spans="1:11" ht="19" x14ac:dyDescent="0.2">
      <c r="A257" s="143"/>
      <c r="B257" s="153"/>
      <c r="C257" s="171"/>
      <c r="D257" s="155"/>
      <c r="E257" s="164"/>
      <c r="F257" s="119"/>
      <c r="G257" s="119"/>
      <c r="H257" s="119">
        <v>1260000</v>
      </c>
      <c r="I257" s="119" t="s">
        <v>3125</v>
      </c>
      <c r="J257" s="168"/>
      <c r="K257" s="168"/>
    </row>
    <row r="258" spans="1:11" ht="19" x14ac:dyDescent="0.2">
      <c r="A258" s="144"/>
      <c r="B258" s="145"/>
      <c r="C258" s="149"/>
      <c r="D258" s="147"/>
      <c r="E258" s="150"/>
      <c r="F258" s="139"/>
      <c r="G258" s="139"/>
      <c r="H258" s="139"/>
      <c r="I258" s="139"/>
      <c r="J258" s="165"/>
      <c r="K258" s="165"/>
    </row>
    <row r="259" spans="1:11" ht="19" x14ac:dyDescent="0.2">
      <c r="A259" s="143"/>
      <c r="B259" s="153"/>
      <c r="C259" s="171"/>
      <c r="D259" s="155"/>
      <c r="E259" s="164"/>
      <c r="F259" s="119"/>
      <c r="G259" s="119"/>
      <c r="H259" s="119"/>
      <c r="I259" s="119"/>
      <c r="J259" s="168"/>
      <c r="K259" s="168"/>
    </row>
    <row r="260" spans="1:11" ht="19" x14ac:dyDescent="0.2">
      <c r="A260" s="144"/>
      <c r="B260" s="145"/>
      <c r="C260" s="149"/>
      <c r="D260" s="147"/>
      <c r="E260" s="150"/>
      <c r="F260" s="139"/>
      <c r="G260" s="139"/>
      <c r="H260" s="139"/>
      <c r="I260" s="139"/>
      <c r="J260" s="165"/>
      <c r="K260" s="16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K229"/>
  <sheetViews>
    <sheetView zoomScale="94" zoomScaleNormal="94" workbookViewId="0">
      <selection activeCell="K50" sqref="K50"/>
    </sheetView>
  </sheetViews>
  <sheetFormatPr baseColWidth="10" defaultColWidth="8.83203125" defaultRowHeight="15" x14ac:dyDescent="0.2"/>
  <cols>
    <col min="1" max="1" width="25.1640625" bestFit="1" customWidth="1"/>
    <col min="2" max="2" width="21.5" customWidth="1"/>
    <col min="3" max="3" width="16" bestFit="1" customWidth="1"/>
    <col min="4" max="4" width="26.6640625" customWidth="1"/>
    <col min="5" max="5" width="23.5" bestFit="1" customWidth="1"/>
    <col min="6" max="6" width="30.5" customWidth="1"/>
    <col min="7" max="8" width="23.5" bestFit="1" customWidth="1"/>
    <col min="9" max="9" width="38.1640625" customWidth="1"/>
    <col min="10" max="10" width="23.5" bestFit="1" customWidth="1"/>
    <col min="11" max="11" width="34.83203125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175</v>
      </c>
      <c r="J4" s="71">
        <v>14827500</v>
      </c>
      <c r="K4" s="72">
        <f>J4/10820</f>
        <v>1370.3789279112755</v>
      </c>
    </row>
    <row r="5" spans="1:11" ht="24" x14ac:dyDescent="0.3">
      <c r="B5" s="99" t="s">
        <v>3382</v>
      </c>
      <c r="H5" s="73"/>
      <c r="I5" s="71" t="s">
        <v>176</v>
      </c>
      <c r="J5" s="71">
        <v>14827500</v>
      </c>
      <c r="K5" s="72">
        <f>J5/10820</f>
        <v>1370.3789279112755</v>
      </c>
    </row>
    <row r="6" spans="1:11" ht="24" x14ac:dyDescent="0.3">
      <c r="B6" s="99"/>
      <c r="H6" s="73"/>
      <c r="I6" s="71" t="s">
        <v>178</v>
      </c>
      <c r="J6" s="71">
        <v>2510933</v>
      </c>
      <c r="K6" s="72" t="s">
        <v>3385</v>
      </c>
    </row>
    <row r="7" spans="1:11" ht="26" x14ac:dyDescent="0.3">
      <c r="B7" s="100" t="s">
        <v>3384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SUM(A11:A421)</f>
        <v>111885000</v>
      </c>
      <c r="B10" s="65"/>
      <c r="C10" s="66" t="s">
        <v>13</v>
      </c>
      <c r="D10" s="67"/>
      <c r="E10" s="68">
        <f>SUM(E11:E421)</f>
        <v>80032000</v>
      </c>
      <c r="F10" s="69">
        <f>SUM(F11:F421)</f>
        <v>15389000</v>
      </c>
      <c r="G10" s="69">
        <f>SUM(G11:G408)</f>
        <v>16464000</v>
      </c>
      <c r="H10" s="69">
        <f>SUM(H11:H421)</f>
        <v>34554000</v>
      </c>
      <c r="I10" s="69"/>
      <c r="J10" s="69">
        <f>SUM(J11:J421)</f>
        <v>15823500</v>
      </c>
      <c r="K10" s="69"/>
    </row>
    <row r="11" spans="1:11" ht="19" x14ac:dyDescent="0.2">
      <c r="A11" s="142">
        <v>2170000</v>
      </c>
      <c r="B11" s="32">
        <v>45505</v>
      </c>
      <c r="C11" s="49" t="s">
        <v>9</v>
      </c>
      <c r="D11" s="13" t="s">
        <v>565</v>
      </c>
      <c r="E11" s="15">
        <v>1419000</v>
      </c>
      <c r="F11" s="9">
        <v>231000</v>
      </c>
      <c r="G11" s="9">
        <v>520000</v>
      </c>
      <c r="H11" s="9">
        <v>455000</v>
      </c>
      <c r="I11" s="9" t="s">
        <v>3381</v>
      </c>
      <c r="J11" s="119">
        <v>23500</v>
      </c>
      <c r="K11" s="9" t="s">
        <v>3257</v>
      </c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162"/>
      <c r="J12" s="139">
        <v>47000</v>
      </c>
      <c r="K12" s="139" t="s">
        <v>3258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75"/>
      <c r="I13" s="174"/>
      <c r="J13" s="119">
        <v>9000</v>
      </c>
      <c r="K13" s="119" t="s">
        <v>3259</v>
      </c>
    </row>
    <row r="14" spans="1:11" ht="19" x14ac:dyDescent="0.2">
      <c r="A14" s="144">
        <v>1702000</v>
      </c>
      <c r="B14" s="145"/>
      <c r="C14" s="151" t="s">
        <v>10</v>
      </c>
      <c r="D14" s="147" t="s">
        <v>3260</v>
      </c>
      <c r="E14" s="150">
        <v>1407000</v>
      </c>
      <c r="F14" s="139">
        <v>168000</v>
      </c>
      <c r="G14" s="139">
        <v>127000</v>
      </c>
      <c r="H14" s="152"/>
      <c r="I14" s="162"/>
      <c r="J14" s="139">
        <v>40000</v>
      </c>
      <c r="K14" s="139" t="s">
        <v>3114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94000</v>
      </c>
      <c r="K15" s="119" t="s">
        <v>537</v>
      </c>
    </row>
    <row r="16" spans="1:11" ht="19" x14ac:dyDescent="0.2">
      <c r="A16" s="144">
        <v>2510000</v>
      </c>
      <c r="B16" s="145">
        <v>45506</v>
      </c>
      <c r="C16" s="151" t="s">
        <v>9</v>
      </c>
      <c r="D16" s="147" t="s">
        <v>565</v>
      </c>
      <c r="E16" s="150">
        <v>1469000</v>
      </c>
      <c r="F16" s="139">
        <v>588000</v>
      </c>
      <c r="G16" s="139">
        <v>453000</v>
      </c>
      <c r="H16" s="139"/>
      <c r="I16" s="162"/>
      <c r="J16" s="139">
        <v>51500</v>
      </c>
      <c r="K16" s="139" t="s">
        <v>3261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12000</v>
      </c>
      <c r="K17" s="119" t="s">
        <v>3262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9000</v>
      </c>
      <c r="K18" s="139" t="s">
        <v>971</v>
      </c>
    </row>
    <row r="19" spans="1:11" ht="19" x14ac:dyDescent="0.2">
      <c r="A19" s="143">
        <v>1214000</v>
      </c>
      <c r="B19" s="153"/>
      <c r="C19" s="163" t="s">
        <v>10</v>
      </c>
      <c r="D19" s="155" t="s">
        <v>3260</v>
      </c>
      <c r="E19" s="164">
        <v>876000</v>
      </c>
      <c r="F19" s="119">
        <v>162000</v>
      </c>
      <c r="G19" s="119">
        <v>176000</v>
      </c>
      <c r="H19" s="119"/>
      <c r="I19" s="119"/>
      <c r="J19" s="119">
        <v>200000</v>
      </c>
      <c r="K19" s="119" t="s">
        <v>3263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25000</v>
      </c>
      <c r="K20" s="139" t="s">
        <v>3264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200000</v>
      </c>
      <c r="K21" s="9" t="s">
        <v>2049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45000</v>
      </c>
      <c r="K22" s="139" t="s">
        <v>655</v>
      </c>
    </row>
    <row r="23" spans="1:11" ht="19" x14ac:dyDescent="0.2">
      <c r="A23" s="142">
        <v>1868000</v>
      </c>
      <c r="B23" s="32">
        <v>45507</v>
      </c>
      <c r="C23" s="49" t="s">
        <v>9</v>
      </c>
      <c r="D23" s="13" t="s">
        <v>2105</v>
      </c>
      <c r="E23" s="15">
        <v>1375000</v>
      </c>
      <c r="F23" s="9">
        <v>213000</v>
      </c>
      <c r="G23" s="9">
        <v>280000</v>
      </c>
      <c r="H23" s="9"/>
      <c r="I23" s="9"/>
      <c r="J23" s="9">
        <v>150000</v>
      </c>
      <c r="K23" s="9" t="s">
        <v>827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75000</v>
      </c>
      <c r="K24" s="162" t="s">
        <v>908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75000</v>
      </c>
      <c r="K25" s="119" t="s">
        <v>3265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135000</v>
      </c>
      <c r="K26" s="139" t="s">
        <v>3266</v>
      </c>
    </row>
    <row r="27" spans="1:11" ht="19" x14ac:dyDescent="0.2">
      <c r="A27" s="143">
        <v>1848000</v>
      </c>
      <c r="B27" s="32"/>
      <c r="C27" s="49" t="s">
        <v>10</v>
      </c>
      <c r="D27" s="13" t="s">
        <v>3260</v>
      </c>
      <c r="E27" s="15">
        <v>1305000</v>
      </c>
      <c r="F27" s="9">
        <v>144000</v>
      </c>
      <c r="G27" s="9">
        <v>399000</v>
      </c>
      <c r="H27" s="9"/>
      <c r="I27" s="9"/>
      <c r="J27" s="9">
        <v>169000</v>
      </c>
      <c r="K27" s="106" t="s">
        <v>3267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50000</v>
      </c>
      <c r="K28" s="139" t="s">
        <v>59</v>
      </c>
    </row>
    <row r="29" spans="1:11" ht="19" x14ac:dyDescent="0.2">
      <c r="A29" s="143"/>
      <c r="B29" s="32">
        <v>45508</v>
      </c>
      <c r="C29" s="49" t="s">
        <v>737</v>
      </c>
      <c r="D29" s="13"/>
      <c r="E29" s="15"/>
      <c r="F29" s="174"/>
      <c r="G29" s="174"/>
      <c r="H29" s="9"/>
      <c r="I29" s="9"/>
      <c r="J29" s="9"/>
      <c r="K29" s="9"/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15000</v>
      </c>
      <c r="K30" s="139" t="s">
        <v>3268</v>
      </c>
    </row>
    <row r="31" spans="1:11" ht="19" x14ac:dyDescent="0.2">
      <c r="A31" s="143">
        <v>2578000</v>
      </c>
      <c r="B31" s="32">
        <v>45509</v>
      </c>
      <c r="C31" s="49" t="s">
        <v>9</v>
      </c>
      <c r="D31" s="13" t="s">
        <v>565</v>
      </c>
      <c r="E31" s="15">
        <v>1697000</v>
      </c>
      <c r="F31" s="9">
        <v>547000</v>
      </c>
      <c r="G31" s="9">
        <v>334000</v>
      </c>
      <c r="H31" s="9">
        <v>3792000</v>
      </c>
      <c r="I31" s="119" t="s">
        <v>2159</v>
      </c>
      <c r="J31" s="9">
        <v>132000</v>
      </c>
      <c r="K31" s="9" t="s">
        <v>3269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137500</v>
      </c>
      <c r="K32" s="139" t="s">
        <v>3270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74500</v>
      </c>
      <c r="K33" s="119" t="s">
        <v>3271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103500</v>
      </c>
      <c r="K34" s="139" t="s">
        <v>1282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121000</v>
      </c>
      <c r="K35" s="9" t="s">
        <v>3272</v>
      </c>
    </row>
    <row r="36" spans="1:11" ht="19" x14ac:dyDescent="0.2">
      <c r="A36" s="144">
        <v>1254000</v>
      </c>
      <c r="B36" s="145"/>
      <c r="C36" s="149" t="s">
        <v>10</v>
      </c>
      <c r="D36" s="147" t="s">
        <v>3260</v>
      </c>
      <c r="E36" s="150">
        <v>844000</v>
      </c>
      <c r="F36" s="139">
        <v>272000</v>
      </c>
      <c r="G36" s="139">
        <v>138000</v>
      </c>
      <c r="H36" s="139"/>
      <c r="I36" s="139"/>
      <c r="J36" s="139">
        <v>70000</v>
      </c>
      <c r="K36" s="139" t="s">
        <v>537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175000</v>
      </c>
      <c r="K37" s="9" t="s">
        <v>889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120000</v>
      </c>
      <c r="K38" s="139" t="s">
        <v>751</v>
      </c>
    </row>
    <row r="39" spans="1:11" ht="19" x14ac:dyDescent="0.2">
      <c r="A39" s="143">
        <v>2812000</v>
      </c>
      <c r="B39" s="153">
        <v>45510</v>
      </c>
      <c r="C39" s="171" t="s">
        <v>9</v>
      </c>
      <c r="D39" s="155" t="s">
        <v>3273</v>
      </c>
      <c r="E39" s="164">
        <v>1808000</v>
      </c>
      <c r="F39" s="119">
        <v>614000</v>
      </c>
      <c r="G39" s="119">
        <v>390000</v>
      </c>
      <c r="H39" s="119"/>
      <c r="I39" s="119"/>
      <c r="J39" s="119">
        <v>192000</v>
      </c>
      <c r="K39" s="119" t="s">
        <v>615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150000</v>
      </c>
      <c r="K40" s="139" t="s">
        <v>2079</v>
      </c>
    </row>
    <row r="41" spans="1:11" ht="19" x14ac:dyDescent="0.2">
      <c r="A41" s="143"/>
      <c r="B41" s="153"/>
      <c r="C41" s="171"/>
      <c r="D41" s="155"/>
      <c r="E41" s="164"/>
      <c r="F41" s="119"/>
      <c r="G41" s="119"/>
      <c r="H41" s="119"/>
      <c r="I41" s="119"/>
      <c r="J41" s="119">
        <v>450000</v>
      </c>
      <c r="K41" s="119" t="s">
        <v>3274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84500</v>
      </c>
      <c r="K42" s="139" t="s">
        <v>3275</v>
      </c>
    </row>
    <row r="43" spans="1:11" ht="19" x14ac:dyDescent="0.2">
      <c r="A43" s="143">
        <v>1876000</v>
      </c>
      <c r="B43" s="153"/>
      <c r="C43" s="171" t="s">
        <v>10</v>
      </c>
      <c r="D43" s="155" t="s">
        <v>3276</v>
      </c>
      <c r="E43" s="164">
        <v>1170000</v>
      </c>
      <c r="F43" s="119">
        <v>368000</v>
      </c>
      <c r="G43" s="119">
        <v>338000</v>
      </c>
      <c r="H43" s="119"/>
      <c r="I43" s="119"/>
      <c r="J43" s="119">
        <v>195000</v>
      </c>
      <c r="K43" s="119" t="s">
        <v>3277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45000</v>
      </c>
      <c r="K44" s="139" t="s">
        <v>973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23000</v>
      </c>
      <c r="K45" s="119" t="s">
        <v>3278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38000</v>
      </c>
      <c r="K46" s="139" t="s">
        <v>3279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40000</v>
      </c>
      <c r="K47" s="119" t="s">
        <v>3114</v>
      </c>
    </row>
    <row r="48" spans="1:11" ht="19" x14ac:dyDescent="0.2">
      <c r="A48" s="144">
        <v>2791000</v>
      </c>
      <c r="B48" s="145">
        <v>45511</v>
      </c>
      <c r="C48" s="149" t="s">
        <v>9</v>
      </c>
      <c r="D48" s="147" t="s">
        <v>3273</v>
      </c>
      <c r="E48" s="150">
        <v>2002000</v>
      </c>
      <c r="F48" s="139">
        <v>460000</v>
      </c>
      <c r="G48" s="139">
        <v>329000</v>
      </c>
      <c r="H48" s="139"/>
      <c r="I48" s="139"/>
      <c r="J48" s="139">
        <v>3000</v>
      </c>
      <c r="K48" s="139" t="s">
        <v>3280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10000</v>
      </c>
      <c r="K49" s="119" t="s">
        <v>3281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66000</v>
      </c>
      <c r="K50" s="139" t="s">
        <v>3282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51000</v>
      </c>
      <c r="K51" s="119" t="s">
        <v>3283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100000</v>
      </c>
      <c r="K52" s="139" t="s">
        <v>3284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73"/>
      <c r="I53" s="119"/>
      <c r="J53" s="119">
        <v>70000</v>
      </c>
      <c r="K53" s="119" t="s">
        <v>537</v>
      </c>
    </row>
    <row r="54" spans="1:11" ht="19" x14ac:dyDescent="0.2">
      <c r="A54" s="144">
        <v>1730000</v>
      </c>
      <c r="B54" s="145"/>
      <c r="C54" s="149" t="s">
        <v>9</v>
      </c>
      <c r="D54" s="147" t="s">
        <v>3276</v>
      </c>
      <c r="E54" s="150">
        <v>1212000</v>
      </c>
      <c r="F54" s="139">
        <v>252000</v>
      </c>
      <c r="G54" s="139">
        <v>266000</v>
      </c>
      <c r="H54" s="157"/>
      <c r="I54" s="139"/>
      <c r="J54" s="139">
        <v>50000</v>
      </c>
      <c r="K54" s="139" t="s">
        <v>3090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73"/>
      <c r="I55" s="119"/>
      <c r="J55" s="119">
        <v>53000</v>
      </c>
      <c r="K55" s="119" t="s">
        <v>2623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57"/>
      <c r="I56" s="139"/>
      <c r="J56" s="139">
        <v>200000</v>
      </c>
      <c r="K56" s="139" t="s">
        <v>3030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45000</v>
      </c>
      <c r="K57" s="119" t="s">
        <v>655</v>
      </c>
    </row>
    <row r="58" spans="1:11" ht="19" x14ac:dyDescent="0.2">
      <c r="A58" s="144"/>
      <c r="B58" s="145"/>
      <c r="C58" s="149"/>
      <c r="D58" s="147"/>
      <c r="E58" s="150"/>
      <c r="F58" s="150"/>
      <c r="G58" s="139"/>
      <c r="H58" s="139"/>
      <c r="I58" s="139"/>
      <c r="J58" s="139">
        <v>150000</v>
      </c>
      <c r="K58" s="139" t="s">
        <v>827</v>
      </c>
    </row>
    <row r="59" spans="1:11" ht="19" x14ac:dyDescent="0.2">
      <c r="A59" s="143">
        <v>2578000</v>
      </c>
      <c r="B59" s="153">
        <v>45512</v>
      </c>
      <c r="C59" s="171" t="s">
        <v>9</v>
      </c>
      <c r="D59" s="155" t="s">
        <v>3273</v>
      </c>
      <c r="E59" s="164">
        <v>1838000</v>
      </c>
      <c r="F59" s="119">
        <v>479000</v>
      </c>
      <c r="G59" s="119">
        <v>261000</v>
      </c>
      <c r="H59" s="119"/>
      <c r="I59" s="119"/>
      <c r="J59" s="119">
        <v>25000</v>
      </c>
      <c r="K59" s="119" t="s">
        <v>3285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139"/>
      <c r="I60" s="139"/>
      <c r="J60" s="139">
        <v>40000</v>
      </c>
      <c r="K60" s="139" t="s">
        <v>3286</v>
      </c>
    </row>
    <row r="61" spans="1:11" ht="19" x14ac:dyDescent="0.2">
      <c r="A61" s="143">
        <v>1159000</v>
      </c>
      <c r="B61" s="153"/>
      <c r="C61" s="171" t="s">
        <v>10</v>
      </c>
      <c r="D61" s="155" t="s">
        <v>3276</v>
      </c>
      <c r="E61" s="164">
        <v>815000</v>
      </c>
      <c r="F61" s="119">
        <v>127000</v>
      </c>
      <c r="G61" s="119">
        <v>217000</v>
      </c>
      <c r="H61" s="119"/>
      <c r="I61" s="119"/>
      <c r="J61" s="119"/>
      <c r="K61" s="119"/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39"/>
      <c r="I62" s="139"/>
      <c r="J62" s="139"/>
      <c r="K62" s="139"/>
    </row>
    <row r="63" spans="1:11" ht="19" x14ac:dyDescent="0.2">
      <c r="A63" s="206">
        <v>2599000</v>
      </c>
      <c r="B63" s="153">
        <v>45513</v>
      </c>
      <c r="C63" s="171" t="s">
        <v>9</v>
      </c>
      <c r="D63" s="155" t="s">
        <v>3287</v>
      </c>
      <c r="E63" s="210">
        <v>1779000</v>
      </c>
      <c r="F63" s="211">
        <v>484000</v>
      </c>
      <c r="G63" s="211">
        <v>336000</v>
      </c>
      <c r="H63" s="211">
        <v>200000</v>
      </c>
      <c r="I63" s="119" t="s">
        <v>3288</v>
      </c>
      <c r="J63" s="211">
        <v>44000</v>
      </c>
      <c r="K63" s="119" t="s">
        <v>3289</v>
      </c>
    </row>
    <row r="64" spans="1:11" ht="19" x14ac:dyDescent="0.2">
      <c r="A64" s="144"/>
      <c r="B64" s="145"/>
      <c r="C64" s="149"/>
      <c r="D64" s="147"/>
      <c r="E64" s="150"/>
      <c r="F64" s="139"/>
      <c r="G64" s="139"/>
      <c r="H64" s="139"/>
      <c r="I64" s="139"/>
      <c r="J64" s="139">
        <v>11000</v>
      </c>
      <c r="K64" s="139" t="s">
        <v>3290</v>
      </c>
    </row>
    <row r="65" spans="1:11" ht="19" x14ac:dyDescent="0.2">
      <c r="A65" s="143"/>
      <c r="B65" s="32"/>
      <c r="C65" s="49"/>
      <c r="D65" s="13"/>
      <c r="E65" s="15"/>
      <c r="F65" s="9"/>
      <c r="G65" s="9"/>
      <c r="H65" s="9"/>
      <c r="I65" s="9"/>
      <c r="J65" s="9">
        <v>12000</v>
      </c>
      <c r="K65" s="9" t="s">
        <v>3291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500000</v>
      </c>
      <c r="K66" s="139" t="s">
        <v>3292</v>
      </c>
    </row>
    <row r="67" spans="1:11" ht="19" x14ac:dyDescent="0.2">
      <c r="A67" s="143">
        <v>1904000</v>
      </c>
      <c r="B67" s="32"/>
      <c r="C67" s="49" t="s">
        <v>10</v>
      </c>
      <c r="D67" s="155" t="s">
        <v>3276</v>
      </c>
      <c r="E67" s="15">
        <v>1249000</v>
      </c>
      <c r="F67" s="9">
        <v>251000</v>
      </c>
      <c r="G67" s="9">
        <v>404000</v>
      </c>
      <c r="H67" s="9"/>
      <c r="I67" s="9"/>
      <c r="J67" s="9"/>
      <c r="K67" s="9"/>
    </row>
    <row r="68" spans="1:11" ht="19" x14ac:dyDescent="0.2">
      <c r="A68" s="148"/>
      <c r="B68" s="145"/>
      <c r="C68" s="151"/>
      <c r="D68" s="147"/>
      <c r="E68" s="150"/>
      <c r="F68" s="139"/>
      <c r="G68" s="139"/>
      <c r="H68" s="139"/>
      <c r="I68" s="139"/>
      <c r="J68" s="139"/>
      <c r="K68" s="139"/>
    </row>
    <row r="69" spans="1:11" ht="19" x14ac:dyDescent="0.2">
      <c r="A69" s="143">
        <v>1657000</v>
      </c>
      <c r="B69" s="153">
        <v>45514</v>
      </c>
      <c r="C69" s="163" t="s">
        <v>9</v>
      </c>
      <c r="D69" s="155" t="s">
        <v>565</v>
      </c>
      <c r="E69" s="164">
        <v>1163000</v>
      </c>
      <c r="F69" s="119">
        <v>253000</v>
      </c>
      <c r="G69" s="119">
        <v>241000</v>
      </c>
      <c r="H69" s="119"/>
      <c r="I69" s="119"/>
      <c r="J69" s="119"/>
      <c r="K69" s="119"/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52"/>
      <c r="I70" s="152"/>
      <c r="J70" s="139"/>
      <c r="K70" s="139"/>
    </row>
    <row r="71" spans="1:11" ht="19" x14ac:dyDescent="0.2">
      <c r="A71" s="143">
        <v>1756000</v>
      </c>
      <c r="B71" s="32"/>
      <c r="C71" s="49" t="s">
        <v>10</v>
      </c>
      <c r="D71" s="13" t="s">
        <v>2767</v>
      </c>
      <c r="E71" s="15">
        <v>1393000</v>
      </c>
      <c r="F71" s="9">
        <v>189000</v>
      </c>
      <c r="G71" s="9">
        <v>174000</v>
      </c>
      <c r="H71" s="60"/>
      <c r="I71" s="60"/>
      <c r="J71" s="9">
        <v>50000</v>
      </c>
      <c r="K71" s="9" t="s">
        <v>123</v>
      </c>
    </row>
    <row r="72" spans="1:11" ht="19" x14ac:dyDescent="0.2">
      <c r="A72" s="144"/>
      <c r="B72" s="145">
        <v>45515</v>
      </c>
      <c r="C72" s="149" t="s">
        <v>737</v>
      </c>
      <c r="D72" s="147"/>
      <c r="E72" s="150"/>
      <c r="F72" s="139"/>
      <c r="G72" s="139"/>
      <c r="H72" s="152"/>
      <c r="I72" s="152"/>
      <c r="J72" s="139"/>
      <c r="K72" s="139"/>
    </row>
    <row r="73" spans="1:11" ht="36" customHeight="1" x14ac:dyDescent="0.2">
      <c r="A73" s="143">
        <v>2410000</v>
      </c>
      <c r="B73" s="153">
        <v>45516</v>
      </c>
      <c r="C73" s="171" t="s">
        <v>9</v>
      </c>
      <c r="D73" s="155" t="s">
        <v>3293</v>
      </c>
      <c r="E73" s="164">
        <v>1713000</v>
      </c>
      <c r="F73" s="119">
        <v>342000</v>
      </c>
      <c r="G73" s="119">
        <v>355000</v>
      </c>
      <c r="H73" s="175">
        <v>1050000</v>
      </c>
      <c r="I73" s="232" t="s">
        <v>3294</v>
      </c>
      <c r="J73" s="119">
        <v>145000</v>
      </c>
      <c r="K73" s="119" t="s">
        <v>3295</v>
      </c>
    </row>
    <row r="74" spans="1:11" ht="19" x14ac:dyDescent="0.2">
      <c r="A74" s="144"/>
      <c r="B74" s="145"/>
      <c r="C74" s="149"/>
      <c r="D74" s="147"/>
      <c r="E74" s="150"/>
      <c r="F74" s="139"/>
      <c r="G74" s="139"/>
      <c r="H74" s="152"/>
      <c r="I74" s="152"/>
      <c r="J74" s="139">
        <v>2000</v>
      </c>
      <c r="K74" s="139" t="s">
        <v>2813</v>
      </c>
    </row>
    <row r="75" spans="1:11" ht="19" x14ac:dyDescent="0.2">
      <c r="A75" s="143"/>
      <c r="B75" s="153"/>
      <c r="C75" s="171"/>
      <c r="D75" s="155"/>
      <c r="E75" s="164"/>
      <c r="F75" s="119"/>
      <c r="G75" s="119"/>
      <c r="H75" s="119"/>
      <c r="I75" s="119"/>
      <c r="J75" s="119">
        <v>27000</v>
      </c>
      <c r="K75" s="119" t="s">
        <v>3296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43000</v>
      </c>
      <c r="K76" s="139" t="s">
        <v>2846</v>
      </c>
    </row>
    <row r="77" spans="1:11" ht="19" x14ac:dyDescent="0.2">
      <c r="A77" s="143"/>
      <c r="B77" s="153"/>
      <c r="C77" s="171"/>
      <c r="D77" s="155"/>
      <c r="E77" s="15"/>
      <c r="F77" s="9"/>
      <c r="G77" s="9"/>
      <c r="H77" s="9"/>
      <c r="I77" s="9"/>
      <c r="J77" s="9">
        <v>60000</v>
      </c>
      <c r="K77" s="9" t="s">
        <v>3297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>
        <v>520000</v>
      </c>
      <c r="K78" s="139" t="s">
        <v>3298</v>
      </c>
    </row>
    <row r="79" spans="1:11" ht="19" x14ac:dyDescent="0.2">
      <c r="A79" s="143"/>
      <c r="B79" s="153"/>
      <c r="C79" s="171"/>
      <c r="D79" s="155"/>
      <c r="E79" s="15"/>
      <c r="F79" s="9"/>
      <c r="G79" s="9"/>
      <c r="H79" s="106"/>
      <c r="I79" s="106"/>
      <c r="J79" s="9">
        <v>60000</v>
      </c>
      <c r="K79" s="9" t="s">
        <v>1490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52"/>
      <c r="I80" s="152"/>
      <c r="J80" s="139">
        <v>14000</v>
      </c>
      <c r="K80" s="139" t="s">
        <v>2670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75"/>
      <c r="I81" s="175"/>
      <c r="J81" s="9">
        <v>6000</v>
      </c>
      <c r="K81" s="119" t="s">
        <v>3144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130000</v>
      </c>
      <c r="K82" s="139" t="s">
        <v>3299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60"/>
      <c r="I83" s="60"/>
      <c r="J83" s="119">
        <v>66000</v>
      </c>
      <c r="K83" s="119" t="s">
        <v>3300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52"/>
      <c r="I84" s="152"/>
      <c r="J84" s="139">
        <v>33000</v>
      </c>
      <c r="K84" s="139" t="s">
        <v>3301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5"/>
      <c r="I85" s="175"/>
      <c r="J85" s="119">
        <v>14000</v>
      </c>
      <c r="K85" s="119" t="s">
        <v>3302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52"/>
      <c r="I86" s="152"/>
      <c r="J86" s="139">
        <v>80000</v>
      </c>
      <c r="K86" s="139" t="s">
        <v>3303</v>
      </c>
    </row>
    <row r="87" spans="1:11" ht="19" x14ac:dyDescent="0.2">
      <c r="A87" s="143"/>
      <c r="B87" s="153"/>
      <c r="C87" s="49"/>
      <c r="D87" s="13"/>
      <c r="E87" s="15"/>
      <c r="F87" s="9"/>
      <c r="G87" s="9"/>
      <c r="H87" s="175"/>
      <c r="I87" s="9"/>
      <c r="J87" s="9">
        <v>36000</v>
      </c>
      <c r="K87" s="9" t="s">
        <v>3279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39"/>
      <c r="I88" s="139"/>
      <c r="J88" s="139">
        <v>90000</v>
      </c>
      <c r="K88" s="139" t="s">
        <v>678</v>
      </c>
    </row>
    <row r="89" spans="1:11" ht="19" x14ac:dyDescent="0.2">
      <c r="A89" s="143"/>
      <c r="B89" s="32"/>
      <c r="C89" s="49"/>
      <c r="D89" s="13"/>
      <c r="E89" s="15"/>
      <c r="F89" s="9"/>
      <c r="G89" s="9"/>
      <c r="H89" s="9"/>
      <c r="I89" s="9"/>
      <c r="J89" s="9">
        <v>28500</v>
      </c>
      <c r="K89" s="9" t="s">
        <v>3304</v>
      </c>
    </row>
    <row r="90" spans="1:11" ht="19" x14ac:dyDescent="0.2">
      <c r="A90" s="144">
        <v>1196000</v>
      </c>
      <c r="B90" s="145"/>
      <c r="C90" s="149" t="s">
        <v>10</v>
      </c>
      <c r="D90" s="147" t="s">
        <v>20</v>
      </c>
      <c r="E90" s="150">
        <v>815000</v>
      </c>
      <c r="F90" s="139">
        <v>124000</v>
      </c>
      <c r="G90" s="139">
        <v>257000</v>
      </c>
      <c r="H90" s="139"/>
      <c r="I90" s="139"/>
      <c r="J90" s="139">
        <v>150000</v>
      </c>
      <c r="K90" s="139" t="s">
        <v>1518</v>
      </c>
    </row>
    <row r="91" spans="1:11" ht="19" x14ac:dyDescent="0.2">
      <c r="A91" s="143"/>
      <c r="B91" s="32"/>
      <c r="C91" s="49"/>
      <c r="D91" s="13"/>
      <c r="E91" s="15"/>
      <c r="F91" s="9"/>
      <c r="G91" s="9"/>
      <c r="H91" s="60"/>
      <c r="I91" s="60"/>
      <c r="J91" s="9">
        <v>8000</v>
      </c>
      <c r="K91" s="9" t="s">
        <v>3305</v>
      </c>
    </row>
    <row r="92" spans="1:11" ht="19" x14ac:dyDescent="0.2">
      <c r="A92" s="144">
        <v>2384000</v>
      </c>
      <c r="B92" s="145">
        <v>45517</v>
      </c>
      <c r="C92" s="159" t="s">
        <v>9</v>
      </c>
      <c r="D92" s="147" t="s">
        <v>3293</v>
      </c>
      <c r="E92" s="150">
        <v>1707000</v>
      </c>
      <c r="F92" s="139">
        <v>289000</v>
      </c>
      <c r="G92" s="139">
        <v>388000</v>
      </c>
      <c r="H92" s="139"/>
      <c r="I92" s="139"/>
      <c r="J92" s="139">
        <v>75000</v>
      </c>
      <c r="K92" s="139" t="s">
        <v>3306</v>
      </c>
    </row>
    <row r="93" spans="1:11" ht="19" x14ac:dyDescent="0.2">
      <c r="A93" s="143"/>
      <c r="B93" s="153"/>
      <c r="C93" s="171"/>
      <c r="D93" s="155"/>
      <c r="E93" s="164"/>
      <c r="F93" s="119"/>
      <c r="G93" s="119"/>
      <c r="H93" s="119"/>
      <c r="I93" s="119"/>
      <c r="J93" s="119">
        <v>75000</v>
      </c>
      <c r="K93" s="119" t="s">
        <v>2788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39">
        <v>200000</v>
      </c>
      <c r="K94" s="139" t="s">
        <v>2796</v>
      </c>
    </row>
    <row r="95" spans="1:11" ht="19" x14ac:dyDescent="0.2">
      <c r="A95" s="143"/>
      <c r="B95" s="153"/>
      <c r="C95" s="171"/>
      <c r="D95" s="155"/>
      <c r="E95" s="164"/>
      <c r="F95" s="119"/>
      <c r="G95" s="119"/>
      <c r="H95" s="119"/>
      <c r="I95" s="119"/>
      <c r="J95" s="119">
        <v>45000</v>
      </c>
      <c r="K95" s="119" t="s">
        <v>3307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150000</v>
      </c>
      <c r="K96" s="139" t="s">
        <v>1710</v>
      </c>
    </row>
    <row r="97" spans="1:11" ht="19" x14ac:dyDescent="0.2">
      <c r="A97" s="143">
        <v>1274000</v>
      </c>
      <c r="B97" s="153"/>
      <c r="C97" s="171" t="s">
        <v>10</v>
      </c>
      <c r="D97" s="155" t="s">
        <v>20</v>
      </c>
      <c r="E97" s="164">
        <v>1017000</v>
      </c>
      <c r="F97" s="119">
        <v>84000</v>
      </c>
      <c r="G97" s="119">
        <v>173000</v>
      </c>
      <c r="H97" s="119"/>
      <c r="I97" s="119"/>
      <c r="J97" s="119">
        <v>210000</v>
      </c>
      <c r="K97" s="119" t="s">
        <v>2723</v>
      </c>
    </row>
    <row r="98" spans="1:11" ht="19" x14ac:dyDescent="0.2">
      <c r="A98" s="144"/>
      <c r="B98" s="145"/>
      <c r="C98" s="149"/>
      <c r="D98" s="147"/>
      <c r="E98" s="150"/>
      <c r="F98" s="139"/>
      <c r="G98" s="139"/>
      <c r="H98" s="139"/>
      <c r="I98" s="139"/>
      <c r="J98" s="139">
        <v>120000</v>
      </c>
      <c r="K98" s="139" t="s">
        <v>1285</v>
      </c>
    </row>
    <row r="99" spans="1:11" ht="19" x14ac:dyDescent="0.2">
      <c r="A99" s="143"/>
      <c r="B99" s="153"/>
      <c r="C99" s="171"/>
      <c r="D99" s="155"/>
      <c r="E99" s="164"/>
      <c r="F99" s="119"/>
      <c r="G99" s="119"/>
      <c r="H99" s="175"/>
      <c r="I99" s="175"/>
      <c r="J99" s="119">
        <v>192000</v>
      </c>
      <c r="K99" s="119" t="s">
        <v>1245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52"/>
      <c r="I100" s="152"/>
      <c r="J100" s="139">
        <v>50000</v>
      </c>
      <c r="K100" s="139" t="s">
        <v>3308</v>
      </c>
    </row>
    <row r="101" spans="1:11" ht="19" x14ac:dyDescent="0.2">
      <c r="A101" s="143">
        <v>2910000</v>
      </c>
      <c r="B101" s="153">
        <v>45518</v>
      </c>
      <c r="C101" s="171" t="s">
        <v>9</v>
      </c>
      <c r="D101" s="155" t="s">
        <v>3309</v>
      </c>
      <c r="E101" s="164">
        <v>1819000</v>
      </c>
      <c r="F101" s="119">
        <v>607000</v>
      </c>
      <c r="G101" s="119">
        <v>484000</v>
      </c>
      <c r="H101" s="119">
        <v>3148000</v>
      </c>
      <c r="I101" s="119" t="s">
        <v>3310</v>
      </c>
      <c r="J101" s="119">
        <v>110000</v>
      </c>
      <c r="K101" s="119" t="s">
        <v>3311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50000</v>
      </c>
      <c r="K102" s="139" t="s">
        <v>3036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94000</v>
      </c>
      <c r="K103" s="119" t="s">
        <v>3312</v>
      </c>
    </row>
    <row r="104" spans="1:11" ht="19" x14ac:dyDescent="0.2">
      <c r="A104" s="148"/>
      <c r="B104" s="145"/>
      <c r="C104" s="149"/>
      <c r="D104" s="160"/>
      <c r="E104" s="150"/>
      <c r="F104" s="139"/>
      <c r="G104" s="139"/>
      <c r="H104" s="139"/>
      <c r="I104" s="139"/>
      <c r="J104" s="139">
        <v>99000</v>
      </c>
      <c r="K104" s="139" t="s">
        <v>1738</v>
      </c>
    </row>
    <row r="105" spans="1:11" ht="19" x14ac:dyDescent="0.2">
      <c r="A105" s="293">
        <v>1206000</v>
      </c>
      <c r="B105" s="153"/>
      <c r="C105" s="171" t="s">
        <v>10</v>
      </c>
      <c r="D105" s="155" t="s">
        <v>20</v>
      </c>
      <c r="E105" s="164">
        <v>828000</v>
      </c>
      <c r="F105" s="119">
        <v>119000</v>
      </c>
      <c r="G105" s="119">
        <v>259000</v>
      </c>
      <c r="H105" s="119"/>
      <c r="I105" s="119"/>
      <c r="J105" s="119">
        <v>15000</v>
      </c>
      <c r="K105" s="119" t="s">
        <v>3313</v>
      </c>
    </row>
    <row r="106" spans="1:11" ht="19" x14ac:dyDescent="0.2">
      <c r="A106" s="144">
        <v>2592000</v>
      </c>
      <c r="B106" s="145">
        <v>45519</v>
      </c>
      <c r="C106" s="149" t="s">
        <v>9</v>
      </c>
      <c r="D106" s="147" t="s">
        <v>3293</v>
      </c>
      <c r="E106" s="150">
        <v>1903000</v>
      </c>
      <c r="F106" s="139">
        <v>373000</v>
      </c>
      <c r="G106" s="139">
        <v>316000</v>
      </c>
      <c r="H106" s="139">
        <v>1400000</v>
      </c>
      <c r="I106" s="139" t="s">
        <v>3314</v>
      </c>
      <c r="J106" s="139">
        <v>68000</v>
      </c>
      <c r="K106" s="139" t="s">
        <v>3315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>
        <v>1200000</v>
      </c>
      <c r="I107" s="119" t="s">
        <v>3316</v>
      </c>
      <c r="J107" s="119">
        <v>150000</v>
      </c>
      <c r="K107" s="119" t="s">
        <v>1518</v>
      </c>
    </row>
    <row r="108" spans="1:11" ht="19" x14ac:dyDescent="0.2">
      <c r="A108" s="144"/>
      <c r="B108" s="145"/>
      <c r="C108" s="149"/>
      <c r="D108" s="147"/>
      <c r="E108" s="150"/>
      <c r="F108" s="139"/>
      <c r="G108" s="139"/>
      <c r="H108" s="139">
        <v>1050000</v>
      </c>
      <c r="I108" s="152" t="s">
        <v>3317</v>
      </c>
      <c r="J108" s="139">
        <v>16000</v>
      </c>
      <c r="K108" s="139" t="s">
        <v>3318</v>
      </c>
    </row>
    <row r="109" spans="1:11" ht="19" x14ac:dyDescent="0.2">
      <c r="A109" s="143">
        <v>2089000</v>
      </c>
      <c r="B109" s="153"/>
      <c r="C109" s="171" t="s">
        <v>10</v>
      </c>
      <c r="D109" s="155" t="s">
        <v>20</v>
      </c>
      <c r="E109" s="164">
        <v>1757000</v>
      </c>
      <c r="F109" s="119">
        <v>74000</v>
      </c>
      <c r="G109" s="119">
        <v>258000</v>
      </c>
      <c r="H109" s="119">
        <v>1800000</v>
      </c>
      <c r="I109" s="119" t="s">
        <v>3319</v>
      </c>
      <c r="J109" s="119">
        <v>6000</v>
      </c>
      <c r="K109" s="119" t="s">
        <v>3320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99000</v>
      </c>
      <c r="K110" s="139" t="s">
        <v>2962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74">
        <v>400000</v>
      </c>
      <c r="K111" s="174" t="s">
        <v>3321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52"/>
      <c r="J112" s="162">
        <v>28000</v>
      </c>
      <c r="K112" s="162" t="s">
        <v>3322</v>
      </c>
    </row>
    <row r="113" spans="1:11" ht="19" x14ac:dyDescent="0.2">
      <c r="A113" s="143">
        <v>2167000</v>
      </c>
      <c r="B113" s="153">
        <v>45520</v>
      </c>
      <c r="C113" s="171" t="s">
        <v>9</v>
      </c>
      <c r="D113" s="155" t="s">
        <v>2105</v>
      </c>
      <c r="E113" s="164">
        <v>1488000</v>
      </c>
      <c r="F113" s="119">
        <v>435000</v>
      </c>
      <c r="G113" s="119">
        <v>244000</v>
      </c>
      <c r="H113" s="119">
        <v>200000</v>
      </c>
      <c r="I113" s="119" t="s">
        <v>3323</v>
      </c>
      <c r="J113" s="119">
        <v>59000</v>
      </c>
      <c r="K113" s="119" t="s">
        <v>3324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9000</v>
      </c>
      <c r="K114" s="139" t="s">
        <v>3132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27000</v>
      </c>
      <c r="K115" s="119" t="s">
        <v>3325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39">
        <v>5000</v>
      </c>
      <c r="K116" s="139" t="s">
        <v>1233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19"/>
      <c r="J117" s="119">
        <v>50000</v>
      </c>
      <c r="K117" s="119" t="s">
        <v>3326</v>
      </c>
    </row>
    <row r="118" spans="1:11" ht="19" x14ac:dyDescent="0.2">
      <c r="A118" s="144">
        <v>2550000</v>
      </c>
      <c r="B118" s="145"/>
      <c r="C118" s="151" t="s">
        <v>10</v>
      </c>
      <c r="D118" s="147" t="s">
        <v>20</v>
      </c>
      <c r="E118" s="150">
        <v>2122000</v>
      </c>
      <c r="F118" s="139">
        <v>136000</v>
      </c>
      <c r="G118" s="139">
        <v>292000</v>
      </c>
      <c r="H118" s="139"/>
      <c r="I118" s="139"/>
      <c r="J118" s="162"/>
      <c r="K118" s="162"/>
    </row>
    <row r="119" spans="1:11" ht="19" x14ac:dyDescent="0.2">
      <c r="A119" s="143">
        <v>2368000</v>
      </c>
      <c r="B119" s="153">
        <v>45521</v>
      </c>
      <c r="C119" s="171" t="s">
        <v>9</v>
      </c>
      <c r="D119" s="155" t="s">
        <v>3309</v>
      </c>
      <c r="E119" s="164">
        <v>1661000</v>
      </c>
      <c r="F119" s="119">
        <v>289000</v>
      </c>
      <c r="G119" s="119">
        <v>418000</v>
      </c>
      <c r="H119" s="119"/>
      <c r="I119" s="119"/>
      <c r="J119" s="174">
        <v>6000</v>
      </c>
      <c r="K119" s="174" t="s">
        <v>3047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62">
        <v>7000</v>
      </c>
      <c r="K120" s="162" t="s">
        <v>2854</v>
      </c>
    </row>
    <row r="121" spans="1:11" ht="19" x14ac:dyDescent="0.2">
      <c r="A121" s="143"/>
      <c r="B121" s="153"/>
      <c r="C121" s="163"/>
      <c r="D121" s="155"/>
      <c r="E121" s="164"/>
      <c r="F121" s="119"/>
      <c r="G121" s="119"/>
      <c r="H121" s="119"/>
      <c r="I121" s="119"/>
      <c r="J121" s="174">
        <v>18000</v>
      </c>
      <c r="K121" s="174" t="s">
        <v>3327</v>
      </c>
    </row>
    <row r="122" spans="1:11" ht="19" x14ac:dyDescent="0.2">
      <c r="A122" s="148"/>
      <c r="B122" s="145"/>
      <c r="C122" s="159"/>
      <c r="D122" s="147"/>
      <c r="E122" s="150"/>
      <c r="F122" s="139"/>
      <c r="G122" s="139"/>
      <c r="H122" s="139"/>
      <c r="I122" s="139"/>
      <c r="J122" s="139">
        <v>35000</v>
      </c>
      <c r="K122" s="139" t="s">
        <v>1885</v>
      </c>
    </row>
    <row r="123" spans="1:11" ht="19" x14ac:dyDescent="0.2">
      <c r="A123" s="142"/>
      <c r="B123" s="153"/>
      <c r="C123" s="170"/>
      <c r="D123" s="172"/>
      <c r="E123" s="164"/>
      <c r="F123" s="119"/>
      <c r="G123" s="119"/>
      <c r="H123" s="119"/>
      <c r="I123" s="119"/>
      <c r="J123" s="174">
        <v>94000</v>
      </c>
      <c r="K123" s="174" t="s">
        <v>3328</v>
      </c>
    </row>
    <row r="124" spans="1:11" ht="19" x14ac:dyDescent="0.2">
      <c r="A124" s="144">
        <v>1300000</v>
      </c>
      <c r="B124" s="145"/>
      <c r="C124" s="151" t="s">
        <v>10</v>
      </c>
      <c r="D124" s="147" t="s">
        <v>20</v>
      </c>
      <c r="E124" s="139">
        <v>1091000</v>
      </c>
      <c r="F124" s="139">
        <v>141000</v>
      </c>
      <c r="G124" s="139">
        <v>68000</v>
      </c>
      <c r="H124" s="139"/>
      <c r="I124" s="139"/>
      <c r="J124" s="139"/>
      <c r="K124" s="139"/>
    </row>
    <row r="125" spans="1:11" ht="19" x14ac:dyDescent="0.2">
      <c r="A125" s="143"/>
      <c r="B125" s="153"/>
      <c r="C125" s="163"/>
      <c r="D125" s="155"/>
      <c r="E125" s="164"/>
      <c r="F125" s="119"/>
      <c r="G125" s="119"/>
      <c r="H125" s="119"/>
      <c r="I125" s="119"/>
      <c r="J125" s="119"/>
      <c r="K125" s="119"/>
    </row>
    <row r="126" spans="1:11" ht="19" x14ac:dyDescent="0.2">
      <c r="A126" s="144">
        <v>1550000</v>
      </c>
      <c r="B126" s="145">
        <v>45522</v>
      </c>
      <c r="C126" s="151" t="s">
        <v>9</v>
      </c>
      <c r="D126" s="147" t="s">
        <v>3329</v>
      </c>
      <c r="E126" s="150">
        <v>1072000</v>
      </c>
      <c r="F126" s="139">
        <v>198000</v>
      </c>
      <c r="G126" s="139">
        <v>280000</v>
      </c>
      <c r="H126" s="139"/>
      <c r="I126" s="139"/>
      <c r="J126" s="139">
        <v>50000</v>
      </c>
      <c r="K126" s="139" t="s">
        <v>123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19">
        <v>150000</v>
      </c>
      <c r="K127" s="119" t="s">
        <v>3005</v>
      </c>
    </row>
    <row r="128" spans="1:11" ht="19" x14ac:dyDescent="0.2">
      <c r="A128" s="144"/>
      <c r="B128" s="145"/>
      <c r="C128" s="151"/>
      <c r="D128" s="147"/>
      <c r="E128" s="150"/>
      <c r="F128" s="139"/>
      <c r="G128" s="139"/>
      <c r="H128" s="139"/>
      <c r="I128" s="139"/>
      <c r="J128" s="139">
        <v>150000</v>
      </c>
      <c r="K128" s="139" t="s">
        <v>2959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19">
        <v>15000</v>
      </c>
      <c r="K129" s="119" t="s">
        <v>3330</v>
      </c>
    </row>
    <row r="130" spans="1:11" ht="19" x14ac:dyDescent="0.2">
      <c r="A130" s="144"/>
      <c r="B130" s="145"/>
      <c r="C130" s="151" t="s">
        <v>10</v>
      </c>
      <c r="D130" s="147" t="s">
        <v>1721</v>
      </c>
      <c r="E130" s="150"/>
      <c r="F130" s="139"/>
      <c r="G130" s="139"/>
      <c r="H130" s="139"/>
      <c r="I130" s="139"/>
      <c r="J130" s="139"/>
      <c r="K130" s="139"/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88000</v>
      </c>
      <c r="K131" s="119" t="s">
        <v>3331</v>
      </c>
    </row>
    <row r="132" spans="1:11" ht="19" x14ac:dyDescent="0.2">
      <c r="A132" s="144">
        <v>2071000</v>
      </c>
      <c r="B132" s="145">
        <v>45523</v>
      </c>
      <c r="C132" s="151" t="s">
        <v>9</v>
      </c>
      <c r="D132" s="147" t="s">
        <v>3329</v>
      </c>
      <c r="E132" s="150">
        <v>1472000</v>
      </c>
      <c r="F132" s="139">
        <v>319000</v>
      </c>
      <c r="G132" s="139">
        <v>280000</v>
      </c>
      <c r="H132" s="139"/>
      <c r="I132" s="139"/>
      <c r="J132" s="162">
        <v>150000</v>
      </c>
      <c r="K132" s="162" t="s">
        <v>3332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74">
        <v>150000</v>
      </c>
      <c r="K133" s="174" t="s">
        <v>1518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62">
        <v>192000</v>
      </c>
      <c r="K134" s="162" t="s">
        <v>1990</v>
      </c>
    </row>
    <row r="135" spans="1:11" ht="19" x14ac:dyDescent="0.2">
      <c r="A135" s="143"/>
      <c r="B135" s="270"/>
      <c r="C135" s="163"/>
      <c r="D135" s="155"/>
      <c r="E135" s="164"/>
      <c r="F135" s="119"/>
      <c r="G135" s="119"/>
      <c r="H135" s="119"/>
      <c r="I135" s="175"/>
      <c r="J135" s="174">
        <v>120000</v>
      </c>
      <c r="K135" s="174" t="s">
        <v>3333</v>
      </c>
    </row>
    <row r="136" spans="1:11" ht="19" x14ac:dyDescent="0.2">
      <c r="A136" s="144">
        <v>1729000</v>
      </c>
      <c r="B136" s="145"/>
      <c r="C136" s="151" t="s">
        <v>10</v>
      </c>
      <c r="D136" s="147" t="s">
        <v>3309</v>
      </c>
      <c r="E136" s="150">
        <v>1468000</v>
      </c>
      <c r="F136" s="139">
        <v>111000</v>
      </c>
      <c r="G136" s="139">
        <v>150000</v>
      </c>
      <c r="H136" s="152"/>
      <c r="I136" s="152"/>
      <c r="J136" s="162">
        <v>45000</v>
      </c>
      <c r="K136" s="162" t="s">
        <v>2552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19">
        <v>8000</v>
      </c>
      <c r="K137" s="119" t="s">
        <v>1580</v>
      </c>
    </row>
    <row r="138" spans="1:11" ht="19" x14ac:dyDescent="0.2">
      <c r="A138" s="144"/>
      <c r="B138" s="158"/>
      <c r="C138" s="151"/>
      <c r="D138" s="147"/>
      <c r="E138" s="150"/>
      <c r="F138" s="139"/>
      <c r="G138" s="139"/>
      <c r="H138" s="139"/>
      <c r="I138" s="139"/>
      <c r="J138" s="139">
        <v>7000</v>
      </c>
      <c r="K138" s="139" t="s">
        <v>1734</v>
      </c>
    </row>
    <row r="139" spans="1:11" ht="19" x14ac:dyDescent="0.2">
      <c r="A139" s="143"/>
      <c r="B139" s="153"/>
      <c r="C139" s="170"/>
      <c r="D139" s="155"/>
      <c r="E139" s="164"/>
      <c r="F139" s="119"/>
      <c r="G139" s="119"/>
      <c r="H139" s="119"/>
      <c r="I139" s="119"/>
      <c r="J139" s="119">
        <v>39000</v>
      </c>
      <c r="K139" s="119" t="s">
        <v>3334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39"/>
      <c r="J140" s="139">
        <v>8000</v>
      </c>
      <c r="K140" s="139" t="s">
        <v>3335</v>
      </c>
    </row>
    <row r="141" spans="1:11" ht="19" x14ac:dyDescent="0.2">
      <c r="A141" s="143"/>
      <c r="B141" s="153"/>
      <c r="C141" s="163"/>
      <c r="D141" s="172"/>
      <c r="E141" s="164"/>
      <c r="F141" s="119"/>
      <c r="G141" s="119"/>
      <c r="H141" s="119"/>
      <c r="I141" s="119"/>
      <c r="J141" s="174">
        <v>23000</v>
      </c>
      <c r="K141" s="174" t="s">
        <v>3336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113000</v>
      </c>
      <c r="K142" s="139" t="s">
        <v>3337</v>
      </c>
    </row>
    <row r="143" spans="1:11" ht="19" x14ac:dyDescent="0.2">
      <c r="A143" s="142">
        <v>3221000</v>
      </c>
      <c r="B143" s="153">
        <v>45524</v>
      </c>
      <c r="C143" s="163" t="s">
        <v>9</v>
      </c>
      <c r="D143" s="172" t="s">
        <v>3338</v>
      </c>
      <c r="E143" s="164">
        <v>2469000</v>
      </c>
      <c r="F143" s="119">
        <v>341000</v>
      </c>
      <c r="G143" s="119">
        <v>411000</v>
      </c>
      <c r="H143" s="119"/>
      <c r="I143" s="119"/>
      <c r="J143" s="119">
        <v>12000</v>
      </c>
      <c r="K143" s="119" t="s">
        <v>3339</v>
      </c>
    </row>
    <row r="144" spans="1:11" ht="19" x14ac:dyDescent="0.2">
      <c r="A144" s="148"/>
      <c r="B144" s="158"/>
      <c r="C144" s="151"/>
      <c r="D144" s="160"/>
      <c r="E144" s="150"/>
      <c r="F144" s="139"/>
      <c r="G144" s="139"/>
      <c r="H144" s="139"/>
      <c r="I144" s="139"/>
      <c r="J144" s="139">
        <v>27000</v>
      </c>
      <c r="K144" s="139" t="s">
        <v>3340</v>
      </c>
    </row>
    <row r="145" spans="1:11" ht="19" x14ac:dyDescent="0.2">
      <c r="A145" s="142"/>
      <c r="B145" s="153"/>
      <c r="C145" s="163"/>
      <c r="D145" s="172"/>
      <c r="E145" s="164"/>
      <c r="F145" s="119"/>
      <c r="G145" s="119"/>
      <c r="H145" s="119"/>
      <c r="I145" s="119"/>
      <c r="J145" s="119">
        <v>11000</v>
      </c>
      <c r="K145" s="119" t="s">
        <v>1582</v>
      </c>
    </row>
    <row r="146" spans="1:11" ht="19" x14ac:dyDescent="0.2">
      <c r="A146" s="148"/>
      <c r="B146" s="145"/>
      <c r="C146" s="151"/>
      <c r="D146" s="160"/>
      <c r="E146" s="150"/>
      <c r="F146" s="139"/>
      <c r="G146" s="139"/>
      <c r="H146" s="139"/>
      <c r="I146" s="139"/>
      <c r="J146" s="139">
        <v>20000</v>
      </c>
      <c r="K146" s="139" t="s">
        <v>3042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20000</v>
      </c>
      <c r="K147" s="119" t="s">
        <v>2817</v>
      </c>
    </row>
    <row r="148" spans="1:11" ht="19" x14ac:dyDescent="0.2">
      <c r="A148" s="144"/>
      <c r="B148" s="145"/>
      <c r="C148" s="151"/>
      <c r="D148" s="147"/>
      <c r="E148" s="150"/>
      <c r="F148" s="139"/>
      <c r="G148" s="139"/>
      <c r="H148" s="139"/>
      <c r="I148" s="139"/>
      <c r="J148" s="139">
        <v>15000</v>
      </c>
      <c r="K148" s="139" t="s">
        <v>3341</v>
      </c>
    </row>
    <row r="149" spans="1:11" ht="19" x14ac:dyDescent="0.2">
      <c r="A149" s="143"/>
      <c r="B149" s="153"/>
      <c r="C149" s="154"/>
      <c r="D149" s="155"/>
      <c r="E149" s="164"/>
      <c r="F149" s="119"/>
      <c r="G149" s="119"/>
      <c r="H149" s="119"/>
      <c r="I149" s="119"/>
      <c r="J149" s="119">
        <v>6000</v>
      </c>
      <c r="K149" s="119" t="s">
        <v>3342</v>
      </c>
    </row>
    <row r="150" spans="1:11" ht="19" x14ac:dyDescent="0.2">
      <c r="A150" s="144"/>
      <c r="B150" s="145"/>
      <c r="C150" s="149"/>
      <c r="D150" s="160"/>
      <c r="E150" s="150"/>
      <c r="F150" s="139"/>
      <c r="G150" s="139"/>
      <c r="H150" s="139"/>
      <c r="I150" s="139"/>
      <c r="J150" s="139">
        <v>28000</v>
      </c>
      <c r="K150" s="139" t="s">
        <v>3343</v>
      </c>
    </row>
    <row r="151" spans="1:11" ht="19" x14ac:dyDescent="0.2">
      <c r="A151" s="143"/>
      <c r="B151" s="153"/>
      <c r="C151" s="171"/>
      <c r="D151" s="155"/>
      <c r="E151" s="164"/>
      <c r="F151" s="119"/>
      <c r="G151" s="119"/>
      <c r="H151" s="119"/>
      <c r="I151" s="119"/>
      <c r="J151" s="119">
        <v>150000</v>
      </c>
      <c r="K151" s="119" t="s">
        <v>1518</v>
      </c>
    </row>
    <row r="152" spans="1:11" ht="19" x14ac:dyDescent="0.2">
      <c r="A152" s="144"/>
      <c r="B152" s="145"/>
      <c r="C152" s="151"/>
      <c r="D152" s="147"/>
      <c r="E152" s="150"/>
      <c r="F152" s="139"/>
      <c r="G152" s="139"/>
      <c r="H152" s="139"/>
      <c r="I152" s="298"/>
      <c r="J152" s="139">
        <v>200000</v>
      </c>
      <c r="K152" s="139" t="s">
        <v>2796</v>
      </c>
    </row>
    <row r="153" spans="1:11" ht="19" x14ac:dyDescent="0.2">
      <c r="A153" s="143"/>
      <c r="B153" s="153"/>
      <c r="C153" s="154"/>
      <c r="D153" s="155"/>
      <c r="E153" s="164"/>
      <c r="F153" s="119"/>
      <c r="G153" s="119"/>
      <c r="H153" s="119"/>
      <c r="I153" s="168"/>
      <c r="J153" s="119">
        <v>45000</v>
      </c>
      <c r="K153" s="119" t="s">
        <v>1467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65"/>
      <c r="J154" s="139">
        <v>150000</v>
      </c>
      <c r="K154" s="139" t="s">
        <v>3344</v>
      </c>
    </row>
    <row r="155" spans="1:11" ht="19" x14ac:dyDescent="0.2">
      <c r="A155" s="143">
        <v>1381000</v>
      </c>
      <c r="B155" s="153"/>
      <c r="C155" s="154" t="s">
        <v>3345</v>
      </c>
      <c r="D155" s="155" t="s">
        <v>3309</v>
      </c>
      <c r="E155" s="164">
        <v>967000</v>
      </c>
      <c r="F155" s="119">
        <v>189000</v>
      </c>
      <c r="G155" s="119">
        <v>225000</v>
      </c>
      <c r="H155" s="119"/>
      <c r="I155" s="168"/>
      <c r="J155" s="119"/>
      <c r="K155" s="119"/>
    </row>
    <row r="156" spans="1:11" ht="19" x14ac:dyDescent="0.2">
      <c r="A156" s="144"/>
      <c r="B156" s="145"/>
      <c r="C156" s="146"/>
      <c r="D156" s="147"/>
      <c r="E156" s="150"/>
      <c r="F156" s="139"/>
      <c r="G156" s="139"/>
      <c r="H156" s="139"/>
      <c r="I156" s="165"/>
      <c r="J156" s="139"/>
      <c r="K156" s="139"/>
    </row>
    <row r="157" spans="1:11" ht="19" x14ac:dyDescent="0.2">
      <c r="A157" s="289">
        <v>2628000</v>
      </c>
      <c r="B157" s="153">
        <v>45525</v>
      </c>
      <c r="C157" s="163" t="s">
        <v>9</v>
      </c>
      <c r="D157" s="155" t="s">
        <v>3338</v>
      </c>
      <c r="E157" s="164">
        <v>1975000</v>
      </c>
      <c r="F157" s="119">
        <v>262000</v>
      </c>
      <c r="G157" s="119">
        <v>391000</v>
      </c>
      <c r="H157" s="119"/>
      <c r="I157" s="168"/>
      <c r="J157" s="119">
        <v>99000</v>
      </c>
      <c r="K157" s="119" t="s">
        <v>1738</v>
      </c>
    </row>
    <row r="158" spans="1:11" ht="19" x14ac:dyDescent="0.2">
      <c r="A158" s="144"/>
      <c r="B158" s="145"/>
      <c r="C158" s="151"/>
      <c r="D158" s="160"/>
      <c r="E158" s="150"/>
      <c r="F158" s="139"/>
      <c r="G158" s="139"/>
      <c r="H158" s="139"/>
      <c r="I158" s="165"/>
      <c r="J158" s="139">
        <v>106000</v>
      </c>
      <c r="K158" s="139" t="s">
        <v>3346</v>
      </c>
    </row>
    <row r="159" spans="1:11" ht="19" x14ac:dyDescent="0.2">
      <c r="A159" s="142"/>
      <c r="B159" s="153"/>
      <c r="C159" s="163"/>
      <c r="D159" s="172"/>
      <c r="E159" s="164"/>
      <c r="F159" s="119"/>
      <c r="G159" s="119"/>
      <c r="H159" s="119"/>
      <c r="I159" s="168"/>
      <c r="J159" s="119">
        <v>65000</v>
      </c>
      <c r="K159" s="119" t="s">
        <v>3347</v>
      </c>
    </row>
    <row r="160" spans="1:11" ht="19" x14ac:dyDescent="0.2">
      <c r="A160" s="148"/>
      <c r="B160" s="145"/>
      <c r="C160" s="151"/>
      <c r="D160" s="160"/>
      <c r="E160" s="150"/>
      <c r="F160" s="139"/>
      <c r="G160" s="139"/>
      <c r="H160" s="139"/>
      <c r="I160" s="165"/>
      <c r="J160" s="139">
        <v>150000</v>
      </c>
      <c r="K160" s="139" t="s">
        <v>3380</v>
      </c>
    </row>
    <row r="161" spans="1:11" ht="19" x14ac:dyDescent="0.2">
      <c r="A161" s="143"/>
      <c r="B161" s="153"/>
      <c r="C161" s="170"/>
      <c r="D161" s="155"/>
      <c r="E161" s="164"/>
      <c r="F161" s="119"/>
      <c r="G161" s="119"/>
      <c r="H161" s="119"/>
      <c r="I161" s="168"/>
      <c r="J161" s="119">
        <v>175000</v>
      </c>
      <c r="K161" s="290" t="s">
        <v>1296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192000</v>
      </c>
      <c r="K162" s="139" t="s">
        <v>1245</v>
      </c>
    </row>
    <row r="163" spans="1:11" ht="19" x14ac:dyDescent="0.2">
      <c r="A163" s="143">
        <v>1197000</v>
      </c>
      <c r="B163" s="153"/>
      <c r="C163" s="154" t="s">
        <v>10</v>
      </c>
      <c r="D163" s="155" t="s">
        <v>3309</v>
      </c>
      <c r="E163" s="164">
        <v>740000</v>
      </c>
      <c r="F163" s="119">
        <v>175000</v>
      </c>
      <c r="G163" s="119">
        <v>282000</v>
      </c>
      <c r="H163" s="119"/>
      <c r="I163" s="168"/>
      <c r="J163" s="119"/>
      <c r="K163" s="119"/>
    </row>
    <row r="164" spans="1:11" ht="19" x14ac:dyDescent="0.2">
      <c r="A164" s="144">
        <v>2830000</v>
      </c>
      <c r="B164" s="145">
        <v>45526</v>
      </c>
      <c r="C164" s="263" t="s">
        <v>9</v>
      </c>
      <c r="D164" s="147" t="s">
        <v>3338</v>
      </c>
      <c r="E164" s="150">
        <v>2145000</v>
      </c>
      <c r="F164" s="139">
        <v>412000</v>
      </c>
      <c r="G164" s="139">
        <v>273000</v>
      </c>
      <c r="H164" s="139"/>
      <c r="I164" s="139"/>
      <c r="J164" s="139">
        <v>26000</v>
      </c>
      <c r="K164" s="139" t="s">
        <v>3348</v>
      </c>
    </row>
    <row r="165" spans="1:11" ht="19" x14ac:dyDescent="0.2">
      <c r="A165" s="143"/>
      <c r="B165" s="153"/>
      <c r="C165" s="154"/>
      <c r="D165" s="155"/>
      <c r="E165" s="164"/>
      <c r="F165" s="119"/>
      <c r="G165" s="119"/>
      <c r="H165" s="119"/>
      <c r="I165" s="119"/>
      <c r="J165" s="119">
        <v>35000</v>
      </c>
      <c r="K165" s="119" t="s">
        <v>3349</v>
      </c>
    </row>
    <row r="166" spans="1:11" ht="19" x14ac:dyDescent="0.2">
      <c r="A166" s="144"/>
      <c r="B166" s="145"/>
      <c r="C166" s="151"/>
      <c r="D166" s="147"/>
      <c r="E166" s="150"/>
      <c r="F166" s="139"/>
      <c r="G166" s="139"/>
      <c r="H166" s="139"/>
      <c r="I166" s="165"/>
      <c r="J166" s="139">
        <v>77000</v>
      </c>
      <c r="K166" s="139" t="s">
        <v>1491</v>
      </c>
    </row>
    <row r="167" spans="1:11" ht="19" x14ac:dyDescent="0.2">
      <c r="A167" s="143"/>
      <c r="B167" s="153"/>
      <c r="C167" s="163"/>
      <c r="D167" s="155"/>
      <c r="E167" s="164"/>
      <c r="F167" s="119"/>
      <c r="G167" s="119"/>
      <c r="H167" s="119"/>
      <c r="I167" s="168"/>
      <c r="J167" s="119">
        <v>8000</v>
      </c>
      <c r="K167" s="119" t="s">
        <v>3350</v>
      </c>
    </row>
    <row r="168" spans="1:11" ht="19" x14ac:dyDescent="0.2">
      <c r="A168" s="144"/>
      <c r="B168" s="145"/>
      <c r="C168" s="151"/>
      <c r="D168" s="147"/>
      <c r="E168" s="150"/>
      <c r="F168" s="139"/>
      <c r="G168" s="139"/>
      <c r="H168" s="139"/>
      <c r="I168" s="165"/>
      <c r="J168" s="139">
        <v>25000</v>
      </c>
      <c r="K168" s="139" t="s">
        <v>3351</v>
      </c>
    </row>
    <row r="169" spans="1:11" ht="19" x14ac:dyDescent="0.2">
      <c r="A169" s="143"/>
      <c r="B169" s="153"/>
      <c r="C169" s="163"/>
      <c r="D169" s="155"/>
      <c r="E169" s="164"/>
      <c r="F169" s="119"/>
      <c r="G169" s="119"/>
      <c r="H169" s="119"/>
      <c r="I169" s="168"/>
      <c r="J169" s="119">
        <v>15000</v>
      </c>
      <c r="K169" s="119" t="s">
        <v>1873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39"/>
      <c r="J170" s="139">
        <v>86000</v>
      </c>
      <c r="K170" s="139" t="s">
        <v>1641</v>
      </c>
    </row>
    <row r="171" spans="1:11" ht="19" x14ac:dyDescent="0.2">
      <c r="A171" s="143">
        <v>1178000</v>
      </c>
      <c r="B171" s="153"/>
      <c r="C171" s="171" t="s">
        <v>10</v>
      </c>
      <c r="D171" s="155" t="s">
        <v>3309</v>
      </c>
      <c r="E171" s="164">
        <v>878000</v>
      </c>
      <c r="F171" s="119">
        <v>88000</v>
      </c>
      <c r="G171" s="119">
        <v>212000</v>
      </c>
      <c r="H171" s="119"/>
      <c r="I171" s="119"/>
      <c r="J171" s="168">
        <v>150000</v>
      </c>
      <c r="K171" s="168" t="s">
        <v>1518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39"/>
      <c r="J172" s="162"/>
      <c r="K172" s="162"/>
    </row>
    <row r="173" spans="1:11" ht="19" x14ac:dyDescent="0.2">
      <c r="A173" s="143">
        <v>3228000</v>
      </c>
      <c r="B173" s="153">
        <v>45527</v>
      </c>
      <c r="C173" s="171" t="s">
        <v>9</v>
      </c>
      <c r="D173" s="155" t="s">
        <v>3338</v>
      </c>
      <c r="E173" s="164">
        <v>2418000</v>
      </c>
      <c r="F173" s="119">
        <v>428000</v>
      </c>
      <c r="G173" s="119">
        <v>382000</v>
      </c>
      <c r="H173" s="119"/>
      <c r="I173" s="119"/>
      <c r="J173" s="174">
        <v>71000</v>
      </c>
      <c r="K173" s="174" t="s">
        <v>3352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39"/>
      <c r="J174" s="165">
        <v>13000</v>
      </c>
      <c r="K174" s="165" t="s">
        <v>3353</v>
      </c>
    </row>
    <row r="175" spans="1:11" ht="19" x14ac:dyDescent="0.2">
      <c r="A175" s="143"/>
      <c r="B175" s="153"/>
      <c r="C175" s="171"/>
      <c r="D175" s="155"/>
      <c r="E175" s="164"/>
      <c r="F175" s="119"/>
      <c r="G175" s="119"/>
      <c r="H175" s="119"/>
      <c r="I175" s="119"/>
      <c r="J175" s="168">
        <v>40000</v>
      </c>
      <c r="K175" s="168" t="s">
        <v>3354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39"/>
      <c r="J176" s="165">
        <v>43000</v>
      </c>
      <c r="K176" s="165" t="s">
        <v>3355</v>
      </c>
    </row>
    <row r="177" spans="1:11" ht="19" x14ac:dyDescent="0.2">
      <c r="A177" s="143">
        <v>1195000</v>
      </c>
      <c r="B177" s="153"/>
      <c r="C177" s="171" t="s">
        <v>10</v>
      </c>
      <c r="D177" s="155" t="s">
        <v>3309</v>
      </c>
      <c r="E177" s="164">
        <v>1045000</v>
      </c>
      <c r="F177" s="119">
        <v>124000</v>
      </c>
      <c r="G177" s="119">
        <v>26000</v>
      </c>
      <c r="H177" s="119"/>
      <c r="I177" s="119"/>
      <c r="J177" s="168"/>
      <c r="K177" s="168"/>
    </row>
    <row r="178" spans="1:11" ht="19" x14ac:dyDescent="0.2">
      <c r="A178" s="144">
        <v>2254000</v>
      </c>
      <c r="B178" s="145">
        <v>45528</v>
      </c>
      <c r="C178" s="149" t="s">
        <v>9</v>
      </c>
      <c r="D178" s="147" t="s">
        <v>2105</v>
      </c>
      <c r="E178" s="150">
        <v>1797000</v>
      </c>
      <c r="F178" s="139">
        <v>232000</v>
      </c>
      <c r="G178" s="139">
        <v>225000</v>
      </c>
      <c r="H178" s="139">
        <v>200000</v>
      </c>
      <c r="I178" s="139" t="s">
        <v>3356</v>
      </c>
      <c r="J178" s="165"/>
      <c r="K178" s="165"/>
    </row>
    <row r="179" spans="1:11" ht="19" x14ac:dyDescent="0.2">
      <c r="A179" s="143">
        <v>1708000</v>
      </c>
      <c r="B179" s="153"/>
      <c r="C179" s="171" t="s">
        <v>10</v>
      </c>
      <c r="D179" s="155" t="s">
        <v>3309</v>
      </c>
      <c r="E179" s="164">
        <v>1281000</v>
      </c>
      <c r="F179" s="119">
        <v>81000</v>
      </c>
      <c r="G179" s="119">
        <v>346000</v>
      </c>
      <c r="H179" s="119"/>
      <c r="I179" s="119"/>
      <c r="J179" s="168">
        <v>50000</v>
      </c>
      <c r="K179" s="168" t="s">
        <v>123</v>
      </c>
    </row>
    <row r="180" spans="1:11" ht="19" x14ac:dyDescent="0.2">
      <c r="A180" s="144">
        <v>1109000</v>
      </c>
      <c r="B180" s="145">
        <v>45529</v>
      </c>
      <c r="C180" s="149" t="s">
        <v>9</v>
      </c>
      <c r="D180" s="147" t="s">
        <v>3329</v>
      </c>
      <c r="E180" s="150">
        <v>772000</v>
      </c>
      <c r="F180" s="139">
        <v>265000</v>
      </c>
      <c r="G180" s="139">
        <v>72000</v>
      </c>
      <c r="H180" s="139"/>
      <c r="I180" s="139"/>
      <c r="J180" s="165"/>
      <c r="K180" s="165"/>
    </row>
    <row r="181" spans="1:11" ht="19" x14ac:dyDescent="0.2">
      <c r="A181" s="143"/>
      <c r="B181" s="153"/>
      <c r="C181" s="171"/>
      <c r="D181" s="155"/>
      <c r="E181" s="164"/>
      <c r="F181" s="119"/>
      <c r="G181" s="119"/>
      <c r="H181" s="119"/>
      <c r="I181" s="119"/>
      <c r="J181" s="168"/>
      <c r="K181" s="168"/>
    </row>
    <row r="182" spans="1:11" ht="19" x14ac:dyDescent="0.2">
      <c r="A182" s="144"/>
      <c r="B182" s="145"/>
      <c r="C182" s="149" t="s">
        <v>10</v>
      </c>
      <c r="D182" s="147" t="s">
        <v>1721</v>
      </c>
      <c r="E182" s="150"/>
      <c r="F182" s="139"/>
      <c r="G182" s="139"/>
      <c r="H182" s="139"/>
      <c r="I182" s="139"/>
      <c r="J182" s="165"/>
      <c r="K182" s="165"/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19"/>
      <c r="J183" s="168"/>
      <c r="K183" s="168"/>
    </row>
    <row r="184" spans="1:11" ht="19" x14ac:dyDescent="0.2">
      <c r="A184" s="144">
        <v>2033000</v>
      </c>
      <c r="B184" s="145">
        <v>45530</v>
      </c>
      <c r="C184" s="149" t="s">
        <v>9</v>
      </c>
      <c r="D184" s="147" t="s">
        <v>3329</v>
      </c>
      <c r="E184" s="150">
        <v>1352000</v>
      </c>
      <c r="F184" s="139">
        <v>253000</v>
      </c>
      <c r="G184" s="139">
        <v>428000</v>
      </c>
      <c r="H184" s="139"/>
      <c r="I184" s="139"/>
      <c r="J184" s="165">
        <v>122000</v>
      </c>
      <c r="K184" s="165" t="s">
        <v>3357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19"/>
      <c r="J185" s="168">
        <v>32000</v>
      </c>
      <c r="K185" s="168" t="s">
        <v>3358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39"/>
      <c r="J186" s="165">
        <v>12000</v>
      </c>
      <c r="K186" s="165" t="s">
        <v>3359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19"/>
      <c r="J187" s="168">
        <v>21000</v>
      </c>
      <c r="K187" s="168" t="s">
        <v>3360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39"/>
      <c r="J188" s="165">
        <v>150000</v>
      </c>
      <c r="K188" s="165" t="s">
        <v>1518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19"/>
      <c r="J189" s="168">
        <v>200000</v>
      </c>
      <c r="K189" s="168" t="s">
        <v>2796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39"/>
      <c r="J190" s="165">
        <v>120000</v>
      </c>
      <c r="K190" s="165" t="s">
        <v>3361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19"/>
      <c r="J191" s="168">
        <v>45000</v>
      </c>
      <c r="K191" s="168" t="s">
        <v>1467</v>
      </c>
    </row>
    <row r="192" spans="1:11" ht="19" x14ac:dyDescent="0.2">
      <c r="A192" s="144">
        <v>1409000</v>
      </c>
      <c r="B192" s="145"/>
      <c r="C192" s="149" t="s">
        <v>10</v>
      </c>
      <c r="D192" s="147" t="s">
        <v>3309</v>
      </c>
      <c r="E192" s="150">
        <v>903000</v>
      </c>
      <c r="F192" s="139">
        <v>243000</v>
      </c>
      <c r="G192" s="139">
        <v>263000</v>
      </c>
      <c r="H192" s="139"/>
      <c r="I192" s="139"/>
      <c r="J192" s="165"/>
      <c r="K192" s="165"/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19"/>
      <c r="J193" s="168"/>
      <c r="K193" s="168"/>
    </row>
    <row r="194" spans="1:11" ht="19" x14ac:dyDescent="0.2">
      <c r="A194" s="144">
        <v>2586000</v>
      </c>
      <c r="B194" s="145">
        <v>45531</v>
      </c>
      <c r="C194" s="149" t="s">
        <v>9</v>
      </c>
      <c r="D194" s="147" t="s">
        <v>3338</v>
      </c>
      <c r="E194" s="150">
        <v>1716000</v>
      </c>
      <c r="F194" s="139">
        <v>414000</v>
      </c>
      <c r="G194" s="139">
        <v>456000</v>
      </c>
      <c r="H194" s="139">
        <v>1260000</v>
      </c>
      <c r="I194" s="139" t="s">
        <v>3362</v>
      </c>
      <c r="J194" s="165">
        <v>120000</v>
      </c>
      <c r="K194" s="165" t="s">
        <v>1285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>
        <v>75000</v>
      </c>
      <c r="I195" s="119" t="s">
        <v>3363</v>
      </c>
      <c r="J195" s="168">
        <v>96000</v>
      </c>
      <c r="K195" s="168" t="s">
        <v>3147</v>
      </c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/>
      <c r="I196" s="139"/>
      <c r="J196" s="165">
        <v>200000</v>
      </c>
      <c r="K196" s="165" t="s">
        <v>3364</v>
      </c>
    </row>
    <row r="197" spans="1:11" ht="19" x14ac:dyDescent="0.2">
      <c r="A197" s="143">
        <v>1589000</v>
      </c>
      <c r="B197" s="153"/>
      <c r="C197" s="171" t="s">
        <v>10</v>
      </c>
      <c r="D197" s="155" t="s">
        <v>3309</v>
      </c>
      <c r="E197" s="164">
        <v>1396000</v>
      </c>
      <c r="F197" s="119">
        <v>50000</v>
      </c>
      <c r="G197" s="119">
        <v>143000</v>
      </c>
      <c r="H197" s="119"/>
      <c r="I197" s="119"/>
      <c r="J197" s="168"/>
      <c r="K197" s="168"/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39"/>
      <c r="J198" s="165"/>
      <c r="K198" s="165"/>
    </row>
    <row r="199" spans="1:11" ht="19" x14ac:dyDescent="0.2">
      <c r="A199" s="143">
        <v>3164000</v>
      </c>
      <c r="B199" s="153">
        <v>45532</v>
      </c>
      <c r="C199" s="171" t="s">
        <v>9</v>
      </c>
      <c r="D199" s="155" t="s">
        <v>3338</v>
      </c>
      <c r="E199" s="164">
        <v>2119000</v>
      </c>
      <c r="F199" s="119">
        <v>623000</v>
      </c>
      <c r="G199" s="119">
        <v>422000</v>
      </c>
      <c r="H199" s="119"/>
      <c r="I199" s="119"/>
      <c r="J199" s="168">
        <v>132000</v>
      </c>
      <c r="K199" s="168" t="s">
        <v>3365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39"/>
      <c r="J200" s="165">
        <v>18000</v>
      </c>
      <c r="K200" s="165" t="s">
        <v>3366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19"/>
      <c r="J201" s="168">
        <v>9000</v>
      </c>
      <c r="K201" s="168" t="s">
        <v>1734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/>
      <c r="J202" s="165">
        <v>10000</v>
      </c>
      <c r="K202" s="165" t="s">
        <v>3367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19"/>
      <c r="J203" s="168">
        <v>150000</v>
      </c>
      <c r="K203" s="168" t="s">
        <v>3368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/>
      <c r="J204" s="165">
        <v>66000</v>
      </c>
      <c r="K204" s="165" t="s">
        <v>1500</v>
      </c>
    </row>
    <row r="205" spans="1:11" ht="19" x14ac:dyDescent="0.2">
      <c r="A205" s="143">
        <v>1830000</v>
      </c>
      <c r="B205" s="153"/>
      <c r="C205" s="171" t="s">
        <v>10</v>
      </c>
      <c r="D205" s="155" t="s">
        <v>3309</v>
      </c>
      <c r="E205" s="164">
        <v>1594000</v>
      </c>
      <c r="F205" s="119">
        <v>158000</v>
      </c>
      <c r="G205" s="119">
        <v>78000</v>
      </c>
      <c r="H205" s="119"/>
      <c r="I205" s="119"/>
      <c r="J205" s="168"/>
      <c r="K205" s="168"/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39"/>
      <c r="J206" s="165"/>
      <c r="K206" s="165"/>
    </row>
    <row r="207" spans="1:11" ht="19" x14ac:dyDescent="0.2">
      <c r="A207" s="143">
        <v>2240000</v>
      </c>
      <c r="B207" s="153">
        <v>45533</v>
      </c>
      <c r="C207" s="171" t="s">
        <v>9</v>
      </c>
      <c r="D207" s="155" t="s">
        <v>3338</v>
      </c>
      <c r="E207" s="164">
        <v>1297000</v>
      </c>
      <c r="F207" s="119">
        <v>514000</v>
      </c>
      <c r="G207" s="119">
        <v>429000</v>
      </c>
      <c r="H207" s="119"/>
      <c r="I207" s="119"/>
      <c r="J207" s="168">
        <v>38000</v>
      </c>
      <c r="K207" s="168" t="s">
        <v>3369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39"/>
      <c r="J208" s="165">
        <v>150000</v>
      </c>
      <c r="K208" s="165" t="s">
        <v>1518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19"/>
      <c r="J209" s="168">
        <v>200000</v>
      </c>
      <c r="K209" s="168" t="s">
        <v>2796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39"/>
      <c r="J210" s="165">
        <v>45000</v>
      </c>
      <c r="K210" s="165" t="s">
        <v>1467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19"/>
      <c r="J211" s="168">
        <v>150000</v>
      </c>
      <c r="K211" s="168" t="s">
        <v>1710</v>
      </c>
    </row>
    <row r="212" spans="1:11" ht="19" x14ac:dyDescent="0.2">
      <c r="A212" s="144">
        <v>1932000</v>
      </c>
      <c r="B212" s="145"/>
      <c r="C212" s="149" t="s">
        <v>10</v>
      </c>
      <c r="D212" s="147" t="s">
        <v>3309</v>
      </c>
      <c r="E212" s="150">
        <v>1456000</v>
      </c>
      <c r="F212" s="139">
        <v>153000</v>
      </c>
      <c r="G212" s="139">
        <v>323000</v>
      </c>
      <c r="H212" s="139"/>
      <c r="I212" s="139"/>
      <c r="J212" s="165"/>
      <c r="K212" s="165"/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19"/>
      <c r="J213" s="168"/>
      <c r="K213" s="168"/>
    </row>
    <row r="214" spans="1:11" ht="19" x14ac:dyDescent="0.2">
      <c r="A214" s="144">
        <v>2622000</v>
      </c>
      <c r="B214" s="145">
        <v>45534</v>
      </c>
      <c r="C214" s="149" t="s">
        <v>9</v>
      </c>
      <c r="D214" s="147" t="s">
        <v>3338</v>
      </c>
      <c r="E214" s="150">
        <v>1659000</v>
      </c>
      <c r="F214" s="139">
        <v>444000</v>
      </c>
      <c r="G214" s="139">
        <v>519000</v>
      </c>
      <c r="H214" s="139"/>
      <c r="I214" s="139"/>
      <c r="J214" s="165">
        <v>47000</v>
      </c>
      <c r="K214" s="165" t="s">
        <v>1493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19"/>
      <c r="J215" s="168">
        <v>35000</v>
      </c>
      <c r="K215" s="168" t="s">
        <v>3370</v>
      </c>
    </row>
    <row r="216" spans="1:11" ht="19" x14ac:dyDescent="0.2">
      <c r="A216" s="144"/>
      <c r="B216" s="145"/>
      <c r="C216" s="149"/>
      <c r="D216" s="147"/>
      <c r="E216" s="150"/>
      <c r="F216" s="139"/>
      <c r="G216" s="139"/>
      <c r="H216" s="139"/>
      <c r="I216" s="139"/>
      <c r="J216" s="165">
        <v>40000</v>
      </c>
      <c r="K216" s="165" t="s">
        <v>3354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>
        <v>5199000</v>
      </c>
      <c r="I217" s="119" t="s">
        <v>3383</v>
      </c>
      <c r="J217" s="168">
        <v>146000</v>
      </c>
      <c r="K217" s="168" t="s">
        <v>3371</v>
      </c>
    </row>
    <row r="218" spans="1:11" ht="19" x14ac:dyDescent="0.2">
      <c r="A218" s="144">
        <v>1657000</v>
      </c>
      <c r="B218" s="145"/>
      <c r="C218" s="149" t="s">
        <v>10</v>
      </c>
      <c r="D218" s="147" t="s">
        <v>3309</v>
      </c>
      <c r="E218" s="150">
        <v>1286000</v>
      </c>
      <c r="F218" s="139">
        <v>150000</v>
      </c>
      <c r="G218" s="139">
        <v>221000</v>
      </c>
      <c r="H218" s="139"/>
      <c r="I218" s="139"/>
      <c r="J218" s="165"/>
      <c r="K218" s="165"/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19"/>
      <c r="J219" s="168"/>
      <c r="K219" s="168"/>
    </row>
    <row r="220" spans="1:11" ht="19" x14ac:dyDescent="0.2">
      <c r="A220" s="144">
        <v>1604000</v>
      </c>
      <c r="B220" s="145">
        <v>45535</v>
      </c>
      <c r="C220" s="149" t="s">
        <v>9</v>
      </c>
      <c r="D220" s="147" t="s">
        <v>2105</v>
      </c>
      <c r="E220" s="150">
        <v>985000</v>
      </c>
      <c r="F220" s="139">
        <v>103000</v>
      </c>
      <c r="G220" s="139">
        <v>516000</v>
      </c>
      <c r="H220" s="139">
        <v>400000</v>
      </c>
      <c r="I220" s="139" t="s">
        <v>3372</v>
      </c>
      <c r="J220" s="165">
        <v>94000</v>
      </c>
      <c r="K220" s="165" t="s">
        <v>1641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19"/>
      <c r="J221" s="168">
        <v>77000</v>
      </c>
      <c r="K221" s="168" t="s">
        <v>1491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39"/>
      <c r="J222" s="165">
        <v>24000</v>
      </c>
      <c r="K222" s="165" t="s">
        <v>3373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19"/>
      <c r="J223" s="168">
        <v>12000</v>
      </c>
      <c r="K223" s="168" t="s">
        <v>3374</v>
      </c>
    </row>
    <row r="224" spans="1:11" ht="19" x14ac:dyDescent="0.2">
      <c r="A224" s="144">
        <v>1488000</v>
      </c>
      <c r="B224" s="145"/>
      <c r="C224" s="149" t="s">
        <v>10</v>
      </c>
      <c r="D224" s="147" t="s">
        <v>3309</v>
      </c>
      <c r="E224" s="150">
        <v>1028000</v>
      </c>
      <c r="F224" s="139">
        <v>244000</v>
      </c>
      <c r="G224" s="139">
        <v>216000</v>
      </c>
      <c r="H224" s="139">
        <v>1700000</v>
      </c>
      <c r="I224" s="139" t="s">
        <v>3375</v>
      </c>
      <c r="J224" s="165">
        <v>520000</v>
      </c>
      <c r="K224" s="165" t="s">
        <v>741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>
        <v>2310000</v>
      </c>
      <c r="I225" s="119" t="s">
        <v>3376</v>
      </c>
      <c r="J225" s="168">
        <v>120000</v>
      </c>
      <c r="K225" s="168" t="s">
        <v>703</v>
      </c>
    </row>
    <row r="226" spans="1:11" ht="19" x14ac:dyDescent="0.2">
      <c r="A226" s="144"/>
      <c r="B226" s="145"/>
      <c r="C226" s="149"/>
      <c r="D226" s="147"/>
      <c r="E226" s="150"/>
      <c r="F226" s="139"/>
      <c r="G226" s="139"/>
      <c r="H226" s="139">
        <v>1940000</v>
      </c>
      <c r="I226" s="139" t="s">
        <v>3377</v>
      </c>
      <c r="J226" s="165">
        <v>24000</v>
      </c>
      <c r="K226" s="165" t="s">
        <v>3378</v>
      </c>
    </row>
    <row r="227" spans="1:11" ht="32" x14ac:dyDescent="0.2">
      <c r="A227" s="143"/>
      <c r="B227" s="153"/>
      <c r="C227" s="171"/>
      <c r="D227" s="155"/>
      <c r="E227" s="164"/>
      <c r="F227" s="119"/>
      <c r="G227" s="119"/>
      <c r="H227" s="119">
        <v>4695000</v>
      </c>
      <c r="I227" s="176" t="s">
        <v>3379</v>
      </c>
      <c r="J227" s="168">
        <v>50000</v>
      </c>
      <c r="K227" s="168" t="s">
        <v>3105</v>
      </c>
    </row>
    <row r="228" spans="1:11" ht="19" x14ac:dyDescent="0.2">
      <c r="A228" s="143"/>
      <c r="B228" s="153"/>
      <c r="C228" s="171"/>
      <c r="D228" s="155"/>
      <c r="E228" s="164"/>
      <c r="F228" s="119"/>
      <c r="G228" s="119"/>
      <c r="H228" s="119">
        <v>1280000</v>
      </c>
      <c r="I228" s="176" t="s">
        <v>3125</v>
      </c>
      <c r="J228" s="168"/>
      <c r="K228" s="168"/>
    </row>
    <row r="229" spans="1:11" ht="19" x14ac:dyDescent="0.2">
      <c r="A229" s="144"/>
      <c r="B229" s="145"/>
      <c r="C229" s="149"/>
      <c r="D229" s="147"/>
      <c r="E229" s="150"/>
      <c r="F229" s="139"/>
      <c r="G229" s="139"/>
      <c r="H229" s="139">
        <v>1200000</v>
      </c>
      <c r="I229" s="139" t="s">
        <v>785</v>
      </c>
      <c r="J229" s="165"/>
      <c r="K229" s="16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3:K212"/>
  <sheetViews>
    <sheetView workbookViewId="0">
      <selection activeCell="K212" sqref="K212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1.83203125" customWidth="1"/>
    <col min="5" max="5" width="20.33203125" bestFit="1" customWidth="1"/>
    <col min="6" max="6" width="21.83203125" customWidth="1"/>
    <col min="7" max="7" width="21.6640625" customWidth="1"/>
    <col min="8" max="8" width="24.83203125" customWidth="1"/>
    <col min="9" max="9" width="26.6640625" customWidth="1"/>
    <col min="10" max="10" width="20.5" customWidth="1"/>
    <col min="11" max="11" width="31.6640625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21100000</v>
      </c>
      <c r="K4" s="72">
        <f>J4/10820</f>
        <v>1950.0924214417746</v>
      </c>
    </row>
    <row r="5" spans="1:11" ht="24" x14ac:dyDescent="0.3">
      <c r="B5" s="99" t="s">
        <v>3483</v>
      </c>
      <c r="H5" s="73"/>
      <c r="I5" s="71" t="s">
        <v>2315</v>
      </c>
      <c r="J5" s="71">
        <v>21100000</v>
      </c>
      <c r="K5" s="72">
        <f>J5/10820</f>
        <v>1950.0924214417746</v>
      </c>
    </row>
    <row r="6" spans="1:11" ht="24" x14ac:dyDescent="0.3">
      <c r="B6" s="99"/>
      <c r="H6" s="73"/>
      <c r="I6" s="71" t="s">
        <v>178</v>
      </c>
      <c r="J6" s="71">
        <v>14434000</v>
      </c>
      <c r="K6" s="72" t="s">
        <v>3487</v>
      </c>
    </row>
    <row r="7" spans="1:11" ht="26" x14ac:dyDescent="0.3">
      <c r="B7" s="100" t="s">
        <v>3486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SUM(A11:A435)</f>
        <v>122756000</v>
      </c>
      <c r="B10" s="65"/>
      <c r="C10" s="66" t="s">
        <v>13</v>
      </c>
      <c r="D10" s="67"/>
      <c r="E10" s="68">
        <f>SUM(E11:E435)</f>
        <v>85176000</v>
      </c>
      <c r="F10" s="69">
        <f>SUM(F11:F435)</f>
        <v>15615000</v>
      </c>
      <c r="G10" s="69">
        <f>SUM(G11:G422)</f>
        <v>21965000</v>
      </c>
      <c r="H10" s="69">
        <f>SUM(H11:H435)</f>
        <v>22045000</v>
      </c>
      <c r="I10" s="69"/>
      <c r="J10" s="69">
        <f>SUM(J11:J435)</f>
        <v>23101000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1289000</v>
      </c>
      <c r="B12" s="145">
        <v>45536</v>
      </c>
      <c r="C12" s="151" t="s">
        <v>9</v>
      </c>
      <c r="D12" s="147" t="s">
        <v>20</v>
      </c>
      <c r="E12" s="150">
        <v>1032000</v>
      </c>
      <c r="F12" s="139">
        <v>108000</v>
      </c>
      <c r="G12" s="139">
        <v>149000</v>
      </c>
      <c r="H12" s="139">
        <v>455000</v>
      </c>
      <c r="I12" s="296" t="s">
        <v>2229</v>
      </c>
      <c r="J12" s="139">
        <v>50000</v>
      </c>
      <c r="K12" s="139" t="s">
        <v>123</v>
      </c>
    </row>
    <row r="13" spans="1:11" ht="19" x14ac:dyDescent="0.2">
      <c r="A13" s="143">
        <v>1534000</v>
      </c>
      <c r="B13" s="153"/>
      <c r="C13" s="163" t="s">
        <v>10</v>
      </c>
      <c r="D13" s="155" t="s">
        <v>3329</v>
      </c>
      <c r="E13" s="164">
        <v>1246000</v>
      </c>
      <c r="F13" s="119">
        <v>132000</v>
      </c>
      <c r="G13" s="119">
        <v>156000</v>
      </c>
      <c r="H13" s="175"/>
      <c r="I13" s="174"/>
      <c r="J13" s="119"/>
      <c r="K13" s="119"/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/>
      <c r="K14" s="139"/>
    </row>
    <row r="15" spans="1:11" ht="19" x14ac:dyDescent="0.2">
      <c r="A15" s="143">
        <v>2132000</v>
      </c>
      <c r="B15" s="153">
        <v>45537</v>
      </c>
      <c r="C15" s="163" t="s">
        <v>9</v>
      </c>
      <c r="D15" s="155" t="s">
        <v>3386</v>
      </c>
      <c r="E15" s="164">
        <v>1480000</v>
      </c>
      <c r="F15" s="119">
        <v>135000</v>
      </c>
      <c r="G15" s="119">
        <v>517000</v>
      </c>
      <c r="H15" s="119"/>
      <c r="I15" s="174"/>
      <c r="J15" s="119">
        <v>20000</v>
      </c>
      <c r="K15" s="119" t="s">
        <v>3387</v>
      </c>
    </row>
    <row r="16" spans="1:11" ht="19" x14ac:dyDescent="0.2">
      <c r="A16" s="144">
        <v>2223000</v>
      </c>
      <c r="B16" s="145"/>
      <c r="C16" s="151" t="s">
        <v>10</v>
      </c>
      <c r="D16" s="147" t="s">
        <v>3329</v>
      </c>
      <c r="E16" s="150">
        <v>1743000</v>
      </c>
      <c r="F16" s="139">
        <v>350000</v>
      </c>
      <c r="G16" s="139">
        <v>130000</v>
      </c>
      <c r="H16" s="139"/>
      <c r="I16" s="162"/>
      <c r="J16" s="139">
        <v>140000</v>
      </c>
      <c r="K16" s="139" t="s">
        <v>1597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120000</v>
      </c>
      <c r="K17" s="119" t="s">
        <v>3388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192000</v>
      </c>
      <c r="K18" s="139" t="s">
        <v>3389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/>
      <c r="K19" s="119"/>
    </row>
    <row r="20" spans="1:11" ht="19" x14ac:dyDescent="0.2">
      <c r="A20" s="144">
        <v>2095000</v>
      </c>
      <c r="B20" s="145">
        <v>45538</v>
      </c>
      <c r="C20" s="149" t="s">
        <v>9</v>
      </c>
      <c r="D20" s="147" t="s">
        <v>20</v>
      </c>
      <c r="E20" s="150">
        <v>1404000</v>
      </c>
      <c r="F20" s="139">
        <v>260000</v>
      </c>
      <c r="G20" s="139">
        <v>431000</v>
      </c>
      <c r="H20" s="139">
        <v>400000</v>
      </c>
      <c r="I20" s="139" t="s">
        <v>3390</v>
      </c>
      <c r="J20" s="139">
        <v>10000</v>
      </c>
      <c r="K20" s="139" t="s">
        <v>3391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22000</v>
      </c>
      <c r="K21" s="9" t="s">
        <v>3392</v>
      </c>
    </row>
    <row r="22" spans="1:11" ht="19" x14ac:dyDescent="0.2">
      <c r="A22" s="144">
        <v>1785000</v>
      </c>
      <c r="B22" s="145"/>
      <c r="C22" s="149" t="s">
        <v>10</v>
      </c>
      <c r="D22" s="147" t="s">
        <v>3309</v>
      </c>
      <c r="E22" s="150">
        <v>1324000</v>
      </c>
      <c r="F22" s="139">
        <v>178000</v>
      </c>
      <c r="G22" s="139">
        <v>283000</v>
      </c>
      <c r="H22" s="139"/>
      <c r="I22" s="139"/>
      <c r="J22" s="139">
        <v>12000</v>
      </c>
      <c r="K22" s="139" t="s">
        <v>1934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45000</v>
      </c>
      <c r="K23" s="9" t="s">
        <v>655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200000</v>
      </c>
      <c r="K24" s="162" t="s">
        <v>3030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/>
      <c r="K25" s="119"/>
    </row>
    <row r="26" spans="1:11" ht="19" x14ac:dyDescent="0.2">
      <c r="A26" s="148">
        <v>2574000</v>
      </c>
      <c r="B26" s="145">
        <v>45539</v>
      </c>
      <c r="C26" s="149" t="s">
        <v>9</v>
      </c>
      <c r="D26" s="147" t="s">
        <v>3329</v>
      </c>
      <c r="E26" s="150">
        <v>1731000</v>
      </c>
      <c r="F26" s="139">
        <v>211000</v>
      </c>
      <c r="G26" s="139">
        <v>632000</v>
      </c>
      <c r="H26" s="139"/>
      <c r="I26" s="139"/>
      <c r="J26" s="139">
        <v>150000</v>
      </c>
      <c r="K26" s="139" t="s">
        <v>1710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9">
        <v>180000</v>
      </c>
      <c r="K27" s="106" t="s">
        <v>1838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36000</v>
      </c>
      <c r="K28" s="139" t="s">
        <v>3393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28000</v>
      </c>
      <c r="K29" s="9" t="s">
        <v>3394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99000</v>
      </c>
      <c r="K30" s="139" t="s">
        <v>1738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60000</v>
      </c>
      <c r="K31" s="9" t="s">
        <v>3395</v>
      </c>
    </row>
    <row r="32" spans="1:11" ht="19" x14ac:dyDescent="0.2">
      <c r="A32" s="144">
        <v>2026000</v>
      </c>
      <c r="B32" s="145"/>
      <c r="C32" s="149" t="s">
        <v>10</v>
      </c>
      <c r="D32" s="147" t="s">
        <v>3309</v>
      </c>
      <c r="E32" s="150">
        <v>1702000</v>
      </c>
      <c r="F32" s="139">
        <v>130000</v>
      </c>
      <c r="G32" s="139">
        <v>194000</v>
      </c>
      <c r="H32" s="139"/>
      <c r="I32" s="139"/>
      <c r="J32" s="139"/>
      <c r="K32" s="139"/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/>
      <c r="K33" s="119"/>
    </row>
    <row r="34" spans="1:11" ht="19" x14ac:dyDescent="0.2">
      <c r="A34" s="144">
        <v>2426000</v>
      </c>
      <c r="B34" s="145">
        <v>45540</v>
      </c>
      <c r="C34" s="149" t="s">
        <v>9</v>
      </c>
      <c r="D34" s="147" t="s">
        <v>2105</v>
      </c>
      <c r="E34" s="150">
        <v>1882000</v>
      </c>
      <c r="F34" s="139">
        <v>126000</v>
      </c>
      <c r="G34" s="139">
        <v>418000</v>
      </c>
      <c r="H34" s="139"/>
      <c r="I34" s="139"/>
      <c r="J34" s="139">
        <v>39000</v>
      </c>
      <c r="K34" s="139" t="s">
        <v>3396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75000</v>
      </c>
      <c r="K35" s="9" t="s">
        <v>3397</v>
      </c>
    </row>
    <row r="36" spans="1:11" ht="19" x14ac:dyDescent="0.2">
      <c r="A36" s="144">
        <v>1805000</v>
      </c>
      <c r="B36" s="145"/>
      <c r="C36" s="149" t="s">
        <v>10</v>
      </c>
      <c r="D36" s="147" t="s">
        <v>20</v>
      </c>
      <c r="E36" s="150">
        <v>1374000</v>
      </c>
      <c r="F36" s="139">
        <v>178000</v>
      </c>
      <c r="G36" s="139">
        <v>253000</v>
      </c>
      <c r="H36" s="139"/>
      <c r="I36" s="139"/>
      <c r="J36" s="139">
        <v>75000</v>
      </c>
      <c r="K36" s="139" t="s">
        <v>3398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75000</v>
      </c>
      <c r="K37" s="9" t="s">
        <v>3024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150000</v>
      </c>
      <c r="K38" s="139" t="s">
        <v>3399</v>
      </c>
    </row>
    <row r="39" spans="1:11" ht="19" x14ac:dyDescent="0.2">
      <c r="A39" s="143"/>
      <c r="B39" s="153"/>
      <c r="C39" s="171"/>
      <c r="D39" s="155"/>
      <c r="E39" s="164"/>
      <c r="F39" s="119"/>
      <c r="G39" s="119"/>
      <c r="H39" s="119"/>
      <c r="I39" s="119"/>
      <c r="J39" s="119">
        <v>150000</v>
      </c>
      <c r="K39" s="119" t="s">
        <v>3400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192000</v>
      </c>
      <c r="K40" s="139" t="s">
        <v>615</v>
      </c>
    </row>
    <row r="41" spans="1:11" ht="19" x14ac:dyDescent="0.2">
      <c r="A41" s="143">
        <v>2779000</v>
      </c>
      <c r="B41" s="153">
        <v>45541</v>
      </c>
      <c r="C41" s="171" t="s">
        <v>9</v>
      </c>
      <c r="D41" s="155" t="s">
        <v>3401</v>
      </c>
      <c r="E41" s="164">
        <v>1900000</v>
      </c>
      <c r="F41" s="119">
        <v>168000</v>
      </c>
      <c r="G41" s="119">
        <v>711000</v>
      </c>
      <c r="H41" s="119">
        <v>230000</v>
      </c>
      <c r="I41" s="119" t="s">
        <v>3402</v>
      </c>
      <c r="J41" s="119">
        <v>60000</v>
      </c>
      <c r="K41" s="119" t="s">
        <v>1093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94000</v>
      </c>
      <c r="K42" s="139" t="s">
        <v>3403</v>
      </c>
    </row>
    <row r="43" spans="1:11" ht="19" x14ac:dyDescent="0.2">
      <c r="A43" s="143">
        <v>2589000</v>
      </c>
      <c r="B43" s="153"/>
      <c r="C43" s="171" t="s">
        <v>10</v>
      </c>
      <c r="D43" s="155" t="s">
        <v>3309</v>
      </c>
      <c r="E43" s="164">
        <v>1750000</v>
      </c>
      <c r="F43" s="119">
        <v>309000</v>
      </c>
      <c r="G43" s="119">
        <v>530000</v>
      </c>
      <c r="H43" s="119"/>
      <c r="I43" s="119"/>
      <c r="J43" s="119">
        <v>150000</v>
      </c>
      <c r="K43" s="119" t="s">
        <v>881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/>
      <c r="K44" s="139"/>
    </row>
    <row r="45" spans="1:11" ht="19" x14ac:dyDescent="0.2">
      <c r="A45" s="143">
        <v>2357000</v>
      </c>
      <c r="B45" s="153">
        <v>45542</v>
      </c>
      <c r="C45" s="171" t="s">
        <v>9</v>
      </c>
      <c r="D45" s="155" t="s">
        <v>3401</v>
      </c>
      <c r="E45" s="164">
        <v>1606000</v>
      </c>
      <c r="F45" s="119">
        <v>468000</v>
      </c>
      <c r="G45" s="119">
        <v>283000</v>
      </c>
      <c r="H45" s="119"/>
      <c r="I45" s="119"/>
      <c r="J45" s="119">
        <v>19500</v>
      </c>
      <c r="K45" s="119" t="s">
        <v>2368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12000</v>
      </c>
      <c r="K46" s="139" t="s">
        <v>971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35000</v>
      </c>
      <c r="K47" s="119" t="s">
        <v>2401</v>
      </c>
    </row>
    <row r="48" spans="1:11" ht="19" x14ac:dyDescent="0.2">
      <c r="A48" s="144">
        <v>2504000</v>
      </c>
      <c r="B48" s="145"/>
      <c r="C48" s="149" t="s">
        <v>10</v>
      </c>
      <c r="D48" s="147" t="s">
        <v>3309</v>
      </c>
      <c r="E48" s="150">
        <v>1484000</v>
      </c>
      <c r="F48" s="139">
        <v>329000</v>
      </c>
      <c r="G48" s="139">
        <v>691000</v>
      </c>
      <c r="H48" s="139"/>
      <c r="I48" s="139"/>
      <c r="J48" s="139">
        <v>30000</v>
      </c>
      <c r="K48" s="139" t="s">
        <v>3404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94000</v>
      </c>
      <c r="K49" s="119" t="s">
        <v>537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150000</v>
      </c>
      <c r="K50" s="139" t="s">
        <v>881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210000</v>
      </c>
      <c r="K51" s="119" t="s">
        <v>3405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150000</v>
      </c>
      <c r="K52" s="139" t="s">
        <v>3406</v>
      </c>
    </row>
    <row r="53" spans="1:11" ht="19" x14ac:dyDescent="0.2">
      <c r="A53" s="143">
        <v>1444000</v>
      </c>
      <c r="B53" s="153">
        <v>45543</v>
      </c>
      <c r="C53" s="171" t="s">
        <v>9</v>
      </c>
      <c r="D53" s="155" t="s">
        <v>3401</v>
      </c>
      <c r="E53" s="164">
        <v>1126000</v>
      </c>
      <c r="F53" s="119">
        <v>51000</v>
      </c>
      <c r="G53" s="119">
        <v>267000</v>
      </c>
      <c r="H53" s="173"/>
      <c r="I53" s="119"/>
      <c r="J53" s="119">
        <v>200000</v>
      </c>
      <c r="K53" s="119" t="s">
        <v>3030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57"/>
      <c r="I54" s="139"/>
      <c r="J54" s="139">
        <v>150000</v>
      </c>
      <c r="K54" s="139" t="s">
        <v>827</v>
      </c>
    </row>
    <row r="55" spans="1:11" ht="19" x14ac:dyDescent="0.2">
      <c r="A55" s="143">
        <v>1709000</v>
      </c>
      <c r="B55" s="153"/>
      <c r="C55" s="171" t="s">
        <v>10</v>
      </c>
      <c r="D55" s="155" t="s">
        <v>3309</v>
      </c>
      <c r="E55" s="164">
        <v>1310000</v>
      </c>
      <c r="F55" s="119">
        <v>283000</v>
      </c>
      <c r="G55" s="119">
        <v>116000</v>
      </c>
      <c r="H55" s="173"/>
      <c r="I55" s="119"/>
      <c r="J55" s="119">
        <v>50000</v>
      </c>
      <c r="K55" s="119" t="s">
        <v>206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57"/>
      <c r="I56" s="139"/>
      <c r="J56" s="139">
        <v>225000</v>
      </c>
      <c r="K56" s="139" t="s">
        <v>2052</v>
      </c>
    </row>
    <row r="57" spans="1:11" ht="19" x14ac:dyDescent="0.2">
      <c r="A57" s="143">
        <v>2046000</v>
      </c>
      <c r="B57" s="153">
        <v>45544</v>
      </c>
      <c r="C57" s="171" t="s">
        <v>9</v>
      </c>
      <c r="D57" s="155" t="s">
        <v>3401</v>
      </c>
      <c r="E57" s="164">
        <v>1495000</v>
      </c>
      <c r="F57" s="119">
        <v>183000</v>
      </c>
      <c r="G57" s="119">
        <v>368000</v>
      </c>
      <c r="H57" s="119"/>
      <c r="I57" s="119"/>
      <c r="J57" s="119">
        <v>100000</v>
      </c>
      <c r="K57" s="119" t="s">
        <v>3407</v>
      </c>
    </row>
    <row r="58" spans="1:11" ht="19" x14ac:dyDescent="0.2">
      <c r="A58" s="144"/>
      <c r="B58" s="145"/>
      <c r="C58" s="149"/>
      <c r="D58" s="147"/>
      <c r="E58" s="150"/>
      <c r="F58" s="150"/>
      <c r="G58" s="139"/>
      <c r="H58" s="139"/>
      <c r="I58" s="139"/>
      <c r="J58" s="139">
        <v>100000</v>
      </c>
      <c r="K58" s="139" t="s">
        <v>3408</v>
      </c>
    </row>
    <row r="59" spans="1:11" ht="19" x14ac:dyDescent="0.2">
      <c r="A59" s="143">
        <v>2110000</v>
      </c>
      <c r="B59" s="153"/>
      <c r="C59" s="171" t="s">
        <v>10</v>
      </c>
      <c r="D59" s="155" t="s">
        <v>3309</v>
      </c>
      <c r="E59" s="164">
        <v>1526000</v>
      </c>
      <c r="F59" s="119">
        <v>206000</v>
      </c>
      <c r="G59" s="119">
        <v>378000</v>
      </c>
      <c r="H59" s="119"/>
      <c r="I59" s="119"/>
      <c r="J59" s="119">
        <v>45000</v>
      </c>
      <c r="K59" s="119" t="s">
        <v>3409</v>
      </c>
    </row>
    <row r="60" spans="1:11" ht="19" x14ac:dyDescent="0.2">
      <c r="A60" s="144">
        <v>2952000</v>
      </c>
      <c r="B60" s="145">
        <v>45545</v>
      </c>
      <c r="C60" s="149" t="s">
        <v>9</v>
      </c>
      <c r="D60" s="147" t="s">
        <v>3401</v>
      </c>
      <c r="E60" s="150">
        <v>1819000</v>
      </c>
      <c r="F60" s="139">
        <v>353000</v>
      </c>
      <c r="G60" s="139">
        <v>780000</v>
      </c>
      <c r="H60" s="139"/>
      <c r="I60" s="139"/>
      <c r="J60" s="139">
        <v>130000</v>
      </c>
      <c r="K60" s="139" t="s">
        <v>3410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19"/>
      <c r="I61" s="119"/>
      <c r="J61" s="119">
        <v>33000</v>
      </c>
      <c r="K61" s="119" t="s">
        <v>2321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39"/>
      <c r="I62" s="139"/>
      <c r="J62" s="139">
        <v>19500</v>
      </c>
      <c r="K62" s="139" t="s">
        <v>3411</v>
      </c>
    </row>
    <row r="63" spans="1:11" ht="19" x14ac:dyDescent="0.2">
      <c r="A63" s="206"/>
      <c r="B63" s="153"/>
      <c r="C63" s="171"/>
      <c r="D63" s="155"/>
      <c r="E63" s="210"/>
      <c r="F63" s="211"/>
      <c r="G63" s="211"/>
      <c r="H63" s="211"/>
      <c r="I63" s="119"/>
      <c r="J63" s="211">
        <v>77000</v>
      </c>
      <c r="K63" s="119" t="s">
        <v>1210</v>
      </c>
    </row>
    <row r="64" spans="1:11" ht="19" x14ac:dyDescent="0.2">
      <c r="A64" s="144">
        <v>2451000</v>
      </c>
      <c r="B64" s="145"/>
      <c r="C64" s="149" t="s">
        <v>10</v>
      </c>
      <c r="D64" s="147" t="s">
        <v>3309</v>
      </c>
      <c r="E64" s="150">
        <v>1675000</v>
      </c>
      <c r="F64" s="139">
        <v>377000</v>
      </c>
      <c r="G64" s="139">
        <v>399000</v>
      </c>
      <c r="H64" s="139"/>
      <c r="I64" s="139"/>
      <c r="J64" s="139">
        <v>38000</v>
      </c>
      <c r="K64" s="139" t="s">
        <v>3412</v>
      </c>
    </row>
    <row r="65" spans="1:11" ht="19" x14ac:dyDescent="0.2">
      <c r="A65" s="143"/>
      <c r="B65" s="32"/>
      <c r="C65" s="49"/>
      <c r="D65" s="13"/>
      <c r="E65" s="15"/>
      <c r="F65" s="9"/>
      <c r="G65" s="9"/>
      <c r="H65" s="9"/>
      <c r="I65" s="9"/>
      <c r="J65" s="9">
        <v>175000</v>
      </c>
      <c r="K65" s="9" t="s">
        <v>889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120000</v>
      </c>
      <c r="K66" s="139" t="s">
        <v>3413</v>
      </c>
    </row>
    <row r="67" spans="1:11" ht="19" x14ac:dyDescent="0.2">
      <c r="A67" s="143"/>
      <c r="B67" s="32"/>
      <c r="C67" s="49"/>
      <c r="D67" s="155"/>
      <c r="E67" s="15"/>
      <c r="F67" s="9"/>
      <c r="G67" s="9"/>
      <c r="H67" s="9"/>
      <c r="I67" s="9"/>
      <c r="J67" s="9">
        <v>192000</v>
      </c>
      <c r="K67" s="9" t="s">
        <v>615</v>
      </c>
    </row>
    <row r="68" spans="1:11" ht="19" x14ac:dyDescent="0.2">
      <c r="A68" s="148"/>
      <c r="B68" s="145"/>
      <c r="C68" s="151"/>
      <c r="D68" s="147"/>
      <c r="E68" s="150"/>
      <c r="F68" s="139"/>
      <c r="G68" s="139"/>
      <c r="H68" s="139"/>
      <c r="I68" s="139"/>
      <c r="J68" s="139">
        <v>1245000</v>
      </c>
      <c r="K68" s="139" t="s">
        <v>3414</v>
      </c>
    </row>
    <row r="69" spans="1:11" ht="19" x14ac:dyDescent="0.2">
      <c r="A69" s="143">
        <v>2704000</v>
      </c>
      <c r="B69" s="153">
        <v>45546</v>
      </c>
      <c r="C69" s="163" t="s">
        <v>9</v>
      </c>
      <c r="D69" s="155" t="s">
        <v>3401</v>
      </c>
      <c r="E69" s="164">
        <v>1998000</v>
      </c>
      <c r="F69" s="119">
        <v>279000</v>
      </c>
      <c r="G69" s="119">
        <v>427000</v>
      </c>
      <c r="H69" s="119"/>
      <c r="I69" s="176"/>
      <c r="J69" s="119">
        <v>28000</v>
      </c>
      <c r="K69" s="119" t="s">
        <v>3415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52"/>
      <c r="I70" s="152"/>
      <c r="J70" s="139">
        <v>28000</v>
      </c>
      <c r="K70" s="139" t="s">
        <v>3416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60"/>
      <c r="I71" s="60"/>
      <c r="J71" s="9">
        <v>15000</v>
      </c>
      <c r="K71" s="9" t="s">
        <v>3417</v>
      </c>
    </row>
    <row r="72" spans="1:11" ht="19" x14ac:dyDescent="0.2">
      <c r="A72" s="144">
        <v>2081000</v>
      </c>
      <c r="B72" s="145"/>
      <c r="C72" s="149" t="s">
        <v>10</v>
      </c>
      <c r="D72" s="147" t="s">
        <v>3309</v>
      </c>
      <c r="E72" s="150">
        <v>1492000</v>
      </c>
      <c r="F72" s="139">
        <v>343000</v>
      </c>
      <c r="G72" s="139">
        <v>246000</v>
      </c>
      <c r="H72" s="152"/>
      <c r="I72" s="152"/>
      <c r="J72" s="139">
        <v>120000</v>
      </c>
      <c r="K72" s="139" t="s">
        <v>807</v>
      </c>
    </row>
    <row r="73" spans="1:11" ht="19" x14ac:dyDescent="0.2">
      <c r="A73" s="143"/>
      <c r="B73" s="153"/>
      <c r="C73" s="171"/>
      <c r="D73" s="155"/>
      <c r="E73" s="164"/>
      <c r="F73" s="119"/>
      <c r="G73" s="119"/>
      <c r="H73" s="175"/>
      <c r="I73" s="232"/>
      <c r="J73" s="119">
        <v>29000</v>
      </c>
      <c r="K73" s="119" t="s">
        <v>3418</v>
      </c>
    </row>
    <row r="74" spans="1:11" ht="19" x14ac:dyDescent="0.2">
      <c r="A74" s="144">
        <v>2018000</v>
      </c>
      <c r="B74" s="145">
        <v>45547</v>
      </c>
      <c r="C74" s="149" t="s">
        <v>9</v>
      </c>
      <c r="D74" s="147" t="s">
        <v>3401</v>
      </c>
      <c r="E74" s="150">
        <v>1054000</v>
      </c>
      <c r="F74" s="139">
        <v>446000</v>
      </c>
      <c r="G74" s="139">
        <v>518000</v>
      </c>
      <c r="H74" s="152"/>
      <c r="I74" s="152"/>
      <c r="J74" s="139">
        <v>17000</v>
      </c>
      <c r="K74" s="139" t="s">
        <v>3419</v>
      </c>
    </row>
    <row r="75" spans="1:11" ht="19" x14ac:dyDescent="0.2">
      <c r="A75" s="143"/>
      <c r="B75" s="153"/>
      <c r="C75" s="171"/>
      <c r="D75" s="155"/>
      <c r="E75" s="164"/>
      <c r="F75" s="119"/>
      <c r="G75" s="119"/>
      <c r="H75" s="119"/>
      <c r="I75" s="119"/>
      <c r="J75" s="119">
        <v>127500</v>
      </c>
      <c r="K75" s="119" t="s">
        <v>3420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200000</v>
      </c>
      <c r="K76" s="139" t="s">
        <v>3030</v>
      </c>
    </row>
    <row r="77" spans="1:11" ht="19" x14ac:dyDescent="0.2">
      <c r="A77" s="143">
        <v>1668000</v>
      </c>
      <c r="B77" s="153"/>
      <c r="C77" s="171" t="s">
        <v>10</v>
      </c>
      <c r="D77" s="155" t="s">
        <v>3309</v>
      </c>
      <c r="E77" s="15">
        <v>1037000</v>
      </c>
      <c r="F77" s="9">
        <v>418000</v>
      </c>
      <c r="G77" s="9">
        <v>213000</v>
      </c>
      <c r="H77" s="9"/>
      <c r="I77" s="9"/>
      <c r="J77" s="9">
        <v>9000</v>
      </c>
      <c r="K77" s="9" t="s">
        <v>3421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>
        <v>150000</v>
      </c>
      <c r="K78" s="139" t="s">
        <v>827</v>
      </c>
    </row>
    <row r="79" spans="1:11" ht="19" x14ac:dyDescent="0.2">
      <c r="A79" s="143"/>
      <c r="B79" s="153"/>
      <c r="C79" s="171"/>
      <c r="D79" s="155"/>
      <c r="E79" s="15"/>
      <c r="F79" s="9"/>
      <c r="G79" s="9"/>
      <c r="H79" s="106"/>
      <c r="I79" s="106"/>
      <c r="J79" s="9">
        <v>195000</v>
      </c>
      <c r="K79" s="9" t="s">
        <v>1484</v>
      </c>
    </row>
    <row r="80" spans="1:11" ht="19" x14ac:dyDescent="0.2">
      <c r="A80" s="144">
        <v>2316000</v>
      </c>
      <c r="B80" s="145">
        <v>45548</v>
      </c>
      <c r="C80" s="149" t="s">
        <v>9</v>
      </c>
      <c r="D80" s="147" t="s">
        <v>3401</v>
      </c>
      <c r="E80" s="150">
        <v>1571000</v>
      </c>
      <c r="F80" s="139">
        <v>342000</v>
      </c>
      <c r="G80" s="139">
        <v>403000</v>
      </c>
      <c r="H80" s="139">
        <v>3830000</v>
      </c>
      <c r="I80" s="139" t="s">
        <v>3482</v>
      </c>
      <c r="J80" s="139">
        <v>520000</v>
      </c>
      <c r="K80" s="139" t="s">
        <v>2083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75"/>
      <c r="I81" s="175"/>
      <c r="J81" s="60"/>
      <c r="K81" s="175"/>
    </row>
    <row r="82" spans="1:11" ht="19" x14ac:dyDescent="0.2">
      <c r="A82" s="144">
        <v>2216000</v>
      </c>
      <c r="B82" s="145"/>
      <c r="C82" s="149" t="s">
        <v>10</v>
      </c>
      <c r="D82" s="147" t="s">
        <v>3422</v>
      </c>
      <c r="E82" s="150">
        <v>1667000</v>
      </c>
      <c r="F82" s="139">
        <v>370000</v>
      </c>
      <c r="G82" s="139">
        <v>179000</v>
      </c>
      <c r="H82" s="152"/>
      <c r="I82" s="152"/>
      <c r="J82" s="152"/>
      <c r="K82" s="152"/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60"/>
      <c r="I83" s="60"/>
      <c r="J83" s="119">
        <v>52000</v>
      </c>
      <c r="K83" s="119" t="s">
        <v>3423</v>
      </c>
    </row>
    <row r="84" spans="1:11" ht="19" x14ac:dyDescent="0.2">
      <c r="A84" s="144">
        <v>1916000</v>
      </c>
      <c r="B84" s="145">
        <v>45549</v>
      </c>
      <c r="C84" s="149" t="s">
        <v>9</v>
      </c>
      <c r="D84" s="147" t="s">
        <v>3401</v>
      </c>
      <c r="E84" s="150">
        <v>1450000</v>
      </c>
      <c r="F84" s="139">
        <v>213000</v>
      </c>
      <c r="G84" s="139">
        <v>253000</v>
      </c>
      <c r="H84" s="152"/>
      <c r="I84" s="152"/>
      <c r="J84" s="139">
        <v>117500</v>
      </c>
      <c r="K84" s="139" t="s">
        <v>3424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5"/>
      <c r="I85" s="175"/>
      <c r="J85" s="119">
        <v>27000</v>
      </c>
      <c r="K85" s="119" t="s">
        <v>3425</v>
      </c>
    </row>
    <row r="86" spans="1:11" ht="19" x14ac:dyDescent="0.2">
      <c r="A86" s="144">
        <v>2558000</v>
      </c>
      <c r="B86" s="145"/>
      <c r="C86" s="149" t="s">
        <v>1787</v>
      </c>
      <c r="D86" s="147" t="s">
        <v>3422</v>
      </c>
      <c r="E86" s="150">
        <v>1984000</v>
      </c>
      <c r="F86" s="139">
        <v>347000</v>
      </c>
      <c r="G86" s="139">
        <v>227000</v>
      </c>
      <c r="H86" s="152"/>
      <c r="I86" s="152"/>
      <c r="J86" s="139">
        <v>18000</v>
      </c>
      <c r="K86" s="139" t="s">
        <v>3426</v>
      </c>
    </row>
    <row r="87" spans="1:11" ht="19" x14ac:dyDescent="0.2">
      <c r="A87" s="143"/>
      <c r="B87" s="153"/>
      <c r="C87" s="49"/>
      <c r="D87" s="13"/>
      <c r="E87" s="15"/>
      <c r="F87" s="9"/>
      <c r="G87" s="9"/>
      <c r="H87" s="175"/>
      <c r="I87" s="9"/>
      <c r="J87" s="9"/>
      <c r="K87" s="9"/>
    </row>
    <row r="88" spans="1:11" ht="19" x14ac:dyDescent="0.2">
      <c r="A88" s="144">
        <v>1606000</v>
      </c>
      <c r="B88" s="145">
        <v>45550</v>
      </c>
      <c r="C88" s="149" t="s">
        <v>9</v>
      </c>
      <c r="D88" s="147" t="s">
        <v>2105</v>
      </c>
      <c r="E88" s="150">
        <v>920000</v>
      </c>
      <c r="F88" s="139">
        <v>452000</v>
      </c>
      <c r="G88" s="139">
        <v>234000</v>
      </c>
      <c r="H88" s="139"/>
      <c r="I88" s="139"/>
      <c r="J88" s="139">
        <v>50000</v>
      </c>
      <c r="K88" s="139" t="s">
        <v>206</v>
      </c>
    </row>
    <row r="89" spans="1:11" ht="19" x14ac:dyDescent="0.2">
      <c r="A89" s="143"/>
      <c r="B89" s="32"/>
      <c r="C89" s="49"/>
      <c r="D89" s="13"/>
      <c r="E89" s="15"/>
      <c r="F89" s="9"/>
      <c r="G89" s="9"/>
      <c r="H89" s="9">
        <v>400000</v>
      </c>
      <c r="I89" s="9" t="s">
        <v>3427</v>
      </c>
      <c r="J89" s="9"/>
      <c r="K89" s="9"/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39">
        <v>2400000</v>
      </c>
      <c r="I90" s="139" t="s">
        <v>3428</v>
      </c>
      <c r="J90" s="139"/>
      <c r="K90" s="139"/>
    </row>
    <row r="91" spans="1:11" ht="19" x14ac:dyDescent="0.2">
      <c r="A91" s="143"/>
      <c r="B91" s="32"/>
      <c r="C91" s="49"/>
      <c r="D91" s="13"/>
      <c r="E91" s="15"/>
      <c r="F91" s="9"/>
      <c r="G91" s="9"/>
      <c r="H91" s="9">
        <v>2200000</v>
      </c>
      <c r="I91" s="9" t="s">
        <v>3429</v>
      </c>
      <c r="J91" s="9"/>
      <c r="K91" s="9"/>
    </row>
    <row r="92" spans="1:11" ht="19" x14ac:dyDescent="0.2">
      <c r="A92" s="144"/>
      <c r="B92" s="145"/>
      <c r="C92" s="159"/>
      <c r="D92" s="147"/>
      <c r="E92" s="150"/>
      <c r="F92" s="139"/>
      <c r="G92" s="139"/>
      <c r="H92" s="139">
        <v>200000</v>
      </c>
      <c r="I92" s="139" t="s">
        <v>3430</v>
      </c>
      <c r="J92" s="139"/>
      <c r="K92" s="139"/>
    </row>
    <row r="93" spans="1:11" ht="19" x14ac:dyDescent="0.2">
      <c r="A93" s="143">
        <v>2809000</v>
      </c>
      <c r="B93" s="153">
        <v>45551</v>
      </c>
      <c r="C93" s="171" t="s">
        <v>9</v>
      </c>
      <c r="D93" s="155" t="s">
        <v>3329</v>
      </c>
      <c r="E93" s="164">
        <v>1700000</v>
      </c>
      <c r="F93" s="119">
        <v>411000</v>
      </c>
      <c r="G93" s="119">
        <v>698000</v>
      </c>
      <c r="H93" s="119"/>
      <c r="I93" s="119"/>
      <c r="J93" s="119">
        <v>120000</v>
      </c>
      <c r="K93" s="119" t="s">
        <v>1553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39">
        <v>200000</v>
      </c>
      <c r="K94" s="139" t="s">
        <v>2796</v>
      </c>
    </row>
    <row r="95" spans="1:11" ht="19" x14ac:dyDescent="0.2">
      <c r="A95" s="143"/>
      <c r="B95" s="153"/>
      <c r="C95" s="171"/>
      <c r="D95" s="155"/>
      <c r="E95" s="164"/>
      <c r="F95" s="119"/>
      <c r="G95" s="119"/>
      <c r="H95" s="119"/>
      <c r="I95" s="119"/>
      <c r="J95" s="119">
        <v>45000</v>
      </c>
      <c r="K95" s="119" t="s">
        <v>1467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150000</v>
      </c>
      <c r="K96" s="139" t="s">
        <v>1710</v>
      </c>
    </row>
    <row r="97" spans="1:11" ht="19" x14ac:dyDescent="0.2">
      <c r="A97" s="143"/>
      <c r="B97" s="153"/>
      <c r="C97" s="171"/>
      <c r="D97" s="155"/>
      <c r="E97" s="164"/>
      <c r="F97" s="119"/>
      <c r="G97" s="119"/>
      <c r="H97" s="119"/>
      <c r="I97" s="119"/>
      <c r="J97" s="119">
        <v>192000</v>
      </c>
      <c r="K97" s="119" t="s">
        <v>1245</v>
      </c>
    </row>
    <row r="98" spans="1:11" ht="19" x14ac:dyDescent="0.2">
      <c r="A98" s="144"/>
      <c r="B98" s="145"/>
      <c r="C98" s="149"/>
      <c r="D98" s="147"/>
      <c r="E98" s="150"/>
      <c r="F98" s="139"/>
      <c r="G98" s="139"/>
      <c r="H98" s="152"/>
      <c r="I98" s="152"/>
      <c r="J98" s="139">
        <v>90000</v>
      </c>
      <c r="K98" s="139" t="s">
        <v>1566</v>
      </c>
    </row>
    <row r="99" spans="1:11" ht="19" x14ac:dyDescent="0.2">
      <c r="A99" s="144"/>
      <c r="B99" s="145"/>
      <c r="C99" s="149"/>
      <c r="D99" s="147"/>
      <c r="E99" s="150"/>
      <c r="F99" s="139"/>
      <c r="G99" s="139"/>
      <c r="H99" s="152"/>
      <c r="I99" s="152"/>
      <c r="J99" s="139">
        <v>140000</v>
      </c>
      <c r="K99" s="139" t="s">
        <v>1597</v>
      </c>
    </row>
    <row r="100" spans="1:11" ht="19" x14ac:dyDescent="0.2">
      <c r="A100" s="143"/>
      <c r="B100" s="153"/>
      <c r="C100" s="171"/>
      <c r="D100" s="155"/>
      <c r="E100" s="164"/>
      <c r="F100" s="119"/>
      <c r="G100" s="119"/>
      <c r="H100" s="119"/>
      <c r="I100" s="119"/>
      <c r="J100" s="119">
        <v>170000</v>
      </c>
      <c r="K100" s="119" t="s">
        <v>3431</v>
      </c>
    </row>
    <row r="101" spans="1:11" ht="19" x14ac:dyDescent="0.2">
      <c r="A101" s="144"/>
      <c r="B101" s="145"/>
      <c r="C101" s="149"/>
      <c r="D101" s="147"/>
      <c r="E101" s="150"/>
      <c r="F101" s="139"/>
      <c r="G101" s="139"/>
      <c r="H101" s="139"/>
      <c r="I101" s="139"/>
      <c r="J101" s="139">
        <v>51000</v>
      </c>
      <c r="K101" s="139" t="s">
        <v>1449</v>
      </c>
    </row>
    <row r="102" spans="1:11" ht="19" x14ac:dyDescent="0.2">
      <c r="A102" s="143"/>
      <c r="B102" s="153"/>
      <c r="C102" s="171"/>
      <c r="D102" s="155"/>
      <c r="E102" s="164"/>
      <c r="F102" s="119"/>
      <c r="G102" s="119"/>
      <c r="H102" s="119"/>
      <c r="I102" s="119"/>
      <c r="J102" s="119">
        <v>47000</v>
      </c>
      <c r="K102" s="119" t="s">
        <v>1493</v>
      </c>
    </row>
    <row r="103" spans="1:11" ht="19" x14ac:dyDescent="0.2">
      <c r="A103" s="148"/>
      <c r="B103" s="145"/>
      <c r="C103" s="149"/>
      <c r="D103" s="160"/>
      <c r="E103" s="150"/>
      <c r="F103" s="139"/>
      <c r="G103" s="139"/>
      <c r="H103" s="139"/>
      <c r="I103" s="139"/>
      <c r="J103" s="139">
        <v>15000</v>
      </c>
      <c r="K103" s="139" t="s">
        <v>1873</v>
      </c>
    </row>
    <row r="104" spans="1:11" ht="19" x14ac:dyDescent="0.2">
      <c r="A104" s="293"/>
      <c r="B104" s="153"/>
      <c r="C104" s="171"/>
      <c r="D104" s="155"/>
      <c r="E104" s="164"/>
      <c r="F104" s="119"/>
      <c r="G104" s="119"/>
      <c r="H104" s="119"/>
      <c r="I104" s="119"/>
      <c r="J104" s="119">
        <v>35000</v>
      </c>
      <c r="K104" s="119" t="s">
        <v>1885</v>
      </c>
    </row>
    <row r="105" spans="1:11" ht="19" x14ac:dyDescent="0.2">
      <c r="A105" s="144"/>
      <c r="B105" s="145"/>
      <c r="C105" s="149"/>
      <c r="D105" s="147"/>
      <c r="E105" s="150"/>
      <c r="F105" s="139"/>
      <c r="G105" s="139"/>
      <c r="H105" s="139"/>
      <c r="I105" s="139"/>
      <c r="J105" s="139">
        <v>99000</v>
      </c>
      <c r="K105" s="139" t="s">
        <v>1738</v>
      </c>
    </row>
    <row r="106" spans="1:11" ht="19" x14ac:dyDescent="0.2">
      <c r="A106" s="143"/>
      <c r="B106" s="153"/>
      <c r="C106" s="171"/>
      <c r="D106" s="155"/>
      <c r="E106" s="164"/>
      <c r="F106" s="119"/>
      <c r="G106" s="119"/>
      <c r="H106" s="119"/>
      <c r="I106" s="119"/>
      <c r="J106" s="119">
        <v>34000</v>
      </c>
      <c r="K106" s="119" t="s">
        <v>1857</v>
      </c>
    </row>
    <row r="107" spans="1:11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/>
      <c r="J107" s="139">
        <v>104000</v>
      </c>
      <c r="K107" s="139" t="s">
        <v>3432</v>
      </c>
    </row>
    <row r="108" spans="1:11" ht="19" x14ac:dyDescent="0.2">
      <c r="A108" s="143"/>
      <c r="B108" s="153"/>
      <c r="C108" s="171"/>
      <c r="D108" s="155"/>
      <c r="E108" s="164"/>
      <c r="F108" s="119"/>
      <c r="G108" s="119"/>
      <c r="H108" s="119"/>
      <c r="I108" s="175"/>
      <c r="J108" s="119">
        <v>24000</v>
      </c>
      <c r="K108" s="119" t="s">
        <v>3433</v>
      </c>
    </row>
    <row r="109" spans="1:11" ht="19" x14ac:dyDescent="0.2">
      <c r="A109" s="144"/>
      <c r="B109" s="145"/>
      <c r="C109" s="149"/>
      <c r="D109" s="147"/>
      <c r="E109" s="150"/>
      <c r="F109" s="139"/>
      <c r="G109" s="139"/>
      <c r="H109" s="139"/>
      <c r="I109" s="139"/>
      <c r="J109" s="139">
        <v>90000</v>
      </c>
      <c r="K109" s="139" t="s">
        <v>1595</v>
      </c>
    </row>
    <row r="110" spans="1:11" ht="19" x14ac:dyDescent="0.2">
      <c r="A110" s="143"/>
      <c r="B110" s="153"/>
      <c r="C110" s="171"/>
      <c r="D110" s="155"/>
      <c r="E110" s="164"/>
      <c r="F110" s="119"/>
      <c r="G110" s="119"/>
      <c r="H110" s="119"/>
      <c r="I110" s="119"/>
      <c r="J110" s="119">
        <v>57000</v>
      </c>
      <c r="K110" s="119" t="s">
        <v>3434</v>
      </c>
    </row>
    <row r="111" spans="1:11" ht="19" x14ac:dyDescent="0.2">
      <c r="A111" s="144"/>
      <c r="B111" s="145"/>
      <c r="C111" s="149"/>
      <c r="D111" s="147"/>
      <c r="E111" s="150"/>
      <c r="F111" s="139"/>
      <c r="G111" s="139"/>
      <c r="H111" s="139"/>
      <c r="I111" s="139"/>
      <c r="J111" s="162">
        <v>29000</v>
      </c>
      <c r="K111" s="162" t="s">
        <v>3435</v>
      </c>
    </row>
    <row r="112" spans="1:11" ht="19" x14ac:dyDescent="0.2">
      <c r="A112" s="143">
        <v>2106000</v>
      </c>
      <c r="B112" s="153"/>
      <c r="C112" s="171" t="s">
        <v>10</v>
      </c>
      <c r="D112" s="155" t="s">
        <v>3309</v>
      </c>
      <c r="E112" s="164">
        <v>1560000</v>
      </c>
      <c r="F112" s="119">
        <v>338000</v>
      </c>
      <c r="G112" s="119">
        <v>208000</v>
      </c>
      <c r="H112" s="119"/>
      <c r="I112" s="175"/>
      <c r="J112" s="174"/>
      <c r="K112" s="174"/>
    </row>
    <row r="113" spans="1:11" ht="19" x14ac:dyDescent="0.2">
      <c r="A113" s="144"/>
      <c r="B113" s="145"/>
      <c r="C113" s="149"/>
      <c r="D113" s="147"/>
      <c r="E113" s="150"/>
      <c r="F113" s="139"/>
      <c r="G113" s="139"/>
      <c r="H113" s="139"/>
      <c r="I113" s="139"/>
      <c r="J113" s="139"/>
      <c r="K113" s="139"/>
    </row>
    <row r="114" spans="1:11" ht="19" x14ac:dyDescent="0.2">
      <c r="A114" s="143">
        <v>2429000</v>
      </c>
      <c r="B114" s="153">
        <v>45552</v>
      </c>
      <c r="C114" s="171" t="s">
        <v>9</v>
      </c>
      <c r="D114" s="155" t="s">
        <v>3329</v>
      </c>
      <c r="E114" s="164">
        <v>1710000</v>
      </c>
      <c r="F114" s="119">
        <v>396000</v>
      </c>
      <c r="G114" s="119">
        <v>323000</v>
      </c>
      <c r="H114" s="119"/>
      <c r="I114" s="119"/>
      <c r="J114" s="119">
        <v>225000</v>
      </c>
      <c r="K114" s="119" t="s">
        <v>2203</v>
      </c>
    </row>
    <row r="115" spans="1:11" ht="19" x14ac:dyDescent="0.2">
      <c r="A115" s="144"/>
      <c r="B115" s="145"/>
      <c r="C115" s="149"/>
      <c r="D115" s="147"/>
      <c r="E115" s="150"/>
      <c r="F115" s="139"/>
      <c r="G115" s="139"/>
      <c r="H115" s="139"/>
      <c r="I115" s="139"/>
      <c r="J115" s="139">
        <v>122000</v>
      </c>
      <c r="K115" s="139" t="s">
        <v>3436</v>
      </c>
    </row>
    <row r="116" spans="1:11" ht="19" x14ac:dyDescent="0.2">
      <c r="A116" s="143"/>
      <c r="B116" s="153"/>
      <c r="C116" s="171"/>
      <c r="D116" s="155"/>
      <c r="E116" s="164"/>
      <c r="F116" s="119"/>
      <c r="G116" s="119"/>
      <c r="H116" s="119"/>
      <c r="I116" s="119"/>
      <c r="J116" s="119">
        <v>32000</v>
      </c>
      <c r="K116" s="119" t="s">
        <v>3437</v>
      </c>
    </row>
    <row r="117" spans="1:11" ht="19" x14ac:dyDescent="0.2">
      <c r="A117" s="144">
        <v>1686000</v>
      </c>
      <c r="B117" s="145"/>
      <c r="C117" s="149" t="s">
        <v>10</v>
      </c>
      <c r="D117" s="147" t="s">
        <v>20</v>
      </c>
      <c r="E117" s="150">
        <v>1270000</v>
      </c>
      <c r="F117" s="139">
        <v>84000</v>
      </c>
      <c r="G117" s="139">
        <v>332000</v>
      </c>
      <c r="H117" s="139"/>
      <c r="I117" s="139"/>
      <c r="J117" s="139"/>
      <c r="K117" s="139"/>
    </row>
    <row r="118" spans="1:11" ht="19" x14ac:dyDescent="0.2">
      <c r="A118" s="143">
        <v>3117000</v>
      </c>
      <c r="B118" s="153">
        <v>45553</v>
      </c>
      <c r="C118" s="163" t="s">
        <v>9</v>
      </c>
      <c r="D118" s="155" t="s">
        <v>3329</v>
      </c>
      <c r="E118" s="164">
        <v>2290000</v>
      </c>
      <c r="F118" s="119">
        <v>260000</v>
      </c>
      <c r="G118" s="119">
        <v>567000</v>
      </c>
      <c r="H118" s="119"/>
      <c r="I118" s="119"/>
      <c r="J118" s="106">
        <v>8000</v>
      </c>
      <c r="K118" s="174" t="s">
        <v>3438</v>
      </c>
    </row>
    <row r="119" spans="1:11" ht="19" x14ac:dyDescent="0.2">
      <c r="A119" s="144"/>
      <c r="B119" s="145"/>
      <c r="C119" s="151"/>
      <c r="D119" s="147"/>
      <c r="E119" s="150"/>
      <c r="F119" s="139"/>
      <c r="G119" s="139"/>
      <c r="H119" s="139"/>
      <c r="I119" s="139"/>
      <c r="J119" s="162">
        <v>39000</v>
      </c>
      <c r="K119" s="162" t="s">
        <v>3439</v>
      </c>
    </row>
    <row r="120" spans="1:11" ht="19" x14ac:dyDescent="0.2">
      <c r="A120" s="143"/>
      <c r="B120" s="32"/>
      <c r="C120" s="171"/>
      <c r="D120" s="155"/>
      <c r="E120" s="15"/>
      <c r="F120" s="9"/>
      <c r="G120" s="9"/>
      <c r="H120" s="9"/>
      <c r="I120" s="9"/>
      <c r="J120" s="106">
        <v>125000</v>
      </c>
      <c r="K120" s="106" t="s">
        <v>2714</v>
      </c>
    </row>
    <row r="121" spans="1:11" ht="19" x14ac:dyDescent="0.2">
      <c r="A121" s="144"/>
      <c r="B121" s="145"/>
      <c r="C121" s="149"/>
      <c r="D121" s="147"/>
      <c r="E121" s="150"/>
      <c r="F121" s="139"/>
      <c r="G121" s="139"/>
      <c r="H121" s="139"/>
      <c r="I121" s="139"/>
      <c r="J121" s="162">
        <v>75000</v>
      </c>
      <c r="K121" s="162" t="s">
        <v>3440</v>
      </c>
    </row>
    <row r="122" spans="1:11" ht="19" x14ac:dyDescent="0.2">
      <c r="A122" s="143"/>
      <c r="B122" s="153"/>
      <c r="C122" s="163"/>
      <c r="D122" s="155"/>
      <c r="E122" s="164"/>
      <c r="F122" s="119"/>
      <c r="G122" s="119"/>
      <c r="H122" s="119"/>
      <c r="I122" s="119"/>
      <c r="J122" s="174">
        <v>75000</v>
      </c>
      <c r="K122" s="174" t="s">
        <v>3441</v>
      </c>
    </row>
    <row r="123" spans="1:11" ht="19" x14ac:dyDescent="0.2">
      <c r="A123" s="148">
        <v>1351000</v>
      </c>
      <c r="B123" s="145"/>
      <c r="C123" s="159" t="s">
        <v>10</v>
      </c>
      <c r="D123" s="147" t="s">
        <v>3309</v>
      </c>
      <c r="E123" s="150">
        <v>998000</v>
      </c>
      <c r="F123" s="139">
        <v>95000</v>
      </c>
      <c r="G123" s="139">
        <v>258000</v>
      </c>
      <c r="H123" s="139"/>
      <c r="I123" s="139"/>
      <c r="J123" s="139"/>
      <c r="K123" s="139"/>
    </row>
    <row r="124" spans="1:11" ht="19" x14ac:dyDescent="0.2">
      <c r="A124" s="143">
        <v>2251000</v>
      </c>
      <c r="B124" s="153">
        <v>45554</v>
      </c>
      <c r="C124" s="163" t="s">
        <v>9</v>
      </c>
      <c r="D124" s="155" t="s">
        <v>3329</v>
      </c>
      <c r="E124" s="164">
        <v>1308000</v>
      </c>
      <c r="F124" s="119">
        <v>396000</v>
      </c>
      <c r="G124" s="119">
        <v>547000</v>
      </c>
      <c r="H124" s="119"/>
      <c r="I124" s="119"/>
      <c r="J124" s="174">
        <v>25000</v>
      </c>
      <c r="K124" s="174" t="s">
        <v>3442</v>
      </c>
    </row>
    <row r="125" spans="1:11" ht="19" x14ac:dyDescent="0.2">
      <c r="A125" s="144"/>
      <c r="B125" s="145"/>
      <c r="C125" s="151"/>
      <c r="D125" s="147"/>
      <c r="E125" s="139"/>
      <c r="F125" s="139"/>
      <c r="G125" s="139"/>
      <c r="H125" s="139"/>
      <c r="I125" s="139"/>
      <c r="J125" s="139">
        <v>25000</v>
      </c>
      <c r="K125" s="139" t="s">
        <v>3443</v>
      </c>
    </row>
    <row r="126" spans="1:11" ht="19" x14ac:dyDescent="0.2">
      <c r="A126" s="143"/>
      <c r="B126" s="153"/>
      <c r="C126" s="163"/>
      <c r="D126" s="155"/>
      <c r="E126" s="164"/>
      <c r="F126" s="119"/>
      <c r="G126" s="119"/>
      <c r="H126" s="119"/>
      <c r="I126" s="119"/>
      <c r="J126" s="119">
        <v>10000</v>
      </c>
      <c r="K126" s="119" t="s">
        <v>2250</v>
      </c>
    </row>
    <row r="127" spans="1:11" ht="19" x14ac:dyDescent="0.2">
      <c r="A127" s="144"/>
      <c r="B127" s="145"/>
      <c r="C127" s="151"/>
      <c r="D127" s="147"/>
      <c r="E127" s="150"/>
      <c r="F127" s="139"/>
      <c r="G127" s="139"/>
      <c r="H127" s="139"/>
      <c r="I127" s="139"/>
      <c r="J127" s="139">
        <v>240000</v>
      </c>
      <c r="K127" s="139" t="s">
        <v>2474</v>
      </c>
    </row>
    <row r="128" spans="1:11" ht="19" x14ac:dyDescent="0.2">
      <c r="A128" s="143"/>
      <c r="B128" s="153"/>
      <c r="C128" s="163"/>
      <c r="D128" s="155"/>
      <c r="E128" s="164"/>
      <c r="F128" s="119"/>
      <c r="G128" s="119"/>
      <c r="H128" s="119"/>
      <c r="I128" s="119"/>
      <c r="J128" s="119">
        <v>150000</v>
      </c>
      <c r="K128" s="119" t="s">
        <v>3444</v>
      </c>
    </row>
    <row r="129" spans="1:11" ht="19" x14ac:dyDescent="0.2">
      <c r="A129" s="144">
        <v>2132000</v>
      </c>
      <c r="B129" s="145"/>
      <c r="C129" s="151" t="s">
        <v>10</v>
      </c>
      <c r="D129" s="147" t="s">
        <v>3309</v>
      </c>
      <c r="E129" s="150">
        <v>1700000</v>
      </c>
      <c r="F129" s="139">
        <v>171000</v>
      </c>
      <c r="G129" s="139">
        <v>261000</v>
      </c>
      <c r="H129" s="139"/>
      <c r="I129" s="139"/>
      <c r="J129" s="139"/>
      <c r="K129" s="139"/>
    </row>
    <row r="130" spans="1:11" ht="19" x14ac:dyDescent="0.2">
      <c r="A130" s="143">
        <v>2290000</v>
      </c>
      <c r="B130" s="153">
        <v>45555</v>
      </c>
      <c r="C130" s="163" t="s">
        <v>9</v>
      </c>
      <c r="D130" s="155" t="s">
        <v>3329</v>
      </c>
      <c r="E130" s="164">
        <v>1630000</v>
      </c>
      <c r="F130" s="119">
        <v>322000</v>
      </c>
      <c r="G130" s="119">
        <v>338000</v>
      </c>
      <c r="H130" s="119"/>
      <c r="I130" s="119"/>
      <c r="J130" s="119">
        <v>50000</v>
      </c>
      <c r="K130" s="119" t="s">
        <v>1762</v>
      </c>
    </row>
    <row r="131" spans="1:11" ht="19" x14ac:dyDescent="0.2">
      <c r="A131" s="144"/>
      <c r="B131" s="145"/>
      <c r="C131" s="151"/>
      <c r="D131" s="147"/>
      <c r="E131" s="150"/>
      <c r="F131" s="139"/>
      <c r="G131" s="139"/>
      <c r="H131" s="139"/>
      <c r="I131" s="139"/>
      <c r="J131" s="139">
        <v>24000</v>
      </c>
      <c r="K131" s="139" t="s">
        <v>3445</v>
      </c>
    </row>
    <row r="132" spans="1:11" ht="19" x14ac:dyDescent="0.2">
      <c r="A132" s="143"/>
      <c r="B132" s="153"/>
      <c r="C132" s="163"/>
      <c r="D132" s="155"/>
      <c r="E132" s="164"/>
      <c r="F132" s="119"/>
      <c r="G132" s="119"/>
      <c r="H132" s="119"/>
      <c r="I132" s="119"/>
      <c r="J132" s="174">
        <v>120000</v>
      </c>
      <c r="K132" s="174" t="s">
        <v>1668</v>
      </c>
    </row>
    <row r="133" spans="1:11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/>
      <c r="J133" s="162">
        <v>60000</v>
      </c>
      <c r="K133" s="162" t="s">
        <v>1490</v>
      </c>
    </row>
    <row r="134" spans="1:11" ht="19" x14ac:dyDescent="0.2">
      <c r="A134" s="143">
        <v>2049000</v>
      </c>
      <c r="B134" s="32"/>
      <c r="C134" s="35" t="s">
        <v>10</v>
      </c>
      <c r="D134" s="13" t="s">
        <v>3309</v>
      </c>
      <c r="E134" s="15">
        <v>1420000</v>
      </c>
      <c r="F134" s="9">
        <v>223000</v>
      </c>
      <c r="G134" s="9">
        <v>406000</v>
      </c>
      <c r="H134" s="9"/>
      <c r="I134" s="9"/>
      <c r="J134" s="106"/>
      <c r="K134" s="106"/>
    </row>
    <row r="135" spans="1:11" ht="19" x14ac:dyDescent="0.2">
      <c r="A135" s="144"/>
      <c r="B135" s="158"/>
      <c r="C135" s="151"/>
      <c r="D135" s="147"/>
      <c r="E135" s="150"/>
      <c r="F135" s="139"/>
      <c r="G135" s="139"/>
      <c r="H135" s="139"/>
      <c r="I135" s="152"/>
      <c r="J135" s="162"/>
      <c r="K135" s="162"/>
    </row>
    <row r="136" spans="1:11" ht="19" x14ac:dyDescent="0.2">
      <c r="A136" s="143">
        <v>2426000</v>
      </c>
      <c r="B136" s="32">
        <v>45556</v>
      </c>
      <c r="C136" s="35" t="s">
        <v>9</v>
      </c>
      <c r="D136" s="13" t="s">
        <v>3386</v>
      </c>
      <c r="E136" s="15">
        <v>1419000</v>
      </c>
      <c r="F136" s="9">
        <v>433000</v>
      </c>
      <c r="G136" s="9">
        <v>574000</v>
      </c>
      <c r="H136" s="9"/>
      <c r="I136" s="9"/>
      <c r="J136" s="106">
        <v>78000</v>
      </c>
      <c r="K136" s="106" t="s">
        <v>3446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75"/>
      <c r="I137" s="175"/>
      <c r="J137" s="174">
        <v>27000</v>
      </c>
      <c r="K137" s="174" t="s">
        <v>3447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39">
        <v>6000</v>
      </c>
      <c r="K138" s="139" t="s">
        <v>1667</v>
      </c>
    </row>
    <row r="139" spans="1:11" ht="19" x14ac:dyDescent="0.2">
      <c r="A139" s="143"/>
      <c r="B139" s="270"/>
      <c r="C139" s="163"/>
      <c r="D139" s="155"/>
      <c r="E139" s="164"/>
      <c r="F139" s="119"/>
      <c r="G139" s="119"/>
      <c r="H139" s="119"/>
      <c r="I139" s="119"/>
      <c r="J139" s="119">
        <v>32000</v>
      </c>
      <c r="K139" s="119" t="s">
        <v>2812</v>
      </c>
    </row>
    <row r="140" spans="1:11" ht="19" x14ac:dyDescent="0.2">
      <c r="A140" s="144"/>
      <c r="B140" s="145"/>
      <c r="C140" s="159"/>
      <c r="D140" s="147"/>
      <c r="E140" s="150"/>
      <c r="F140" s="139"/>
      <c r="G140" s="139"/>
      <c r="H140" s="139"/>
      <c r="I140" s="139"/>
      <c r="J140" s="139">
        <v>90000</v>
      </c>
      <c r="K140" s="139" t="s">
        <v>3448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19"/>
      <c r="I141" s="119"/>
      <c r="J141" s="119">
        <v>65000</v>
      </c>
      <c r="K141" s="119" t="s">
        <v>3449</v>
      </c>
    </row>
    <row r="142" spans="1:11" ht="19" x14ac:dyDescent="0.2">
      <c r="A142" s="144">
        <v>1380000</v>
      </c>
      <c r="B142" s="145"/>
      <c r="C142" s="151" t="s">
        <v>10</v>
      </c>
      <c r="D142" s="160" t="s">
        <v>3309</v>
      </c>
      <c r="E142" s="150">
        <v>1043000</v>
      </c>
      <c r="F142" s="139">
        <v>51000</v>
      </c>
      <c r="G142" s="139">
        <v>286000</v>
      </c>
      <c r="H142" s="139"/>
      <c r="I142" s="139"/>
      <c r="J142" s="162">
        <v>50000</v>
      </c>
      <c r="K142" s="162" t="s">
        <v>123</v>
      </c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/>
      <c r="K143" s="119"/>
    </row>
    <row r="144" spans="1:11" ht="19" x14ac:dyDescent="0.2">
      <c r="A144" s="148">
        <v>1158000</v>
      </c>
      <c r="B144" s="145">
        <v>45557</v>
      </c>
      <c r="C144" s="151" t="s">
        <v>9</v>
      </c>
      <c r="D144" s="147" t="s">
        <v>2105</v>
      </c>
      <c r="E144" s="150">
        <v>716000</v>
      </c>
      <c r="F144" s="139">
        <v>208000</v>
      </c>
      <c r="G144" s="139">
        <v>234000</v>
      </c>
      <c r="H144" s="139"/>
      <c r="I144" s="139"/>
      <c r="J144" s="139"/>
      <c r="K144" s="139"/>
    </row>
    <row r="145" spans="1:11" ht="19" x14ac:dyDescent="0.2">
      <c r="A145" s="142"/>
      <c r="B145" s="153"/>
      <c r="C145" s="163"/>
      <c r="D145" s="172"/>
      <c r="E145" s="164"/>
      <c r="F145" s="119"/>
      <c r="G145" s="119"/>
      <c r="H145" s="119"/>
      <c r="I145" s="119"/>
      <c r="J145" s="119"/>
      <c r="K145" s="119"/>
    </row>
    <row r="146" spans="1:11" ht="19" x14ac:dyDescent="0.2">
      <c r="A146" s="148">
        <v>1477000</v>
      </c>
      <c r="B146" s="145"/>
      <c r="C146" s="151" t="s">
        <v>10</v>
      </c>
      <c r="D146" s="160" t="s">
        <v>3309</v>
      </c>
      <c r="E146" s="150">
        <v>1064000</v>
      </c>
      <c r="F146" s="139">
        <v>174000</v>
      </c>
      <c r="G146" s="139">
        <v>239000</v>
      </c>
      <c r="H146" s="139"/>
      <c r="I146" s="139"/>
      <c r="J146" s="139"/>
      <c r="K146" s="139"/>
    </row>
    <row r="147" spans="1:11" ht="19" x14ac:dyDescent="0.2">
      <c r="A147" s="142"/>
      <c r="B147" s="153"/>
      <c r="C147" s="163"/>
      <c r="D147" s="172"/>
      <c r="E147" s="164"/>
      <c r="F147" s="119"/>
      <c r="G147" s="119"/>
      <c r="H147" s="119"/>
      <c r="I147" s="119"/>
      <c r="J147" s="119"/>
      <c r="K147" s="119"/>
    </row>
    <row r="148" spans="1:11" ht="19" x14ac:dyDescent="0.2">
      <c r="A148" s="148">
        <v>1916000</v>
      </c>
      <c r="B148" s="145">
        <v>45558</v>
      </c>
      <c r="C148" s="151" t="s">
        <v>9</v>
      </c>
      <c r="D148" s="160" t="s">
        <v>3329</v>
      </c>
      <c r="E148" s="150">
        <v>1116000</v>
      </c>
      <c r="F148" s="139">
        <v>514000</v>
      </c>
      <c r="G148" s="139">
        <v>286000</v>
      </c>
      <c r="H148" s="139"/>
      <c r="I148" s="139"/>
      <c r="J148" s="139">
        <v>604000</v>
      </c>
      <c r="K148" s="139" t="s">
        <v>3450</v>
      </c>
    </row>
    <row r="149" spans="1:11" ht="19" x14ac:dyDescent="0.2">
      <c r="A149" s="143"/>
      <c r="B149" s="153"/>
      <c r="C149" s="163"/>
      <c r="D149" s="155"/>
      <c r="E149" s="164"/>
      <c r="F149" s="119"/>
      <c r="G149" s="119"/>
      <c r="H149" s="119"/>
      <c r="I149" s="119"/>
      <c r="J149" s="119">
        <v>150000</v>
      </c>
      <c r="K149" s="119" t="s">
        <v>1518</v>
      </c>
    </row>
    <row r="150" spans="1:11" ht="19" x14ac:dyDescent="0.2">
      <c r="A150" s="144"/>
      <c r="B150" s="145"/>
      <c r="C150" s="151"/>
      <c r="D150" s="147"/>
      <c r="E150" s="150"/>
      <c r="F150" s="139"/>
      <c r="G150" s="139"/>
      <c r="H150" s="139"/>
      <c r="I150" s="139"/>
      <c r="J150" s="139">
        <v>200000</v>
      </c>
      <c r="K150" s="139" t="s">
        <v>2796</v>
      </c>
    </row>
    <row r="151" spans="1:11" ht="19" x14ac:dyDescent="0.2">
      <c r="A151" s="143"/>
      <c r="B151" s="153"/>
      <c r="C151" s="154"/>
      <c r="D151" s="155"/>
      <c r="E151" s="164"/>
      <c r="F151" s="119"/>
      <c r="G151" s="119"/>
      <c r="H151" s="119"/>
      <c r="I151" s="119"/>
      <c r="J151" s="119">
        <v>45000</v>
      </c>
      <c r="K151" s="119" t="s">
        <v>1467</v>
      </c>
    </row>
    <row r="152" spans="1:11" ht="19" x14ac:dyDescent="0.2">
      <c r="A152" s="144"/>
      <c r="B152" s="145"/>
      <c r="C152" s="149"/>
      <c r="D152" s="160"/>
      <c r="E152" s="150"/>
      <c r="F152" s="139"/>
      <c r="G152" s="139"/>
      <c r="H152" s="139"/>
      <c r="I152" s="139"/>
      <c r="J152" s="139">
        <v>150000</v>
      </c>
      <c r="K152" s="139" t="s">
        <v>3344</v>
      </c>
    </row>
    <row r="153" spans="1:11" ht="19" x14ac:dyDescent="0.2">
      <c r="A153" s="143"/>
      <c r="B153" s="153"/>
      <c r="C153" s="171"/>
      <c r="D153" s="155"/>
      <c r="E153" s="164"/>
      <c r="F153" s="119"/>
      <c r="G153" s="119"/>
      <c r="H153" s="119"/>
      <c r="I153" s="119"/>
      <c r="J153" s="119">
        <v>210000</v>
      </c>
      <c r="K153" s="119" t="s">
        <v>2723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298"/>
      <c r="J154" s="139">
        <v>192000</v>
      </c>
      <c r="K154" s="139" t="s">
        <v>1245</v>
      </c>
    </row>
    <row r="155" spans="1:11" ht="19" x14ac:dyDescent="0.2">
      <c r="A155" s="143">
        <v>1631000</v>
      </c>
      <c r="B155" s="153"/>
      <c r="C155" s="154" t="s">
        <v>10</v>
      </c>
      <c r="D155" s="155" t="s">
        <v>3309</v>
      </c>
      <c r="E155" s="164">
        <v>1061000</v>
      </c>
      <c r="F155" s="119">
        <v>137000</v>
      </c>
      <c r="G155" s="119">
        <v>433000</v>
      </c>
      <c r="H155" s="119"/>
      <c r="I155" s="168"/>
      <c r="J155" s="119"/>
      <c r="K155" s="119"/>
    </row>
    <row r="156" spans="1:11" ht="19" x14ac:dyDescent="0.2">
      <c r="A156" s="144">
        <v>2353000</v>
      </c>
      <c r="B156" s="145">
        <v>45559</v>
      </c>
      <c r="C156" s="146" t="s">
        <v>9</v>
      </c>
      <c r="D156" s="147" t="s">
        <v>3329</v>
      </c>
      <c r="E156" s="150">
        <v>1336000</v>
      </c>
      <c r="F156" s="139">
        <v>526000</v>
      </c>
      <c r="G156" s="139">
        <v>491000</v>
      </c>
      <c r="H156" s="139"/>
      <c r="I156" s="165"/>
      <c r="J156" s="139">
        <v>30000</v>
      </c>
      <c r="K156" s="139" t="s">
        <v>3451</v>
      </c>
    </row>
    <row r="157" spans="1:11" ht="19" x14ac:dyDescent="0.2">
      <c r="A157" s="143"/>
      <c r="B157" s="32"/>
      <c r="C157" s="3"/>
      <c r="D157" s="13"/>
      <c r="E157" s="15"/>
      <c r="F157" s="9"/>
      <c r="G157" s="9"/>
      <c r="H157" s="9"/>
      <c r="I157" s="77"/>
      <c r="J157" s="9">
        <v>11000</v>
      </c>
      <c r="K157" s="9" t="s">
        <v>3452</v>
      </c>
    </row>
    <row r="158" spans="1:11" ht="19" x14ac:dyDescent="0.2">
      <c r="A158" s="294"/>
      <c r="B158" s="145"/>
      <c r="C158" s="151"/>
      <c r="D158" s="147"/>
      <c r="E158" s="150"/>
      <c r="F158" s="139"/>
      <c r="G158" s="139"/>
      <c r="H158" s="139"/>
      <c r="I158" s="165"/>
      <c r="J158" s="139">
        <v>29000</v>
      </c>
      <c r="K158" s="139" t="s">
        <v>3453</v>
      </c>
    </row>
    <row r="159" spans="1:11" ht="19" x14ac:dyDescent="0.2">
      <c r="A159" s="143"/>
      <c r="B159" s="32"/>
      <c r="C159" s="35"/>
      <c r="D159" s="102"/>
      <c r="E159" s="15"/>
      <c r="F159" s="9"/>
      <c r="G159" s="9"/>
      <c r="H159" s="9"/>
      <c r="I159" s="77"/>
      <c r="J159" s="9">
        <v>25000</v>
      </c>
      <c r="K159" s="9" t="s">
        <v>3454</v>
      </c>
    </row>
    <row r="160" spans="1:11" ht="19" x14ac:dyDescent="0.2">
      <c r="A160" s="148"/>
      <c r="B160" s="145"/>
      <c r="C160" s="151"/>
      <c r="D160" s="160"/>
      <c r="E160" s="150"/>
      <c r="F160" s="139"/>
      <c r="G160" s="139"/>
      <c r="H160" s="139"/>
      <c r="I160" s="165"/>
      <c r="J160" s="139">
        <v>75000</v>
      </c>
      <c r="K160" s="139" t="s">
        <v>1491</v>
      </c>
    </row>
    <row r="161" spans="1:11" ht="19" x14ac:dyDescent="0.2">
      <c r="A161" s="142"/>
      <c r="B161" s="32"/>
      <c r="C161" s="35"/>
      <c r="D161" s="102"/>
      <c r="E161" s="15"/>
      <c r="F161" s="9"/>
      <c r="G161" s="9"/>
      <c r="H161" s="9"/>
      <c r="I161" s="77"/>
      <c r="J161" s="9">
        <v>37000</v>
      </c>
      <c r="K161" s="9" t="s">
        <v>1493</v>
      </c>
    </row>
    <row r="162" spans="1:11" ht="19" x14ac:dyDescent="0.2">
      <c r="A162" s="144"/>
      <c r="B162" s="145"/>
      <c r="C162" s="159"/>
      <c r="D162" s="147"/>
      <c r="E162" s="150"/>
      <c r="F162" s="139"/>
      <c r="G162" s="139"/>
      <c r="H162" s="139"/>
      <c r="I162" s="165"/>
      <c r="J162" s="139">
        <v>35000</v>
      </c>
      <c r="K162" s="262" t="s">
        <v>1885</v>
      </c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>
        <v>15000</v>
      </c>
      <c r="K163" s="9" t="s">
        <v>1873</v>
      </c>
    </row>
    <row r="164" spans="1:11" ht="19" x14ac:dyDescent="0.2">
      <c r="A164" s="144"/>
      <c r="B164" s="145"/>
      <c r="C164" s="146"/>
      <c r="D164" s="147"/>
      <c r="E164" s="150"/>
      <c r="F164" s="139"/>
      <c r="G164" s="139"/>
      <c r="H164" s="139"/>
      <c r="I164" s="165"/>
      <c r="J164" s="139">
        <v>65000</v>
      </c>
      <c r="K164" s="139" t="s">
        <v>3455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75000</v>
      </c>
      <c r="K165" s="9" t="s">
        <v>2727</v>
      </c>
    </row>
    <row r="166" spans="1:11" ht="19" x14ac:dyDescent="0.2">
      <c r="A166" s="144"/>
      <c r="B166" s="145"/>
      <c r="C166" s="263"/>
      <c r="D166" s="147"/>
      <c r="E166" s="150"/>
      <c r="F166" s="139"/>
      <c r="G166" s="139"/>
      <c r="H166" s="139"/>
      <c r="I166" s="139"/>
      <c r="J166" s="139">
        <v>75000</v>
      </c>
      <c r="K166" s="139" t="s">
        <v>3456</v>
      </c>
    </row>
    <row r="167" spans="1:11" ht="19" x14ac:dyDescent="0.2">
      <c r="A167" s="143"/>
      <c r="B167" s="153"/>
      <c r="C167" s="154"/>
      <c r="D167" s="155"/>
      <c r="E167" s="164"/>
      <c r="F167" s="119"/>
      <c r="G167" s="119"/>
      <c r="H167" s="119"/>
      <c r="I167" s="119"/>
      <c r="J167" s="119">
        <v>150000</v>
      </c>
      <c r="K167" s="119" t="s">
        <v>3457</v>
      </c>
    </row>
    <row r="168" spans="1:11" ht="19" x14ac:dyDescent="0.2">
      <c r="A168" s="144"/>
      <c r="B168" s="145"/>
      <c r="C168" s="151"/>
      <c r="D168" s="147"/>
      <c r="E168" s="150"/>
      <c r="F168" s="139"/>
      <c r="G168" s="139"/>
      <c r="H168" s="139"/>
      <c r="I168" s="165"/>
      <c r="J168" s="139">
        <v>150000</v>
      </c>
      <c r="K168" s="139" t="s">
        <v>3458</v>
      </c>
    </row>
    <row r="169" spans="1:11" ht="19" x14ac:dyDescent="0.2">
      <c r="A169" s="143"/>
      <c r="B169" s="153"/>
      <c r="C169" s="163"/>
      <c r="D169" s="155"/>
      <c r="E169" s="164"/>
      <c r="F169" s="119"/>
      <c r="G169" s="119"/>
      <c r="H169" s="119"/>
      <c r="I169" s="168"/>
      <c r="J169" s="119">
        <v>100000</v>
      </c>
      <c r="K169" s="119" t="s">
        <v>3459</v>
      </c>
    </row>
    <row r="170" spans="1:11" ht="19" x14ac:dyDescent="0.2">
      <c r="A170" s="144"/>
      <c r="B170" s="145"/>
      <c r="C170" s="151"/>
      <c r="D170" s="147"/>
      <c r="E170" s="150"/>
      <c r="F170" s="139"/>
      <c r="G170" s="139"/>
      <c r="H170" s="139"/>
      <c r="I170" s="165"/>
      <c r="J170" s="139">
        <v>150000</v>
      </c>
      <c r="K170" s="139" t="s">
        <v>3460</v>
      </c>
    </row>
    <row r="171" spans="1:11" ht="19" x14ac:dyDescent="0.2">
      <c r="A171" s="143">
        <v>1721000</v>
      </c>
      <c r="B171" s="153"/>
      <c r="C171" s="163" t="s">
        <v>10</v>
      </c>
      <c r="D171" s="155" t="s">
        <v>3309</v>
      </c>
      <c r="E171" s="164">
        <v>1345000</v>
      </c>
      <c r="F171" s="119">
        <v>171000</v>
      </c>
      <c r="G171" s="119">
        <v>205000</v>
      </c>
      <c r="H171" s="119"/>
      <c r="I171" s="168"/>
      <c r="J171" s="119"/>
      <c r="K171" s="119"/>
    </row>
    <row r="172" spans="1:11" ht="19" x14ac:dyDescent="0.2">
      <c r="A172" s="144">
        <v>2647000</v>
      </c>
      <c r="B172" s="145">
        <v>45560</v>
      </c>
      <c r="C172" s="149" t="s">
        <v>9</v>
      </c>
      <c r="D172" s="147" t="s">
        <v>3329</v>
      </c>
      <c r="E172" s="150">
        <v>1576000</v>
      </c>
      <c r="F172" s="139">
        <v>542000</v>
      </c>
      <c r="G172" s="139">
        <v>529000</v>
      </c>
      <c r="H172" s="139"/>
      <c r="I172" s="139"/>
      <c r="J172" s="139">
        <v>225000</v>
      </c>
      <c r="K172" s="139" t="s">
        <v>2203</v>
      </c>
    </row>
    <row r="173" spans="1:11" ht="19" x14ac:dyDescent="0.2">
      <c r="A173" s="143"/>
      <c r="B173" s="153"/>
      <c r="C173" s="171"/>
      <c r="D173" s="155"/>
      <c r="E173" s="164"/>
      <c r="F173" s="119"/>
      <c r="G173" s="119"/>
      <c r="H173" s="119"/>
      <c r="I173" s="119"/>
      <c r="J173" s="168">
        <v>140000</v>
      </c>
      <c r="K173" s="168" t="s">
        <v>1597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39"/>
      <c r="J174" s="162">
        <v>120000</v>
      </c>
      <c r="K174" s="162" t="s">
        <v>1285</v>
      </c>
    </row>
    <row r="175" spans="1:11" ht="19" x14ac:dyDescent="0.2">
      <c r="A175" s="143"/>
      <c r="B175" s="153"/>
      <c r="C175" s="171"/>
      <c r="D175" s="155"/>
      <c r="E175" s="164"/>
      <c r="F175" s="119"/>
      <c r="G175" s="119"/>
      <c r="H175" s="119"/>
      <c r="I175" s="119"/>
      <c r="J175" s="174">
        <v>192000</v>
      </c>
      <c r="K175" s="174" t="s">
        <v>1245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39"/>
      <c r="J176" s="165">
        <v>99000</v>
      </c>
      <c r="K176" s="165" t="s">
        <v>1693</v>
      </c>
    </row>
    <row r="177" spans="1:11" ht="19" x14ac:dyDescent="0.2">
      <c r="A177" s="143"/>
      <c r="B177" s="153"/>
      <c r="C177" s="171"/>
      <c r="D177" s="155"/>
      <c r="E177" s="164"/>
      <c r="F177" s="119"/>
      <c r="G177" s="119"/>
      <c r="H177" s="119"/>
      <c r="I177" s="119"/>
      <c r="J177" s="168">
        <v>15000</v>
      </c>
      <c r="K177" s="168" t="s">
        <v>3461</v>
      </c>
    </row>
    <row r="178" spans="1:11" ht="19" x14ac:dyDescent="0.2">
      <c r="A178" s="144">
        <v>1483000</v>
      </c>
      <c r="B178" s="145"/>
      <c r="C178" s="149" t="s">
        <v>10</v>
      </c>
      <c r="D178" s="147" t="s">
        <v>3309</v>
      </c>
      <c r="E178" s="150">
        <v>1144000</v>
      </c>
      <c r="F178" s="139">
        <v>247000</v>
      </c>
      <c r="G178" s="139">
        <v>92000</v>
      </c>
      <c r="H178" s="139"/>
      <c r="I178" s="139"/>
      <c r="J178" s="165"/>
      <c r="K178" s="165"/>
    </row>
    <row r="179" spans="1:11" ht="19" x14ac:dyDescent="0.2">
      <c r="A179" s="143">
        <v>2849000</v>
      </c>
      <c r="B179" s="153">
        <v>45561</v>
      </c>
      <c r="C179" s="171" t="s">
        <v>9</v>
      </c>
      <c r="D179" s="155" t="s">
        <v>3329</v>
      </c>
      <c r="E179" s="164">
        <v>1864000</v>
      </c>
      <c r="F179" s="119">
        <v>319000</v>
      </c>
      <c r="G179" s="119">
        <v>666000</v>
      </c>
      <c r="H179" s="119"/>
      <c r="I179" s="119"/>
      <c r="J179" s="119"/>
      <c r="K179" s="119"/>
    </row>
    <row r="180" spans="1:11" ht="19" x14ac:dyDescent="0.2">
      <c r="A180" s="144">
        <v>1456000</v>
      </c>
      <c r="B180" s="145"/>
      <c r="C180" s="149" t="s">
        <v>10</v>
      </c>
      <c r="D180" s="147" t="s">
        <v>3309</v>
      </c>
      <c r="E180" s="150">
        <v>1073000</v>
      </c>
      <c r="F180" s="139">
        <v>0</v>
      </c>
      <c r="G180" s="139">
        <v>383000</v>
      </c>
      <c r="H180" s="139"/>
      <c r="I180" s="139"/>
      <c r="J180" s="165"/>
      <c r="K180" s="165"/>
    </row>
    <row r="181" spans="1:11" ht="19" x14ac:dyDescent="0.2">
      <c r="A181" s="143"/>
      <c r="B181" s="153"/>
      <c r="C181" s="171"/>
      <c r="D181" s="155"/>
      <c r="E181" s="164"/>
      <c r="F181" s="119"/>
      <c r="G181" s="119"/>
      <c r="H181" s="119"/>
      <c r="I181" s="119"/>
      <c r="J181" s="168"/>
      <c r="K181" s="168"/>
    </row>
    <row r="182" spans="1:11" ht="19" x14ac:dyDescent="0.2">
      <c r="A182" s="144">
        <v>2443000</v>
      </c>
      <c r="B182" s="145">
        <v>45562</v>
      </c>
      <c r="C182" s="149" t="s">
        <v>9</v>
      </c>
      <c r="D182" s="147" t="s">
        <v>3329</v>
      </c>
      <c r="E182" s="150">
        <v>1438000</v>
      </c>
      <c r="F182" s="139">
        <v>453000</v>
      </c>
      <c r="G182" s="139">
        <v>552000</v>
      </c>
      <c r="H182" s="139"/>
      <c r="I182" s="139"/>
      <c r="J182" s="165">
        <v>165000</v>
      </c>
      <c r="K182" s="165" t="s">
        <v>1869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19"/>
      <c r="J183" s="168">
        <v>520000</v>
      </c>
      <c r="K183" s="168" t="s">
        <v>1462</v>
      </c>
    </row>
    <row r="184" spans="1:11" ht="19" x14ac:dyDescent="0.2">
      <c r="A184" s="144">
        <v>1896000</v>
      </c>
      <c r="B184" s="145"/>
      <c r="C184" s="149" t="s">
        <v>10</v>
      </c>
      <c r="D184" s="147" t="s">
        <v>3309</v>
      </c>
      <c r="E184" s="150">
        <v>1330000</v>
      </c>
      <c r="F184" s="139">
        <v>32000</v>
      </c>
      <c r="G184" s="139">
        <v>534000</v>
      </c>
      <c r="H184" s="139"/>
      <c r="I184" s="139"/>
      <c r="J184" s="165"/>
      <c r="K184" s="165"/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19"/>
      <c r="J185" s="168"/>
      <c r="K185" s="168"/>
    </row>
    <row r="186" spans="1:11" ht="19" x14ac:dyDescent="0.2">
      <c r="A186" s="144">
        <v>2469000</v>
      </c>
      <c r="B186" s="145">
        <v>45563</v>
      </c>
      <c r="C186" s="149" t="s">
        <v>9</v>
      </c>
      <c r="D186" s="147" t="s">
        <v>2105</v>
      </c>
      <c r="E186" s="150">
        <v>1687000</v>
      </c>
      <c r="F186" s="139">
        <v>97000</v>
      </c>
      <c r="G186" s="139">
        <v>685000</v>
      </c>
      <c r="H186" s="139">
        <v>200000</v>
      </c>
      <c r="I186" s="139" t="s">
        <v>3462</v>
      </c>
      <c r="J186" s="165">
        <v>150000</v>
      </c>
      <c r="K186" s="165" t="s">
        <v>1518</v>
      </c>
    </row>
    <row r="187" spans="1:11" ht="19" x14ac:dyDescent="0.2">
      <c r="A187" s="143">
        <v>2548000</v>
      </c>
      <c r="B187" s="153"/>
      <c r="C187" s="171" t="s">
        <v>10</v>
      </c>
      <c r="D187" s="155" t="s">
        <v>20</v>
      </c>
      <c r="E187" s="164">
        <v>2104000</v>
      </c>
      <c r="F187" s="119">
        <v>290000</v>
      </c>
      <c r="G187" s="119">
        <v>154000</v>
      </c>
      <c r="H187" s="119"/>
      <c r="I187" s="119"/>
      <c r="J187" s="168">
        <v>50000</v>
      </c>
      <c r="K187" s="168" t="s">
        <v>123</v>
      </c>
    </row>
    <row r="188" spans="1:11" ht="19" x14ac:dyDescent="0.2">
      <c r="A188" s="144">
        <v>1586000</v>
      </c>
      <c r="B188" s="145">
        <v>45564</v>
      </c>
      <c r="C188" s="149" t="s">
        <v>9</v>
      </c>
      <c r="D188" s="147" t="s">
        <v>3329</v>
      </c>
      <c r="E188" s="150">
        <v>1005000</v>
      </c>
      <c r="F188" s="139">
        <v>197000</v>
      </c>
      <c r="G188" s="139">
        <v>384000</v>
      </c>
      <c r="H188" s="139"/>
      <c r="I188" s="139"/>
      <c r="J188" s="165">
        <v>27000</v>
      </c>
      <c r="K188" s="165" t="s">
        <v>3463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19"/>
      <c r="J189" s="168">
        <v>33000</v>
      </c>
      <c r="K189" s="168" t="s">
        <v>3464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39"/>
      <c r="J190" s="165">
        <v>133000</v>
      </c>
      <c r="K190" s="165" t="s">
        <v>3465</v>
      </c>
    </row>
    <row r="191" spans="1:11" ht="19" x14ac:dyDescent="0.2">
      <c r="A191" s="143">
        <v>1479000</v>
      </c>
      <c r="B191" s="153"/>
      <c r="C191" s="171" t="s">
        <v>10</v>
      </c>
      <c r="D191" s="155" t="s">
        <v>3309</v>
      </c>
      <c r="E191" s="164">
        <v>1067000</v>
      </c>
      <c r="F191" s="119">
        <v>99000</v>
      </c>
      <c r="G191" s="119">
        <v>313000</v>
      </c>
      <c r="H191" s="119"/>
      <c r="I191" s="119"/>
      <c r="J191" s="168">
        <v>1920000</v>
      </c>
      <c r="K191" s="168" t="s">
        <v>3484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39"/>
      <c r="J192" s="165"/>
      <c r="K192" s="165"/>
    </row>
    <row r="193" spans="1:11" ht="19" x14ac:dyDescent="0.2">
      <c r="A193" s="143">
        <v>1731000</v>
      </c>
      <c r="B193" s="153">
        <v>45565</v>
      </c>
      <c r="C193" s="171" t="s">
        <v>9</v>
      </c>
      <c r="D193" s="155" t="s">
        <v>3329</v>
      </c>
      <c r="E193" s="164">
        <v>947000</v>
      </c>
      <c r="F193" s="119">
        <v>446000</v>
      </c>
      <c r="G193" s="119">
        <v>338000</v>
      </c>
      <c r="H193" s="119"/>
      <c r="I193" s="119"/>
      <c r="J193" s="168">
        <v>47000</v>
      </c>
      <c r="K193" s="168" t="s">
        <v>1493</v>
      </c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>
        <v>67000</v>
      </c>
      <c r="I194" s="139" t="s">
        <v>3466</v>
      </c>
      <c r="J194" s="165">
        <v>76000</v>
      </c>
      <c r="K194" s="165" t="s">
        <v>1491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19"/>
      <c r="J195" s="168">
        <v>25000</v>
      </c>
      <c r="K195" s="168" t="s">
        <v>3467</v>
      </c>
    </row>
    <row r="196" spans="1:11" ht="19" x14ac:dyDescent="0.2">
      <c r="A196" s="144">
        <v>1974000</v>
      </c>
      <c r="B196" s="145"/>
      <c r="C196" s="149" t="s">
        <v>10</v>
      </c>
      <c r="D196" s="147" t="s">
        <v>3309</v>
      </c>
      <c r="E196" s="150">
        <v>1473000</v>
      </c>
      <c r="F196" s="139">
        <v>238000</v>
      </c>
      <c r="G196" s="139">
        <v>263000</v>
      </c>
      <c r="H196" s="139">
        <v>200000</v>
      </c>
      <c r="I196" s="139" t="s">
        <v>3468</v>
      </c>
      <c r="J196" s="165">
        <v>31000</v>
      </c>
      <c r="K196" s="165" t="s">
        <v>3469</v>
      </c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>
        <v>2350000</v>
      </c>
      <c r="I197" s="119" t="s">
        <v>3470</v>
      </c>
      <c r="J197" s="168">
        <v>30000</v>
      </c>
      <c r="K197" s="168" t="s">
        <v>2986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>
        <v>2650000</v>
      </c>
      <c r="I198" s="139" t="s">
        <v>3376</v>
      </c>
      <c r="J198" s="165">
        <v>12000</v>
      </c>
      <c r="K198" s="165" t="s">
        <v>1934</v>
      </c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>
        <v>200000</v>
      </c>
      <c r="I199" s="119" t="s">
        <v>3471</v>
      </c>
      <c r="J199" s="168">
        <v>41000</v>
      </c>
      <c r="K199" s="168" t="s">
        <v>3472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>
        <v>400000</v>
      </c>
      <c r="I200" s="139" t="s">
        <v>3390</v>
      </c>
      <c r="J200" s="165">
        <v>68000</v>
      </c>
      <c r="K200" s="165" t="s">
        <v>3473</v>
      </c>
    </row>
    <row r="201" spans="1:11" ht="46" customHeight="1" x14ac:dyDescent="0.2">
      <c r="A201" s="143"/>
      <c r="B201" s="153"/>
      <c r="C201" s="171"/>
      <c r="D201" s="155"/>
      <c r="E201" s="164"/>
      <c r="F201" s="119"/>
      <c r="G201" s="119"/>
      <c r="H201" s="119">
        <v>4583000</v>
      </c>
      <c r="I201" s="176" t="s">
        <v>3474</v>
      </c>
      <c r="J201" s="168">
        <v>135000</v>
      </c>
      <c r="K201" s="168" t="s">
        <v>1649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/>
      <c r="J202" s="165">
        <v>150000</v>
      </c>
      <c r="K202" s="165" t="s">
        <v>3475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>
        <v>1280000</v>
      </c>
      <c r="I203" s="119" t="s">
        <v>3125</v>
      </c>
      <c r="J203" s="168">
        <v>150000</v>
      </c>
      <c r="K203" s="168" t="s">
        <v>2562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/>
      <c r="J204" s="165">
        <v>192000</v>
      </c>
      <c r="K204" s="165" t="s">
        <v>1245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19"/>
      <c r="J205" s="168">
        <v>140000</v>
      </c>
      <c r="K205" s="168" t="s">
        <v>3476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39"/>
      <c r="J206" s="165">
        <v>90000</v>
      </c>
      <c r="K206" s="165" t="s">
        <v>1536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19"/>
      <c r="J207" s="168">
        <v>73000</v>
      </c>
      <c r="K207" s="168" t="s">
        <v>3477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39"/>
      <c r="J208" s="165">
        <v>11000</v>
      </c>
      <c r="K208" s="165" t="s">
        <v>3478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19"/>
      <c r="J209" s="168">
        <v>16000</v>
      </c>
      <c r="K209" s="168" t="s">
        <v>3479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39"/>
      <c r="J210" s="165">
        <v>2050000</v>
      </c>
      <c r="K210" s="165" t="s">
        <v>3480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19"/>
      <c r="J211" s="168">
        <v>950000</v>
      </c>
      <c r="K211" s="168" t="s">
        <v>3481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39"/>
      <c r="J212" s="165">
        <v>1280000</v>
      </c>
      <c r="K212" s="165" t="s">
        <v>3485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3:K220"/>
  <sheetViews>
    <sheetView workbookViewId="0">
      <selection activeCell="I11" sqref="I11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5.1640625" bestFit="1" customWidth="1"/>
    <col min="5" max="5" width="22" customWidth="1"/>
    <col min="6" max="6" width="25.5" customWidth="1"/>
    <col min="7" max="7" width="25.33203125" customWidth="1"/>
    <col min="8" max="8" width="27.33203125" customWidth="1"/>
    <col min="9" max="9" width="33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18865500</v>
      </c>
      <c r="K4" s="72">
        <f>J4/10820</f>
        <v>1743.5767097966727</v>
      </c>
    </row>
    <row r="5" spans="1:11" ht="24" x14ac:dyDescent="0.3">
      <c r="B5" s="99" t="s">
        <v>3581</v>
      </c>
      <c r="H5" s="73"/>
      <c r="I5" s="71" t="s">
        <v>2315</v>
      </c>
      <c r="J5" s="71">
        <v>18865500</v>
      </c>
      <c r="K5" s="72">
        <f>J5/10820</f>
        <v>1743.5767097966727</v>
      </c>
    </row>
    <row r="6" spans="1:11" ht="24" x14ac:dyDescent="0.3">
      <c r="B6" s="99"/>
      <c r="H6" s="73"/>
      <c r="I6" s="71" t="s">
        <v>178</v>
      </c>
      <c r="J6" s="71">
        <v>9868682</v>
      </c>
      <c r="K6" s="72" t="s">
        <v>3584</v>
      </c>
    </row>
    <row r="7" spans="1:11" ht="26" x14ac:dyDescent="0.3">
      <c r="B7" s="100" t="s">
        <v>3583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SUM(A11:A443)</f>
        <v>147939000</v>
      </c>
      <c r="B10" s="65"/>
      <c r="C10" s="66" t="s">
        <v>13</v>
      </c>
      <c r="D10" s="67"/>
      <c r="E10" s="68">
        <f>SUM(E11:E443)</f>
        <v>99221000</v>
      </c>
      <c r="F10" s="69">
        <f>SUM(F11:F443)</f>
        <v>19700000</v>
      </c>
      <c r="G10" s="69">
        <f>SUM(G11:G430)</f>
        <v>29018000</v>
      </c>
      <c r="H10" s="69">
        <f>SUM(H11:H443)</f>
        <v>40529000</v>
      </c>
      <c r="I10" s="69"/>
      <c r="J10" s="69">
        <f>SUM(J11:J443)</f>
        <v>23448000</v>
      </c>
      <c r="K10" s="69"/>
    </row>
    <row r="11" spans="1:11" ht="19" x14ac:dyDescent="0.2">
      <c r="A11" s="142">
        <v>2220000</v>
      </c>
      <c r="B11" s="32">
        <v>45566</v>
      </c>
      <c r="C11" s="49" t="s">
        <v>9</v>
      </c>
      <c r="D11" s="13" t="s">
        <v>3329</v>
      </c>
      <c r="E11" s="15">
        <v>1481000</v>
      </c>
      <c r="F11" s="9">
        <v>286000</v>
      </c>
      <c r="G11" s="9">
        <v>453000</v>
      </c>
      <c r="H11" s="9">
        <v>460000</v>
      </c>
      <c r="I11" s="9" t="s">
        <v>3576</v>
      </c>
      <c r="J11" s="119"/>
      <c r="K11" s="9"/>
    </row>
    <row r="12" spans="1:11" ht="19" x14ac:dyDescent="0.2">
      <c r="A12" s="144">
        <v>1446000</v>
      </c>
      <c r="B12" s="145"/>
      <c r="C12" s="151" t="s">
        <v>10</v>
      </c>
      <c r="D12" s="147" t="s">
        <v>3309</v>
      </c>
      <c r="E12" s="150">
        <v>1163000</v>
      </c>
      <c r="F12" s="139">
        <v>25000</v>
      </c>
      <c r="G12" s="139">
        <v>258000</v>
      </c>
      <c r="H12" s="152"/>
      <c r="I12" s="296"/>
      <c r="J12" s="139">
        <v>200000</v>
      </c>
      <c r="K12" s="139" t="s">
        <v>2796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75"/>
      <c r="I13" s="174"/>
      <c r="J13" s="119">
        <v>45000</v>
      </c>
      <c r="K13" s="119" t="s">
        <v>1467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150000</v>
      </c>
      <c r="K14" s="139" t="s">
        <v>1710</v>
      </c>
    </row>
    <row r="15" spans="1:11" ht="19" x14ac:dyDescent="0.2">
      <c r="A15" s="143">
        <v>2936000</v>
      </c>
      <c r="B15" s="153">
        <v>45567</v>
      </c>
      <c r="C15" s="163" t="s">
        <v>9</v>
      </c>
      <c r="D15" s="155" t="s">
        <v>3329</v>
      </c>
      <c r="E15" s="164">
        <v>1437000</v>
      </c>
      <c r="F15" s="119">
        <v>915000</v>
      </c>
      <c r="G15" s="119">
        <v>584000</v>
      </c>
      <c r="H15" s="119"/>
      <c r="I15" s="174"/>
      <c r="J15" s="119">
        <v>99000</v>
      </c>
      <c r="K15" s="119" t="s">
        <v>1693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45000</v>
      </c>
      <c r="K16" s="139" t="s">
        <v>3488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14000</v>
      </c>
      <c r="K17" s="119" t="s">
        <v>1659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174000</v>
      </c>
      <c r="K18" s="139" t="s">
        <v>2732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60000</v>
      </c>
      <c r="K19" s="119" t="s">
        <v>1681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75000</v>
      </c>
      <c r="K20" s="139" t="s">
        <v>2924</v>
      </c>
    </row>
    <row r="21" spans="1:11" ht="19" x14ac:dyDescent="0.2">
      <c r="A21" s="143">
        <v>2082000</v>
      </c>
      <c r="B21" s="32"/>
      <c r="C21" s="49" t="s">
        <v>10</v>
      </c>
      <c r="D21" s="13" t="s">
        <v>3309</v>
      </c>
      <c r="E21" s="15">
        <v>1367000</v>
      </c>
      <c r="F21" s="9">
        <v>268000</v>
      </c>
      <c r="G21" s="9">
        <v>447000</v>
      </c>
      <c r="H21" s="9"/>
      <c r="I21" s="9"/>
      <c r="J21" s="9">
        <v>75000</v>
      </c>
      <c r="K21" s="9" t="s">
        <v>3489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/>
      <c r="K22" s="139"/>
    </row>
    <row r="23" spans="1:11" ht="19" x14ac:dyDescent="0.2">
      <c r="A23" s="142">
        <v>2840000</v>
      </c>
      <c r="B23" s="32">
        <v>45568</v>
      </c>
      <c r="C23" s="49" t="s">
        <v>9</v>
      </c>
      <c r="D23" s="13" t="s">
        <v>3329</v>
      </c>
      <c r="E23" s="15">
        <v>1958000</v>
      </c>
      <c r="F23" s="9">
        <v>415000</v>
      </c>
      <c r="G23" s="9">
        <v>467000</v>
      </c>
      <c r="H23" s="9"/>
      <c r="I23" s="9"/>
      <c r="J23" s="9">
        <v>10000</v>
      </c>
      <c r="K23" s="9" t="s">
        <v>3490</v>
      </c>
    </row>
    <row r="24" spans="1:11" ht="19" x14ac:dyDescent="0.2">
      <c r="A24" s="148">
        <v>1803000</v>
      </c>
      <c r="B24" s="145"/>
      <c r="C24" s="149" t="s">
        <v>10</v>
      </c>
      <c r="D24" s="147" t="s">
        <v>3309</v>
      </c>
      <c r="E24" s="150">
        <v>1352000</v>
      </c>
      <c r="F24" s="139">
        <v>294000</v>
      </c>
      <c r="G24" s="139">
        <v>157000</v>
      </c>
      <c r="H24" s="139"/>
      <c r="I24" s="139"/>
      <c r="J24" s="162"/>
      <c r="K24" s="162"/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/>
      <c r="K25" s="119"/>
    </row>
    <row r="26" spans="1:11" ht="19" x14ac:dyDescent="0.2">
      <c r="A26" s="148">
        <v>2637000</v>
      </c>
      <c r="B26" s="145">
        <v>45569</v>
      </c>
      <c r="C26" s="149" t="s">
        <v>9</v>
      </c>
      <c r="D26" s="147" t="s">
        <v>3329</v>
      </c>
      <c r="E26" s="150">
        <v>1816000</v>
      </c>
      <c r="F26" s="139">
        <v>477000</v>
      </c>
      <c r="G26" s="139">
        <v>344000</v>
      </c>
      <c r="H26" s="139"/>
      <c r="I26" s="139"/>
      <c r="J26" s="139">
        <v>87000</v>
      </c>
      <c r="K26" s="139" t="s">
        <v>3491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9">
        <v>15000</v>
      </c>
      <c r="K27" s="106" t="s">
        <v>1873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108000</v>
      </c>
      <c r="K28" s="139" t="s">
        <v>3492</v>
      </c>
    </row>
    <row r="29" spans="1:11" ht="19" x14ac:dyDescent="0.2">
      <c r="A29" s="143">
        <v>1590000</v>
      </c>
      <c r="B29" s="32"/>
      <c r="C29" s="49" t="s">
        <v>10</v>
      </c>
      <c r="D29" s="13" t="s">
        <v>3309</v>
      </c>
      <c r="E29" s="15">
        <v>1162000</v>
      </c>
      <c r="F29" s="174">
        <v>299000</v>
      </c>
      <c r="G29" s="174">
        <v>129000</v>
      </c>
      <c r="H29" s="9"/>
      <c r="I29" s="9"/>
      <c r="J29" s="9"/>
      <c r="K29" s="9"/>
    </row>
    <row r="30" spans="1:11" ht="19" x14ac:dyDescent="0.2">
      <c r="A30" s="144">
        <v>3028000</v>
      </c>
      <c r="B30" s="145">
        <v>45570</v>
      </c>
      <c r="C30" s="149" t="s">
        <v>9</v>
      </c>
      <c r="D30" s="147" t="s">
        <v>3329</v>
      </c>
      <c r="E30" s="150">
        <v>2355000</v>
      </c>
      <c r="F30" s="139">
        <v>185000</v>
      </c>
      <c r="G30" s="139">
        <v>488000</v>
      </c>
      <c r="H30" s="139"/>
      <c r="I30" s="139"/>
      <c r="J30" s="139">
        <v>105000</v>
      </c>
      <c r="K30" s="139" t="s">
        <v>1771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32000</v>
      </c>
      <c r="K31" s="9" t="s">
        <v>3493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200000</v>
      </c>
      <c r="K32" s="139" t="s">
        <v>3494</v>
      </c>
    </row>
    <row r="33" spans="1:11" ht="19" x14ac:dyDescent="0.2">
      <c r="A33" s="143">
        <v>2871000</v>
      </c>
      <c r="B33" s="153"/>
      <c r="C33" s="171" t="s">
        <v>10</v>
      </c>
      <c r="D33" s="155" t="s">
        <v>20</v>
      </c>
      <c r="E33" s="164">
        <v>2240000</v>
      </c>
      <c r="F33" s="119">
        <v>48000</v>
      </c>
      <c r="G33" s="119">
        <v>583000</v>
      </c>
      <c r="H33" s="119"/>
      <c r="I33" s="119"/>
      <c r="J33" s="119">
        <v>25000</v>
      </c>
      <c r="K33" s="119" t="s">
        <v>3495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50000</v>
      </c>
      <c r="K34" s="139" t="s">
        <v>123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200000</v>
      </c>
      <c r="K35" s="9" t="s">
        <v>3494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8000</v>
      </c>
      <c r="K36" s="139" t="s">
        <v>1580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10000</v>
      </c>
      <c r="K37" s="9" t="s">
        <v>1305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23000</v>
      </c>
      <c r="K38" s="139" t="s">
        <v>1533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30000</v>
      </c>
      <c r="K39" s="9" t="s">
        <v>1885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40000</v>
      </c>
      <c r="K40" s="139" t="s">
        <v>3354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47000</v>
      </c>
      <c r="K41" s="9" t="s">
        <v>3496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125000</v>
      </c>
      <c r="K42" s="139" t="s">
        <v>3497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20000</v>
      </c>
      <c r="K43" s="9" t="s">
        <v>3498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/>
      <c r="K44" s="139"/>
    </row>
    <row r="45" spans="1:11" ht="32" x14ac:dyDescent="0.2">
      <c r="A45" s="143">
        <v>1783000</v>
      </c>
      <c r="B45" s="153">
        <v>45571</v>
      </c>
      <c r="C45" s="171" t="s">
        <v>9</v>
      </c>
      <c r="D45" s="155" t="s">
        <v>2105</v>
      </c>
      <c r="E45" s="164">
        <v>1158000</v>
      </c>
      <c r="F45" s="119">
        <v>382000</v>
      </c>
      <c r="G45" s="119">
        <v>243000</v>
      </c>
      <c r="H45" s="119">
        <v>12750000</v>
      </c>
      <c r="I45" s="176" t="s">
        <v>3578</v>
      </c>
      <c r="J45" s="119"/>
      <c r="K45" s="119"/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/>
      <c r="K46" s="139"/>
    </row>
    <row r="47" spans="1:11" ht="19" x14ac:dyDescent="0.2">
      <c r="A47" s="143">
        <v>1769000</v>
      </c>
      <c r="B47" s="153"/>
      <c r="C47" s="171" t="s">
        <v>10</v>
      </c>
      <c r="D47" s="155" t="s">
        <v>3309</v>
      </c>
      <c r="E47" s="164">
        <v>1401000</v>
      </c>
      <c r="F47" s="119">
        <v>192000</v>
      </c>
      <c r="G47" s="119">
        <v>176000</v>
      </c>
      <c r="H47" s="119"/>
      <c r="I47" s="119"/>
      <c r="J47" s="119"/>
      <c r="K47" s="119"/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39"/>
      <c r="J48" s="139"/>
      <c r="K48" s="139"/>
    </row>
    <row r="49" spans="1:11" ht="19" x14ac:dyDescent="0.2">
      <c r="A49" s="143">
        <v>2655000</v>
      </c>
      <c r="B49" s="153">
        <v>45572</v>
      </c>
      <c r="C49" s="171" t="s">
        <v>9</v>
      </c>
      <c r="D49" s="155" t="s">
        <v>3329</v>
      </c>
      <c r="E49" s="164">
        <v>1768000</v>
      </c>
      <c r="F49" s="119">
        <v>549000</v>
      </c>
      <c r="G49" s="119">
        <v>338000</v>
      </c>
      <c r="H49" s="119"/>
      <c r="I49" s="119"/>
      <c r="J49" s="119">
        <v>99000</v>
      </c>
      <c r="K49" s="119" t="s">
        <v>1693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44000</v>
      </c>
      <c r="K50" s="139" t="s">
        <v>3499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40000</v>
      </c>
      <c r="K51" s="119" t="s">
        <v>3500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118000</v>
      </c>
      <c r="K52" s="139" t="s">
        <v>2612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75000</v>
      </c>
      <c r="K53" s="119" t="s">
        <v>3501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200000</v>
      </c>
      <c r="K54" s="139" t="s">
        <v>2796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27000</v>
      </c>
      <c r="K55" s="119" t="s">
        <v>1688</v>
      </c>
    </row>
    <row r="56" spans="1:11" ht="19" x14ac:dyDescent="0.2">
      <c r="A56" s="144">
        <v>2402000</v>
      </c>
      <c r="B56" s="145"/>
      <c r="C56" s="149" t="s">
        <v>10</v>
      </c>
      <c r="D56" s="147" t="s">
        <v>3309</v>
      </c>
      <c r="E56" s="150">
        <v>1465000</v>
      </c>
      <c r="F56" s="139">
        <v>422000</v>
      </c>
      <c r="G56" s="139">
        <v>515000</v>
      </c>
      <c r="H56" s="139"/>
      <c r="I56" s="139"/>
      <c r="J56" s="139"/>
      <c r="K56" s="139"/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/>
      <c r="K57" s="119"/>
    </row>
    <row r="58" spans="1:11" ht="19" x14ac:dyDescent="0.2">
      <c r="A58" s="144">
        <v>2968000</v>
      </c>
      <c r="B58" s="145">
        <v>45573</v>
      </c>
      <c r="C58" s="149" t="s">
        <v>9</v>
      </c>
      <c r="D58" s="147" t="s">
        <v>3329</v>
      </c>
      <c r="E58" s="150">
        <v>1672000</v>
      </c>
      <c r="F58" s="139">
        <v>430000</v>
      </c>
      <c r="G58" s="139">
        <v>866000</v>
      </c>
      <c r="H58" s="139"/>
      <c r="I58" s="139"/>
      <c r="J58" s="139">
        <v>75000</v>
      </c>
      <c r="K58" s="139" t="s">
        <v>1491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12000</v>
      </c>
      <c r="K59" s="119" t="s">
        <v>1934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157"/>
      <c r="I60" s="139"/>
      <c r="J60" s="139">
        <v>106000</v>
      </c>
      <c r="K60" s="139" t="s">
        <v>3502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520000</v>
      </c>
      <c r="K61" s="119" t="s">
        <v>1517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60000</v>
      </c>
      <c r="K62" s="139" t="s">
        <v>1490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24000</v>
      </c>
      <c r="K63" s="119" t="s">
        <v>3445</v>
      </c>
    </row>
    <row r="64" spans="1:11" ht="19" x14ac:dyDescent="0.2">
      <c r="A64" s="144">
        <v>1624000</v>
      </c>
      <c r="B64" s="145"/>
      <c r="C64" s="149" t="s">
        <v>10</v>
      </c>
      <c r="D64" s="147" t="s">
        <v>3309</v>
      </c>
      <c r="E64" s="150">
        <v>1194000</v>
      </c>
      <c r="F64" s="150">
        <v>101000</v>
      </c>
      <c r="G64" s="139">
        <v>329000</v>
      </c>
      <c r="H64" s="139"/>
      <c r="I64" s="139"/>
      <c r="J64" s="139">
        <v>192000</v>
      </c>
      <c r="K64" s="139" t="s">
        <v>1245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120000</v>
      </c>
      <c r="K65" s="119" t="s">
        <v>1285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175000</v>
      </c>
      <c r="K66" s="139" t="s">
        <v>1296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150000</v>
      </c>
      <c r="K67" s="119" t="s">
        <v>1710</v>
      </c>
    </row>
    <row r="68" spans="1:11" ht="19" x14ac:dyDescent="0.2">
      <c r="A68" s="144">
        <v>3262000</v>
      </c>
      <c r="B68" s="145">
        <v>45574</v>
      </c>
      <c r="C68" s="149" t="s">
        <v>9</v>
      </c>
      <c r="D68" s="147" t="s">
        <v>3329</v>
      </c>
      <c r="E68" s="150">
        <v>1802000</v>
      </c>
      <c r="F68" s="139">
        <v>708000</v>
      </c>
      <c r="G68" s="139">
        <v>752000</v>
      </c>
      <c r="H68" s="139">
        <v>3825000</v>
      </c>
      <c r="I68" s="139" t="s">
        <v>3577</v>
      </c>
      <c r="J68" s="139"/>
      <c r="K68" s="139" t="s">
        <v>1517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225000</v>
      </c>
      <c r="K69" s="119" t="s">
        <v>2203</v>
      </c>
    </row>
    <row r="70" spans="1:11" ht="19" x14ac:dyDescent="0.2">
      <c r="A70" s="144">
        <v>1578000</v>
      </c>
      <c r="B70" s="145"/>
      <c r="C70" s="149" t="s">
        <v>10</v>
      </c>
      <c r="D70" s="147" t="s">
        <v>3503</v>
      </c>
      <c r="E70" s="150">
        <v>921000</v>
      </c>
      <c r="F70" s="139">
        <v>374000</v>
      </c>
      <c r="G70" s="139">
        <v>283000</v>
      </c>
      <c r="H70" s="139"/>
      <c r="I70" s="139"/>
      <c r="J70" s="139">
        <v>43000</v>
      </c>
      <c r="K70" s="139" t="s">
        <v>1493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150000</v>
      </c>
      <c r="K71" s="9" t="s">
        <v>3504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230000</v>
      </c>
      <c r="K72" s="139" t="s">
        <v>3505</v>
      </c>
    </row>
    <row r="73" spans="1:11" ht="19" x14ac:dyDescent="0.2">
      <c r="A73" s="143">
        <v>3028000</v>
      </c>
      <c r="B73" s="32">
        <v>45575</v>
      </c>
      <c r="C73" s="49" t="s">
        <v>9</v>
      </c>
      <c r="D73" s="155" t="s">
        <v>3329</v>
      </c>
      <c r="E73" s="15">
        <v>1812000</v>
      </c>
      <c r="F73" s="9">
        <v>457000</v>
      </c>
      <c r="G73" s="9">
        <v>759000</v>
      </c>
      <c r="H73" s="9"/>
      <c r="I73" s="9"/>
      <c r="J73" s="9">
        <v>45000</v>
      </c>
      <c r="K73" s="9" t="s">
        <v>3506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9000</v>
      </c>
      <c r="K74" s="139" t="s">
        <v>1734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133000</v>
      </c>
      <c r="K75" s="119" t="s">
        <v>3507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120000</v>
      </c>
      <c r="K76" s="139" t="s">
        <v>1668</v>
      </c>
    </row>
    <row r="77" spans="1:11" ht="19" x14ac:dyDescent="0.2">
      <c r="A77" s="143">
        <v>1893000</v>
      </c>
      <c r="B77" s="32"/>
      <c r="C77" s="49" t="s">
        <v>10</v>
      </c>
      <c r="D77" s="13" t="s">
        <v>3309</v>
      </c>
      <c r="E77" s="15">
        <v>1521000</v>
      </c>
      <c r="F77" s="9">
        <v>235000</v>
      </c>
      <c r="G77" s="9">
        <v>137000</v>
      </c>
      <c r="H77" s="60"/>
      <c r="I77" s="60"/>
      <c r="J77" s="9">
        <v>742000</v>
      </c>
      <c r="K77" s="9" t="s">
        <v>3508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/>
      <c r="K78" s="139"/>
    </row>
    <row r="79" spans="1:11" ht="19" x14ac:dyDescent="0.2">
      <c r="A79" s="143">
        <v>2748000</v>
      </c>
      <c r="B79" s="153">
        <v>45576</v>
      </c>
      <c r="C79" s="171" t="s">
        <v>9</v>
      </c>
      <c r="D79" s="155" t="s">
        <v>3329</v>
      </c>
      <c r="E79" s="164">
        <v>1443000</v>
      </c>
      <c r="F79" s="119">
        <v>377000</v>
      </c>
      <c r="G79" s="119">
        <v>928000</v>
      </c>
      <c r="H79" s="174"/>
      <c r="I79" s="174"/>
      <c r="J79" s="119">
        <v>134000</v>
      </c>
      <c r="K79" s="119" t="s">
        <v>3509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52">
        <v>1395000</v>
      </c>
      <c r="I80" s="152" t="s">
        <v>3580</v>
      </c>
      <c r="J80" s="139">
        <v>35000</v>
      </c>
      <c r="K80" s="139" t="s">
        <v>3463</v>
      </c>
    </row>
    <row r="81" spans="1:11" ht="19" x14ac:dyDescent="0.2">
      <c r="A81" s="143">
        <v>1564000</v>
      </c>
      <c r="B81" s="153"/>
      <c r="C81" s="171" t="s">
        <v>10</v>
      </c>
      <c r="D81" s="155" t="s">
        <v>3503</v>
      </c>
      <c r="E81" s="164">
        <v>1199000</v>
      </c>
      <c r="F81" s="119">
        <v>133000</v>
      </c>
      <c r="G81" s="119">
        <v>232000</v>
      </c>
      <c r="H81" s="119"/>
      <c r="I81" s="119"/>
      <c r="J81" s="119">
        <v>200000</v>
      </c>
      <c r="K81" s="119" t="s">
        <v>2796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150000</v>
      </c>
      <c r="K82" s="139" t="s">
        <v>3344</v>
      </c>
    </row>
    <row r="83" spans="1:11" ht="19" x14ac:dyDescent="0.2">
      <c r="A83" s="143">
        <v>2120000</v>
      </c>
      <c r="B83" s="153">
        <v>45577</v>
      </c>
      <c r="C83" s="171" t="s">
        <v>9</v>
      </c>
      <c r="D83" s="155" t="s">
        <v>2105</v>
      </c>
      <c r="E83" s="15">
        <v>1285000</v>
      </c>
      <c r="F83" s="9">
        <v>352000</v>
      </c>
      <c r="G83" s="9">
        <v>483000</v>
      </c>
      <c r="H83" s="9"/>
      <c r="I83" s="9"/>
      <c r="J83" s="9">
        <v>25000</v>
      </c>
      <c r="K83" s="9" t="s">
        <v>3510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>
        <v>200000</v>
      </c>
      <c r="I84" s="162" t="s">
        <v>3511</v>
      </c>
      <c r="J84" s="139">
        <v>192000</v>
      </c>
      <c r="K84" s="139" t="s">
        <v>1245</v>
      </c>
    </row>
    <row r="85" spans="1:11" ht="19" x14ac:dyDescent="0.2">
      <c r="A85" s="143"/>
      <c r="B85" s="153"/>
      <c r="C85" s="171"/>
      <c r="D85" s="155"/>
      <c r="E85" s="15"/>
      <c r="F85" s="9"/>
      <c r="G85" s="9"/>
      <c r="H85" s="106"/>
      <c r="I85" s="106"/>
      <c r="J85" s="9">
        <v>175000</v>
      </c>
      <c r="K85" s="9" t="s">
        <v>1296</v>
      </c>
    </row>
    <row r="86" spans="1:11" ht="19" x14ac:dyDescent="0.2">
      <c r="A86" s="144">
        <v>1556000</v>
      </c>
      <c r="B86" s="145"/>
      <c r="C86" s="149" t="s">
        <v>10</v>
      </c>
      <c r="D86" s="147" t="s">
        <v>3512</v>
      </c>
      <c r="E86" s="150">
        <v>1071000</v>
      </c>
      <c r="F86" s="139">
        <v>25000</v>
      </c>
      <c r="G86" s="139">
        <v>460000</v>
      </c>
      <c r="H86" s="162">
        <v>300000</v>
      </c>
      <c r="I86" s="162" t="s">
        <v>3513</v>
      </c>
      <c r="J86" s="139">
        <v>50000</v>
      </c>
      <c r="K86" s="139" t="s">
        <v>123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75"/>
      <c r="I87" s="175"/>
      <c r="J87" s="9">
        <v>215000</v>
      </c>
      <c r="K87" s="119" t="s">
        <v>3514</v>
      </c>
    </row>
    <row r="88" spans="1:11" ht="19" x14ac:dyDescent="0.2">
      <c r="A88" s="144">
        <v>1605000</v>
      </c>
      <c r="B88" s="145">
        <v>45578</v>
      </c>
      <c r="C88" s="149" t="s">
        <v>9</v>
      </c>
      <c r="D88" s="147" t="s">
        <v>3329</v>
      </c>
      <c r="E88" s="150">
        <v>937000</v>
      </c>
      <c r="F88" s="139">
        <v>291000</v>
      </c>
      <c r="G88" s="139">
        <v>377000</v>
      </c>
      <c r="H88" s="152"/>
      <c r="I88" s="152"/>
      <c r="J88" s="152"/>
      <c r="K88" s="152"/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60"/>
      <c r="I89" s="60"/>
      <c r="J89" s="119"/>
      <c r="K89" s="119"/>
    </row>
    <row r="90" spans="1:11" ht="19" x14ac:dyDescent="0.2">
      <c r="A90" s="144">
        <v>2162000</v>
      </c>
      <c r="B90" s="145"/>
      <c r="C90" s="149" t="s">
        <v>10</v>
      </c>
      <c r="D90" s="147" t="s">
        <v>3309</v>
      </c>
      <c r="E90" s="150">
        <v>1059000</v>
      </c>
      <c r="F90" s="139">
        <v>452000</v>
      </c>
      <c r="G90" s="139">
        <v>651000</v>
      </c>
      <c r="H90" s="152"/>
      <c r="I90" s="152"/>
      <c r="J90" s="139">
        <v>180000</v>
      </c>
      <c r="K90" s="139" t="s">
        <v>1838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107000</v>
      </c>
      <c r="K91" s="9" t="s">
        <v>3515</v>
      </c>
    </row>
    <row r="92" spans="1:11" ht="19" x14ac:dyDescent="0.2">
      <c r="A92" s="144">
        <v>2472000</v>
      </c>
      <c r="B92" s="145">
        <v>45579</v>
      </c>
      <c r="C92" s="149" t="s">
        <v>9</v>
      </c>
      <c r="D92" s="147" t="s">
        <v>3329</v>
      </c>
      <c r="E92" s="150">
        <v>1677000</v>
      </c>
      <c r="F92" s="139">
        <v>394000</v>
      </c>
      <c r="G92" s="139">
        <v>401000</v>
      </c>
      <c r="H92" s="152"/>
      <c r="I92" s="152"/>
      <c r="J92" s="139">
        <v>22000</v>
      </c>
      <c r="K92" s="139" t="s">
        <v>3516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75"/>
      <c r="I93" s="9"/>
      <c r="J93" s="9">
        <v>150000</v>
      </c>
      <c r="K93" s="9" t="s">
        <v>2584</v>
      </c>
    </row>
    <row r="94" spans="1:11" ht="19" x14ac:dyDescent="0.2">
      <c r="A94" s="144">
        <v>2738000</v>
      </c>
      <c r="B94" s="145"/>
      <c r="C94" s="149" t="s">
        <v>10</v>
      </c>
      <c r="D94" s="147" t="s">
        <v>3517</v>
      </c>
      <c r="E94" s="150">
        <v>1853000</v>
      </c>
      <c r="F94" s="139">
        <v>427000</v>
      </c>
      <c r="G94" s="139">
        <v>458000</v>
      </c>
      <c r="H94" s="139"/>
      <c r="I94" s="139"/>
      <c r="J94" s="139">
        <v>495000</v>
      </c>
      <c r="K94" s="139" t="s">
        <v>3518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9">
        <v>150000</v>
      </c>
      <c r="K95" s="9" t="s">
        <v>3519</v>
      </c>
    </row>
    <row r="96" spans="1:11" ht="19" x14ac:dyDescent="0.2">
      <c r="A96" s="144">
        <v>3607000</v>
      </c>
      <c r="B96" s="145">
        <v>45580</v>
      </c>
      <c r="C96" s="149" t="s">
        <v>9</v>
      </c>
      <c r="D96" s="147" t="s">
        <v>3329</v>
      </c>
      <c r="E96" s="150">
        <v>2391000</v>
      </c>
      <c r="F96" s="139">
        <v>478000</v>
      </c>
      <c r="G96" s="139">
        <v>738000</v>
      </c>
      <c r="H96" s="139">
        <v>2775000</v>
      </c>
      <c r="I96" s="139" t="s">
        <v>3520</v>
      </c>
      <c r="J96" s="139">
        <v>53000</v>
      </c>
      <c r="K96" s="139" t="s">
        <v>3521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9">
        <v>2521000</v>
      </c>
      <c r="I97" s="9" t="s">
        <v>3376</v>
      </c>
      <c r="J97" s="9">
        <v>36000</v>
      </c>
      <c r="K97" s="9" t="s">
        <v>3522</v>
      </c>
    </row>
    <row r="98" spans="1:11" ht="19" x14ac:dyDescent="0.2">
      <c r="A98" s="144">
        <v>2412000</v>
      </c>
      <c r="B98" s="145"/>
      <c r="C98" s="159" t="s">
        <v>1787</v>
      </c>
      <c r="D98" s="147" t="s">
        <v>3309</v>
      </c>
      <c r="E98" s="150">
        <v>1870000</v>
      </c>
      <c r="F98" s="139">
        <v>355000</v>
      </c>
      <c r="G98" s="139">
        <v>187000</v>
      </c>
      <c r="H98" s="139">
        <v>376000</v>
      </c>
      <c r="I98" s="139" t="s">
        <v>3523</v>
      </c>
      <c r="J98" s="139">
        <v>75000</v>
      </c>
      <c r="K98" s="139" t="s">
        <v>1491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>
        <v>126000</v>
      </c>
      <c r="I99" s="119" t="s">
        <v>3524</v>
      </c>
      <c r="J99" s="119">
        <v>35000</v>
      </c>
      <c r="K99" s="119" t="s">
        <v>1885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15000</v>
      </c>
      <c r="K100" s="139" t="s">
        <v>1873</v>
      </c>
    </row>
    <row r="101" spans="1:11" ht="19" x14ac:dyDescent="0.2">
      <c r="A101" s="143">
        <v>3003000</v>
      </c>
      <c r="B101" s="153">
        <v>45581</v>
      </c>
      <c r="C101" s="171" t="s">
        <v>9</v>
      </c>
      <c r="D101" s="155" t="s">
        <v>3386</v>
      </c>
      <c r="E101" s="15">
        <v>1595000</v>
      </c>
      <c r="F101" s="119">
        <v>638000</v>
      </c>
      <c r="G101" s="119">
        <v>770000</v>
      </c>
      <c r="H101" s="119"/>
      <c r="I101" s="119"/>
      <c r="J101" s="119">
        <v>34000</v>
      </c>
      <c r="K101" s="119" t="s">
        <v>3034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66000</v>
      </c>
      <c r="K102" s="139" t="s">
        <v>974</v>
      </c>
    </row>
    <row r="103" spans="1:11" ht="19" x14ac:dyDescent="0.2">
      <c r="A103" s="143">
        <v>2931000</v>
      </c>
      <c r="B103" s="153"/>
      <c r="C103" s="171" t="s">
        <v>10</v>
      </c>
      <c r="D103" s="155" t="s">
        <v>3401</v>
      </c>
      <c r="E103" s="164">
        <v>2390000</v>
      </c>
      <c r="F103" s="119">
        <v>258000</v>
      </c>
      <c r="G103" s="119">
        <v>283000</v>
      </c>
      <c r="H103" s="119"/>
      <c r="I103" s="119"/>
      <c r="J103" s="119">
        <v>150000</v>
      </c>
      <c r="K103" s="119" t="s">
        <v>3525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150000</v>
      </c>
      <c r="K104" s="139" t="s">
        <v>3526</v>
      </c>
    </row>
    <row r="105" spans="1:11" ht="19" x14ac:dyDescent="0.2">
      <c r="A105" s="143">
        <v>3016000</v>
      </c>
      <c r="B105" s="153">
        <v>45582</v>
      </c>
      <c r="C105" s="171" t="s">
        <v>9</v>
      </c>
      <c r="D105" s="155" t="s">
        <v>3386</v>
      </c>
      <c r="E105" s="164">
        <v>2025000</v>
      </c>
      <c r="F105" s="119">
        <v>336000</v>
      </c>
      <c r="G105" s="119">
        <v>655000</v>
      </c>
      <c r="H105" s="119"/>
      <c r="I105" s="119"/>
      <c r="J105" s="119">
        <v>200000</v>
      </c>
      <c r="K105" s="119" t="s">
        <v>3030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45000</v>
      </c>
      <c r="K106" s="139" t="s">
        <v>655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150000</v>
      </c>
      <c r="K107" s="119" t="s">
        <v>827</v>
      </c>
    </row>
    <row r="108" spans="1:11" ht="19" x14ac:dyDescent="0.2">
      <c r="A108" s="148">
        <v>2269000</v>
      </c>
      <c r="B108" s="145"/>
      <c r="C108" s="149" t="s">
        <v>10</v>
      </c>
      <c r="D108" s="160" t="s">
        <v>3528</v>
      </c>
      <c r="E108" s="150">
        <v>1252000</v>
      </c>
      <c r="F108" s="139">
        <v>503000</v>
      </c>
      <c r="G108" s="139">
        <v>514000</v>
      </c>
      <c r="H108" s="139"/>
      <c r="I108" s="139"/>
      <c r="J108" s="139">
        <v>140000</v>
      </c>
      <c r="K108" s="139" t="s">
        <v>651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60000</v>
      </c>
      <c r="K109" s="119" t="s">
        <v>652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192000</v>
      </c>
      <c r="K110" s="139" t="s">
        <v>615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48000</v>
      </c>
      <c r="K111" s="119" t="s">
        <v>640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9000</v>
      </c>
      <c r="K112" s="139" t="s">
        <v>642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138000</v>
      </c>
      <c r="K113" s="119" t="s">
        <v>3529</v>
      </c>
    </row>
    <row r="114" spans="1:11" ht="19" x14ac:dyDescent="0.2">
      <c r="A114" s="144">
        <v>3247000</v>
      </c>
      <c r="B114" s="145">
        <v>45583</v>
      </c>
      <c r="C114" s="149" t="s">
        <v>9</v>
      </c>
      <c r="D114" s="147" t="s">
        <v>3386</v>
      </c>
      <c r="E114" s="150">
        <v>1997000</v>
      </c>
      <c r="F114" s="139">
        <v>332000</v>
      </c>
      <c r="G114" s="139">
        <v>918000</v>
      </c>
      <c r="H114" s="139"/>
      <c r="I114" s="139"/>
      <c r="J114" s="139">
        <v>225000</v>
      </c>
      <c r="K114" s="139" t="s">
        <v>2203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150000</v>
      </c>
      <c r="K115" s="119" t="s">
        <v>3527</v>
      </c>
    </row>
    <row r="116" spans="1:11" ht="19" x14ac:dyDescent="0.2">
      <c r="A116" s="144">
        <v>2784000</v>
      </c>
      <c r="B116" s="145"/>
      <c r="C116" s="149" t="s">
        <v>10</v>
      </c>
      <c r="D116" s="147" t="s">
        <v>3329</v>
      </c>
      <c r="E116" s="150">
        <v>2213000</v>
      </c>
      <c r="F116" s="139">
        <v>224000</v>
      </c>
      <c r="G116" s="139">
        <v>347000</v>
      </c>
      <c r="H116" s="139"/>
      <c r="I116" s="139"/>
      <c r="J116" s="162"/>
      <c r="K116" s="162"/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/>
      <c r="K117" s="174"/>
    </row>
    <row r="118" spans="1:11" ht="19" x14ac:dyDescent="0.2">
      <c r="A118" s="144">
        <v>2836000</v>
      </c>
      <c r="B118" s="145">
        <v>45584</v>
      </c>
      <c r="C118" s="149" t="s">
        <v>9</v>
      </c>
      <c r="D118" s="147" t="s">
        <v>2105</v>
      </c>
      <c r="E118" s="150">
        <v>1757000</v>
      </c>
      <c r="F118" s="139">
        <v>397000</v>
      </c>
      <c r="G118" s="139">
        <v>682000</v>
      </c>
      <c r="H118" s="139">
        <v>200000</v>
      </c>
      <c r="I118" s="139" t="s">
        <v>3530</v>
      </c>
      <c r="J118" s="139"/>
      <c r="K118" s="139"/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/>
      <c r="K119" s="119"/>
    </row>
    <row r="120" spans="1:11" ht="19" x14ac:dyDescent="0.2">
      <c r="A120" s="144">
        <v>2212000</v>
      </c>
      <c r="B120" s="145"/>
      <c r="C120" s="149" t="s">
        <v>10</v>
      </c>
      <c r="D120" s="147" t="s">
        <v>3517</v>
      </c>
      <c r="E120" s="150">
        <v>1530000</v>
      </c>
      <c r="F120" s="139">
        <v>440000</v>
      </c>
      <c r="G120" s="139">
        <v>242000</v>
      </c>
      <c r="H120" s="139"/>
      <c r="I120" s="139"/>
      <c r="J120" s="139"/>
      <c r="K120" s="139"/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/>
      <c r="K121" s="119"/>
    </row>
    <row r="122" spans="1:11" ht="19" x14ac:dyDescent="0.2">
      <c r="A122" s="144">
        <v>2101000</v>
      </c>
      <c r="B122" s="145">
        <v>45585</v>
      </c>
      <c r="C122" s="149" t="s">
        <v>9</v>
      </c>
      <c r="D122" s="147" t="s">
        <v>565</v>
      </c>
      <c r="E122" s="150">
        <v>1455000</v>
      </c>
      <c r="F122" s="139">
        <v>26000</v>
      </c>
      <c r="G122" s="139">
        <v>620000</v>
      </c>
      <c r="H122" s="139"/>
      <c r="I122" s="139"/>
      <c r="J122" s="139">
        <v>50000</v>
      </c>
      <c r="K122" s="139" t="s">
        <v>123</v>
      </c>
    </row>
    <row r="123" spans="1:11" ht="19" x14ac:dyDescent="0.2">
      <c r="A123" s="143">
        <v>1418000</v>
      </c>
      <c r="B123" s="153"/>
      <c r="C123" s="163" t="s">
        <v>10</v>
      </c>
      <c r="D123" s="155" t="s">
        <v>3531</v>
      </c>
      <c r="E123" s="164">
        <v>1033000</v>
      </c>
      <c r="F123" s="119">
        <v>152000</v>
      </c>
      <c r="G123" s="119">
        <v>233000</v>
      </c>
      <c r="H123" s="119"/>
      <c r="I123" s="119"/>
      <c r="J123" s="174">
        <v>75000</v>
      </c>
      <c r="K123" s="174" t="s">
        <v>3532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75000</v>
      </c>
      <c r="K124" s="162" t="s">
        <v>3533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225000</v>
      </c>
      <c r="K125" s="106" t="s">
        <v>2203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90000</v>
      </c>
      <c r="K126" s="162" t="s">
        <v>1789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66000</v>
      </c>
      <c r="K127" s="174" t="s">
        <v>1500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41000</v>
      </c>
      <c r="K128" s="139" t="s">
        <v>1646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42000</v>
      </c>
      <c r="K129" s="174" t="s">
        <v>3534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130000</v>
      </c>
      <c r="K130" s="139" t="s">
        <v>3535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33000</v>
      </c>
      <c r="K131" s="119" t="s">
        <v>3536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13000</v>
      </c>
      <c r="K132" s="139" t="s">
        <v>3537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7000</v>
      </c>
      <c r="K133" s="119" t="s">
        <v>3538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173000</v>
      </c>
      <c r="K134" s="139" t="s">
        <v>2732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67000</v>
      </c>
      <c r="K135" s="119" t="s">
        <v>3539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26000</v>
      </c>
      <c r="K136" s="139" t="s">
        <v>3540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30000</v>
      </c>
      <c r="K137" s="174" t="s">
        <v>1885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50000</v>
      </c>
      <c r="K138" s="162" t="s">
        <v>1449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9000</v>
      </c>
      <c r="K139" s="106" t="s">
        <v>1734</v>
      </c>
    </row>
    <row r="140" spans="1:11" ht="19" x14ac:dyDescent="0.2">
      <c r="A140" s="144">
        <v>2421000</v>
      </c>
      <c r="B140" s="145">
        <v>45586</v>
      </c>
      <c r="C140" s="151" t="s">
        <v>9</v>
      </c>
      <c r="D140" s="147" t="s">
        <v>3329</v>
      </c>
      <c r="E140" s="150">
        <v>1323000</v>
      </c>
      <c r="F140" s="139">
        <v>374000</v>
      </c>
      <c r="G140" s="139">
        <v>724000</v>
      </c>
      <c r="H140" s="139"/>
      <c r="I140" s="152"/>
      <c r="J140" s="162">
        <v>120000</v>
      </c>
      <c r="K140" s="162" t="s">
        <v>1668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60000</v>
      </c>
      <c r="K141" s="174" t="s">
        <v>1490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150000</v>
      </c>
      <c r="K142" s="139" t="s">
        <v>3541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150000</v>
      </c>
      <c r="K143" s="119" t="s">
        <v>3542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200000</v>
      </c>
      <c r="K144" s="139" t="s">
        <v>2796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150000</v>
      </c>
      <c r="K145" s="119" t="s">
        <v>3344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/>
      <c r="K146" s="162"/>
    </row>
    <row r="147" spans="1:11" ht="19" x14ac:dyDescent="0.2">
      <c r="A147" s="143">
        <v>1953000</v>
      </c>
      <c r="B147" s="153"/>
      <c r="C147" s="163" t="s">
        <v>10</v>
      </c>
      <c r="D147" s="155" t="s">
        <v>3309</v>
      </c>
      <c r="E147" s="164">
        <v>1127000</v>
      </c>
      <c r="F147" s="119">
        <v>352000</v>
      </c>
      <c r="G147" s="119">
        <v>474000</v>
      </c>
      <c r="H147" s="119"/>
      <c r="I147" s="119"/>
      <c r="J147" s="119">
        <v>192000</v>
      </c>
      <c r="K147" s="119" t="s">
        <v>1245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175000</v>
      </c>
      <c r="K148" s="139" t="s">
        <v>1296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120000</v>
      </c>
      <c r="K149" s="119" t="s">
        <v>1285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520000</v>
      </c>
      <c r="K150" s="139" t="s">
        <v>1462</v>
      </c>
    </row>
    <row r="151" spans="1:11" ht="19" x14ac:dyDescent="0.2">
      <c r="A151" s="142">
        <v>2591000</v>
      </c>
      <c r="B151" s="153">
        <v>45587</v>
      </c>
      <c r="C151" s="163" t="s">
        <v>9</v>
      </c>
      <c r="D151" s="172" t="s">
        <v>3329</v>
      </c>
      <c r="E151" s="164">
        <v>1535000</v>
      </c>
      <c r="F151" s="119">
        <v>222000</v>
      </c>
      <c r="G151" s="119">
        <v>834000</v>
      </c>
      <c r="H151" s="119"/>
      <c r="I151" s="119"/>
      <c r="J151" s="119">
        <v>14000</v>
      </c>
      <c r="K151" s="119" t="s">
        <v>1582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39000</v>
      </c>
      <c r="K152" s="139" t="s">
        <v>3543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146000</v>
      </c>
      <c r="K153" s="119" t="s">
        <v>3544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12000</v>
      </c>
      <c r="K154" s="139" t="s">
        <v>1934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40000</v>
      </c>
      <c r="K155" s="119" t="s">
        <v>3354</v>
      </c>
    </row>
    <row r="156" spans="1:11" ht="19" x14ac:dyDescent="0.2">
      <c r="A156" s="144">
        <v>1958000</v>
      </c>
      <c r="B156" s="145"/>
      <c r="C156" s="149" t="s">
        <v>10</v>
      </c>
      <c r="D156" s="160" t="s">
        <v>20</v>
      </c>
      <c r="E156" s="150">
        <v>1285000</v>
      </c>
      <c r="F156" s="139">
        <v>341000</v>
      </c>
      <c r="G156" s="139">
        <v>332000</v>
      </c>
      <c r="H156" s="139"/>
      <c r="I156" s="139"/>
      <c r="J156" s="139"/>
      <c r="K156" s="139"/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135000</v>
      </c>
      <c r="K157" s="119" t="s">
        <v>895</v>
      </c>
    </row>
    <row r="158" spans="1:11" ht="19" x14ac:dyDescent="0.2">
      <c r="A158" s="144">
        <v>4586000</v>
      </c>
      <c r="B158" s="145">
        <v>45588</v>
      </c>
      <c r="C158" s="151" t="s">
        <v>9</v>
      </c>
      <c r="D158" s="147" t="s">
        <v>2767</v>
      </c>
      <c r="E158" s="150">
        <v>2748000</v>
      </c>
      <c r="F158" s="139">
        <v>622000</v>
      </c>
      <c r="G158" s="139">
        <v>1216000</v>
      </c>
      <c r="H158" s="139"/>
      <c r="I158" s="298"/>
      <c r="J158" s="139">
        <v>100000</v>
      </c>
      <c r="K158" s="139" t="s">
        <v>3545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/>
      <c r="K159" s="119"/>
    </row>
    <row r="160" spans="1:11" ht="19" x14ac:dyDescent="0.2">
      <c r="A160" s="144">
        <v>1538000</v>
      </c>
      <c r="B160" s="145"/>
      <c r="C160" s="146" t="s">
        <v>10</v>
      </c>
      <c r="D160" s="147" t="s">
        <v>3309</v>
      </c>
      <c r="E160" s="150">
        <v>1024000</v>
      </c>
      <c r="F160" s="139">
        <v>404000</v>
      </c>
      <c r="G160" s="139">
        <v>110000</v>
      </c>
      <c r="H160" s="139"/>
      <c r="I160" s="165"/>
      <c r="J160" s="139"/>
      <c r="K160" s="139"/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6000</v>
      </c>
      <c r="K161" s="9" t="s">
        <v>3546</v>
      </c>
    </row>
    <row r="162" spans="1:11" ht="19" x14ac:dyDescent="0.2">
      <c r="A162" s="294">
        <v>2591000</v>
      </c>
      <c r="B162" s="145">
        <v>45589</v>
      </c>
      <c r="C162" s="151" t="s">
        <v>9</v>
      </c>
      <c r="D162" s="147" t="s">
        <v>3329</v>
      </c>
      <c r="E162" s="150">
        <v>1513000</v>
      </c>
      <c r="F162" s="139">
        <v>294000</v>
      </c>
      <c r="G162" s="139">
        <v>784000</v>
      </c>
      <c r="H162" s="139">
        <v>200000</v>
      </c>
      <c r="I162" s="165" t="s">
        <v>3547</v>
      </c>
      <c r="J162" s="139">
        <v>48000</v>
      </c>
      <c r="K162" s="139" t="s">
        <v>3548</v>
      </c>
    </row>
    <row r="163" spans="1:11" ht="19" x14ac:dyDescent="0.2">
      <c r="A163" s="143"/>
      <c r="B163" s="32"/>
      <c r="C163" s="35"/>
      <c r="D163" s="102"/>
      <c r="E163" s="15"/>
      <c r="F163" s="9"/>
      <c r="G163" s="9"/>
      <c r="H163" s="9"/>
      <c r="I163" s="77"/>
      <c r="J163" s="9">
        <v>50000</v>
      </c>
      <c r="K163" s="9" t="s">
        <v>1449</v>
      </c>
    </row>
    <row r="164" spans="1:11" ht="19" x14ac:dyDescent="0.2">
      <c r="A164" s="148"/>
      <c r="B164" s="145"/>
      <c r="C164" s="151"/>
      <c r="D164" s="160"/>
      <c r="E164" s="150"/>
      <c r="F164" s="139"/>
      <c r="G164" s="139"/>
      <c r="H164" s="139"/>
      <c r="I164" s="165"/>
      <c r="J164" s="139">
        <v>26000</v>
      </c>
      <c r="K164" s="139" t="s">
        <v>3549</v>
      </c>
    </row>
    <row r="165" spans="1:11" ht="19" x14ac:dyDescent="0.2">
      <c r="A165" s="142"/>
      <c r="B165" s="32"/>
      <c r="C165" s="35"/>
      <c r="D165" s="102"/>
      <c r="E165" s="15"/>
      <c r="F165" s="9"/>
      <c r="G165" s="9"/>
      <c r="H165" s="9"/>
      <c r="I165" s="77"/>
      <c r="J165" s="9">
        <v>18000</v>
      </c>
      <c r="K165" s="9" t="s">
        <v>3550</v>
      </c>
    </row>
    <row r="166" spans="1:11" ht="19" x14ac:dyDescent="0.2">
      <c r="A166" s="144">
        <v>1930000</v>
      </c>
      <c r="B166" s="145"/>
      <c r="C166" s="159" t="s">
        <v>10</v>
      </c>
      <c r="D166" s="147" t="s">
        <v>3531</v>
      </c>
      <c r="E166" s="150">
        <v>1381000</v>
      </c>
      <c r="F166" s="139">
        <v>256000</v>
      </c>
      <c r="G166" s="139">
        <v>293000</v>
      </c>
      <c r="H166" s="139"/>
      <c r="I166" s="165"/>
      <c r="J166" s="139">
        <v>150000</v>
      </c>
      <c r="K166" s="262" t="s">
        <v>1710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200000</v>
      </c>
      <c r="K167" s="9" t="s">
        <v>2796</v>
      </c>
    </row>
    <row r="168" spans="1:11" ht="19" x14ac:dyDescent="0.2">
      <c r="A168" s="144">
        <v>3252000</v>
      </c>
      <c r="B168" s="145">
        <v>45590</v>
      </c>
      <c r="C168" s="146" t="s">
        <v>9</v>
      </c>
      <c r="D168" s="147" t="s">
        <v>3329</v>
      </c>
      <c r="E168" s="150">
        <v>1921000</v>
      </c>
      <c r="F168" s="139">
        <v>308000</v>
      </c>
      <c r="G168" s="139">
        <v>1023000</v>
      </c>
      <c r="H168" s="139"/>
      <c r="I168" s="165"/>
      <c r="J168" s="139"/>
      <c r="K168" s="139"/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/>
      <c r="K169" s="9"/>
    </row>
    <row r="170" spans="1:11" ht="19" x14ac:dyDescent="0.2">
      <c r="A170" s="144">
        <v>2130000</v>
      </c>
      <c r="B170" s="145"/>
      <c r="C170" s="263" t="s">
        <v>10</v>
      </c>
      <c r="D170" s="147" t="s">
        <v>20</v>
      </c>
      <c r="E170" s="150">
        <v>1927000</v>
      </c>
      <c r="F170" s="139">
        <v>145000</v>
      </c>
      <c r="G170" s="139">
        <v>58000</v>
      </c>
      <c r="H170" s="139"/>
      <c r="I170" s="139"/>
      <c r="J170" s="139"/>
      <c r="K170" s="139"/>
    </row>
    <row r="171" spans="1:11" ht="19" x14ac:dyDescent="0.2">
      <c r="A171" s="143"/>
      <c r="B171" s="153"/>
      <c r="C171" s="154"/>
      <c r="D171" s="155"/>
      <c r="E171" s="164"/>
      <c r="F171" s="119"/>
      <c r="G171" s="119"/>
      <c r="H171" s="119"/>
      <c r="I171" s="119"/>
      <c r="J171" s="119"/>
      <c r="K171" s="119"/>
    </row>
    <row r="172" spans="1:11" ht="19" x14ac:dyDescent="0.2">
      <c r="A172" s="144">
        <v>3023000</v>
      </c>
      <c r="B172" s="145">
        <v>45591</v>
      </c>
      <c r="C172" s="151" t="s">
        <v>9</v>
      </c>
      <c r="D172" s="147" t="s">
        <v>3329</v>
      </c>
      <c r="E172" s="150">
        <v>2355000</v>
      </c>
      <c r="F172" s="139">
        <v>265000</v>
      </c>
      <c r="G172" s="139">
        <v>403000</v>
      </c>
      <c r="H172" s="139"/>
      <c r="I172" s="165"/>
      <c r="J172" s="139">
        <v>90000</v>
      </c>
      <c r="K172" s="139" t="s">
        <v>3551</v>
      </c>
    </row>
    <row r="173" spans="1:11" ht="19" x14ac:dyDescent="0.2">
      <c r="A173" s="143"/>
      <c r="B173" s="153"/>
      <c r="C173" s="163"/>
      <c r="D173" s="155"/>
      <c r="E173" s="164"/>
      <c r="F173" s="119"/>
      <c r="G173" s="119"/>
      <c r="H173" s="119"/>
      <c r="I173" s="168"/>
      <c r="J173" s="119">
        <v>11000</v>
      </c>
      <c r="K173" s="119" t="s">
        <v>3552</v>
      </c>
    </row>
    <row r="174" spans="1:11" ht="19" x14ac:dyDescent="0.2">
      <c r="A174" s="144"/>
      <c r="B174" s="145"/>
      <c r="C174" s="151"/>
      <c r="D174" s="147"/>
      <c r="E174" s="150"/>
      <c r="F174" s="139"/>
      <c r="G174" s="139"/>
      <c r="H174" s="139"/>
      <c r="I174" s="165"/>
      <c r="J174" s="139"/>
      <c r="K174" s="139" t="s">
        <v>3553</v>
      </c>
    </row>
    <row r="175" spans="1:11" ht="19" x14ac:dyDescent="0.2">
      <c r="A175" s="143">
        <v>2129000</v>
      </c>
      <c r="B175" s="153"/>
      <c r="C175" s="163" t="s">
        <v>10</v>
      </c>
      <c r="D175" s="155" t="s">
        <v>3531</v>
      </c>
      <c r="E175" s="164">
        <v>1638000</v>
      </c>
      <c r="F175" s="119">
        <v>1000</v>
      </c>
      <c r="G175" s="119">
        <v>490000</v>
      </c>
      <c r="H175" s="119"/>
      <c r="I175" s="168"/>
      <c r="J175" s="119"/>
      <c r="K175" s="119"/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39"/>
      <c r="J176" s="139"/>
      <c r="K176" s="139"/>
    </row>
    <row r="177" spans="1:11" ht="19" x14ac:dyDescent="0.2">
      <c r="A177" s="143">
        <v>2321000</v>
      </c>
      <c r="B177" s="153">
        <v>45592</v>
      </c>
      <c r="C177" s="171" t="s">
        <v>9</v>
      </c>
      <c r="D177" s="155" t="s">
        <v>3386</v>
      </c>
      <c r="E177" s="164">
        <v>2005000</v>
      </c>
      <c r="F177" s="119">
        <v>87000</v>
      </c>
      <c r="G177" s="119">
        <v>229000</v>
      </c>
      <c r="H177" s="119"/>
      <c r="I177" s="119"/>
      <c r="J177" s="168">
        <v>50000</v>
      </c>
      <c r="K177" s="168" t="s">
        <v>123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39"/>
      <c r="J178" s="162"/>
      <c r="K178" s="162"/>
    </row>
    <row r="179" spans="1:11" ht="19" x14ac:dyDescent="0.2">
      <c r="A179" s="143">
        <v>1649000</v>
      </c>
      <c r="B179" s="153"/>
      <c r="C179" s="171" t="s">
        <v>10</v>
      </c>
      <c r="D179" s="155" t="s">
        <v>3531</v>
      </c>
      <c r="E179" s="164">
        <v>1373000</v>
      </c>
      <c r="F179" s="119">
        <v>76000</v>
      </c>
      <c r="G179" s="119">
        <v>200000</v>
      </c>
      <c r="H179" s="119"/>
      <c r="I179" s="119"/>
      <c r="J179" s="174"/>
      <c r="K179" s="174"/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39"/>
      <c r="J180" s="165"/>
      <c r="K180" s="165"/>
    </row>
    <row r="181" spans="1:11" ht="19" x14ac:dyDescent="0.2">
      <c r="A181" s="143">
        <v>2926000</v>
      </c>
      <c r="B181" s="153">
        <v>45593</v>
      </c>
      <c r="C181" s="171" t="s">
        <v>9</v>
      </c>
      <c r="D181" s="155" t="s">
        <v>3329</v>
      </c>
      <c r="E181" s="164">
        <v>1965000</v>
      </c>
      <c r="F181" s="119">
        <v>198000</v>
      </c>
      <c r="G181" s="119">
        <v>763000</v>
      </c>
      <c r="H181" s="119"/>
      <c r="I181" s="119"/>
      <c r="J181" s="168">
        <v>30000</v>
      </c>
      <c r="K181" s="168" t="s">
        <v>3554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39"/>
      <c r="J182" s="165">
        <v>49000</v>
      </c>
      <c r="K182" s="165" t="s">
        <v>3555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19"/>
      <c r="J183" s="119">
        <v>139000</v>
      </c>
      <c r="K183" s="119" t="s">
        <v>3556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39"/>
      <c r="J184" s="165">
        <v>25000</v>
      </c>
      <c r="K184" s="165" t="s">
        <v>1859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19"/>
      <c r="J185" s="168">
        <v>21000</v>
      </c>
      <c r="K185" s="168" t="s">
        <v>3557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39"/>
      <c r="J186" s="165">
        <v>150000</v>
      </c>
      <c r="K186" s="165" t="s">
        <v>1518</v>
      </c>
    </row>
    <row r="187" spans="1:11" ht="19" x14ac:dyDescent="0.2">
      <c r="A187" s="143">
        <v>1602000</v>
      </c>
      <c r="B187" s="153"/>
      <c r="C187" s="171" t="s">
        <v>10</v>
      </c>
      <c r="D187" s="155" t="s">
        <v>3309</v>
      </c>
      <c r="E187" s="164">
        <v>1059000</v>
      </c>
      <c r="F187" s="119">
        <v>175000</v>
      </c>
      <c r="G187" s="119">
        <v>368000</v>
      </c>
      <c r="H187" s="119"/>
      <c r="I187" s="119"/>
      <c r="J187" s="168"/>
      <c r="K187" s="168"/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39"/>
      <c r="J188" s="165"/>
      <c r="K188" s="165"/>
    </row>
    <row r="189" spans="1:11" ht="19" x14ac:dyDescent="0.2">
      <c r="A189" s="143">
        <v>2941000</v>
      </c>
      <c r="B189" s="153">
        <v>45594</v>
      </c>
      <c r="C189" s="171" t="s">
        <v>9</v>
      </c>
      <c r="D189" s="155" t="s">
        <v>3329</v>
      </c>
      <c r="E189" s="164">
        <v>2225000</v>
      </c>
      <c r="F189" s="119">
        <v>215000</v>
      </c>
      <c r="G189" s="119">
        <v>501000</v>
      </c>
      <c r="H189" s="119"/>
      <c r="I189" s="119"/>
      <c r="J189" s="168">
        <v>100000</v>
      </c>
      <c r="K189" s="168" t="s">
        <v>3558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39"/>
      <c r="J190" s="165">
        <v>220000</v>
      </c>
      <c r="K190" s="165" t="s">
        <v>3574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19"/>
      <c r="J191" s="168">
        <v>14000</v>
      </c>
      <c r="K191" s="168" t="s">
        <v>1777</v>
      </c>
    </row>
    <row r="192" spans="1:11" ht="19" x14ac:dyDescent="0.2">
      <c r="A192" s="144">
        <v>2054000</v>
      </c>
      <c r="B192" s="145"/>
      <c r="C192" s="149" t="s">
        <v>10</v>
      </c>
      <c r="D192" s="147" t="s">
        <v>20</v>
      </c>
      <c r="E192" s="150">
        <v>1679000</v>
      </c>
      <c r="F192" s="139">
        <v>236000</v>
      </c>
      <c r="G192" s="139">
        <v>139000</v>
      </c>
      <c r="H192" s="139"/>
      <c r="I192" s="139"/>
      <c r="J192" s="165">
        <v>10000</v>
      </c>
      <c r="K192" s="165" t="s">
        <v>3559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19"/>
      <c r="J193" s="168">
        <v>75000</v>
      </c>
      <c r="K193" s="168" t="s">
        <v>3560</v>
      </c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/>
      <c r="I194" s="139"/>
      <c r="J194" s="165">
        <v>75000</v>
      </c>
      <c r="K194" s="165" t="s">
        <v>3561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19"/>
      <c r="J195" s="168">
        <v>135000</v>
      </c>
      <c r="K195" s="168" t="s">
        <v>1649</v>
      </c>
    </row>
    <row r="196" spans="1:11" ht="19" x14ac:dyDescent="0.2">
      <c r="A196" s="144">
        <v>2811000</v>
      </c>
      <c r="B196" s="145">
        <v>45595</v>
      </c>
      <c r="C196" s="149" t="s">
        <v>9</v>
      </c>
      <c r="D196" s="147" t="s">
        <v>2767</v>
      </c>
      <c r="E196" s="150">
        <v>1353000</v>
      </c>
      <c r="F196" s="139">
        <v>952000</v>
      </c>
      <c r="G196" s="139">
        <v>506000</v>
      </c>
      <c r="H196" s="139"/>
      <c r="I196" s="139"/>
      <c r="J196" s="165">
        <v>520000</v>
      </c>
      <c r="K196" s="165" t="s">
        <v>1462</v>
      </c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19"/>
      <c r="J197" s="168">
        <v>120000</v>
      </c>
      <c r="K197" s="168" t="s">
        <v>1668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39"/>
      <c r="J198" s="165">
        <v>120000</v>
      </c>
      <c r="K198" s="165" t="s">
        <v>2199</v>
      </c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/>
      <c r="I199" s="119"/>
      <c r="J199" s="168">
        <v>150000</v>
      </c>
      <c r="K199" s="168" t="s">
        <v>3562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39"/>
      <c r="J200" s="165">
        <v>150000</v>
      </c>
      <c r="K200" s="165" t="s">
        <v>3563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19"/>
      <c r="J201" s="168">
        <v>150000</v>
      </c>
      <c r="K201" s="168" t="s">
        <v>3564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39"/>
      <c r="J202" s="165">
        <v>200000</v>
      </c>
      <c r="K202" s="165" t="s">
        <v>2796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19"/>
      <c r="J203" s="168">
        <v>45000</v>
      </c>
      <c r="K203" s="168" t="s">
        <v>1688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39"/>
      <c r="J204" s="165">
        <v>150000</v>
      </c>
      <c r="K204" s="165" t="s">
        <v>1710</v>
      </c>
    </row>
    <row r="205" spans="1:11" ht="19" x14ac:dyDescent="0.2">
      <c r="A205" s="143">
        <v>1876000</v>
      </c>
      <c r="B205" s="153"/>
      <c r="C205" s="171" t="s">
        <v>10</v>
      </c>
      <c r="D205" s="155" t="s">
        <v>3309</v>
      </c>
      <c r="E205" s="164">
        <v>1617000</v>
      </c>
      <c r="F205" s="119">
        <v>106000</v>
      </c>
      <c r="G205" s="119">
        <v>153000</v>
      </c>
      <c r="H205" s="119"/>
      <c r="I205" s="119"/>
      <c r="J205" s="168">
        <v>196000</v>
      </c>
      <c r="K205" s="168" t="s">
        <v>1245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39"/>
      <c r="J206" s="165">
        <v>120000</v>
      </c>
      <c r="K206" s="165" t="s">
        <v>3565</v>
      </c>
    </row>
    <row r="207" spans="1:11" ht="19" x14ac:dyDescent="0.2">
      <c r="A207" s="143">
        <v>2695000</v>
      </c>
      <c r="B207" s="153">
        <v>45596</v>
      </c>
      <c r="C207" s="171" t="s">
        <v>9</v>
      </c>
      <c r="D207" s="155" t="s">
        <v>3329</v>
      </c>
      <c r="E207" s="164">
        <v>1637000</v>
      </c>
      <c r="F207" s="119">
        <v>249000</v>
      </c>
      <c r="G207" s="119">
        <v>809000</v>
      </c>
      <c r="H207" s="119">
        <v>2350000</v>
      </c>
      <c r="I207" s="119" t="s">
        <v>3566</v>
      </c>
      <c r="J207" s="168">
        <v>66000</v>
      </c>
      <c r="K207" s="168" t="s">
        <v>1600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>
        <v>950000</v>
      </c>
      <c r="I208" s="139" t="s">
        <v>3567</v>
      </c>
      <c r="J208" s="165">
        <v>63000</v>
      </c>
      <c r="K208" s="165" t="s">
        <v>3568</v>
      </c>
    </row>
    <row r="209" spans="1:11" ht="19" x14ac:dyDescent="0.2">
      <c r="A209" s="143">
        <v>1746000</v>
      </c>
      <c r="B209" s="153"/>
      <c r="C209" s="171" t="s">
        <v>10</v>
      </c>
      <c r="D209" s="155" t="s">
        <v>3531</v>
      </c>
      <c r="E209" s="164">
        <v>1454000</v>
      </c>
      <c r="F209" s="119">
        <v>170000</v>
      </c>
      <c r="G209" s="119">
        <v>122000</v>
      </c>
      <c r="H209" s="119">
        <v>1100000</v>
      </c>
      <c r="I209" s="119" t="s">
        <v>3575</v>
      </c>
      <c r="J209" s="168">
        <v>8000</v>
      </c>
      <c r="K209" s="168" t="s">
        <v>1580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>
        <v>800000</v>
      </c>
      <c r="I210" s="139" t="s">
        <v>3569</v>
      </c>
      <c r="J210" s="165">
        <v>10000</v>
      </c>
      <c r="K210" s="165" t="s">
        <v>492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>
        <v>800000</v>
      </c>
      <c r="I211" s="119" t="s">
        <v>3570</v>
      </c>
      <c r="J211" s="168">
        <v>50000</v>
      </c>
      <c r="K211" s="168" t="s">
        <v>1449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>
        <v>450000</v>
      </c>
      <c r="I212" s="139" t="s">
        <v>3571</v>
      </c>
      <c r="J212" s="165">
        <v>495000</v>
      </c>
      <c r="K212" s="165" t="s">
        <v>2866</v>
      </c>
    </row>
    <row r="213" spans="1:11" ht="32" x14ac:dyDescent="0.2">
      <c r="A213" s="143"/>
      <c r="B213" s="153"/>
      <c r="C213" s="171"/>
      <c r="D213" s="155"/>
      <c r="E213" s="164"/>
      <c r="F213" s="119"/>
      <c r="G213" s="119"/>
      <c r="H213" s="119">
        <v>5751000</v>
      </c>
      <c r="I213" s="176" t="s">
        <v>3572</v>
      </c>
      <c r="J213" s="168">
        <v>500000</v>
      </c>
      <c r="K213" s="168" t="s">
        <v>3573</v>
      </c>
    </row>
    <row r="214" spans="1:11" ht="19" x14ac:dyDescent="0.2">
      <c r="A214" s="144"/>
      <c r="B214" s="145"/>
      <c r="C214" s="149"/>
      <c r="D214" s="147"/>
      <c r="E214" s="150"/>
      <c r="F214" s="139"/>
      <c r="G214" s="139"/>
      <c r="H214" s="139">
        <v>1950000</v>
      </c>
      <c r="I214" s="139" t="s">
        <v>3579</v>
      </c>
      <c r="J214" s="165">
        <v>50000</v>
      </c>
      <c r="K214" s="165" t="s">
        <v>1195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>
        <v>1250000</v>
      </c>
      <c r="I215" s="119" t="s">
        <v>3125</v>
      </c>
      <c r="J215" s="168">
        <v>5011000</v>
      </c>
      <c r="K215" s="168" t="s">
        <v>3582</v>
      </c>
    </row>
    <row r="216" spans="1:11" ht="19" x14ac:dyDescent="0.2">
      <c r="A216" s="143"/>
      <c r="B216" s="153"/>
      <c r="C216" s="171"/>
      <c r="D216" s="155"/>
      <c r="E216" s="164"/>
      <c r="F216" s="119"/>
      <c r="G216" s="119"/>
      <c r="H216" s="119"/>
      <c r="I216" s="119"/>
      <c r="J216" s="168"/>
      <c r="K216" s="168"/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19"/>
      <c r="J217" s="168"/>
      <c r="K217" s="168"/>
    </row>
    <row r="218" spans="1:11" ht="19" x14ac:dyDescent="0.2">
      <c r="A218" s="143"/>
      <c r="B218" s="153"/>
      <c r="C218" s="171"/>
      <c r="D218" s="155"/>
      <c r="E218" s="164"/>
      <c r="F218" s="119"/>
      <c r="G218" s="119"/>
      <c r="H218" s="119"/>
      <c r="I218" s="119"/>
      <c r="J218" s="168"/>
      <c r="K218" s="168"/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19"/>
      <c r="J219" s="168"/>
      <c r="K219" s="168"/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39"/>
      <c r="J220" s="165"/>
      <c r="K220" s="16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K191"/>
  <sheetViews>
    <sheetView workbookViewId="0">
      <selection activeCell="K33" sqref="K33"/>
    </sheetView>
  </sheetViews>
  <sheetFormatPr baseColWidth="10" defaultColWidth="11.5" defaultRowHeight="15" x14ac:dyDescent="0.2"/>
  <cols>
    <col min="1" max="1" width="21.83203125" bestFit="1" customWidth="1"/>
    <col min="2" max="2" width="12" customWidth="1"/>
    <col min="3" max="3" width="15" customWidth="1"/>
    <col min="4" max="4" width="17.83203125" bestFit="1" customWidth="1"/>
    <col min="5" max="5" width="20.33203125" bestFit="1" customWidth="1"/>
    <col min="6" max="6" width="23.1640625" customWidth="1"/>
    <col min="7" max="7" width="27.1640625" customWidth="1"/>
    <col min="8" max="8" width="27.33203125" customWidth="1"/>
    <col min="9" max="9" width="38.6640625" customWidth="1"/>
    <col min="10" max="10" width="23" customWidth="1"/>
    <col min="11" max="11" width="29.66406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28724000</v>
      </c>
      <c r="K4" s="72">
        <f>J4/10820</f>
        <v>2654.7134935304989</v>
      </c>
    </row>
    <row r="5" spans="1:11" ht="24" x14ac:dyDescent="0.3">
      <c r="B5" s="99" t="s">
        <v>3656</v>
      </c>
      <c r="H5" s="73"/>
      <c r="I5" s="71" t="s">
        <v>2315</v>
      </c>
      <c r="J5" s="71">
        <v>28724000</v>
      </c>
      <c r="K5" s="72">
        <f>J5/10820</f>
        <v>2654.7134935304989</v>
      </c>
    </row>
    <row r="6" spans="1:11" ht="24" x14ac:dyDescent="0.3">
      <c r="B6" s="99"/>
      <c r="H6" s="73"/>
      <c r="I6" s="71" t="s">
        <v>178</v>
      </c>
      <c r="J6" s="71">
        <v>7731520</v>
      </c>
      <c r="K6" s="72" t="s">
        <v>3658</v>
      </c>
    </row>
    <row r="7" spans="1:11" ht="26" x14ac:dyDescent="0.3">
      <c r="B7" s="100" t="s">
        <v>3657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SUM(A11:A443)</f>
        <v>144043000</v>
      </c>
      <c r="B10" s="65"/>
      <c r="C10" s="66" t="s">
        <v>13</v>
      </c>
      <c r="D10" s="67"/>
      <c r="E10" s="68">
        <f>SUM(E11:E443)</f>
        <v>95983000</v>
      </c>
      <c r="F10" s="69">
        <f>SUM(F11:F443)</f>
        <v>19541000</v>
      </c>
      <c r="G10" s="69">
        <f>SUM(G11:G430)</f>
        <v>28519000</v>
      </c>
      <c r="H10" s="69">
        <f>SUM(H11:H443)</f>
        <v>25989000</v>
      </c>
      <c r="I10" s="69"/>
      <c r="J10" s="69">
        <f>SUM(J11:J443)</f>
        <v>13814000</v>
      </c>
      <c r="K10" s="69"/>
    </row>
    <row r="11" spans="1:11" ht="19" x14ac:dyDescent="0.2">
      <c r="A11" s="144">
        <v>2672000</v>
      </c>
      <c r="B11" s="145">
        <v>45597</v>
      </c>
      <c r="C11" s="151" t="s">
        <v>9</v>
      </c>
      <c r="D11" s="147" t="s">
        <v>3329</v>
      </c>
      <c r="E11" s="150">
        <v>1696000</v>
      </c>
      <c r="F11" s="139">
        <v>431000</v>
      </c>
      <c r="G11" s="139">
        <v>545000</v>
      </c>
      <c r="H11" s="139">
        <v>463000</v>
      </c>
      <c r="I11" s="162" t="s">
        <v>3655</v>
      </c>
      <c r="J11" s="139"/>
      <c r="K11" s="139"/>
    </row>
    <row r="12" spans="1:11" ht="19" x14ac:dyDescent="0.2">
      <c r="A12" s="143">
        <v>2552000</v>
      </c>
      <c r="B12" s="153"/>
      <c r="C12" s="163" t="s">
        <v>10</v>
      </c>
      <c r="D12" s="155" t="s">
        <v>20</v>
      </c>
      <c r="E12" s="164">
        <v>2074000</v>
      </c>
      <c r="F12" s="119">
        <v>209000</v>
      </c>
      <c r="G12" s="119">
        <v>269000</v>
      </c>
      <c r="H12" s="175"/>
      <c r="I12" s="174"/>
      <c r="J12" s="119"/>
      <c r="K12" s="119"/>
    </row>
    <row r="13" spans="1:11" ht="19" x14ac:dyDescent="0.2">
      <c r="A13" s="144"/>
      <c r="B13" s="145"/>
      <c r="C13" s="151"/>
      <c r="D13" s="147"/>
      <c r="E13" s="150"/>
      <c r="F13" s="139"/>
      <c r="G13" s="139"/>
      <c r="H13" s="152"/>
      <c r="I13" s="162"/>
      <c r="J13" s="139"/>
      <c r="K13" s="139"/>
    </row>
    <row r="14" spans="1:11" ht="19" x14ac:dyDescent="0.2">
      <c r="A14" s="143">
        <v>2343000</v>
      </c>
      <c r="B14" s="153">
        <v>45598</v>
      </c>
      <c r="C14" s="163" t="s">
        <v>9</v>
      </c>
      <c r="D14" s="155" t="s">
        <v>3386</v>
      </c>
      <c r="E14" s="164">
        <v>1014000</v>
      </c>
      <c r="F14" s="119">
        <v>991000</v>
      </c>
      <c r="G14" s="119">
        <v>338000</v>
      </c>
      <c r="H14" s="119"/>
      <c r="I14" s="174"/>
      <c r="J14" s="119">
        <v>78000</v>
      </c>
      <c r="K14" s="119" t="s">
        <v>3585</v>
      </c>
    </row>
    <row r="15" spans="1:11" ht="19" x14ac:dyDescent="0.2">
      <c r="A15" s="144"/>
      <c r="B15" s="145"/>
      <c r="C15" s="151"/>
      <c r="D15" s="147"/>
      <c r="E15" s="150"/>
      <c r="F15" s="139"/>
      <c r="G15" s="139"/>
      <c r="H15" s="139"/>
      <c r="I15" s="162"/>
      <c r="J15" s="139">
        <v>15000</v>
      </c>
      <c r="K15" s="139" t="s">
        <v>1873</v>
      </c>
    </row>
    <row r="16" spans="1:11" ht="19" x14ac:dyDescent="0.2">
      <c r="A16" s="143"/>
      <c r="B16" s="153"/>
      <c r="C16" s="163"/>
      <c r="D16" s="155"/>
      <c r="E16" s="164"/>
      <c r="F16" s="119"/>
      <c r="G16" s="119"/>
      <c r="H16" s="119"/>
      <c r="I16" s="174"/>
      <c r="J16" s="119">
        <v>120000</v>
      </c>
      <c r="K16" s="119" t="s">
        <v>1553</v>
      </c>
    </row>
    <row r="17" spans="1:11" ht="19" x14ac:dyDescent="0.2">
      <c r="A17" s="144">
        <v>2697000</v>
      </c>
      <c r="B17" s="145"/>
      <c r="C17" s="151" t="s">
        <v>10</v>
      </c>
      <c r="D17" s="147" t="s">
        <v>3531</v>
      </c>
      <c r="E17" s="150">
        <v>1792000</v>
      </c>
      <c r="F17" s="139">
        <v>518000</v>
      </c>
      <c r="G17" s="139">
        <v>387000</v>
      </c>
      <c r="H17" s="139"/>
      <c r="I17" s="162"/>
      <c r="J17" s="139">
        <v>50000</v>
      </c>
      <c r="K17" s="139" t="s">
        <v>123</v>
      </c>
    </row>
    <row r="18" spans="1:11" ht="19" x14ac:dyDescent="0.2">
      <c r="A18" s="143"/>
      <c r="B18" s="153"/>
      <c r="C18" s="163"/>
      <c r="D18" s="155"/>
      <c r="E18" s="164"/>
      <c r="F18" s="119"/>
      <c r="G18" s="119"/>
      <c r="H18" s="119"/>
      <c r="I18" s="119"/>
      <c r="J18" s="119">
        <v>140000</v>
      </c>
      <c r="K18" s="119" t="s">
        <v>1597</v>
      </c>
    </row>
    <row r="19" spans="1:11" ht="19" x14ac:dyDescent="0.2">
      <c r="A19" s="144">
        <v>1660000</v>
      </c>
      <c r="B19" s="145">
        <v>45599</v>
      </c>
      <c r="C19" s="149" t="s">
        <v>9</v>
      </c>
      <c r="D19" s="147" t="s">
        <v>3329</v>
      </c>
      <c r="E19" s="150">
        <v>1233000</v>
      </c>
      <c r="F19" s="139">
        <v>163000</v>
      </c>
      <c r="G19" s="139">
        <v>264000</v>
      </c>
      <c r="H19" s="139"/>
      <c r="I19" s="139"/>
      <c r="J19" s="139"/>
      <c r="K19" s="139"/>
    </row>
    <row r="20" spans="1:11" ht="19" x14ac:dyDescent="0.2">
      <c r="A20" s="143">
        <v>1480000</v>
      </c>
      <c r="B20" s="32"/>
      <c r="C20" s="49" t="s">
        <v>10</v>
      </c>
      <c r="D20" s="13" t="s">
        <v>3531</v>
      </c>
      <c r="E20" s="15">
        <v>1208000</v>
      </c>
      <c r="F20" s="9">
        <v>151000</v>
      </c>
      <c r="G20" s="9">
        <v>121000</v>
      </c>
      <c r="H20" s="9"/>
      <c r="I20" s="9"/>
      <c r="J20" s="9"/>
      <c r="K20" s="9"/>
    </row>
    <row r="21" spans="1:11" ht="19" x14ac:dyDescent="0.2">
      <c r="A21" s="144"/>
      <c r="B21" s="145"/>
      <c r="C21" s="149"/>
      <c r="D21" s="147"/>
      <c r="E21" s="150"/>
      <c r="F21" s="139"/>
      <c r="G21" s="139"/>
      <c r="H21" s="139"/>
      <c r="I21" s="139"/>
      <c r="J21" s="139"/>
      <c r="K21" s="139"/>
    </row>
    <row r="22" spans="1:11" ht="19" x14ac:dyDescent="0.2">
      <c r="A22" s="142">
        <v>2655000</v>
      </c>
      <c r="B22" s="32">
        <v>45600</v>
      </c>
      <c r="C22" s="49" t="s">
        <v>9</v>
      </c>
      <c r="D22" s="13" t="s">
        <v>3329</v>
      </c>
      <c r="E22" s="15">
        <v>1429000</v>
      </c>
      <c r="F22" s="9">
        <v>817000</v>
      </c>
      <c r="G22" s="9">
        <v>409000</v>
      </c>
      <c r="H22" s="9"/>
      <c r="I22" s="9"/>
      <c r="J22" s="9">
        <v>46000</v>
      </c>
      <c r="K22" s="9" t="s">
        <v>1449</v>
      </c>
    </row>
    <row r="23" spans="1:11" ht="19" x14ac:dyDescent="0.2">
      <c r="A23" s="148"/>
      <c r="B23" s="145"/>
      <c r="C23" s="149"/>
      <c r="D23" s="147"/>
      <c r="E23" s="150"/>
      <c r="F23" s="139"/>
      <c r="G23" s="139"/>
      <c r="H23" s="139"/>
      <c r="I23" s="139"/>
      <c r="J23" s="162">
        <v>26000</v>
      </c>
      <c r="K23" s="162" t="s">
        <v>3586</v>
      </c>
    </row>
    <row r="24" spans="1:11" ht="19" x14ac:dyDescent="0.2">
      <c r="A24" s="142"/>
      <c r="B24" s="153"/>
      <c r="C24" s="171"/>
      <c r="D24" s="155"/>
      <c r="E24" s="164"/>
      <c r="F24" s="119"/>
      <c r="G24" s="119"/>
      <c r="H24" s="119"/>
      <c r="I24" s="119"/>
      <c r="J24" s="119">
        <v>100000</v>
      </c>
      <c r="K24" s="119" t="s">
        <v>3587</v>
      </c>
    </row>
    <row r="25" spans="1:11" ht="19" x14ac:dyDescent="0.2">
      <c r="A25" s="148"/>
      <c r="B25" s="145"/>
      <c r="C25" s="149"/>
      <c r="D25" s="147"/>
      <c r="E25" s="150"/>
      <c r="F25" s="139"/>
      <c r="G25" s="139"/>
      <c r="H25" s="139"/>
      <c r="I25" s="139"/>
      <c r="J25" s="139">
        <v>150000</v>
      </c>
      <c r="K25" s="139" t="s">
        <v>1518</v>
      </c>
    </row>
    <row r="26" spans="1:11" ht="19" x14ac:dyDescent="0.2">
      <c r="A26" s="143"/>
      <c r="B26" s="32"/>
      <c r="C26" s="49"/>
      <c r="D26" s="13"/>
      <c r="E26" s="15"/>
      <c r="F26" s="9"/>
      <c r="G26" s="9"/>
      <c r="H26" s="9"/>
      <c r="I26" s="9"/>
      <c r="J26" s="9">
        <v>150000</v>
      </c>
      <c r="K26" s="106" t="s">
        <v>1710</v>
      </c>
    </row>
    <row r="27" spans="1:11" ht="19" x14ac:dyDescent="0.2">
      <c r="A27" s="144"/>
      <c r="B27" s="145"/>
      <c r="C27" s="149"/>
      <c r="D27" s="147"/>
      <c r="E27" s="150"/>
      <c r="F27" s="139"/>
      <c r="G27" s="139"/>
      <c r="H27" s="139"/>
      <c r="I27" s="139"/>
      <c r="J27" s="139">
        <v>200000</v>
      </c>
      <c r="K27" s="139" t="s">
        <v>2796</v>
      </c>
    </row>
    <row r="28" spans="1:11" ht="19" x14ac:dyDescent="0.2">
      <c r="A28" s="143"/>
      <c r="B28" s="32"/>
      <c r="C28" s="49"/>
      <c r="D28" s="13"/>
      <c r="E28" s="15"/>
      <c r="F28" s="174"/>
      <c r="G28" s="174"/>
      <c r="H28" s="9"/>
      <c r="I28" s="9"/>
      <c r="J28" s="9">
        <v>150000</v>
      </c>
      <c r="K28" s="9" t="s">
        <v>3588</v>
      </c>
    </row>
    <row r="29" spans="1:11" ht="19" x14ac:dyDescent="0.2">
      <c r="A29" s="144">
        <v>1939000</v>
      </c>
      <c r="B29" s="145"/>
      <c r="C29" s="149" t="s">
        <v>10</v>
      </c>
      <c r="D29" s="147" t="s">
        <v>3309</v>
      </c>
      <c r="E29" s="150">
        <v>1437000</v>
      </c>
      <c r="F29" s="139">
        <v>251000</v>
      </c>
      <c r="G29" s="139">
        <v>251000</v>
      </c>
      <c r="H29" s="139"/>
      <c r="I29" s="139"/>
      <c r="J29" s="139">
        <v>140000</v>
      </c>
      <c r="K29" s="139" t="s">
        <v>1597</v>
      </c>
    </row>
    <row r="30" spans="1:11" ht="19" x14ac:dyDescent="0.2">
      <c r="A30" s="143"/>
      <c r="B30" s="32"/>
      <c r="C30" s="49"/>
      <c r="D30" s="13"/>
      <c r="E30" s="15"/>
      <c r="F30" s="9"/>
      <c r="G30" s="9"/>
      <c r="H30" s="9"/>
      <c r="I30" s="119"/>
      <c r="J30" s="9">
        <v>90000</v>
      </c>
      <c r="K30" s="9" t="s">
        <v>1536</v>
      </c>
    </row>
    <row r="31" spans="1:11" ht="19" x14ac:dyDescent="0.2">
      <c r="A31" s="144"/>
      <c r="B31" s="145"/>
      <c r="C31" s="149"/>
      <c r="D31" s="147"/>
      <c r="E31" s="150"/>
      <c r="F31" s="139"/>
      <c r="G31" s="139"/>
      <c r="H31" s="139"/>
      <c r="I31" s="139"/>
      <c r="J31" s="139">
        <v>192000</v>
      </c>
      <c r="K31" s="139" t="s">
        <v>1245</v>
      </c>
    </row>
    <row r="32" spans="1:11" ht="19" x14ac:dyDescent="0.2">
      <c r="A32" s="143">
        <v>3059000</v>
      </c>
      <c r="B32" s="153">
        <v>45601</v>
      </c>
      <c r="C32" s="171" t="s">
        <v>9</v>
      </c>
      <c r="D32" s="155" t="s">
        <v>3329</v>
      </c>
      <c r="E32" s="164">
        <v>2106000</v>
      </c>
      <c r="F32" s="119">
        <v>345000</v>
      </c>
      <c r="G32" s="119">
        <v>608000</v>
      </c>
      <c r="H32" s="119"/>
      <c r="I32" s="119"/>
      <c r="J32" s="119">
        <v>173000</v>
      </c>
      <c r="K32" s="119" t="s">
        <v>3589</v>
      </c>
    </row>
    <row r="33" spans="1:11" ht="19" x14ac:dyDescent="0.2">
      <c r="A33" s="144"/>
      <c r="B33" s="145"/>
      <c r="C33" s="149"/>
      <c r="D33" s="147"/>
      <c r="E33" s="150"/>
      <c r="F33" s="139"/>
      <c r="G33" s="139"/>
      <c r="H33" s="139"/>
      <c r="I33" s="139"/>
      <c r="J33" s="139"/>
      <c r="K33" s="139"/>
    </row>
    <row r="34" spans="1:11" ht="19" x14ac:dyDescent="0.2">
      <c r="A34" s="143">
        <v>2004000</v>
      </c>
      <c r="B34" s="32"/>
      <c r="C34" s="49" t="s">
        <v>10</v>
      </c>
      <c r="D34" s="13" t="s">
        <v>20</v>
      </c>
      <c r="E34" s="15">
        <v>1413000</v>
      </c>
      <c r="F34" s="9">
        <v>397000</v>
      </c>
      <c r="G34" s="9">
        <v>194000</v>
      </c>
      <c r="H34" s="9"/>
      <c r="I34" s="119"/>
      <c r="J34" s="9"/>
      <c r="K34" s="9"/>
    </row>
    <row r="35" spans="1:11" ht="19" x14ac:dyDescent="0.2">
      <c r="A35" s="144"/>
      <c r="B35" s="145"/>
      <c r="C35" s="149"/>
      <c r="D35" s="147"/>
      <c r="E35" s="150"/>
      <c r="F35" s="139"/>
      <c r="G35" s="139"/>
      <c r="H35" s="139"/>
      <c r="I35" s="139"/>
      <c r="J35" s="139"/>
      <c r="K35" s="139"/>
    </row>
    <row r="36" spans="1:11" ht="19" x14ac:dyDescent="0.2">
      <c r="A36" s="143">
        <v>3055000</v>
      </c>
      <c r="B36" s="32">
        <v>45602</v>
      </c>
      <c r="C36" s="49" t="s">
        <v>9</v>
      </c>
      <c r="D36" s="13" t="s">
        <v>3329</v>
      </c>
      <c r="E36" s="15">
        <v>1899000</v>
      </c>
      <c r="F36" s="9">
        <v>637000</v>
      </c>
      <c r="G36" s="9">
        <v>519000</v>
      </c>
      <c r="H36" s="9"/>
      <c r="I36" s="119"/>
      <c r="J36" s="9"/>
      <c r="K36" s="9"/>
    </row>
    <row r="37" spans="1:11" ht="19" x14ac:dyDescent="0.2">
      <c r="A37" s="144">
        <v>1648000</v>
      </c>
      <c r="B37" s="145"/>
      <c r="C37" s="149" t="s">
        <v>10</v>
      </c>
      <c r="D37" s="147" t="s">
        <v>3309</v>
      </c>
      <c r="E37" s="150">
        <v>1414000</v>
      </c>
      <c r="F37" s="139">
        <v>20000</v>
      </c>
      <c r="G37" s="139">
        <v>214000</v>
      </c>
      <c r="H37" s="139"/>
      <c r="I37" s="139"/>
      <c r="J37" s="139"/>
      <c r="K37" s="139"/>
    </row>
    <row r="38" spans="1:11" ht="19" x14ac:dyDescent="0.2">
      <c r="A38" s="143"/>
      <c r="B38" s="32"/>
      <c r="C38" s="49"/>
      <c r="D38" s="13"/>
      <c r="E38" s="15"/>
      <c r="F38" s="9"/>
      <c r="G38" s="9"/>
      <c r="H38" s="9"/>
      <c r="I38" s="119"/>
      <c r="J38" s="9"/>
      <c r="K38" s="9"/>
    </row>
    <row r="39" spans="1:11" ht="19" x14ac:dyDescent="0.2">
      <c r="A39" s="144">
        <v>3191000</v>
      </c>
      <c r="B39" s="145">
        <v>45603</v>
      </c>
      <c r="C39" s="149" t="s">
        <v>9</v>
      </c>
      <c r="D39" s="147" t="s">
        <v>3329</v>
      </c>
      <c r="E39" s="150">
        <v>1842000</v>
      </c>
      <c r="F39" s="139">
        <v>316000</v>
      </c>
      <c r="G39" s="139">
        <v>1033000</v>
      </c>
      <c r="H39" s="139">
        <v>280000</v>
      </c>
      <c r="I39" s="139" t="s">
        <v>1800</v>
      </c>
      <c r="J39" s="139">
        <v>42000</v>
      </c>
      <c r="K39" s="139" t="s">
        <v>3590</v>
      </c>
    </row>
    <row r="40" spans="1:11" ht="19" x14ac:dyDescent="0.2">
      <c r="A40" s="143"/>
      <c r="B40" s="32"/>
      <c r="C40" s="49"/>
      <c r="D40" s="13"/>
      <c r="E40" s="15"/>
      <c r="F40" s="9"/>
      <c r="G40" s="9"/>
      <c r="H40" s="9"/>
      <c r="I40" s="119"/>
      <c r="J40" s="9">
        <v>132000</v>
      </c>
      <c r="K40" s="9" t="s">
        <v>2015</v>
      </c>
    </row>
    <row r="41" spans="1:11" ht="19" x14ac:dyDescent="0.2">
      <c r="A41" s="144"/>
      <c r="B41" s="145"/>
      <c r="C41" s="149"/>
      <c r="D41" s="147"/>
      <c r="E41" s="150"/>
      <c r="F41" s="139"/>
      <c r="G41" s="139"/>
      <c r="H41" s="139"/>
      <c r="I41" s="139"/>
      <c r="J41" s="139">
        <v>15000</v>
      </c>
      <c r="K41" s="139" t="s">
        <v>3591</v>
      </c>
    </row>
    <row r="42" spans="1:11" ht="19" x14ac:dyDescent="0.2">
      <c r="A42" s="143"/>
      <c r="B42" s="32"/>
      <c r="C42" s="49"/>
      <c r="D42" s="13"/>
      <c r="E42" s="15"/>
      <c r="F42" s="9"/>
      <c r="G42" s="9"/>
      <c r="H42" s="9"/>
      <c r="I42" s="119"/>
      <c r="J42" s="9">
        <v>225000</v>
      </c>
      <c r="K42" s="9" t="s">
        <v>2203</v>
      </c>
    </row>
    <row r="43" spans="1:11" ht="19" x14ac:dyDescent="0.2">
      <c r="A43" s="144">
        <v>1497000</v>
      </c>
      <c r="B43" s="145"/>
      <c r="C43" s="149" t="s">
        <v>10</v>
      </c>
      <c r="D43" s="147" t="s">
        <v>3309</v>
      </c>
      <c r="E43" s="150">
        <v>1122000</v>
      </c>
      <c r="F43" s="139">
        <v>190000</v>
      </c>
      <c r="G43" s="139">
        <v>185000</v>
      </c>
      <c r="H43" s="139"/>
      <c r="I43" s="139"/>
      <c r="J43" s="139">
        <v>29000</v>
      </c>
      <c r="K43" s="139" t="s">
        <v>3592</v>
      </c>
    </row>
    <row r="44" spans="1:11" ht="19" x14ac:dyDescent="0.2">
      <c r="A44" s="143"/>
      <c r="B44" s="153"/>
      <c r="C44" s="171"/>
      <c r="D44" s="155"/>
      <c r="E44" s="164"/>
      <c r="F44" s="119"/>
      <c r="G44" s="119"/>
      <c r="H44" s="119"/>
      <c r="I44" s="119"/>
      <c r="J44" s="119">
        <v>94000</v>
      </c>
      <c r="K44" s="119" t="s">
        <v>3593</v>
      </c>
    </row>
    <row r="45" spans="1:11" ht="19" x14ac:dyDescent="0.2">
      <c r="A45" s="144"/>
      <c r="B45" s="145"/>
      <c r="C45" s="149"/>
      <c r="D45" s="147"/>
      <c r="E45" s="150"/>
      <c r="F45" s="139"/>
      <c r="G45" s="139"/>
      <c r="H45" s="139"/>
      <c r="I45" s="139"/>
      <c r="J45" s="139">
        <v>50000</v>
      </c>
      <c r="K45" s="139" t="s">
        <v>1859</v>
      </c>
    </row>
    <row r="46" spans="1:11" ht="19" x14ac:dyDescent="0.2">
      <c r="A46" s="143"/>
      <c r="B46" s="153"/>
      <c r="C46" s="171"/>
      <c r="D46" s="155"/>
      <c r="E46" s="164"/>
      <c r="F46" s="119"/>
      <c r="G46" s="119"/>
      <c r="H46" s="119"/>
      <c r="I46" s="119"/>
      <c r="J46" s="119">
        <v>28000</v>
      </c>
      <c r="K46" s="119" t="s">
        <v>1524</v>
      </c>
    </row>
    <row r="47" spans="1:11" ht="19" x14ac:dyDescent="0.2">
      <c r="A47" s="144"/>
      <c r="B47" s="145"/>
      <c r="C47" s="149"/>
      <c r="D47" s="147"/>
      <c r="E47" s="150"/>
      <c r="F47" s="139"/>
      <c r="G47" s="139"/>
      <c r="H47" s="139"/>
      <c r="I47" s="139"/>
      <c r="J47" s="139">
        <v>35000</v>
      </c>
      <c r="K47" s="139" t="s">
        <v>1885</v>
      </c>
    </row>
    <row r="48" spans="1:11" ht="19" x14ac:dyDescent="0.2">
      <c r="A48" s="143"/>
      <c r="B48" s="153"/>
      <c r="C48" s="171"/>
      <c r="D48" s="155"/>
      <c r="E48" s="164"/>
      <c r="F48" s="119"/>
      <c r="G48" s="119"/>
      <c r="H48" s="119"/>
      <c r="I48" s="119"/>
      <c r="J48" s="119">
        <v>21000</v>
      </c>
      <c r="K48" s="119" t="s">
        <v>3594</v>
      </c>
    </row>
    <row r="49" spans="1:11" ht="19" x14ac:dyDescent="0.2">
      <c r="A49" s="144"/>
      <c r="B49" s="145"/>
      <c r="C49" s="149"/>
      <c r="D49" s="147"/>
      <c r="E49" s="150"/>
      <c r="F49" s="139"/>
      <c r="G49" s="139"/>
      <c r="H49" s="139"/>
      <c r="I49" s="139"/>
      <c r="J49" s="139">
        <v>15000</v>
      </c>
      <c r="K49" s="139" t="s">
        <v>1873</v>
      </c>
    </row>
    <row r="50" spans="1:11" ht="19" x14ac:dyDescent="0.2">
      <c r="A50" s="143"/>
      <c r="B50" s="153"/>
      <c r="C50" s="171"/>
      <c r="D50" s="155"/>
      <c r="E50" s="164"/>
      <c r="F50" s="119"/>
      <c r="G50" s="119"/>
      <c r="H50" s="119"/>
      <c r="I50" s="119"/>
      <c r="J50" s="119">
        <v>90000</v>
      </c>
      <c r="K50" s="119" t="s">
        <v>3595</v>
      </c>
    </row>
    <row r="51" spans="1:11" ht="19" x14ac:dyDescent="0.2">
      <c r="A51" s="144"/>
      <c r="B51" s="145"/>
      <c r="C51" s="149"/>
      <c r="D51" s="147"/>
      <c r="E51" s="150"/>
      <c r="F51" s="139"/>
      <c r="G51" s="139"/>
      <c r="H51" s="139"/>
      <c r="I51" s="139"/>
      <c r="J51" s="139">
        <v>26000</v>
      </c>
      <c r="K51" s="139" t="s">
        <v>3596</v>
      </c>
    </row>
    <row r="52" spans="1:11" ht="19" x14ac:dyDescent="0.2">
      <c r="A52" s="143"/>
      <c r="B52" s="153"/>
      <c r="C52" s="171"/>
      <c r="D52" s="155"/>
      <c r="E52" s="164"/>
      <c r="F52" s="119"/>
      <c r="G52" s="119"/>
      <c r="H52" s="119"/>
      <c r="I52" s="119"/>
      <c r="J52" s="119"/>
      <c r="K52" s="119"/>
    </row>
    <row r="53" spans="1:11" ht="19" x14ac:dyDescent="0.2">
      <c r="A53" s="144">
        <v>3980000</v>
      </c>
      <c r="B53" s="145">
        <v>45604</v>
      </c>
      <c r="C53" s="149" t="s">
        <v>9</v>
      </c>
      <c r="D53" s="147" t="s">
        <v>3329</v>
      </c>
      <c r="E53" s="150">
        <v>2570000</v>
      </c>
      <c r="F53" s="139">
        <v>560000</v>
      </c>
      <c r="G53" s="139">
        <v>850000</v>
      </c>
      <c r="H53" s="139"/>
      <c r="I53" s="139"/>
      <c r="J53" s="139">
        <v>520000</v>
      </c>
      <c r="K53" s="139" t="s">
        <v>1462</v>
      </c>
    </row>
    <row r="54" spans="1:11" ht="19" x14ac:dyDescent="0.2">
      <c r="A54" s="143"/>
      <c r="B54" s="153"/>
      <c r="C54" s="171"/>
      <c r="D54" s="155"/>
      <c r="E54" s="164"/>
      <c r="F54" s="119"/>
      <c r="G54" s="119"/>
      <c r="H54" s="119"/>
      <c r="I54" s="119"/>
      <c r="J54" s="119">
        <v>50000</v>
      </c>
      <c r="K54" s="119" t="s">
        <v>3597</v>
      </c>
    </row>
    <row r="55" spans="1:11" ht="19" x14ac:dyDescent="0.2">
      <c r="A55" s="144"/>
      <c r="B55" s="145"/>
      <c r="C55" s="149"/>
      <c r="D55" s="147"/>
      <c r="E55" s="150"/>
      <c r="F55" s="139"/>
      <c r="G55" s="139"/>
      <c r="H55" s="139"/>
      <c r="I55" s="139"/>
      <c r="J55" s="139">
        <v>48000</v>
      </c>
      <c r="K55" s="139" t="s">
        <v>2795</v>
      </c>
    </row>
    <row r="56" spans="1:11" ht="19" x14ac:dyDescent="0.2">
      <c r="A56" s="143"/>
      <c r="B56" s="153"/>
      <c r="C56" s="171"/>
      <c r="D56" s="155"/>
      <c r="E56" s="164"/>
      <c r="F56" s="119"/>
      <c r="G56" s="119"/>
      <c r="H56" s="119"/>
      <c r="I56" s="119"/>
      <c r="J56" s="119">
        <v>32000</v>
      </c>
      <c r="K56" s="119" t="s">
        <v>3598</v>
      </c>
    </row>
    <row r="57" spans="1:11" ht="19" x14ac:dyDescent="0.2">
      <c r="A57" s="144"/>
      <c r="B57" s="145"/>
      <c r="C57" s="149"/>
      <c r="D57" s="147"/>
      <c r="E57" s="150"/>
      <c r="F57" s="139"/>
      <c r="G57" s="139"/>
      <c r="H57" s="139"/>
      <c r="I57" s="139"/>
      <c r="J57" s="139">
        <v>200000</v>
      </c>
      <c r="K57" s="139" t="s">
        <v>2796</v>
      </c>
    </row>
    <row r="58" spans="1:11" ht="19" x14ac:dyDescent="0.2">
      <c r="A58" s="143"/>
      <c r="B58" s="153"/>
      <c r="C58" s="171"/>
      <c r="D58" s="155"/>
      <c r="E58" s="164"/>
      <c r="F58" s="119"/>
      <c r="G58" s="119"/>
      <c r="H58" s="173"/>
      <c r="I58" s="119"/>
      <c r="J58" s="119">
        <v>150000</v>
      </c>
      <c r="K58" s="119" t="s">
        <v>1710</v>
      </c>
    </row>
    <row r="59" spans="1:11" ht="19" x14ac:dyDescent="0.2">
      <c r="A59" s="144"/>
      <c r="B59" s="145"/>
      <c r="C59" s="149"/>
      <c r="D59" s="147"/>
      <c r="E59" s="150"/>
      <c r="F59" s="139"/>
      <c r="G59" s="139"/>
      <c r="H59" s="157"/>
      <c r="I59" s="139"/>
      <c r="J59" s="139">
        <v>150000</v>
      </c>
      <c r="K59" s="139" t="s">
        <v>3653</v>
      </c>
    </row>
    <row r="60" spans="1:11" ht="19" x14ac:dyDescent="0.2">
      <c r="A60" s="143"/>
      <c r="B60" s="153"/>
      <c r="C60" s="171"/>
      <c r="D60" s="155"/>
      <c r="E60" s="164"/>
      <c r="F60" s="119"/>
      <c r="G60" s="119"/>
      <c r="H60" s="173"/>
      <c r="I60" s="119"/>
      <c r="J60" s="119"/>
      <c r="K60" s="119"/>
    </row>
    <row r="61" spans="1:11" ht="19" x14ac:dyDescent="0.2">
      <c r="A61" s="144">
        <v>2504000</v>
      </c>
      <c r="B61" s="145"/>
      <c r="C61" s="149" t="s">
        <v>10</v>
      </c>
      <c r="D61" s="147" t="s">
        <v>20</v>
      </c>
      <c r="E61" s="150">
        <v>1617000</v>
      </c>
      <c r="F61" s="139">
        <v>401000</v>
      </c>
      <c r="G61" s="139">
        <v>486000</v>
      </c>
      <c r="H61" s="157"/>
      <c r="I61" s="139"/>
      <c r="J61" s="139"/>
      <c r="K61" s="139"/>
    </row>
    <row r="62" spans="1:11" ht="19" x14ac:dyDescent="0.2">
      <c r="A62" s="143"/>
      <c r="B62" s="153"/>
      <c r="C62" s="171"/>
      <c r="D62" s="155"/>
      <c r="E62" s="164"/>
      <c r="F62" s="119"/>
      <c r="G62" s="119"/>
      <c r="H62" s="119"/>
      <c r="I62" s="119"/>
      <c r="J62" s="119"/>
      <c r="K62" s="119"/>
    </row>
    <row r="63" spans="1:11" ht="19" x14ac:dyDescent="0.2">
      <c r="A63" s="144">
        <v>2614000</v>
      </c>
      <c r="B63" s="145">
        <v>45605</v>
      </c>
      <c r="C63" s="149" t="s">
        <v>9</v>
      </c>
      <c r="D63" s="147" t="s">
        <v>3386</v>
      </c>
      <c r="E63" s="150">
        <v>1713000</v>
      </c>
      <c r="F63" s="150">
        <v>319000</v>
      </c>
      <c r="G63" s="139">
        <v>582000</v>
      </c>
      <c r="H63" s="139"/>
      <c r="I63" s="139"/>
      <c r="J63" s="139"/>
      <c r="K63" s="139"/>
    </row>
    <row r="64" spans="1:11" ht="19" x14ac:dyDescent="0.2">
      <c r="A64" s="143">
        <v>2519000</v>
      </c>
      <c r="B64" s="153"/>
      <c r="C64" s="171" t="s">
        <v>10</v>
      </c>
      <c r="D64" s="155" t="s">
        <v>3531</v>
      </c>
      <c r="E64" s="164">
        <v>1592000</v>
      </c>
      <c r="F64" s="119">
        <v>285000</v>
      </c>
      <c r="G64" s="119">
        <v>642000</v>
      </c>
      <c r="H64" s="119"/>
      <c r="I64" s="119"/>
      <c r="J64" s="119">
        <v>30000</v>
      </c>
      <c r="K64" s="119" t="s">
        <v>3348</v>
      </c>
    </row>
    <row r="65" spans="1:11" ht="19" x14ac:dyDescent="0.2">
      <c r="A65" s="144"/>
      <c r="B65" s="145"/>
      <c r="C65" s="149"/>
      <c r="D65" s="147"/>
      <c r="E65" s="150"/>
      <c r="F65" s="139"/>
      <c r="G65" s="139"/>
      <c r="H65" s="139"/>
      <c r="I65" s="139"/>
      <c r="J65" s="139"/>
      <c r="K65" s="139"/>
    </row>
    <row r="66" spans="1:11" ht="19" x14ac:dyDescent="0.2">
      <c r="A66" s="143">
        <v>2104000</v>
      </c>
      <c r="B66" s="153">
        <v>45606</v>
      </c>
      <c r="C66" s="171" t="s">
        <v>9</v>
      </c>
      <c r="D66" s="155" t="s">
        <v>3329</v>
      </c>
      <c r="E66" s="164">
        <v>1572000</v>
      </c>
      <c r="F66" s="119">
        <v>143000</v>
      </c>
      <c r="G66" s="119">
        <v>389000</v>
      </c>
      <c r="H66" s="119"/>
      <c r="I66" s="119"/>
      <c r="J66" s="119">
        <v>50000</v>
      </c>
      <c r="K66" s="119" t="s">
        <v>123</v>
      </c>
    </row>
    <row r="67" spans="1:11" ht="19" x14ac:dyDescent="0.2">
      <c r="A67" s="144"/>
      <c r="B67" s="145"/>
      <c r="C67" s="149"/>
      <c r="D67" s="147"/>
      <c r="E67" s="150"/>
      <c r="F67" s="139"/>
      <c r="G67" s="139"/>
      <c r="H67" s="139"/>
      <c r="I67" s="139"/>
      <c r="J67" s="139">
        <v>18000</v>
      </c>
      <c r="K67" s="139" t="s">
        <v>3348</v>
      </c>
    </row>
    <row r="68" spans="1:11" ht="19" x14ac:dyDescent="0.2">
      <c r="A68" s="143">
        <v>2336000</v>
      </c>
      <c r="B68" s="153"/>
      <c r="C68" s="171" t="s">
        <v>10</v>
      </c>
      <c r="D68" s="155" t="s">
        <v>3531</v>
      </c>
      <c r="E68" s="210">
        <v>1645000</v>
      </c>
      <c r="F68" s="211">
        <v>330000</v>
      </c>
      <c r="G68" s="211">
        <v>361000</v>
      </c>
      <c r="H68" s="211"/>
      <c r="I68" s="119"/>
      <c r="J68" s="211"/>
      <c r="K68" s="119"/>
    </row>
    <row r="69" spans="1:11" ht="19" x14ac:dyDescent="0.2">
      <c r="A69" s="144"/>
      <c r="B69" s="145"/>
      <c r="C69" s="149"/>
      <c r="D69" s="147"/>
      <c r="E69" s="150"/>
      <c r="F69" s="139"/>
      <c r="G69" s="139"/>
      <c r="H69" s="139"/>
      <c r="I69" s="139"/>
      <c r="J69" s="139"/>
      <c r="K69" s="139"/>
    </row>
    <row r="70" spans="1:11" ht="19" x14ac:dyDescent="0.2">
      <c r="A70" s="143">
        <v>2595000</v>
      </c>
      <c r="B70" s="32">
        <v>45607</v>
      </c>
      <c r="C70" s="49" t="s">
        <v>9</v>
      </c>
      <c r="D70" s="13" t="s">
        <v>3329</v>
      </c>
      <c r="E70" s="15">
        <v>1535000</v>
      </c>
      <c r="F70" s="9">
        <v>253000</v>
      </c>
      <c r="G70" s="9">
        <v>807000</v>
      </c>
      <c r="H70" s="9"/>
      <c r="I70" s="9"/>
      <c r="J70" s="9">
        <v>57000</v>
      </c>
      <c r="K70" s="9" t="s">
        <v>3599</v>
      </c>
    </row>
    <row r="71" spans="1:11" ht="19" x14ac:dyDescent="0.2">
      <c r="A71" s="144"/>
      <c r="B71" s="145"/>
      <c r="C71" s="149"/>
      <c r="D71" s="147"/>
      <c r="E71" s="150"/>
      <c r="F71" s="139"/>
      <c r="G71" s="139"/>
      <c r="H71" s="139"/>
      <c r="I71" s="139"/>
      <c r="J71" s="139">
        <v>90000</v>
      </c>
      <c r="K71" s="139" t="s">
        <v>1595</v>
      </c>
    </row>
    <row r="72" spans="1:11" ht="19" x14ac:dyDescent="0.2">
      <c r="A72" s="143"/>
      <c r="B72" s="32"/>
      <c r="C72" s="49"/>
      <c r="D72" s="155"/>
      <c r="E72" s="15"/>
      <c r="F72" s="9"/>
      <c r="G72" s="9"/>
      <c r="H72" s="9"/>
      <c r="I72" s="9"/>
      <c r="J72" s="9">
        <v>44000</v>
      </c>
      <c r="K72" s="9" t="s">
        <v>1449</v>
      </c>
    </row>
    <row r="73" spans="1:11" ht="19" x14ac:dyDescent="0.2">
      <c r="A73" s="148"/>
      <c r="B73" s="145"/>
      <c r="C73" s="151"/>
      <c r="D73" s="147"/>
      <c r="E73" s="150"/>
      <c r="F73" s="139"/>
      <c r="G73" s="139"/>
      <c r="H73" s="139"/>
      <c r="I73" s="139"/>
      <c r="J73" s="139">
        <v>39000</v>
      </c>
      <c r="K73" s="139" t="s">
        <v>3600</v>
      </c>
    </row>
    <row r="74" spans="1:11" ht="19" x14ac:dyDescent="0.2">
      <c r="A74" s="143"/>
      <c r="B74" s="153"/>
      <c r="C74" s="163"/>
      <c r="D74" s="155"/>
      <c r="E74" s="164"/>
      <c r="F74" s="119"/>
      <c r="G74" s="119"/>
      <c r="H74" s="119"/>
      <c r="I74" s="119"/>
      <c r="J74" s="119">
        <v>22000</v>
      </c>
      <c r="K74" s="119" t="s">
        <v>3601</v>
      </c>
    </row>
    <row r="75" spans="1:11" ht="19" x14ac:dyDescent="0.2">
      <c r="A75" s="144">
        <v>2047000</v>
      </c>
      <c r="B75" s="145"/>
      <c r="C75" s="149" t="s">
        <v>10</v>
      </c>
      <c r="D75" s="147" t="s">
        <v>3309</v>
      </c>
      <c r="E75" s="150">
        <v>1352000</v>
      </c>
      <c r="F75" s="139">
        <v>346000</v>
      </c>
      <c r="G75" s="139">
        <v>349000</v>
      </c>
      <c r="H75" s="152"/>
      <c r="I75" s="152"/>
      <c r="J75" s="139"/>
      <c r="K75" s="139"/>
    </row>
    <row r="76" spans="1:11" ht="19" x14ac:dyDescent="0.2">
      <c r="A76" s="143"/>
      <c r="B76" s="32"/>
      <c r="C76" s="49"/>
      <c r="D76" s="13"/>
      <c r="E76" s="15"/>
      <c r="F76" s="9"/>
      <c r="G76" s="9"/>
      <c r="H76" s="60"/>
      <c r="I76" s="60"/>
      <c r="J76" s="9"/>
      <c r="K76" s="9"/>
    </row>
    <row r="77" spans="1:11" ht="19" x14ac:dyDescent="0.2">
      <c r="A77" s="144">
        <v>3131000</v>
      </c>
      <c r="B77" s="145">
        <v>45608</v>
      </c>
      <c r="C77" s="149" t="s">
        <v>9</v>
      </c>
      <c r="D77" s="147" t="s">
        <v>3329</v>
      </c>
      <c r="E77" s="150">
        <v>1841000</v>
      </c>
      <c r="F77" s="139">
        <v>245000</v>
      </c>
      <c r="G77" s="139">
        <v>1045000</v>
      </c>
      <c r="H77" s="139">
        <v>3852000</v>
      </c>
      <c r="I77" s="139" t="s">
        <v>2056</v>
      </c>
      <c r="J77" s="139">
        <v>166000</v>
      </c>
      <c r="K77" s="139" t="s">
        <v>3602</v>
      </c>
    </row>
    <row r="78" spans="1:11" ht="19" x14ac:dyDescent="0.2">
      <c r="A78" s="143"/>
      <c r="B78" s="153"/>
      <c r="C78" s="171"/>
      <c r="D78" s="155"/>
      <c r="E78" s="164"/>
      <c r="F78" s="119"/>
      <c r="G78" s="119"/>
      <c r="H78" s="174"/>
      <c r="I78" s="174"/>
      <c r="J78" s="119">
        <v>26000</v>
      </c>
      <c r="K78" s="119" t="s">
        <v>3603</v>
      </c>
    </row>
    <row r="79" spans="1:11" ht="19" x14ac:dyDescent="0.2">
      <c r="A79" s="144"/>
      <c r="B79" s="145"/>
      <c r="C79" s="149"/>
      <c r="D79" s="147"/>
      <c r="E79" s="150"/>
      <c r="F79" s="139"/>
      <c r="G79" s="139"/>
      <c r="H79" s="152"/>
      <c r="I79" s="152"/>
      <c r="J79" s="139">
        <v>40000</v>
      </c>
      <c r="K79" s="139" t="s">
        <v>3604</v>
      </c>
    </row>
    <row r="80" spans="1:11" ht="19" x14ac:dyDescent="0.2">
      <c r="A80" s="143"/>
      <c r="B80" s="153"/>
      <c r="C80" s="171"/>
      <c r="D80" s="155"/>
      <c r="E80" s="164"/>
      <c r="F80" s="119"/>
      <c r="G80" s="119"/>
      <c r="H80" s="119"/>
      <c r="I80" s="119"/>
      <c r="J80" s="119">
        <v>15000</v>
      </c>
      <c r="K80" s="119" t="s">
        <v>1873</v>
      </c>
    </row>
    <row r="81" spans="1:11" ht="19" x14ac:dyDescent="0.2">
      <c r="A81" s="144"/>
      <c r="B81" s="145"/>
      <c r="C81" s="149"/>
      <c r="D81" s="147"/>
      <c r="E81" s="150"/>
      <c r="F81" s="139"/>
      <c r="G81" s="139"/>
      <c r="H81" s="152"/>
      <c r="I81" s="152"/>
      <c r="J81" s="139">
        <v>35000</v>
      </c>
      <c r="K81" s="139" t="s">
        <v>1885</v>
      </c>
    </row>
    <row r="82" spans="1:11" ht="19" x14ac:dyDescent="0.2">
      <c r="A82" s="143"/>
      <c r="B82" s="153"/>
      <c r="C82" s="171"/>
      <c r="D82" s="155"/>
      <c r="E82" s="15"/>
      <c r="F82" s="9"/>
      <c r="G82" s="9"/>
      <c r="H82" s="9"/>
      <c r="I82" s="9"/>
      <c r="J82" s="9">
        <v>15000</v>
      </c>
      <c r="K82" s="9" t="s">
        <v>3605</v>
      </c>
    </row>
    <row r="83" spans="1:11" ht="19" x14ac:dyDescent="0.2">
      <c r="A83" s="144"/>
      <c r="B83" s="145"/>
      <c r="C83" s="149"/>
      <c r="D83" s="147"/>
      <c r="E83" s="150"/>
      <c r="F83" s="139"/>
      <c r="G83" s="139"/>
      <c r="H83" s="162"/>
      <c r="I83" s="162"/>
      <c r="J83" s="139">
        <v>75000</v>
      </c>
      <c r="K83" s="139" t="s">
        <v>3606</v>
      </c>
    </row>
    <row r="84" spans="1:11" ht="19" x14ac:dyDescent="0.2">
      <c r="A84" s="143"/>
      <c r="B84" s="153"/>
      <c r="C84" s="171"/>
      <c r="D84" s="155"/>
      <c r="E84" s="15"/>
      <c r="F84" s="9"/>
      <c r="G84" s="9"/>
      <c r="H84" s="106"/>
      <c r="I84" s="106"/>
      <c r="J84" s="9">
        <v>75000</v>
      </c>
      <c r="K84" s="9" t="s">
        <v>2879</v>
      </c>
    </row>
    <row r="85" spans="1:11" ht="19" x14ac:dyDescent="0.2">
      <c r="A85" s="144"/>
      <c r="B85" s="145"/>
      <c r="C85" s="149"/>
      <c r="D85" s="147"/>
      <c r="E85" s="150"/>
      <c r="F85" s="139"/>
      <c r="G85" s="139"/>
      <c r="H85" s="162"/>
      <c r="I85" s="162"/>
      <c r="J85" s="139">
        <v>75000</v>
      </c>
      <c r="K85" s="139" t="s">
        <v>3607</v>
      </c>
    </row>
    <row r="86" spans="1:11" ht="19" x14ac:dyDescent="0.2">
      <c r="A86" s="143"/>
      <c r="B86" s="153"/>
      <c r="C86" s="171"/>
      <c r="D86" s="155"/>
      <c r="E86" s="164"/>
      <c r="F86" s="119"/>
      <c r="G86" s="119"/>
      <c r="H86" s="175"/>
      <c r="I86" s="175"/>
      <c r="J86" s="9">
        <v>75000</v>
      </c>
      <c r="K86" s="119" t="s">
        <v>3608</v>
      </c>
    </row>
    <row r="87" spans="1:11" ht="19" x14ac:dyDescent="0.2">
      <c r="A87" s="144"/>
      <c r="B87" s="145"/>
      <c r="C87" s="149"/>
      <c r="D87" s="147"/>
      <c r="E87" s="150"/>
      <c r="F87" s="139"/>
      <c r="G87" s="139"/>
      <c r="H87" s="152"/>
      <c r="I87" s="152"/>
      <c r="J87" s="162">
        <v>65000</v>
      </c>
      <c r="K87" s="162" t="s">
        <v>3609</v>
      </c>
    </row>
    <row r="88" spans="1:11" ht="19" x14ac:dyDescent="0.2">
      <c r="A88" s="143">
        <v>1636000</v>
      </c>
      <c r="B88" s="153"/>
      <c r="C88" s="171" t="s">
        <v>10</v>
      </c>
      <c r="D88" s="155" t="s">
        <v>20</v>
      </c>
      <c r="E88" s="164">
        <v>890000</v>
      </c>
      <c r="F88" s="119">
        <v>316000</v>
      </c>
      <c r="G88" s="119">
        <v>430000</v>
      </c>
      <c r="H88" s="60"/>
      <c r="I88" s="60"/>
      <c r="J88" s="119">
        <v>150000</v>
      </c>
      <c r="K88" s="119" t="s">
        <v>1710</v>
      </c>
    </row>
    <row r="89" spans="1:11" ht="19" x14ac:dyDescent="0.2">
      <c r="A89" s="144"/>
      <c r="B89" s="145"/>
      <c r="C89" s="149"/>
      <c r="D89" s="147"/>
      <c r="E89" s="150"/>
      <c r="F89" s="139"/>
      <c r="G89" s="139"/>
      <c r="H89" s="152"/>
      <c r="I89" s="152"/>
      <c r="J89" s="139">
        <v>45000</v>
      </c>
      <c r="K89" s="139" t="s">
        <v>1467</v>
      </c>
    </row>
    <row r="90" spans="1:11" ht="19" x14ac:dyDescent="0.2">
      <c r="A90" s="143"/>
      <c r="B90" s="153"/>
      <c r="C90" s="171"/>
      <c r="D90" s="155"/>
      <c r="E90" s="164"/>
      <c r="F90" s="119"/>
      <c r="G90" s="119"/>
      <c r="H90" s="175"/>
      <c r="I90" s="175"/>
      <c r="J90" s="9">
        <v>200000</v>
      </c>
      <c r="K90" s="9" t="s">
        <v>2796</v>
      </c>
    </row>
    <row r="91" spans="1:11" ht="19" x14ac:dyDescent="0.2">
      <c r="A91" s="144">
        <v>2991000</v>
      </c>
      <c r="B91" s="145">
        <v>45609</v>
      </c>
      <c r="C91" s="149" t="s">
        <v>9</v>
      </c>
      <c r="D91" s="147" t="s">
        <v>3329</v>
      </c>
      <c r="E91" s="150">
        <v>2030000</v>
      </c>
      <c r="F91" s="139">
        <v>373000</v>
      </c>
      <c r="G91" s="139">
        <v>588000</v>
      </c>
      <c r="H91" s="152"/>
      <c r="I91" s="152"/>
      <c r="J91" s="139">
        <v>195000</v>
      </c>
      <c r="K91" s="139" t="s">
        <v>2255</v>
      </c>
    </row>
    <row r="92" spans="1:11" ht="19" x14ac:dyDescent="0.2">
      <c r="A92" s="143">
        <v>1872000</v>
      </c>
      <c r="B92" s="153"/>
      <c r="C92" s="49" t="s">
        <v>10</v>
      </c>
      <c r="D92" s="13" t="s">
        <v>3309</v>
      </c>
      <c r="E92" s="15">
        <v>1220000</v>
      </c>
      <c r="F92" s="9">
        <v>0</v>
      </c>
      <c r="G92" s="9">
        <v>652000</v>
      </c>
      <c r="H92" s="175"/>
      <c r="I92" s="9"/>
      <c r="J92" s="9">
        <v>210000</v>
      </c>
      <c r="K92" s="9" t="s">
        <v>2723</v>
      </c>
    </row>
    <row r="93" spans="1:11" ht="19" x14ac:dyDescent="0.2">
      <c r="A93" s="144"/>
      <c r="B93" s="145"/>
      <c r="C93" s="149"/>
      <c r="D93" s="147"/>
      <c r="E93" s="150"/>
      <c r="F93" s="139"/>
      <c r="G93" s="139"/>
      <c r="H93" s="139"/>
      <c r="I93" s="139"/>
      <c r="J93" s="139">
        <v>200000</v>
      </c>
      <c r="K93" s="139" t="s">
        <v>2796</v>
      </c>
    </row>
    <row r="94" spans="1:11" ht="19" x14ac:dyDescent="0.2">
      <c r="A94" s="143"/>
      <c r="B94" s="32"/>
      <c r="C94" s="49"/>
      <c r="D94" s="13"/>
      <c r="E94" s="15"/>
      <c r="F94" s="9"/>
      <c r="G94" s="9"/>
      <c r="H94" s="9"/>
      <c r="I94" s="9"/>
      <c r="J94" s="9">
        <v>45000</v>
      </c>
      <c r="K94" s="9" t="s">
        <v>1467</v>
      </c>
    </row>
    <row r="95" spans="1:11" ht="19" x14ac:dyDescent="0.2">
      <c r="A95" s="144">
        <v>2602000</v>
      </c>
      <c r="B95" s="145">
        <v>45610</v>
      </c>
      <c r="C95" s="149" t="s">
        <v>9</v>
      </c>
      <c r="D95" s="147" t="s">
        <v>3329</v>
      </c>
      <c r="E95" s="150">
        <v>1603000</v>
      </c>
      <c r="F95" s="139">
        <v>241000</v>
      </c>
      <c r="G95" s="139">
        <v>758000</v>
      </c>
      <c r="H95" s="139"/>
      <c r="I95" s="139"/>
      <c r="J95" s="139"/>
      <c r="K95" s="139"/>
    </row>
    <row r="96" spans="1:11" ht="19" x14ac:dyDescent="0.2">
      <c r="A96" s="143">
        <v>2055000</v>
      </c>
      <c r="B96" s="32"/>
      <c r="C96" s="49" t="s">
        <v>10</v>
      </c>
      <c r="D96" s="13" t="s">
        <v>3531</v>
      </c>
      <c r="E96" s="15">
        <v>1216000</v>
      </c>
      <c r="F96" s="9">
        <v>477000</v>
      </c>
      <c r="G96" s="9">
        <v>362000</v>
      </c>
      <c r="H96" s="9"/>
      <c r="I96" s="9"/>
      <c r="J96" s="9"/>
      <c r="K96" s="9"/>
    </row>
    <row r="97" spans="1:11" ht="19" x14ac:dyDescent="0.2">
      <c r="A97" s="144"/>
      <c r="B97" s="145"/>
      <c r="C97" s="159"/>
      <c r="D97" s="147"/>
      <c r="E97" s="150"/>
      <c r="F97" s="139"/>
      <c r="G97" s="139"/>
      <c r="H97" s="139"/>
      <c r="I97" s="139"/>
      <c r="J97" s="139"/>
      <c r="K97" s="139"/>
    </row>
    <row r="98" spans="1:11" ht="19" x14ac:dyDescent="0.2">
      <c r="A98" s="143">
        <v>3389000</v>
      </c>
      <c r="B98" s="153">
        <v>45611</v>
      </c>
      <c r="C98" s="171" t="s">
        <v>9</v>
      </c>
      <c r="D98" s="155" t="s">
        <v>3329</v>
      </c>
      <c r="E98" s="164">
        <v>1702000</v>
      </c>
      <c r="F98" s="164">
        <v>481000</v>
      </c>
      <c r="G98" s="119">
        <v>1206000</v>
      </c>
      <c r="H98" s="119">
        <v>2850000</v>
      </c>
      <c r="I98" s="119" t="s">
        <v>3520</v>
      </c>
      <c r="J98" s="119"/>
      <c r="K98" s="119"/>
    </row>
    <row r="99" spans="1:11" ht="19" x14ac:dyDescent="0.2">
      <c r="A99" s="144"/>
      <c r="B99" s="145"/>
      <c r="C99" s="149"/>
      <c r="D99" s="147"/>
      <c r="E99" s="150"/>
      <c r="F99" s="139"/>
      <c r="G99" s="139"/>
      <c r="H99" s="139">
        <v>1100000</v>
      </c>
      <c r="I99" s="139" t="s">
        <v>3610</v>
      </c>
      <c r="J99" s="139"/>
      <c r="K99" s="139"/>
    </row>
    <row r="100" spans="1:11" ht="19" x14ac:dyDescent="0.2">
      <c r="A100" s="143">
        <v>2264000</v>
      </c>
      <c r="B100" s="153"/>
      <c r="C100" s="171" t="s">
        <v>1787</v>
      </c>
      <c r="D100" s="155" t="s">
        <v>20</v>
      </c>
      <c r="E100" s="15">
        <v>1391000</v>
      </c>
      <c r="F100" s="119">
        <v>437000</v>
      </c>
      <c r="G100" s="119">
        <v>436000</v>
      </c>
      <c r="H100" s="119">
        <v>400000</v>
      </c>
      <c r="I100" s="119" t="s">
        <v>3611</v>
      </c>
      <c r="J100" s="119">
        <v>96000</v>
      </c>
      <c r="K100" s="119" t="s">
        <v>3147</v>
      </c>
    </row>
    <row r="101" spans="1:11" ht="19" x14ac:dyDescent="0.2">
      <c r="A101" s="144"/>
      <c r="B101" s="145"/>
      <c r="C101" s="149"/>
      <c r="D101" s="147"/>
      <c r="E101" s="150"/>
      <c r="F101" s="139"/>
      <c r="G101" s="139"/>
      <c r="H101" s="139">
        <v>950000</v>
      </c>
      <c r="I101" s="139" t="s">
        <v>3612</v>
      </c>
      <c r="J101" s="139">
        <v>175000</v>
      </c>
      <c r="K101" s="139" t="s">
        <v>3613</v>
      </c>
    </row>
    <row r="102" spans="1:11" ht="19" x14ac:dyDescent="0.2">
      <c r="A102" s="143"/>
      <c r="B102" s="153"/>
      <c r="C102" s="171"/>
      <c r="D102" s="155"/>
      <c r="E102" s="164"/>
      <c r="F102" s="119"/>
      <c r="G102" s="119"/>
      <c r="H102" s="119">
        <v>1000000</v>
      </c>
      <c r="I102" s="119" t="s">
        <v>3614</v>
      </c>
      <c r="J102" s="119">
        <v>84000</v>
      </c>
      <c r="K102" s="119" t="s">
        <v>3214</v>
      </c>
    </row>
    <row r="103" spans="1:11" ht="19" x14ac:dyDescent="0.2">
      <c r="A103" s="144">
        <v>2802000</v>
      </c>
      <c r="B103" s="145">
        <v>45612</v>
      </c>
      <c r="C103" s="149" t="s">
        <v>9</v>
      </c>
      <c r="D103" s="147" t="s">
        <v>3615</v>
      </c>
      <c r="E103" s="150">
        <v>2084000</v>
      </c>
      <c r="F103" s="139">
        <v>450000</v>
      </c>
      <c r="G103" s="139">
        <v>268000</v>
      </c>
      <c r="H103" s="152"/>
      <c r="I103" s="152"/>
      <c r="J103" s="139">
        <v>44000</v>
      </c>
      <c r="K103" s="139" t="s">
        <v>3616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74000</v>
      </c>
      <c r="K104" s="139" t="s">
        <v>1491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19000</v>
      </c>
      <c r="K105" s="119" t="s">
        <v>3617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8000</v>
      </c>
      <c r="K106" s="139" t="s">
        <v>1580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9000</v>
      </c>
      <c r="K107" s="119" t="s">
        <v>3237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10000</v>
      </c>
      <c r="K108" s="139" t="s">
        <v>1375</v>
      </c>
    </row>
    <row r="109" spans="1:11" ht="19" x14ac:dyDescent="0.2">
      <c r="A109" s="299">
        <v>2149000</v>
      </c>
      <c r="B109" s="153"/>
      <c r="C109" s="171" t="s">
        <v>10</v>
      </c>
      <c r="D109" s="155" t="s">
        <v>3531</v>
      </c>
      <c r="E109" s="164">
        <v>1480000</v>
      </c>
      <c r="F109" s="119">
        <v>142000</v>
      </c>
      <c r="G109" s="119">
        <v>527000</v>
      </c>
      <c r="H109" s="119"/>
      <c r="I109" s="119"/>
      <c r="J109" s="119">
        <v>50000</v>
      </c>
      <c r="K109" s="119" t="s">
        <v>123</v>
      </c>
    </row>
    <row r="110" spans="1:11" ht="19" x14ac:dyDescent="0.2">
      <c r="A110" s="144">
        <v>2247000</v>
      </c>
      <c r="B110" s="145">
        <v>45613</v>
      </c>
      <c r="C110" s="149" t="s">
        <v>9</v>
      </c>
      <c r="D110" s="147" t="s">
        <v>3386</v>
      </c>
      <c r="E110" s="150">
        <v>1483000</v>
      </c>
      <c r="F110" s="139">
        <v>207000</v>
      </c>
      <c r="G110" s="139">
        <v>557000</v>
      </c>
      <c r="H110" s="139"/>
      <c r="I110" s="139"/>
      <c r="J110" s="139"/>
      <c r="K110" s="139"/>
    </row>
    <row r="111" spans="1:11" ht="19" x14ac:dyDescent="0.2">
      <c r="A111" s="143">
        <v>2362000</v>
      </c>
      <c r="B111" s="153"/>
      <c r="C111" s="171" t="s">
        <v>10</v>
      </c>
      <c r="D111" s="155" t="s">
        <v>3531</v>
      </c>
      <c r="E111" s="164">
        <v>1755000</v>
      </c>
      <c r="F111" s="119">
        <v>378000</v>
      </c>
      <c r="G111" s="119">
        <v>229000</v>
      </c>
      <c r="H111" s="119"/>
      <c r="I111" s="119"/>
      <c r="J111" s="119"/>
      <c r="K111" s="119"/>
    </row>
    <row r="112" spans="1:11" ht="19" x14ac:dyDescent="0.2">
      <c r="A112" s="144">
        <v>3258000</v>
      </c>
      <c r="B112" s="145">
        <v>45614</v>
      </c>
      <c r="C112" s="149" t="s">
        <v>9</v>
      </c>
      <c r="D112" s="147" t="s">
        <v>3618</v>
      </c>
      <c r="E112" s="150">
        <v>1912000</v>
      </c>
      <c r="F112" s="139">
        <v>400000</v>
      </c>
      <c r="G112" s="139">
        <v>946000</v>
      </c>
      <c r="H112" s="139"/>
      <c r="I112" s="139"/>
      <c r="J112" s="139">
        <v>139000</v>
      </c>
      <c r="K112" s="139" t="s">
        <v>3556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35000</v>
      </c>
      <c r="K113" s="119" t="s">
        <v>3601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195000</v>
      </c>
      <c r="K114" s="139" t="s">
        <v>2255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150000</v>
      </c>
      <c r="K115" s="119" t="s">
        <v>3619</v>
      </c>
    </row>
    <row r="116" spans="1:11" ht="19" x14ac:dyDescent="0.2">
      <c r="A116" s="144">
        <v>1541000</v>
      </c>
      <c r="B116" s="145"/>
      <c r="C116" s="149" t="s">
        <v>10</v>
      </c>
      <c r="D116" s="147" t="s">
        <v>3309</v>
      </c>
      <c r="E116" s="150">
        <v>993000</v>
      </c>
      <c r="F116" s="139">
        <v>383000</v>
      </c>
      <c r="G116" s="139">
        <v>165000</v>
      </c>
      <c r="H116" s="139"/>
      <c r="I116" s="139"/>
      <c r="J116" s="162">
        <v>150000</v>
      </c>
      <c r="K116" s="162" t="s">
        <v>3620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74000</v>
      </c>
      <c r="K117" s="174" t="s">
        <v>1491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12000</v>
      </c>
      <c r="K118" s="139" t="s">
        <v>1582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47000</v>
      </c>
      <c r="K119" s="119" t="s">
        <v>1493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55000</v>
      </c>
      <c r="K120" s="139" t="s">
        <v>3621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520000</v>
      </c>
      <c r="K121" s="119" t="s">
        <v>1462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120000</v>
      </c>
      <c r="K122" s="139" t="s">
        <v>1668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60000</v>
      </c>
      <c r="K123" s="174" t="s">
        <v>1490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/>
      <c r="K124" s="162"/>
    </row>
    <row r="125" spans="1:11" ht="19" x14ac:dyDescent="0.2">
      <c r="A125" s="143">
        <v>3010000</v>
      </c>
      <c r="B125" s="32">
        <v>45615</v>
      </c>
      <c r="C125" s="171" t="s">
        <v>9</v>
      </c>
      <c r="D125" s="155" t="s">
        <v>3618</v>
      </c>
      <c r="E125" s="15">
        <v>1831000</v>
      </c>
      <c r="F125" s="9">
        <v>476000</v>
      </c>
      <c r="G125" s="9">
        <v>703000</v>
      </c>
      <c r="H125" s="9"/>
      <c r="I125" s="9"/>
      <c r="J125" s="174">
        <v>15000</v>
      </c>
      <c r="K125" s="106" t="s">
        <v>3654</v>
      </c>
    </row>
    <row r="126" spans="1:11" ht="19" x14ac:dyDescent="0.2">
      <c r="A126" s="144">
        <v>1763000</v>
      </c>
      <c r="B126" s="145"/>
      <c r="C126" s="149" t="s">
        <v>10</v>
      </c>
      <c r="D126" s="147" t="s">
        <v>20</v>
      </c>
      <c r="E126" s="150">
        <v>1331000</v>
      </c>
      <c r="F126" s="139">
        <v>118000</v>
      </c>
      <c r="G126" s="139">
        <v>314000</v>
      </c>
      <c r="H126" s="139"/>
      <c r="I126" s="139"/>
      <c r="J126" s="162"/>
      <c r="K126" s="162"/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/>
      <c r="K127" s="174"/>
    </row>
    <row r="128" spans="1:11" ht="19" x14ac:dyDescent="0.2">
      <c r="A128" s="148">
        <v>3363000</v>
      </c>
      <c r="B128" s="145">
        <v>45616</v>
      </c>
      <c r="C128" s="159" t="s">
        <v>9</v>
      </c>
      <c r="D128" s="147" t="s">
        <v>3329</v>
      </c>
      <c r="E128" s="150">
        <v>2486000</v>
      </c>
      <c r="F128" s="139">
        <v>337000</v>
      </c>
      <c r="G128" s="139">
        <v>540000</v>
      </c>
      <c r="H128" s="139"/>
      <c r="I128" s="139"/>
      <c r="J128" s="139">
        <v>198000</v>
      </c>
      <c r="K128" s="139" t="s">
        <v>3622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150000</v>
      </c>
      <c r="K129" s="174" t="s">
        <v>2841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200000</v>
      </c>
      <c r="K130" s="139" t="s">
        <v>3623</v>
      </c>
    </row>
    <row r="131" spans="1:11" ht="19" x14ac:dyDescent="0.2">
      <c r="A131" s="143">
        <v>1836000</v>
      </c>
      <c r="B131" s="153"/>
      <c r="C131" s="163" t="s">
        <v>10</v>
      </c>
      <c r="D131" s="155" t="s">
        <v>3531</v>
      </c>
      <c r="E131" s="164">
        <v>1349000</v>
      </c>
      <c r="F131" s="119">
        <v>258000</v>
      </c>
      <c r="G131" s="119">
        <v>229000</v>
      </c>
      <c r="H131" s="119"/>
      <c r="I131" s="119"/>
      <c r="J131" s="119">
        <v>135000</v>
      </c>
      <c r="K131" s="119" t="s">
        <v>1649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192000</v>
      </c>
      <c r="K132" s="139" t="s">
        <v>1245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75000</v>
      </c>
      <c r="K133" s="119" t="s">
        <v>3624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75000</v>
      </c>
      <c r="K134" s="139" t="s">
        <v>2730</v>
      </c>
    </row>
    <row r="135" spans="1:11" ht="19" x14ac:dyDescent="0.2">
      <c r="A135" s="143">
        <v>3124000</v>
      </c>
      <c r="B135" s="153">
        <v>45617</v>
      </c>
      <c r="C135" s="163" t="s">
        <v>9</v>
      </c>
      <c r="D135" s="155" t="s">
        <v>3329</v>
      </c>
      <c r="E135" s="164">
        <v>1695000</v>
      </c>
      <c r="F135" s="119">
        <v>808000</v>
      </c>
      <c r="G135" s="119">
        <v>621000</v>
      </c>
      <c r="H135" s="119"/>
      <c r="I135" s="119"/>
      <c r="J135" s="119"/>
      <c r="K135" s="119"/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/>
      <c r="K136" s="139"/>
    </row>
    <row r="137" spans="1:11" ht="19" x14ac:dyDescent="0.2">
      <c r="A137" s="143">
        <v>1807000</v>
      </c>
      <c r="B137" s="153"/>
      <c r="C137" s="163" t="s">
        <v>10</v>
      </c>
      <c r="D137" s="155" t="s">
        <v>3531</v>
      </c>
      <c r="E137" s="164">
        <v>1151000</v>
      </c>
      <c r="F137" s="119">
        <v>283000</v>
      </c>
      <c r="G137" s="119">
        <v>373000</v>
      </c>
      <c r="H137" s="119"/>
      <c r="I137" s="119"/>
      <c r="J137" s="174">
        <v>150000</v>
      </c>
      <c r="K137" s="174" t="s">
        <v>1710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200000</v>
      </c>
      <c r="K138" s="162" t="s">
        <v>2796</v>
      </c>
    </row>
    <row r="139" spans="1:11" ht="19" x14ac:dyDescent="0.2">
      <c r="A139" s="143">
        <v>3221000</v>
      </c>
      <c r="B139" s="32">
        <v>45618</v>
      </c>
      <c r="C139" s="35" t="s">
        <v>9</v>
      </c>
      <c r="D139" s="13" t="s">
        <v>3329</v>
      </c>
      <c r="E139" s="15">
        <v>2025000</v>
      </c>
      <c r="F139" s="9">
        <v>385000</v>
      </c>
      <c r="G139" s="9">
        <v>811000</v>
      </c>
      <c r="H139" s="9"/>
      <c r="I139" s="9"/>
      <c r="J139" s="106">
        <v>35000</v>
      </c>
      <c r="K139" s="106" t="s">
        <v>3625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9000</v>
      </c>
      <c r="K140" s="162" t="s">
        <v>3626</v>
      </c>
    </row>
    <row r="141" spans="1:11" ht="19" x14ac:dyDescent="0.2">
      <c r="A141" s="143"/>
      <c r="B141" s="32"/>
      <c r="C141" s="35"/>
      <c r="D141" s="13"/>
      <c r="E141" s="15"/>
      <c r="F141" s="9"/>
      <c r="G141" s="9"/>
      <c r="H141" s="9"/>
      <c r="I141" s="9"/>
      <c r="J141" s="106">
        <v>24000</v>
      </c>
      <c r="K141" s="106" t="s">
        <v>3627</v>
      </c>
    </row>
    <row r="142" spans="1:11" ht="19" x14ac:dyDescent="0.2">
      <c r="A142" s="144">
        <v>1748000</v>
      </c>
      <c r="B142" s="145"/>
      <c r="C142" s="151" t="s">
        <v>10</v>
      </c>
      <c r="D142" s="147" t="s">
        <v>20</v>
      </c>
      <c r="E142" s="150">
        <v>1412000</v>
      </c>
      <c r="F142" s="139">
        <v>310000</v>
      </c>
      <c r="G142" s="139">
        <v>26000</v>
      </c>
      <c r="H142" s="139"/>
      <c r="I142" s="139"/>
      <c r="J142" s="139">
        <v>30000</v>
      </c>
      <c r="K142" s="139" t="s">
        <v>3628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/>
      <c r="K143" s="119"/>
    </row>
    <row r="144" spans="1:11" ht="19" x14ac:dyDescent="0.2">
      <c r="A144" s="144">
        <v>2493000</v>
      </c>
      <c r="B144" s="145">
        <v>45619</v>
      </c>
      <c r="C144" s="159" t="s">
        <v>9</v>
      </c>
      <c r="D144" s="147" t="s">
        <v>3386</v>
      </c>
      <c r="E144" s="150">
        <v>1640000</v>
      </c>
      <c r="F144" s="139">
        <v>297000</v>
      </c>
      <c r="G144" s="139">
        <v>556000</v>
      </c>
      <c r="H144" s="139"/>
      <c r="I144" s="139"/>
      <c r="J144" s="139">
        <v>23000</v>
      </c>
      <c r="K144" s="139" t="s">
        <v>3629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30000</v>
      </c>
      <c r="K145" s="119" t="s">
        <v>3630</v>
      </c>
    </row>
    <row r="146" spans="1:11" ht="19" x14ac:dyDescent="0.2">
      <c r="A146" s="144">
        <v>2064000</v>
      </c>
      <c r="B146" s="145"/>
      <c r="C146" s="151" t="s">
        <v>10</v>
      </c>
      <c r="D146" s="160" t="s">
        <v>3531</v>
      </c>
      <c r="E146" s="150">
        <v>1859000</v>
      </c>
      <c r="F146" s="139">
        <v>145000</v>
      </c>
      <c r="G146" s="139">
        <v>60000</v>
      </c>
      <c r="H146" s="139"/>
      <c r="I146" s="139"/>
      <c r="J146" s="162">
        <v>120000</v>
      </c>
      <c r="K146" s="162" t="s">
        <v>1553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/>
      <c r="K147" s="119"/>
    </row>
    <row r="148" spans="1:11" ht="19" x14ac:dyDescent="0.2">
      <c r="A148" s="148">
        <v>2887000</v>
      </c>
      <c r="B148" s="145">
        <v>45620</v>
      </c>
      <c r="C148" s="151" t="s">
        <v>9</v>
      </c>
      <c r="D148" s="147" t="s">
        <v>3329</v>
      </c>
      <c r="E148" s="150">
        <v>2122000</v>
      </c>
      <c r="F148" s="139">
        <v>372000</v>
      </c>
      <c r="G148" s="139">
        <v>393000</v>
      </c>
      <c r="H148" s="139"/>
      <c r="I148" s="139"/>
      <c r="J148" s="139">
        <v>50000</v>
      </c>
      <c r="K148" s="139" t="s">
        <v>123</v>
      </c>
    </row>
    <row r="149" spans="1:11" ht="19" x14ac:dyDescent="0.2">
      <c r="A149" s="142">
        <v>1662000</v>
      </c>
      <c r="B149" s="153"/>
      <c r="C149" s="163" t="s">
        <v>10</v>
      </c>
      <c r="D149" s="172" t="s">
        <v>3531</v>
      </c>
      <c r="E149" s="164">
        <v>1356000</v>
      </c>
      <c r="F149" s="119">
        <v>147000</v>
      </c>
      <c r="G149" s="119">
        <v>159000</v>
      </c>
      <c r="H149" s="119"/>
      <c r="I149" s="119"/>
      <c r="J149" s="119"/>
      <c r="K149" s="119"/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960000</v>
      </c>
      <c r="K150" s="139" t="s">
        <v>3631</v>
      </c>
    </row>
    <row r="151" spans="1:11" ht="19" x14ac:dyDescent="0.2">
      <c r="A151" s="142">
        <v>2426000</v>
      </c>
      <c r="B151" s="153">
        <v>45621</v>
      </c>
      <c r="C151" s="163" t="s">
        <v>9</v>
      </c>
      <c r="D151" s="172" t="s">
        <v>3329</v>
      </c>
      <c r="E151" s="164">
        <v>1508000</v>
      </c>
      <c r="F151" s="119">
        <v>149000</v>
      </c>
      <c r="G151" s="119">
        <v>769000</v>
      </c>
      <c r="H151" s="119"/>
      <c r="I151" s="119"/>
      <c r="J151" s="119">
        <v>135000</v>
      </c>
      <c r="K151" s="119" t="s">
        <v>1649</v>
      </c>
    </row>
    <row r="152" spans="1:11" ht="19" x14ac:dyDescent="0.2">
      <c r="A152" s="148">
        <v>1551000</v>
      </c>
      <c r="B152" s="145"/>
      <c r="C152" s="151" t="s">
        <v>10</v>
      </c>
      <c r="D152" s="160" t="s">
        <v>3309</v>
      </c>
      <c r="E152" s="150">
        <v>1162000</v>
      </c>
      <c r="F152" s="139">
        <v>311000</v>
      </c>
      <c r="G152" s="139">
        <v>78000</v>
      </c>
      <c r="H152" s="139"/>
      <c r="I152" s="139"/>
      <c r="J152" s="139">
        <v>75000</v>
      </c>
      <c r="K152" s="139" t="s">
        <v>3632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/>
      <c r="K153" s="119"/>
    </row>
    <row r="154" spans="1:11" ht="19" x14ac:dyDescent="0.2">
      <c r="A154" s="144">
        <v>2893000</v>
      </c>
      <c r="B154" s="145">
        <v>45622</v>
      </c>
      <c r="C154" s="151" t="s">
        <v>9</v>
      </c>
      <c r="D154" s="147" t="s">
        <v>3329</v>
      </c>
      <c r="E154" s="150">
        <v>2003000</v>
      </c>
      <c r="F154" s="139">
        <v>308000</v>
      </c>
      <c r="G154" s="139">
        <v>582000</v>
      </c>
      <c r="H154" s="139"/>
      <c r="I154" s="139"/>
      <c r="J154" s="139">
        <v>95000</v>
      </c>
      <c r="K154" s="139" t="s">
        <v>3633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57000</v>
      </c>
      <c r="K155" s="119" t="s">
        <v>3634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74000</v>
      </c>
      <c r="K156" s="139" t="s">
        <v>1491</v>
      </c>
    </row>
    <row r="157" spans="1:11" ht="19" x14ac:dyDescent="0.2">
      <c r="A157" s="143">
        <v>1545000</v>
      </c>
      <c r="B157" s="153"/>
      <c r="C157" s="171" t="s">
        <v>10</v>
      </c>
      <c r="D157" s="155" t="s">
        <v>20</v>
      </c>
      <c r="E157" s="164">
        <v>1028000</v>
      </c>
      <c r="F157" s="119">
        <v>83000</v>
      </c>
      <c r="G157" s="119">
        <v>434000</v>
      </c>
      <c r="H157" s="119"/>
      <c r="I157" s="119"/>
      <c r="J157" s="119">
        <v>200000</v>
      </c>
      <c r="K157" s="119" t="s">
        <v>2796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298"/>
      <c r="J158" s="139">
        <v>45000</v>
      </c>
      <c r="K158" s="139" t="s">
        <v>3635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150000</v>
      </c>
      <c r="K159" s="119" t="s">
        <v>3636</v>
      </c>
    </row>
    <row r="160" spans="1:11" ht="19" x14ac:dyDescent="0.2">
      <c r="A160" s="144">
        <v>3340000</v>
      </c>
      <c r="B160" s="145">
        <v>45623</v>
      </c>
      <c r="C160" s="146" t="s">
        <v>9</v>
      </c>
      <c r="D160" s="147" t="s">
        <v>3329</v>
      </c>
      <c r="E160" s="150">
        <v>2297000</v>
      </c>
      <c r="F160" s="139">
        <v>376000</v>
      </c>
      <c r="G160" s="139">
        <v>667000</v>
      </c>
      <c r="H160" s="139"/>
      <c r="I160" s="165"/>
      <c r="J160" s="139">
        <v>81000</v>
      </c>
      <c r="K160" s="139" t="s">
        <v>2494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41000</v>
      </c>
      <c r="K161" s="9" t="s">
        <v>3543</v>
      </c>
    </row>
    <row r="162" spans="1:11" ht="19" x14ac:dyDescent="0.2">
      <c r="A162" s="294"/>
      <c r="B162" s="145"/>
      <c r="C162" s="151"/>
      <c r="D162" s="147"/>
      <c r="E162" s="150"/>
      <c r="F162" s="139"/>
      <c r="G162" s="139"/>
      <c r="H162" s="139"/>
      <c r="I162" s="165"/>
      <c r="J162" s="139">
        <v>192000</v>
      </c>
      <c r="K162" s="139" t="s">
        <v>1245</v>
      </c>
    </row>
    <row r="163" spans="1:11" ht="19" x14ac:dyDescent="0.2">
      <c r="A163" s="143"/>
      <c r="B163" s="32"/>
      <c r="C163" s="35"/>
      <c r="D163" s="102"/>
      <c r="E163" s="15"/>
      <c r="F163" s="9"/>
      <c r="G163" s="9"/>
      <c r="H163" s="9"/>
      <c r="I163" s="77"/>
      <c r="J163" s="9">
        <v>200000</v>
      </c>
      <c r="K163" s="9" t="s">
        <v>1319</v>
      </c>
    </row>
    <row r="164" spans="1:11" ht="19" x14ac:dyDescent="0.2">
      <c r="A164" s="148"/>
      <c r="B164" s="145"/>
      <c r="C164" s="151"/>
      <c r="D164" s="160"/>
      <c r="E164" s="150"/>
      <c r="F164" s="139"/>
      <c r="G164" s="139"/>
      <c r="H164" s="139"/>
      <c r="I164" s="165"/>
      <c r="J164" s="139">
        <v>105000</v>
      </c>
      <c r="K164" s="139" t="s">
        <v>1536</v>
      </c>
    </row>
    <row r="165" spans="1:11" ht="19" x14ac:dyDescent="0.2">
      <c r="A165" s="142"/>
      <c r="B165" s="32"/>
      <c r="C165" s="35"/>
      <c r="D165" s="102"/>
      <c r="E165" s="15"/>
      <c r="F165" s="9"/>
      <c r="G165" s="9"/>
      <c r="H165" s="9"/>
      <c r="I165" s="77"/>
      <c r="J165" s="9">
        <v>150000</v>
      </c>
      <c r="K165" s="9" t="s">
        <v>3637</v>
      </c>
    </row>
    <row r="166" spans="1:11" ht="19" x14ac:dyDescent="0.2">
      <c r="A166" s="144"/>
      <c r="B166" s="145"/>
      <c r="C166" s="159"/>
      <c r="D166" s="147"/>
      <c r="E166" s="150"/>
      <c r="F166" s="139"/>
      <c r="G166" s="139"/>
      <c r="H166" s="139"/>
      <c r="I166" s="165"/>
      <c r="J166" s="139">
        <v>150000</v>
      </c>
      <c r="K166" s="262" t="s">
        <v>3638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150000</v>
      </c>
      <c r="K167" s="9" t="s">
        <v>3639</v>
      </c>
    </row>
    <row r="168" spans="1:11" ht="19" x14ac:dyDescent="0.2">
      <c r="A168" s="144">
        <v>1845000</v>
      </c>
      <c r="B168" s="145"/>
      <c r="C168" s="146" t="s">
        <v>10</v>
      </c>
      <c r="D168" s="147" t="s">
        <v>3309</v>
      </c>
      <c r="E168" s="150">
        <v>1237000</v>
      </c>
      <c r="F168" s="139">
        <v>358000</v>
      </c>
      <c r="G168" s="139">
        <v>250000</v>
      </c>
      <c r="H168" s="139"/>
      <c r="I168" s="165"/>
      <c r="J168" s="139"/>
      <c r="K168" s="139"/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/>
      <c r="K169" s="9"/>
    </row>
    <row r="170" spans="1:11" ht="19" x14ac:dyDescent="0.2">
      <c r="A170" s="144">
        <v>2431000</v>
      </c>
      <c r="B170" s="145">
        <v>45624</v>
      </c>
      <c r="C170" s="263" t="s">
        <v>9</v>
      </c>
      <c r="D170" s="147" t="s">
        <v>3329</v>
      </c>
      <c r="E170" s="150">
        <v>1487000</v>
      </c>
      <c r="F170" s="139">
        <v>318000</v>
      </c>
      <c r="G170" s="139">
        <v>626000</v>
      </c>
      <c r="H170" s="139"/>
      <c r="I170" s="139"/>
      <c r="J170" s="139">
        <v>37000</v>
      </c>
      <c r="K170" s="139" t="s">
        <v>3640</v>
      </c>
    </row>
    <row r="171" spans="1:11" ht="19" x14ac:dyDescent="0.2">
      <c r="A171" s="143"/>
      <c r="B171" s="153"/>
      <c r="C171" s="154"/>
      <c r="D171" s="155"/>
      <c r="E171" s="164"/>
      <c r="F171" s="119"/>
      <c r="G171" s="119"/>
      <c r="H171" s="119"/>
      <c r="I171" s="119"/>
      <c r="J171" s="119">
        <v>150000</v>
      </c>
      <c r="K171" s="119" t="s">
        <v>3641</v>
      </c>
    </row>
    <row r="172" spans="1:11" ht="19" x14ac:dyDescent="0.2">
      <c r="A172" s="144"/>
      <c r="B172" s="145"/>
      <c r="C172" s="151"/>
      <c r="D172" s="147"/>
      <c r="E172" s="150"/>
      <c r="F172" s="139"/>
      <c r="G172" s="139"/>
      <c r="H172" s="139"/>
      <c r="I172" s="165"/>
      <c r="J172" s="139">
        <v>35000</v>
      </c>
      <c r="K172" s="139" t="s">
        <v>1885</v>
      </c>
    </row>
    <row r="173" spans="1:11" ht="19" x14ac:dyDescent="0.2">
      <c r="A173" s="143"/>
      <c r="B173" s="153"/>
      <c r="C173" s="163"/>
      <c r="D173" s="155"/>
      <c r="E173" s="164"/>
      <c r="F173" s="119"/>
      <c r="G173" s="119"/>
      <c r="H173" s="119"/>
      <c r="I173" s="168"/>
      <c r="J173" s="119">
        <v>12000</v>
      </c>
      <c r="K173" s="119" t="s">
        <v>3642</v>
      </c>
    </row>
    <row r="174" spans="1:11" ht="19" x14ac:dyDescent="0.2">
      <c r="A174" s="144"/>
      <c r="B174" s="145"/>
      <c r="C174" s="151"/>
      <c r="D174" s="147"/>
      <c r="E174" s="150"/>
      <c r="F174" s="139"/>
      <c r="G174" s="139"/>
      <c r="H174" s="139"/>
      <c r="I174" s="165"/>
      <c r="J174" s="139">
        <v>36000</v>
      </c>
      <c r="K174" s="139" t="s">
        <v>3643</v>
      </c>
    </row>
    <row r="175" spans="1:11" ht="19" x14ac:dyDescent="0.2">
      <c r="A175" s="143"/>
      <c r="B175" s="153"/>
      <c r="C175" s="163"/>
      <c r="D175" s="155"/>
      <c r="E175" s="164"/>
      <c r="F175" s="119"/>
      <c r="G175" s="119"/>
      <c r="H175" s="119"/>
      <c r="I175" s="168"/>
      <c r="J175" s="119">
        <v>85000</v>
      </c>
      <c r="K175" s="119" t="s">
        <v>3644</v>
      </c>
    </row>
    <row r="176" spans="1:11" ht="19" x14ac:dyDescent="0.2">
      <c r="A176" s="144">
        <v>1596000</v>
      </c>
      <c r="B176" s="145"/>
      <c r="C176" s="149" t="s">
        <v>10</v>
      </c>
      <c r="D176" s="147" t="s">
        <v>3531</v>
      </c>
      <c r="E176" s="150">
        <v>1306000</v>
      </c>
      <c r="F176" s="139">
        <v>100000</v>
      </c>
      <c r="G176" s="139">
        <v>190000</v>
      </c>
      <c r="H176" s="139"/>
      <c r="I176" s="139"/>
      <c r="J176" s="139"/>
      <c r="K176" s="139"/>
    </row>
    <row r="177" spans="1:11" ht="19" x14ac:dyDescent="0.2">
      <c r="A177" s="143"/>
      <c r="B177" s="153"/>
      <c r="C177" s="171"/>
      <c r="D177" s="155"/>
      <c r="E177" s="164"/>
      <c r="F177" s="119"/>
      <c r="G177" s="119"/>
      <c r="H177" s="119"/>
      <c r="I177" s="119"/>
      <c r="J177" s="168"/>
      <c r="K177" s="168"/>
    </row>
    <row r="178" spans="1:11" ht="19" x14ac:dyDescent="0.2">
      <c r="A178" s="144">
        <v>3190000</v>
      </c>
      <c r="B178" s="145">
        <v>45625</v>
      </c>
      <c r="C178" s="149" t="s">
        <v>9</v>
      </c>
      <c r="D178" s="147" t="s">
        <v>3329</v>
      </c>
      <c r="E178" s="150">
        <v>2062000</v>
      </c>
      <c r="F178" s="139">
        <v>413000</v>
      </c>
      <c r="G178" s="139">
        <v>715000</v>
      </c>
      <c r="H178" s="139"/>
      <c r="I178" s="139"/>
      <c r="J178" s="162">
        <v>90000</v>
      </c>
      <c r="K178" s="162" t="s">
        <v>1310</v>
      </c>
    </row>
    <row r="179" spans="1:11" ht="19" x14ac:dyDescent="0.2">
      <c r="A179" s="143">
        <v>2512000</v>
      </c>
      <c r="B179" s="153"/>
      <c r="C179" s="171" t="s">
        <v>10</v>
      </c>
      <c r="D179" s="155" t="s">
        <v>20</v>
      </c>
      <c r="E179" s="164">
        <v>1713000</v>
      </c>
      <c r="F179" s="119">
        <v>356000</v>
      </c>
      <c r="G179" s="119">
        <v>443000</v>
      </c>
      <c r="H179" s="119"/>
      <c r="I179" s="119"/>
      <c r="J179" s="174"/>
      <c r="K179" s="174"/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39"/>
      <c r="J180" s="165">
        <v>25000</v>
      </c>
      <c r="K180" s="165" t="s">
        <v>3601</v>
      </c>
    </row>
    <row r="181" spans="1:11" ht="19" x14ac:dyDescent="0.2">
      <c r="A181" s="143">
        <v>2778000</v>
      </c>
      <c r="B181" s="153">
        <v>45626</v>
      </c>
      <c r="C181" s="171" t="s">
        <v>9</v>
      </c>
      <c r="D181" s="155" t="s">
        <v>3645</v>
      </c>
      <c r="E181" s="164">
        <v>2020000</v>
      </c>
      <c r="F181" s="119">
        <v>174000</v>
      </c>
      <c r="G181" s="119">
        <v>584000</v>
      </c>
      <c r="H181" s="119"/>
      <c r="I181" s="119"/>
      <c r="J181" s="168">
        <v>520000</v>
      </c>
      <c r="K181" s="168" t="s">
        <v>1462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39"/>
      <c r="J182" s="165">
        <v>75000</v>
      </c>
      <c r="K182" s="165" t="s">
        <v>3646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>
        <v>1300000</v>
      </c>
      <c r="I183" s="119" t="s">
        <v>717</v>
      </c>
      <c r="J183" s="119">
        <v>98000</v>
      </c>
      <c r="K183" s="119" t="s">
        <v>1303</v>
      </c>
    </row>
    <row r="184" spans="1:11" ht="19" x14ac:dyDescent="0.2">
      <c r="A184" s="144">
        <v>1508000</v>
      </c>
      <c r="B184" s="145"/>
      <c r="C184" s="149" t="s">
        <v>10</v>
      </c>
      <c r="D184" s="147" t="s">
        <v>3531</v>
      </c>
      <c r="E184" s="150">
        <v>1028000</v>
      </c>
      <c r="F184" s="139">
        <v>56000</v>
      </c>
      <c r="G184" s="139">
        <v>424000</v>
      </c>
      <c r="H184" s="139">
        <v>2550000</v>
      </c>
      <c r="I184" s="139" t="s">
        <v>3566</v>
      </c>
      <c r="J184" s="165">
        <v>37000</v>
      </c>
      <c r="K184" s="165" t="s">
        <v>3647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>
        <v>850000</v>
      </c>
      <c r="I185" s="119" t="s">
        <v>3570</v>
      </c>
      <c r="J185" s="168">
        <v>7000</v>
      </c>
      <c r="K185" s="168" t="s">
        <v>3648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>
        <v>800000</v>
      </c>
      <c r="I186" s="139" t="s">
        <v>3649</v>
      </c>
      <c r="J186" s="165">
        <v>16000</v>
      </c>
      <c r="K186" s="165" t="s">
        <v>1758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>
        <v>1360000</v>
      </c>
      <c r="I187" s="119" t="s">
        <v>3650</v>
      </c>
      <c r="J187" s="168">
        <v>15000</v>
      </c>
      <c r="K187" s="168" t="s">
        <v>1873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>
        <v>600000</v>
      </c>
      <c r="I188" s="139" t="s">
        <v>3651</v>
      </c>
      <c r="J188" s="165">
        <v>50000</v>
      </c>
      <c r="K188" s="165" t="s">
        <v>123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>
        <v>600000</v>
      </c>
      <c r="I189" s="119" t="s">
        <v>3652</v>
      </c>
      <c r="J189" s="168"/>
      <c r="K189" s="168"/>
    </row>
    <row r="190" spans="1:11" ht="32" x14ac:dyDescent="0.2">
      <c r="A190" s="144"/>
      <c r="B190" s="145"/>
      <c r="C190" s="149"/>
      <c r="D190" s="147"/>
      <c r="E190" s="150"/>
      <c r="F190" s="139"/>
      <c r="G190" s="139"/>
      <c r="H190" s="139">
        <v>5750000</v>
      </c>
      <c r="I190" s="161" t="s">
        <v>3572</v>
      </c>
      <c r="J190" s="165"/>
      <c r="K190" s="165"/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>
        <v>1284000</v>
      </c>
      <c r="I191" s="119" t="s">
        <v>3125</v>
      </c>
      <c r="J191" s="168"/>
      <c r="K191" s="16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3:K190"/>
  <sheetViews>
    <sheetView workbookViewId="0">
      <selection activeCell="K20" sqref="K20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4.33203125" bestFit="1" customWidth="1"/>
    <col min="5" max="5" width="20.33203125" bestFit="1" customWidth="1"/>
    <col min="6" max="6" width="24.5" customWidth="1"/>
    <col min="7" max="8" width="20.33203125" bestFit="1" customWidth="1"/>
    <col min="9" max="9" width="32" customWidth="1"/>
    <col min="10" max="10" width="20.33203125" bestFit="1" customWidth="1"/>
    <col min="11" max="11" width="28.8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24320000</v>
      </c>
      <c r="K4" s="72">
        <f>J4/10820</f>
        <v>2247.6894639556376</v>
      </c>
    </row>
    <row r="5" spans="1:11" ht="24" x14ac:dyDescent="0.3">
      <c r="B5" s="99" t="s">
        <v>3743</v>
      </c>
      <c r="H5" s="73"/>
      <c r="I5" s="71" t="s">
        <v>2315</v>
      </c>
      <c r="J5" s="71">
        <v>24320000</v>
      </c>
      <c r="K5" s="72">
        <f>J5/10820</f>
        <v>2247.6894639556376</v>
      </c>
    </row>
    <row r="6" spans="1:11" ht="24" x14ac:dyDescent="0.3">
      <c r="B6" s="99"/>
      <c r="H6" s="73"/>
      <c r="I6" s="71" t="s">
        <v>178</v>
      </c>
      <c r="J6" s="71">
        <v>2662650</v>
      </c>
      <c r="K6" s="72" t="s">
        <v>3745</v>
      </c>
    </row>
    <row r="7" spans="1:11" ht="26" x14ac:dyDescent="0.3">
      <c r="B7" s="100" t="s">
        <v>3744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SUM(A11:A442)</f>
        <v>139031000</v>
      </c>
      <c r="B10" s="65"/>
      <c r="C10" s="66" t="s">
        <v>13</v>
      </c>
      <c r="D10" s="67"/>
      <c r="E10" s="68">
        <f>SUM(E11:E442)</f>
        <v>91197000</v>
      </c>
      <c r="F10" s="69">
        <f>SUM(F11:F442)</f>
        <v>18098000</v>
      </c>
      <c r="G10" s="69">
        <f>SUM(G11:G429)</f>
        <v>29736000</v>
      </c>
      <c r="H10" s="69">
        <f>SUM(H11:H442)</f>
        <v>26189000</v>
      </c>
      <c r="I10" s="69"/>
      <c r="J10" s="69">
        <f>SUM(J11:J442)</f>
        <v>16368000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2115000</v>
      </c>
      <c r="B12" s="145">
        <v>45627</v>
      </c>
      <c r="C12" s="151" t="s">
        <v>9</v>
      </c>
      <c r="D12" s="147" t="s">
        <v>3386</v>
      </c>
      <c r="E12" s="150">
        <v>1491000</v>
      </c>
      <c r="F12" s="139">
        <v>103000</v>
      </c>
      <c r="G12" s="139">
        <v>521000</v>
      </c>
      <c r="H12" s="139">
        <v>468000</v>
      </c>
      <c r="I12" s="162" t="s">
        <v>3741</v>
      </c>
      <c r="J12" s="139"/>
      <c r="K12" s="139"/>
    </row>
    <row r="13" spans="1:11" ht="19" x14ac:dyDescent="0.2">
      <c r="A13" s="143">
        <v>2064000</v>
      </c>
      <c r="B13" s="153"/>
      <c r="C13" s="163" t="s">
        <v>10</v>
      </c>
      <c r="D13" s="155" t="s">
        <v>3531</v>
      </c>
      <c r="E13" s="164">
        <v>1556000</v>
      </c>
      <c r="F13" s="119">
        <v>192000</v>
      </c>
      <c r="G13" s="119">
        <v>316000</v>
      </c>
      <c r="H13" s="119">
        <v>175000</v>
      </c>
      <c r="I13" s="174" t="s">
        <v>3468</v>
      </c>
      <c r="J13" s="119">
        <v>200000</v>
      </c>
      <c r="K13" s="119" t="s">
        <v>2796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45000</v>
      </c>
      <c r="K14" s="139" t="s">
        <v>1467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150000</v>
      </c>
      <c r="K15" s="119" t="s">
        <v>1710</v>
      </c>
    </row>
    <row r="16" spans="1:11" ht="19" x14ac:dyDescent="0.2">
      <c r="A16" s="144">
        <v>2463000</v>
      </c>
      <c r="B16" s="145">
        <v>45628</v>
      </c>
      <c r="C16" s="151" t="s">
        <v>9</v>
      </c>
      <c r="D16" s="147" t="s">
        <v>3329</v>
      </c>
      <c r="E16" s="150">
        <v>1508000</v>
      </c>
      <c r="F16" s="139">
        <v>395000</v>
      </c>
      <c r="G16" s="139">
        <v>560000</v>
      </c>
      <c r="H16" s="139"/>
      <c r="I16" s="162"/>
      <c r="J16" s="139">
        <v>120000</v>
      </c>
      <c r="K16" s="139" t="s">
        <v>1553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160000</v>
      </c>
      <c r="K17" s="119" t="s">
        <v>1597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70000</v>
      </c>
      <c r="K18" s="139" t="s">
        <v>1598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240000</v>
      </c>
      <c r="K19" s="119" t="s">
        <v>3659</v>
      </c>
    </row>
    <row r="20" spans="1:11" ht="19" x14ac:dyDescent="0.2">
      <c r="A20" s="144">
        <v>1651000</v>
      </c>
      <c r="B20" s="145"/>
      <c r="C20" s="149" t="s">
        <v>1787</v>
      </c>
      <c r="D20" s="147" t="s">
        <v>3309</v>
      </c>
      <c r="E20" s="150">
        <v>1188000</v>
      </c>
      <c r="F20" s="139">
        <v>269000</v>
      </c>
      <c r="G20" s="139">
        <v>194000</v>
      </c>
      <c r="H20" s="139"/>
      <c r="I20" s="139"/>
      <c r="J20" s="139"/>
      <c r="K20" s="139"/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/>
      <c r="K21" s="9"/>
    </row>
    <row r="22" spans="1:11" ht="19" x14ac:dyDescent="0.2">
      <c r="A22" s="144">
        <v>2535000</v>
      </c>
      <c r="B22" s="145">
        <v>45629</v>
      </c>
      <c r="C22" s="149" t="s">
        <v>9</v>
      </c>
      <c r="D22" s="147" t="s">
        <v>3329</v>
      </c>
      <c r="E22" s="150">
        <v>1199000</v>
      </c>
      <c r="F22" s="139">
        <v>501000</v>
      </c>
      <c r="G22" s="139">
        <v>835000</v>
      </c>
      <c r="H22" s="139"/>
      <c r="I22" s="139"/>
      <c r="J22" s="139">
        <v>132000</v>
      </c>
      <c r="K22" s="139" t="s">
        <v>3660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90000</v>
      </c>
      <c r="K23" s="9" t="s">
        <v>1789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49000</v>
      </c>
      <c r="K24" s="162" t="s">
        <v>3661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17000</v>
      </c>
      <c r="K25" s="119" t="s">
        <v>1580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23000</v>
      </c>
      <c r="K26" s="139" t="s">
        <v>3662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9">
        <v>22000</v>
      </c>
      <c r="K27" s="106" t="s">
        <v>2817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118000</v>
      </c>
      <c r="K28" s="139" t="s">
        <v>3663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25000</v>
      </c>
      <c r="K29" s="9" t="s">
        <v>3463</v>
      </c>
    </row>
    <row r="30" spans="1:11" ht="19" x14ac:dyDescent="0.2">
      <c r="A30" s="144">
        <v>1695000</v>
      </c>
      <c r="B30" s="145"/>
      <c r="C30" s="149" t="s">
        <v>10</v>
      </c>
      <c r="D30" s="147" t="s">
        <v>20</v>
      </c>
      <c r="E30" s="150">
        <v>1377000</v>
      </c>
      <c r="F30" s="139">
        <v>198000</v>
      </c>
      <c r="G30" s="139">
        <v>120000</v>
      </c>
      <c r="H30" s="139"/>
      <c r="I30" s="139"/>
      <c r="J30" s="139"/>
      <c r="K30" s="139"/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/>
      <c r="K31" s="9"/>
    </row>
    <row r="32" spans="1:11" ht="19" x14ac:dyDescent="0.2">
      <c r="A32" s="144">
        <v>4026000</v>
      </c>
      <c r="B32" s="145">
        <v>45630</v>
      </c>
      <c r="C32" s="149" t="s">
        <v>9</v>
      </c>
      <c r="D32" s="147" t="s">
        <v>3329</v>
      </c>
      <c r="E32" s="150">
        <v>2397000</v>
      </c>
      <c r="F32" s="139">
        <v>915000</v>
      </c>
      <c r="G32" s="139">
        <v>714000</v>
      </c>
      <c r="H32" s="139"/>
      <c r="I32" s="139"/>
      <c r="J32" s="139">
        <v>47000</v>
      </c>
      <c r="K32" s="139" t="s">
        <v>1493</v>
      </c>
    </row>
    <row r="33" spans="1:11" ht="19" x14ac:dyDescent="0.2">
      <c r="A33" s="143">
        <v>1555000</v>
      </c>
      <c r="B33" s="153"/>
      <c r="C33" s="171" t="s">
        <v>10</v>
      </c>
      <c r="D33" s="155" t="s">
        <v>3531</v>
      </c>
      <c r="E33" s="164">
        <v>1289000</v>
      </c>
      <c r="F33" s="119">
        <v>203000</v>
      </c>
      <c r="G33" s="119">
        <v>63000</v>
      </c>
      <c r="H33" s="119"/>
      <c r="I33" s="119"/>
      <c r="J33" s="119">
        <v>75000</v>
      </c>
      <c r="K33" s="119" t="s">
        <v>3664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75000</v>
      </c>
      <c r="K34" s="139" t="s">
        <v>3665</v>
      </c>
    </row>
    <row r="35" spans="1:11" ht="19" x14ac:dyDescent="0.2">
      <c r="A35" s="143">
        <v>2531000</v>
      </c>
      <c r="B35" s="32">
        <v>45631</v>
      </c>
      <c r="C35" s="49" t="s">
        <v>9</v>
      </c>
      <c r="D35" s="13" t="s">
        <v>3329</v>
      </c>
      <c r="E35" s="15">
        <v>1427000</v>
      </c>
      <c r="F35" s="9">
        <v>422000</v>
      </c>
      <c r="G35" s="9">
        <v>682000</v>
      </c>
      <c r="H35" s="9"/>
      <c r="I35" s="119"/>
      <c r="J35" s="9">
        <v>150000</v>
      </c>
      <c r="K35" s="9" t="s">
        <v>1518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240000</v>
      </c>
      <c r="K36" s="139" t="s">
        <v>2723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140000</v>
      </c>
      <c r="K37" s="9" t="s">
        <v>1285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192000</v>
      </c>
      <c r="K38" s="139" t="s">
        <v>1245</v>
      </c>
    </row>
    <row r="39" spans="1:11" ht="19" x14ac:dyDescent="0.2">
      <c r="A39" s="143">
        <v>2229000</v>
      </c>
      <c r="B39" s="32"/>
      <c r="C39" s="49" t="s">
        <v>10</v>
      </c>
      <c r="D39" s="13" t="s">
        <v>3531</v>
      </c>
      <c r="E39" s="15">
        <v>1461000</v>
      </c>
      <c r="F39" s="9">
        <v>423000</v>
      </c>
      <c r="G39" s="9">
        <v>345000</v>
      </c>
      <c r="H39" s="9"/>
      <c r="I39" s="119"/>
      <c r="J39" s="9"/>
      <c r="K39" s="9"/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/>
      <c r="K40" s="139"/>
    </row>
    <row r="41" spans="1:11" ht="19" x14ac:dyDescent="0.2">
      <c r="A41" s="143">
        <v>3512000</v>
      </c>
      <c r="B41" s="32">
        <v>45632</v>
      </c>
      <c r="C41" s="49" t="s">
        <v>9</v>
      </c>
      <c r="D41" s="13" t="s">
        <v>3329</v>
      </c>
      <c r="E41" s="15">
        <v>1860000</v>
      </c>
      <c r="F41" s="9">
        <v>797000</v>
      </c>
      <c r="G41" s="9">
        <v>855000</v>
      </c>
      <c r="H41" s="9"/>
      <c r="I41" s="119"/>
      <c r="J41" s="9">
        <v>30000</v>
      </c>
      <c r="K41" s="9" t="s">
        <v>3628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216000</v>
      </c>
      <c r="K42" s="139" t="s">
        <v>3666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650000</v>
      </c>
      <c r="K43" s="9" t="s">
        <v>3667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180000</v>
      </c>
      <c r="K44" s="139" t="s">
        <v>3668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150000</v>
      </c>
      <c r="K45" s="119" t="s">
        <v>3669</v>
      </c>
    </row>
    <row r="46" spans="1:11" ht="19" x14ac:dyDescent="0.2">
      <c r="A46" s="144">
        <v>2280000</v>
      </c>
      <c r="B46" s="145"/>
      <c r="C46" s="149" t="s">
        <v>10</v>
      </c>
      <c r="D46" s="147" t="s">
        <v>20</v>
      </c>
      <c r="E46" s="150">
        <v>1370000</v>
      </c>
      <c r="F46" s="139">
        <v>386000</v>
      </c>
      <c r="G46" s="139">
        <v>524000</v>
      </c>
      <c r="H46" s="139"/>
      <c r="I46" s="139"/>
      <c r="J46" s="139">
        <v>200000</v>
      </c>
      <c r="K46" s="139" t="s">
        <v>2796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150000</v>
      </c>
      <c r="K47" s="119" t="s">
        <v>1710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39"/>
      <c r="J48" s="139"/>
      <c r="K48" s="139"/>
    </row>
    <row r="49" spans="1:11" ht="19" x14ac:dyDescent="0.2">
      <c r="A49" s="143">
        <v>3307000</v>
      </c>
      <c r="B49" s="153">
        <v>45633</v>
      </c>
      <c r="C49" s="171" t="s">
        <v>9</v>
      </c>
      <c r="D49" s="155" t="s">
        <v>3329</v>
      </c>
      <c r="E49" s="164">
        <v>2195000</v>
      </c>
      <c r="F49" s="119">
        <v>284000</v>
      </c>
      <c r="G49" s="119">
        <v>828000</v>
      </c>
      <c r="H49" s="119"/>
      <c r="I49" s="119"/>
      <c r="J49" s="119">
        <v>100000</v>
      </c>
      <c r="K49" s="119" t="s">
        <v>3248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75000</v>
      </c>
      <c r="K50" s="139" t="s">
        <v>1307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300000</v>
      </c>
      <c r="K51" s="119" t="s">
        <v>3670</v>
      </c>
    </row>
    <row r="52" spans="1:11" ht="19" x14ac:dyDescent="0.2">
      <c r="A52" s="144">
        <v>2415000</v>
      </c>
      <c r="B52" s="145"/>
      <c r="C52" s="149" t="s">
        <v>10</v>
      </c>
      <c r="D52" s="147" t="s">
        <v>3531</v>
      </c>
      <c r="E52" s="150">
        <v>1804000</v>
      </c>
      <c r="F52" s="139">
        <v>468000</v>
      </c>
      <c r="G52" s="139">
        <v>143000</v>
      </c>
      <c r="H52" s="139"/>
      <c r="I52" s="139"/>
      <c r="J52" s="139">
        <v>50000</v>
      </c>
      <c r="K52" s="139" t="s">
        <v>123</v>
      </c>
    </row>
    <row r="53" spans="1:11" ht="19" x14ac:dyDescent="0.2">
      <c r="A53" s="143">
        <v>2196000</v>
      </c>
      <c r="B53" s="153">
        <v>45634</v>
      </c>
      <c r="C53" s="171" t="s">
        <v>9</v>
      </c>
      <c r="D53" s="155" t="s">
        <v>2105</v>
      </c>
      <c r="E53" s="164">
        <v>1368000</v>
      </c>
      <c r="F53" s="119">
        <v>393000</v>
      </c>
      <c r="G53" s="119">
        <v>435000</v>
      </c>
      <c r="H53" s="119"/>
      <c r="I53" s="119"/>
      <c r="J53" s="119"/>
      <c r="K53" s="119"/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/>
      <c r="K54" s="139"/>
    </row>
    <row r="55" spans="1:11" ht="19" x14ac:dyDescent="0.2">
      <c r="A55" s="143">
        <v>2502000</v>
      </c>
      <c r="B55" s="153"/>
      <c r="C55" s="171" t="s">
        <v>10</v>
      </c>
      <c r="D55" s="155" t="s">
        <v>3531</v>
      </c>
      <c r="E55" s="164">
        <v>1882000</v>
      </c>
      <c r="F55" s="119">
        <v>289000</v>
      </c>
      <c r="G55" s="119">
        <v>331000</v>
      </c>
      <c r="H55" s="119"/>
      <c r="I55" s="119"/>
      <c r="J55" s="119"/>
      <c r="K55" s="119"/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/>
      <c r="K56" s="139"/>
    </row>
    <row r="57" spans="1:11" ht="19" x14ac:dyDescent="0.2">
      <c r="A57" s="143">
        <v>3169000</v>
      </c>
      <c r="B57" s="153">
        <v>45635</v>
      </c>
      <c r="C57" s="171" t="s">
        <v>9</v>
      </c>
      <c r="D57" s="155" t="s">
        <v>3329</v>
      </c>
      <c r="E57" s="164">
        <v>1916000</v>
      </c>
      <c r="F57" s="119">
        <v>566000</v>
      </c>
      <c r="G57" s="119">
        <v>687000</v>
      </c>
      <c r="H57" s="119"/>
      <c r="I57" s="119"/>
      <c r="J57" s="119">
        <v>114000</v>
      </c>
      <c r="K57" s="119" t="s">
        <v>1668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60000</v>
      </c>
      <c r="K58" s="139" t="s">
        <v>1490</v>
      </c>
    </row>
    <row r="59" spans="1:11" ht="19" x14ac:dyDescent="0.2">
      <c r="A59" s="143">
        <v>1829000</v>
      </c>
      <c r="B59" s="153"/>
      <c r="C59" s="171" t="s">
        <v>10</v>
      </c>
      <c r="D59" s="155" t="s">
        <v>20</v>
      </c>
      <c r="E59" s="164">
        <v>1500000</v>
      </c>
      <c r="F59" s="119">
        <v>22000</v>
      </c>
      <c r="G59" s="119">
        <v>307000</v>
      </c>
      <c r="H59" s="173"/>
      <c r="I59" s="119"/>
      <c r="J59" s="119">
        <v>24000</v>
      </c>
      <c r="K59" s="119" t="s">
        <v>3445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157"/>
      <c r="I60" s="139"/>
      <c r="J60" s="139">
        <v>520000</v>
      </c>
      <c r="K60" s="139" t="s">
        <v>3671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25000</v>
      </c>
      <c r="K61" s="119" t="s">
        <v>3601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74000</v>
      </c>
      <c r="K62" s="139" t="s">
        <v>3672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42000</v>
      </c>
      <c r="K63" s="119" t="s">
        <v>3673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35000</v>
      </c>
      <c r="K64" s="139" t="s">
        <v>1885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30000</v>
      </c>
      <c r="K65" s="119" t="s">
        <v>3674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7000</v>
      </c>
      <c r="K66" s="139" t="s">
        <v>3675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81000</v>
      </c>
      <c r="K67" s="119" t="s">
        <v>3676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15000</v>
      </c>
      <c r="K68" s="139" t="s">
        <v>1873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104000</v>
      </c>
      <c r="K69" s="119" t="s">
        <v>3432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13000</v>
      </c>
      <c r="K70" s="139" t="s">
        <v>2250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57000</v>
      </c>
      <c r="K71" s="9" t="s">
        <v>3434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61000</v>
      </c>
      <c r="K72" s="139" t="s">
        <v>3677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15000</v>
      </c>
      <c r="K73" s="9" t="s">
        <v>3237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200000</v>
      </c>
      <c r="K74" s="139" t="s">
        <v>2796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150000</v>
      </c>
      <c r="K75" s="119" t="s">
        <v>1710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180000</v>
      </c>
      <c r="K76" s="139" t="s">
        <v>1838</v>
      </c>
    </row>
    <row r="77" spans="1:11" ht="19" x14ac:dyDescent="0.2">
      <c r="A77" s="143">
        <v>2717000</v>
      </c>
      <c r="B77" s="32">
        <v>45636</v>
      </c>
      <c r="C77" s="49" t="s">
        <v>9</v>
      </c>
      <c r="D77" s="13" t="s">
        <v>3329</v>
      </c>
      <c r="E77" s="15">
        <v>1866000</v>
      </c>
      <c r="F77" s="9">
        <v>273000</v>
      </c>
      <c r="G77" s="9">
        <v>578000</v>
      </c>
      <c r="H77" s="60"/>
      <c r="I77" s="60"/>
      <c r="J77" s="9">
        <v>210000</v>
      </c>
      <c r="K77" s="9" t="s">
        <v>3678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>
        <v>100000</v>
      </c>
      <c r="K78" s="139" t="s">
        <v>3679</v>
      </c>
    </row>
    <row r="79" spans="1:11" ht="19" x14ac:dyDescent="0.2">
      <c r="A79" s="143">
        <v>1679000</v>
      </c>
      <c r="B79" s="153"/>
      <c r="C79" s="171" t="s">
        <v>10</v>
      </c>
      <c r="D79" s="155" t="s">
        <v>3531</v>
      </c>
      <c r="E79" s="164">
        <v>1431000</v>
      </c>
      <c r="F79" s="119">
        <v>66000</v>
      </c>
      <c r="G79" s="119">
        <v>182000</v>
      </c>
      <c r="H79" s="174"/>
      <c r="I79" s="174"/>
      <c r="J79" s="119">
        <v>200000</v>
      </c>
      <c r="K79" s="119" t="s">
        <v>3680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52"/>
      <c r="I80" s="152"/>
      <c r="J80" s="139">
        <v>420000</v>
      </c>
      <c r="K80" s="139" t="s">
        <v>3681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170000</v>
      </c>
      <c r="K81" s="119" t="s">
        <v>3682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192000</v>
      </c>
      <c r="K82" s="139" t="s">
        <v>1245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160000</v>
      </c>
      <c r="K83" s="9" t="s">
        <v>1597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105000</v>
      </c>
      <c r="K84" s="139" t="s">
        <v>1536</v>
      </c>
    </row>
    <row r="85" spans="1:11" ht="19" x14ac:dyDescent="0.2">
      <c r="A85" s="143">
        <v>2739000</v>
      </c>
      <c r="B85" s="153">
        <v>45637</v>
      </c>
      <c r="C85" s="171" t="s">
        <v>9</v>
      </c>
      <c r="D85" s="155" t="s">
        <v>3329</v>
      </c>
      <c r="E85" s="15">
        <v>1672000</v>
      </c>
      <c r="F85" s="9">
        <v>227000</v>
      </c>
      <c r="G85" s="9">
        <v>840000</v>
      </c>
      <c r="H85" s="106"/>
      <c r="I85" s="106"/>
      <c r="J85" s="9">
        <v>150000</v>
      </c>
      <c r="K85" s="9" t="s">
        <v>2926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75000</v>
      </c>
      <c r="K86" s="139" t="s">
        <v>3683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75"/>
      <c r="I87" s="175"/>
      <c r="J87" s="9">
        <v>65000</v>
      </c>
      <c r="K87" s="119" t="s">
        <v>3684</v>
      </c>
    </row>
    <row r="88" spans="1:11" ht="19" x14ac:dyDescent="0.2">
      <c r="A88" s="144">
        <v>1892000</v>
      </c>
      <c r="B88" s="145"/>
      <c r="C88" s="149" t="s">
        <v>10</v>
      </c>
      <c r="D88" s="147" t="s">
        <v>20</v>
      </c>
      <c r="E88" s="150">
        <v>1311000</v>
      </c>
      <c r="F88" s="139">
        <v>256000</v>
      </c>
      <c r="G88" s="139">
        <v>325000</v>
      </c>
      <c r="H88" s="152"/>
      <c r="I88" s="152"/>
      <c r="J88" s="162"/>
      <c r="K88" s="162"/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60"/>
      <c r="I89" s="60"/>
      <c r="J89" s="119"/>
      <c r="K89" s="119"/>
    </row>
    <row r="90" spans="1:11" ht="19" x14ac:dyDescent="0.2">
      <c r="A90" s="144">
        <v>2551000</v>
      </c>
      <c r="B90" s="145">
        <v>45638</v>
      </c>
      <c r="C90" s="149" t="s">
        <v>9</v>
      </c>
      <c r="D90" s="147" t="s">
        <v>3329</v>
      </c>
      <c r="E90" s="150">
        <v>1611000</v>
      </c>
      <c r="F90" s="139">
        <v>503000</v>
      </c>
      <c r="G90" s="139">
        <v>437000</v>
      </c>
      <c r="H90" s="139">
        <v>3860000</v>
      </c>
      <c r="I90" s="139" t="s">
        <v>3742</v>
      </c>
      <c r="J90" s="139">
        <v>17000</v>
      </c>
      <c r="K90" s="139" t="s">
        <v>1974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19"/>
      <c r="I91" s="119"/>
      <c r="J91" s="9">
        <v>17000</v>
      </c>
      <c r="K91" s="9" t="s">
        <v>3685</v>
      </c>
    </row>
    <row r="92" spans="1:11" ht="19" x14ac:dyDescent="0.2">
      <c r="A92" s="144">
        <v>1523000</v>
      </c>
      <c r="B92" s="145"/>
      <c r="C92" s="149" t="s">
        <v>10</v>
      </c>
      <c r="D92" s="147" t="s">
        <v>3531</v>
      </c>
      <c r="E92" s="150">
        <v>976000</v>
      </c>
      <c r="F92" s="139">
        <v>363000</v>
      </c>
      <c r="G92" s="139">
        <v>184000</v>
      </c>
      <c r="H92" s="139"/>
      <c r="I92" s="139"/>
      <c r="J92" s="139">
        <v>16000</v>
      </c>
      <c r="K92" s="139" t="s">
        <v>1305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9"/>
      <c r="K93" s="9"/>
    </row>
    <row r="94" spans="1:11" ht="19" x14ac:dyDescent="0.2">
      <c r="A94" s="144">
        <v>3011000</v>
      </c>
      <c r="B94" s="145">
        <v>45639</v>
      </c>
      <c r="C94" s="149" t="s">
        <v>9</v>
      </c>
      <c r="D94" s="147" t="s">
        <v>3329</v>
      </c>
      <c r="E94" s="150">
        <v>1833000</v>
      </c>
      <c r="F94" s="139">
        <v>418000</v>
      </c>
      <c r="G94" s="139">
        <v>760000</v>
      </c>
      <c r="H94" s="139"/>
      <c r="I94" s="139"/>
      <c r="J94" s="139">
        <v>13000</v>
      </c>
      <c r="K94" s="139" t="s">
        <v>3686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9">
        <v>130000</v>
      </c>
      <c r="K95" s="9" t="s">
        <v>3687</v>
      </c>
    </row>
    <row r="96" spans="1:11" ht="19" x14ac:dyDescent="0.2">
      <c r="A96" s="144">
        <v>2585000</v>
      </c>
      <c r="B96" s="145"/>
      <c r="C96" s="149" t="s">
        <v>10</v>
      </c>
      <c r="D96" s="147" t="s">
        <v>20</v>
      </c>
      <c r="E96" s="150">
        <v>1753000</v>
      </c>
      <c r="F96" s="139">
        <v>540000</v>
      </c>
      <c r="G96" s="139">
        <v>292000</v>
      </c>
      <c r="H96" s="139"/>
      <c r="I96" s="139"/>
      <c r="J96" s="139">
        <v>25000</v>
      </c>
      <c r="K96" s="139" t="s">
        <v>3688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9"/>
      <c r="I97" s="9"/>
      <c r="J97" s="9">
        <v>46000</v>
      </c>
      <c r="K97" s="9" t="s">
        <v>1233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43000</v>
      </c>
      <c r="K98" s="139" t="s">
        <v>1817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120000</v>
      </c>
      <c r="K99" s="119" t="s">
        <v>3689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60000</v>
      </c>
      <c r="K100" s="139" t="s">
        <v>1681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200000</v>
      </c>
      <c r="K101" s="119" t="s">
        <v>2796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45000</v>
      </c>
      <c r="K102" s="139" t="s">
        <v>1467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150000</v>
      </c>
      <c r="K103" s="119" t="s">
        <v>1710</v>
      </c>
    </row>
    <row r="104" spans="1:11" ht="19" x14ac:dyDescent="0.2">
      <c r="A104" s="144">
        <v>2247000</v>
      </c>
      <c r="B104" s="145">
        <v>45640</v>
      </c>
      <c r="C104" s="149" t="s">
        <v>9</v>
      </c>
      <c r="D104" s="147" t="s">
        <v>3690</v>
      </c>
      <c r="E104" s="150">
        <v>1480000</v>
      </c>
      <c r="F104" s="139">
        <v>92000</v>
      </c>
      <c r="G104" s="139">
        <v>675000</v>
      </c>
      <c r="H104" s="139">
        <v>200000</v>
      </c>
      <c r="I104" s="139" t="s">
        <v>3691</v>
      </c>
      <c r="J104" s="139">
        <v>75000</v>
      </c>
      <c r="K104" s="139" t="s">
        <v>3692</v>
      </c>
    </row>
    <row r="105" spans="1:11" ht="19" x14ac:dyDescent="0.2">
      <c r="A105" s="144"/>
      <c r="B105" s="145"/>
      <c r="C105" s="149"/>
      <c r="D105" s="147"/>
      <c r="E105" s="150"/>
      <c r="F105" s="139"/>
      <c r="G105" s="139"/>
      <c r="H105" s="152"/>
      <c r="I105" s="152"/>
      <c r="J105" s="139">
        <v>75000</v>
      </c>
      <c r="K105" s="139" t="s">
        <v>3693</v>
      </c>
    </row>
    <row r="106" spans="1:11" ht="19" x14ac:dyDescent="0.2">
      <c r="A106" s="143">
        <v>2378000</v>
      </c>
      <c r="B106" s="153"/>
      <c r="C106" s="171" t="s">
        <v>10</v>
      </c>
      <c r="D106" s="155" t="s">
        <v>3531</v>
      </c>
      <c r="E106" s="164">
        <v>1577000</v>
      </c>
      <c r="F106" s="119">
        <v>309000</v>
      </c>
      <c r="G106" s="119">
        <v>492000</v>
      </c>
      <c r="H106" s="119"/>
      <c r="I106" s="119"/>
      <c r="J106" s="119">
        <v>75000</v>
      </c>
      <c r="K106" s="119" t="s">
        <v>3694</v>
      </c>
    </row>
    <row r="107" spans="1:11" ht="19" x14ac:dyDescent="0.2">
      <c r="A107" s="144"/>
      <c r="B107" s="145"/>
      <c r="C107" s="149"/>
      <c r="D107" s="147"/>
      <c r="E107" s="150"/>
      <c r="F107" s="139"/>
      <c r="G107" s="139"/>
      <c r="H107" s="139"/>
      <c r="I107" s="139"/>
      <c r="J107" s="139">
        <v>45000</v>
      </c>
      <c r="K107" s="139" t="s">
        <v>1467</v>
      </c>
    </row>
    <row r="108" spans="1:11" ht="19" x14ac:dyDescent="0.2">
      <c r="A108" s="143"/>
      <c r="B108" s="153"/>
      <c r="C108" s="171"/>
      <c r="D108" s="155"/>
      <c r="E108" s="164"/>
      <c r="F108" s="119"/>
      <c r="G108" s="119"/>
      <c r="H108" s="119">
        <v>170000</v>
      </c>
      <c r="I108" s="119" t="s">
        <v>3695</v>
      </c>
      <c r="J108" s="119">
        <v>75000</v>
      </c>
      <c r="K108" s="119" t="s">
        <v>2919</v>
      </c>
    </row>
    <row r="109" spans="1:11" ht="19" x14ac:dyDescent="0.2">
      <c r="A109" s="148">
        <v>1744000</v>
      </c>
      <c r="B109" s="145">
        <v>45641</v>
      </c>
      <c r="C109" s="149" t="s">
        <v>9</v>
      </c>
      <c r="D109" s="160" t="s">
        <v>3329</v>
      </c>
      <c r="E109" s="150">
        <v>1219000</v>
      </c>
      <c r="F109" s="139">
        <v>133000</v>
      </c>
      <c r="G109" s="139">
        <v>392000</v>
      </c>
      <c r="H109" s="139"/>
      <c r="I109" s="139"/>
      <c r="J109" s="139">
        <v>50000</v>
      </c>
      <c r="K109" s="139" t="s">
        <v>123</v>
      </c>
    </row>
    <row r="110" spans="1:11" ht="19" x14ac:dyDescent="0.2">
      <c r="A110" s="293"/>
      <c r="B110" s="153"/>
      <c r="C110" s="171" t="s">
        <v>10</v>
      </c>
      <c r="D110" s="155"/>
      <c r="E110" s="164" t="s">
        <v>1721</v>
      </c>
      <c r="F110" s="119"/>
      <c r="G110" s="119"/>
      <c r="H110" s="119"/>
      <c r="I110" s="119"/>
      <c r="J110" s="119">
        <v>165000</v>
      </c>
      <c r="K110" s="119" t="s">
        <v>3696</v>
      </c>
    </row>
    <row r="111" spans="1:11" ht="32" x14ac:dyDescent="0.2">
      <c r="A111" s="144"/>
      <c r="B111" s="145"/>
      <c r="C111" s="149"/>
      <c r="D111" s="147"/>
      <c r="E111" s="150"/>
      <c r="F111" s="139"/>
      <c r="G111" s="139"/>
      <c r="H111" s="139">
        <v>1445000</v>
      </c>
      <c r="I111" s="161" t="s">
        <v>3697</v>
      </c>
      <c r="J111" s="139">
        <v>39000</v>
      </c>
      <c r="K111" s="139" t="s">
        <v>3698</v>
      </c>
    </row>
    <row r="112" spans="1:11" ht="32" x14ac:dyDescent="0.2">
      <c r="A112" s="143"/>
      <c r="B112" s="153"/>
      <c r="C112" s="171"/>
      <c r="D112" s="155"/>
      <c r="E112" s="164"/>
      <c r="F112" s="119"/>
      <c r="G112" s="119"/>
      <c r="H112" s="119">
        <v>495000</v>
      </c>
      <c r="I112" s="176" t="s">
        <v>3699</v>
      </c>
      <c r="J112" s="119">
        <v>18000</v>
      </c>
      <c r="K112" s="119" t="s">
        <v>3700</v>
      </c>
    </row>
    <row r="113" spans="1:11" ht="19" x14ac:dyDescent="0.2">
      <c r="A113" s="144">
        <v>2889000</v>
      </c>
      <c r="B113" s="145">
        <v>45642</v>
      </c>
      <c r="C113" s="149" t="s">
        <v>9</v>
      </c>
      <c r="D113" s="147" t="s">
        <v>3329</v>
      </c>
      <c r="E113" s="150">
        <v>1964000</v>
      </c>
      <c r="F113" s="139">
        <v>292000</v>
      </c>
      <c r="G113" s="139">
        <v>633000</v>
      </c>
      <c r="H113" s="139">
        <v>200000</v>
      </c>
      <c r="I113" s="139" t="s">
        <v>3701</v>
      </c>
      <c r="J113" s="139">
        <v>73000</v>
      </c>
      <c r="K113" s="139" t="s">
        <v>3702</v>
      </c>
    </row>
    <row r="114" spans="1:11" ht="19" x14ac:dyDescent="0.2">
      <c r="A114" s="143"/>
      <c r="B114" s="153"/>
      <c r="C114" s="171"/>
      <c r="D114" s="155"/>
      <c r="E114" s="164"/>
      <c r="F114" s="119"/>
      <c r="G114" s="119"/>
      <c r="H114" s="119">
        <v>1050000</v>
      </c>
      <c r="I114" s="119" t="s">
        <v>3610</v>
      </c>
      <c r="J114" s="119">
        <v>25000</v>
      </c>
      <c r="K114" s="119" t="s">
        <v>3703</v>
      </c>
    </row>
    <row r="115" spans="1:11" ht="19" x14ac:dyDescent="0.2">
      <c r="A115" s="144">
        <v>2300000</v>
      </c>
      <c r="B115" s="145"/>
      <c r="C115" s="149" t="s">
        <v>10</v>
      </c>
      <c r="D115" s="147" t="s">
        <v>20</v>
      </c>
      <c r="E115" s="150">
        <v>1653000</v>
      </c>
      <c r="F115" s="139">
        <v>310000</v>
      </c>
      <c r="G115" s="139">
        <v>337000</v>
      </c>
      <c r="H115" s="139"/>
      <c r="I115" s="139"/>
      <c r="J115" s="139">
        <v>88000</v>
      </c>
      <c r="K115" s="139" t="s">
        <v>3704</v>
      </c>
    </row>
    <row r="116" spans="1:11" ht="19" x14ac:dyDescent="0.2">
      <c r="A116" s="143"/>
      <c r="B116" s="153"/>
      <c r="C116" s="171"/>
      <c r="D116" s="155"/>
      <c r="E116" s="164"/>
      <c r="F116" s="119"/>
      <c r="G116" s="119"/>
      <c r="H116" s="119"/>
      <c r="I116" s="119"/>
      <c r="J116" s="119">
        <v>120000</v>
      </c>
      <c r="K116" s="119" t="s">
        <v>1553</v>
      </c>
    </row>
    <row r="117" spans="1:11" ht="19" x14ac:dyDescent="0.2">
      <c r="A117" s="144">
        <v>3135000</v>
      </c>
      <c r="B117" s="145">
        <v>45643</v>
      </c>
      <c r="C117" s="149" t="s">
        <v>9</v>
      </c>
      <c r="D117" s="147" t="s">
        <v>3329</v>
      </c>
      <c r="E117" s="150">
        <v>1801000</v>
      </c>
      <c r="F117" s="139">
        <v>435000</v>
      </c>
      <c r="G117" s="139">
        <v>899000</v>
      </c>
      <c r="H117" s="139"/>
      <c r="I117" s="139"/>
      <c r="J117" s="162">
        <v>600000</v>
      </c>
      <c r="K117" s="162" t="s">
        <v>3705</v>
      </c>
    </row>
    <row r="118" spans="1:11" ht="19" x14ac:dyDescent="0.2">
      <c r="A118" s="143">
        <v>1558000</v>
      </c>
      <c r="B118" s="153"/>
      <c r="C118" s="171" t="s">
        <v>10</v>
      </c>
      <c r="D118" s="155" t="s">
        <v>3531</v>
      </c>
      <c r="E118" s="164">
        <v>1058000</v>
      </c>
      <c r="F118" s="119">
        <v>286000</v>
      </c>
      <c r="G118" s="119">
        <v>214000</v>
      </c>
      <c r="H118" s="119"/>
      <c r="I118" s="119"/>
      <c r="J118" s="174"/>
      <c r="K118" s="174"/>
    </row>
    <row r="119" spans="1:11" ht="19" x14ac:dyDescent="0.2">
      <c r="A119" s="144">
        <v>2726000</v>
      </c>
      <c r="B119" s="145">
        <v>45644</v>
      </c>
      <c r="C119" s="149" t="s">
        <v>9</v>
      </c>
      <c r="D119" s="147" t="s">
        <v>3329</v>
      </c>
      <c r="E119" s="150">
        <v>1541000</v>
      </c>
      <c r="F119" s="139">
        <v>343000</v>
      </c>
      <c r="G119" s="139">
        <v>842000</v>
      </c>
      <c r="H119" s="139"/>
      <c r="I119" s="139"/>
      <c r="J119" s="139">
        <v>24000</v>
      </c>
      <c r="K119" s="139" t="s">
        <v>1279</v>
      </c>
    </row>
    <row r="120" spans="1:11" ht="19" x14ac:dyDescent="0.2">
      <c r="A120" s="143"/>
      <c r="B120" s="153"/>
      <c r="C120" s="171"/>
      <c r="D120" s="155"/>
      <c r="E120" s="164"/>
      <c r="F120" s="119"/>
      <c r="G120" s="119"/>
      <c r="H120" s="119"/>
      <c r="I120" s="119"/>
      <c r="J120" s="119">
        <v>120000</v>
      </c>
      <c r="K120" s="119" t="s">
        <v>1553</v>
      </c>
    </row>
    <row r="121" spans="1:11" ht="19" x14ac:dyDescent="0.2">
      <c r="A121" s="144">
        <v>1713000</v>
      </c>
      <c r="B121" s="145"/>
      <c r="C121" s="149" t="s">
        <v>10</v>
      </c>
      <c r="D121" s="147" t="s">
        <v>20</v>
      </c>
      <c r="E121" s="150">
        <v>1017000</v>
      </c>
      <c r="F121" s="139">
        <v>413000</v>
      </c>
      <c r="G121" s="139">
        <v>283000</v>
      </c>
      <c r="H121" s="139"/>
      <c r="I121" s="139"/>
      <c r="J121" s="139">
        <v>200000</v>
      </c>
      <c r="K121" s="139" t="s">
        <v>2796</v>
      </c>
    </row>
    <row r="122" spans="1:11" ht="19" x14ac:dyDescent="0.2">
      <c r="A122" s="143"/>
      <c r="B122" s="153"/>
      <c r="C122" s="171"/>
      <c r="D122" s="155"/>
      <c r="E122" s="164"/>
      <c r="F122" s="119"/>
      <c r="G122" s="119"/>
      <c r="H122" s="119"/>
      <c r="I122" s="119"/>
      <c r="J122" s="119">
        <v>9000</v>
      </c>
      <c r="K122" s="119" t="s">
        <v>3635</v>
      </c>
    </row>
    <row r="123" spans="1:11" ht="19" x14ac:dyDescent="0.2">
      <c r="A123" s="144"/>
      <c r="B123" s="145"/>
      <c r="C123" s="149"/>
      <c r="D123" s="147"/>
      <c r="E123" s="150"/>
      <c r="F123" s="139"/>
      <c r="G123" s="139"/>
      <c r="H123" s="139"/>
      <c r="I123" s="139"/>
      <c r="J123" s="139">
        <v>150000</v>
      </c>
      <c r="K123" s="139" t="s">
        <v>1710</v>
      </c>
    </row>
    <row r="124" spans="1:11" ht="19" x14ac:dyDescent="0.2">
      <c r="A124" s="143">
        <v>3200000</v>
      </c>
      <c r="B124" s="153">
        <v>45645</v>
      </c>
      <c r="C124" s="163" t="s">
        <v>9</v>
      </c>
      <c r="D124" s="155" t="s">
        <v>3329</v>
      </c>
      <c r="E124" s="164">
        <v>2239000</v>
      </c>
      <c r="F124" s="119">
        <v>330000</v>
      </c>
      <c r="G124" s="119">
        <v>631000</v>
      </c>
      <c r="H124" s="119"/>
      <c r="I124" s="119"/>
      <c r="J124" s="174"/>
      <c r="K124" s="174"/>
    </row>
    <row r="125" spans="1:11" ht="19" x14ac:dyDescent="0.2">
      <c r="A125" s="144">
        <v>1895000</v>
      </c>
      <c r="B125" s="145"/>
      <c r="C125" s="151" t="s">
        <v>10</v>
      </c>
      <c r="D125" s="147" t="s">
        <v>3531</v>
      </c>
      <c r="E125" s="150">
        <v>1414000</v>
      </c>
      <c r="F125" s="139">
        <v>75000</v>
      </c>
      <c r="G125" s="139">
        <v>406000</v>
      </c>
      <c r="H125" s="139">
        <v>280000</v>
      </c>
      <c r="I125" s="139" t="s">
        <v>1800</v>
      </c>
      <c r="J125" s="162"/>
      <c r="K125" s="162"/>
    </row>
    <row r="126" spans="1:11" ht="19" x14ac:dyDescent="0.2">
      <c r="A126" s="143">
        <v>2810000</v>
      </c>
      <c r="B126" s="32">
        <v>45646</v>
      </c>
      <c r="C126" s="171" t="s">
        <v>9</v>
      </c>
      <c r="D126" s="155" t="s">
        <v>3329</v>
      </c>
      <c r="E126" s="15">
        <v>1745000</v>
      </c>
      <c r="F126" s="9">
        <v>123000</v>
      </c>
      <c r="G126" s="9">
        <v>942000</v>
      </c>
      <c r="H126" s="9"/>
      <c r="I126" s="9"/>
      <c r="J126" s="174">
        <v>69000</v>
      </c>
      <c r="K126" s="106" t="s">
        <v>3706</v>
      </c>
    </row>
    <row r="127" spans="1:11" ht="19" x14ac:dyDescent="0.2">
      <c r="A127" s="144"/>
      <c r="B127" s="145"/>
      <c r="C127" s="149"/>
      <c r="D127" s="147"/>
      <c r="E127" s="150"/>
      <c r="F127" s="139"/>
      <c r="G127" s="139"/>
      <c r="H127" s="139"/>
      <c r="I127" s="139"/>
      <c r="J127" s="162">
        <v>72000</v>
      </c>
      <c r="K127" s="162" t="s">
        <v>1491</v>
      </c>
    </row>
    <row r="128" spans="1:11" ht="19" x14ac:dyDescent="0.2">
      <c r="A128" s="143">
        <v>1688000</v>
      </c>
      <c r="B128" s="153"/>
      <c r="C128" s="163" t="s">
        <v>10</v>
      </c>
      <c r="D128" s="155" t="s">
        <v>20</v>
      </c>
      <c r="E128" s="164">
        <v>1041000</v>
      </c>
      <c r="F128" s="119">
        <v>157000</v>
      </c>
      <c r="G128" s="119">
        <v>490000</v>
      </c>
      <c r="H128" s="119"/>
      <c r="I128" s="119"/>
      <c r="J128" s="174">
        <v>21000</v>
      </c>
      <c r="K128" s="174" t="s">
        <v>3557</v>
      </c>
    </row>
    <row r="129" spans="1:11" ht="19" x14ac:dyDescent="0.2">
      <c r="A129" s="148"/>
      <c r="B129" s="145"/>
      <c r="C129" s="159"/>
      <c r="D129" s="147"/>
      <c r="E129" s="150"/>
      <c r="F129" s="139"/>
      <c r="G129" s="139"/>
      <c r="H129" s="139"/>
      <c r="I129" s="139"/>
      <c r="J129" s="139">
        <v>83000</v>
      </c>
      <c r="K129" s="139" t="s">
        <v>3707</v>
      </c>
    </row>
    <row r="130" spans="1:11" ht="19" x14ac:dyDescent="0.2">
      <c r="A130" s="143"/>
      <c r="B130" s="153"/>
      <c r="C130" s="163"/>
      <c r="D130" s="155"/>
      <c r="E130" s="164"/>
      <c r="F130" s="119"/>
      <c r="G130" s="119"/>
      <c r="H130" s="119"/>
      <c r="I130" s="119"/>
      <c r="J130" s="174">
        <v>150000</v>
      </c>
      <c r="K130" s="174" t="s">
        <v>1518</v>
      </c>
    </row>
    <row r="131" spans="1:11" ht="19" x14ac:dyDescent="0.2">
      <c r="A131" s="144">
        <v>2518000</v>
      </c>
      <c r="B131" s="145">
        <v>45647</v>
      </c>
      <c r="C131" s="151" t="s">
        <v>9</v>
      </c>
      <c r="D131" s="147" t="s">
        <v>3690</v>
      </c>
      <c r="E131" s="139">
        <v>1518000</v>
      </c>
      <c r="F131" s="139">
        <v>411000</v>
      </c>
      <c r="G131" s="139">
        <v>589000</v>
      </c>
      <c r="H131" s="139"/>
      <c r="I131" s="139"/>
      <c r="J131" s="139">
        <v>25000</v>
      </c>
      <c r="K131" s="139" t="s">
        <v>3601</v>
      </c>
    </row>
    <row r="132" spans="1:11" ht="19" x14ac:dyDescent="0.2">
      <c r="A132" s="143"/>
      <c r="B132" s="153"/>
      <c r="C132" s="163"/>
      <c r="D132" s="155"/>
      <c r="E132" s="164"/>
      <c r="F132" s="119"/>
      <c r="G132" s="119"/>
      <c r="H132" s="119"/>
      <c r="I132" s="119"/>
      <c r="J132" s="119">
        <v>520000</v>
      </c>
      <c r="K132" s="119" t="s">
        <v>1462</v>
      </c>
    </row>
    <row r="133" spans="1:11" ht="19" x14ac:dyDescent="0.2">
      <c r="A133" s="144"/>
      <c r="B133" s="145"/>
      <c r="C133" s="151"/>
      <c r="D133" s="147"/>
      <c r="E133" s="150"/>
      <c r="F133" s="139"/>
      <c r="G133" s="139"/>
      <c r="H133" s="139"/>
      <c r="I133" s="139"/>
      <c r="J133" s="139">
        <v>114000</v>
      </c>
      <c r="K133" s="139" t="s">
        <v>1668</v>
      </c>
    </row>
    <row r="134" spans="1:11" ht="19" x14ac:dyDescent="0.2">
      <c r="A134" s="143"/>
      <c r="B134" s="153"/>
      <c r="C134" s="163"/>
      <c r="D134" s="155"/>
      <c r="E134" s="164"/>
      <c r="F134" s="119"/>
      <c r="G134" s="119"/>
      <c r="H134" s="119"/>
      <c r="I134" s="119"/>
      <c r="J134" s="119">
        <v>50000</v>
      </c>
      <c r="K134" s="119" t="s">
        <v>3708</v>
      </c>
    </row>
    <row r="135" spans="1:11" ht="19" x14ac:dyDescent="0.2">
      <c r="A135" s="144">
        <v>1815000</v>
      </c>
      <c r="B135" s="145"/>
      <c r="C135" s="151" t="s">
        <v>10</v>
      </c>
      <c r="D135" s="147" t="s">
        <v>3531</v>
      </c>
      <c r="E135" s="150">
        <v>1444000</v>
      </c>
      <c r="F135" s="139">
        <v>120000</v>
      </c>
      <c r="G135" s="139">
        <v>251000</v>
      </c>
      <c r="H135" s="139"/>
      <c r="I135" s="139"/>
      <c r="J135" s="139">
        <v>136000</v>
      </c>
      <c r="K135" s="139" t="s">
        <v>3709</v>
      </c>
    </row>
    <row r="136" spans="1:11" ht="19" x14ac:dyDescent="0.2">
      <c r="A136" s="143"/>
      <c r="B136" s="153"/>
      <c r="C136" s="163"/>
      <c r="D136" s="155"/>
      <c r="E136" s="164"/>
      <c r="F136" s="119"/>
      <c r="G136" s="119"/>
      <c r="H136" s="119"/>
      <c r="I136" s="119"/>
      <c r="J136" s="119">
        <v>105000</v>
      </c>
      <c r="K136" s="119" t="s">
        <v>1536</v>
      </c>
    </row>
    <row r="137" spans="1:11" ht="19" x14ac:dyDescent="0.2">
      <c r="A137" s="144"/>
      <c r="B137" s="145"/>
      <c r="C137" s="151"/>
      <c r="D137" s="147"/>
      <c r="E137" s="150"/>
      <c r="F137" s="139"/>
      <c r="G137" s="139"/>
      <c r="H137" s="139"/>
      <c r="I137" s="139"/>
      <c r="J137" s="139">
        <v>192000</v>
      </c>
      <c r="K137" s="139" t="s">
        <v>1245</v>
      </c>
    </row>
    <row r="138" spans="1:11" ht="19" x14ac:dyDescent="0.2">
      <c r="A138" s="143">
        <v>2389000</v>
      </c>
      <c r="B138" s="153">
        <v>45648</v>
      </c>
      <c r="C138" s="163" t="s">
        <v>9</v>
      </c>
      <c r="D138" s="155" t="s">
        <v>3329</v>
      </c>
      <c r="E138" s="164">
        <v>1828000</v>
      </c>
      <c r="F138" s="119">
        <v>144000</v>
      </c>
      <c r="G138" s="119">
        <v>417000</v>
      </c>
      <c r="H138" s="119"/>
      <c r="I138" s="119"/>
      <c r="J138" s="174">
        <v>50000</v>
      </c>
      <c r="K138" s="174" t="s">
        <v>123</v>
      </c>
    </row>
    <row r="139" spans="1:11" ht="19" x14ac:dyDescent="0.2">
      <c r="A139" s="144">
        <v>1649000</v>
      </c>
      <c r="B139" s="145"/>
      <c r="C139" s="151" t="s">
        <v>10</v>
      </c>
      <c r="D139" s="147" t="s">
        <v>20</v>
      </c>
      <c r="E139" s="150">
        <v>1260000</v>
      </c>
      <c r="F139" s="139">
        <v>52000</v>
      </c>
      <c r="G139" s="139">
        <v>337000</v>
      </c>
      <c r="H139" s="139"/>
      <c r="I139" s="139"/>
      <c r="J139" s="162">
        <v>75000</v>
      </c>
      <c r="K139" s="162" t="s">
        <v>3713</v>
      </c>
    </row>
    <row r="140" spans="1:11" ht="19" x14ac:dyDescent="0.2">
      <c r="A140" s="143">
        <v>2189000</v>
      </c>
      <c r="B140" s="32">
        <v>45649</v>
      </c>
      <c r="C140" s="35" t="s">
        <v>9</v>
      </c>
      <c r="D140" s="13" t="s">
        <v>3329</v>
      </c>
      <c r="E140" s="15">
        <v>1387000</v>
      </c>
      <c r="F140" s="9">
        <v>60000</v>
      </c>
      <c r="G140" s="9">
        <v>742000</v>
      </c>
      <c r="H140" s="9"/>
      <c r="I140" s="9"/>
      <c r="J140" s="106">
        <v>165000</v>
      </c>
      <c r="K140" s="106" t="s">
        <v>1869</v>
      </c>
    </row>
    <row r="141" spans="1:11" ht="19" x14ac:dyDescent="0.2">
      <c r="A141" s="144">
        <v>2634000</v>
      </c>
      <c r="B141" s="145"/>
      <c r="C141" s="151" t="s">
        <v>10</v>
      </c>
      <c r="D141" s="147" t="s">
        <v>20</v>
      </c>
      <c r="E141" s="150">
        <v>1908000</v>
      </c>
      <c r="F141" s="139">
        <v>266000</v>
      </c>
      <c r="G141" s="139">
        <v>460000</v>
      </c>
      <c r="H141" s="139"/>
      <c r="I141" s="139"/>
      <c r="J141" s="162">
        <v>200000</v>
      </c>
      <c r="K141" s="162" t="s">
        <v>2796</v>
      </c>
    </row>
    <row r="142" spans="1:11" ht="19" x14ac:dyDescent="0.2">
      <c r="A142" s="143">
        <v>2499000</v>
      </c>
      <c r="B142" s="153">
        <v>45650</v>
      </c>
      <c r="C142" s="163" t="s">
        <v>9</v>
      </c>
      <c r="D142" s="155" t="s">
        <v>3329</v>
      </c>
      <c r="E142" s="164">
        <v>1529000</v>
      </c>
      <c r="F142" s="119">
        <v>418000</v>
      </c>
      <c r="G142" s="119">
        <v>552000</v>
      </c>
      <c r="H142" s="119"/>
      <c r="I142" s="119"/>
      <c r="J142" s="174">
        <v>150000</v>
      </c>
      <c r="K142" s="174" t="s">
        <v>3710</v>
      </c>
    </row>
    <row r="143" spans="1:11" ht="19" x14ac:dyDescent="0.2">
      <c r="A143" s="144"/>
      <c r="B143" s="145"/>
      <c r="C143" s="151"/>
      <c r="D143" s="147"/>
      <c r="E143" s="150"/>
      <c r="F143" s="139"/>
      <c r="G143" s="139"/>
      <c r="H143" s="139"/>
      <c r="I143" s="139"/>
      <c r="J143" s="139">
        <v>150000</v>
      </c>
      <c r="K143" s="139" t="s">
        <v>2562</v>
      </c>
    </row>
    <row r="144" spans="1:11" ht="19" x14ac:dyDescent="0.2">
      <c r="A144" s="143"/>
      <c r="B144" s="270"/>
      <c r="C144" s="163"/>
      <c r="D144" s="155"/>
      <c r="E144" s="164"/>
      <c r="F144" s="119"/>
      <c r="G144" s="119"/>
      <c r="H144" s="119"/>
      <c r="I144" s="119"/>
      <c r="J144" s="119">
        <v>150000</v>
      </c>
      <c r="K144" s="119" t="s">
        <v>3711</v>
      </c>
    </row>
    <row r="145" spans="1:11" ht="19" x14ac:dyDescent="0.2">
      <c r="A145" s="144"/>
      <c r="B145" s="145"/>
      <c r="C145" s="159"/>
      <c r="D145" s="147"/>
      <c r="E145" s="150"/>
      <c r="F145" s="139"/>
      <c r="G145" s="139"/>
      <c r="H145" s="139"/>
      <c r="I145" s="139"/>
      <c r="J145" s="139">
        <v>150000</v>
      </c>
      <c r="K145" s="139" t="s">
        <v>3712</v>
      </c>
    </row>
    <row r="146" spans="1:11" ht="19" x14ac:dyDescent="0.2">
      <c r="A146" s="143">
        <v>1485000</v>
      </c>
      <c r="B146" s="153"/>
      <c r="C146" s="163" t="s">
        <v>10</v>
      </c>
      <c r="D146" s="155" t="s">
        <v>3531</v>
      </c>
      <c r="E146" s="164">
        <v>1020000</v>
      </c>
      <c r="F146" s="119">
        <v>88000</v>
      </c>
      <c r="G146" s="119">
        <v>377000</v>
      </c>
      <c r="H146" s="119"/>
      <c r="I146" s="119"/>
      <c r="J146" s="119">
        <v>75000</v>
      </c>
      <c r="K146" s="119" t="s">
        <v>3714</v>
      </c>
    </row>
    <row r="147" spans="1:11" ht="19" x14ac:dyDescent="0.2">
      <c r="A147" s="148">
        <v>2870000</v>
      </c>
      <c r="B147" s="145">
        <v>45651</v>
      </c>
      <c r="C147" s="151" t="s">
        <v>9</v>
      </c>
      <c r="D147" s="147" t="s">
        <v>3715</v>
      </c>
      <c r="E147" s="150">
        <v>1906000</v>
      </c>
      <c r="F147" s="139">
        <v>422000</v>
      </c>
      <c r="G147" s="139">
        <v>542000</v>
      </c>
      <c r="H147" s="139"/>
      <c r="I147" s="139"/>
      <c r="J147" s="139">
        <v>8000</v>
      </c>
      <c r="K147" s="139" t="s">
        <v>3716</v>
      </c>
    </row>
    <row r="148" spans="1:11" ht="19" x14ac:dyDescent="0.2">
      <c r="A148" s="142"/>
      <c r="B148" s="153"/>
      <c r="C148" s="163"/>
      <c r="D148" s="172"/>
      <c r="E148" s="164"/>
      <c r="F148" s="119"/>
      <c r="G148" s="119"/>
      <c r="H148" s="119"/>
      <c r="I148" s="119"/>
      <c r="J148" s="119">
        <v>49000</v>
      </c>
      <c r="K148" s="119" t="s">
        <v>2492</v>
      </c>
    </row>
    <row r="149" spans="1:11" ht="19" x14ac:dyDescent="0.2">
      <c r="A149" s="148">
        <v>1469000</v>
      </c>
      <c r="B149" s="145"/>
      <c r="C149" s="151" t="s">
        <v>10</v>
      </c>
      <c r="D149" s="160" t="s">
        <v>3531</v>
      </c>
      <c r="E149" s="150">
        <v>1056000</v>
      </c>
      <c r="F149" s="139">
        <v>211000</v>
      </c>
      <c r="G149" s="139">
        <v>202000</v>
      </c>
      <c r="H149" s="139"/>
      <c r="I149" s="139"/>
      <c r="J149" s="139">
        <v>131000</v>
      </c>
      <c r="K149" s="139" t="s">
        <v>3717</v>
      </c>
    </row>
    <row r="150" spans="1:11" ht="19" x14ac:dyDescent="0.2">
      <c r="A150" s="142"/>
      <c r="B150" s="153"/>
      <c r="C150" s="163"/>
      <c r="D150" s="172"/>
      <c r="E150" s="164"/>
      <c r="F150" s="119"/>
      <c r="G150" s="119"/>
      <c r="H150" s="119"/>
      <c r="I150" s="119"/>
      <c r="J150" s="119">
        <v>35000</v>
      </c>
      <c r="K150" s="119" t="s">
        <v>3718</v>
      </c>
    </row>
    <row r="151" spans="1:11" ht="19" x14ac:dyDescent="0.2">
      <c r="A151" s="148"/>
      <c r="B151" s="145"/>
      <c r="C151" s="151"/>
      <c r="D151" s="160"/>
      <c r="E151" s="150"/>
      <c r="F151" s="139"/>
      <c r="G151" s="139"/>
      <c r="H151" s="139"/>
      <c r="I151" s="139"/>
      <c r="J151" s="139">
        <v>32000</v>
      </c>
      <c r="K151" s="139" t="s">
        <v>3719</v>
      </c>
    </row>
    <row r="152" spans="1:11" ht="19" x14ac:dyDescent="0.2">
      <c r="A152" s="143"/>
      <c r="B152" s="153"/>
      <c r="C152" s="163"/>
      <c r="D152" s="155"/>
      <c r="E152" s="164"/>
      <c r="F152" s="119"/>
      <c r="G152" s="119"/>
      <c r="H152" s="119"/>
      <c r="I152" s="119"/>
      <c r="J152" s="119">
        <v>50000</v>
      </c>
      <c r="K152" s="119" t="s">
        <v>3720</v>
      </c>
    </row>
    <row r="153" spans="1:11" ht="19" x14ac:dyDescent="0.2">
      <c r="A153" s="144"/>
      <c r="B153" s="145"/>
      <c r="C153" s="151"/>
      <c r="D153" s="147"/>
      <c r="E153" s="150"/>
      <c r="F153" s="139"/>
      <c r="G153" s="139"/>
      <c r="H153" s="139"/>
      <c r="I153" s="139"/>
      <c r="J153" s="139">
        <v>54000</v>
      </c>
      <c r="K153" s="139" t="s">
        <v>3721</v>
      </c>
    </row>
    <row r="154" spans="1:11" ht="19" x14ac:dyDescent="0.2">
      <c r="A154" s="143"/>
      <c r="B154" s="153"/>
      <c r="C154" s="154"/>
      <c r="D154" s="155"/>
      <c r="E154" s="164"/>
      <c r="F154" s="119"/>
      <c r="G154" s="119"/>
      <c r="H154" s="119"/>
      <c r="I154" s="119"/>
      <c r="J154" s="119">
        <v>81000</v>
      </c>
      <c r="K154" s="119" t="s">
        <v>3722</v>
      </c>
    </row>
    <row r="155" spans="1:11" ht="19" x14ac:dyDescent="0.2">
      <c r="A155" s="144"/>
      <c r="B155" s="145"/>
      <c r="C155" s="149"/>
      <c r="D155" s="160"/>
      <c r="E155" s="150"/>
      <c r="F155" s="139"/>
      <c r="G155" s="139"/>
      <c r="H155" s="139"/>
      <c r="I155" s="139"/>
      <c r="J155" s="139">
        <v>10000</v>
      </c>
      <c r="K155" s="139" t="s">
        <v>3723</v>
      </c>
    </row>
    <row r="156" spans="1:11" ht="19" x14ac:dyDescent="0.2">
      <c r="A156" s="143"/>
      <c r="B156" s="153"/>
      <c r="C156" s="171"/>
      <c r="D156" s="155"/>
      <c r="E156" s="164"/>
      <c r="F156" s="119"/>
      <c r="G156" s="119"/>
      <c r="H156" s="119"/>
      <c r="I156" s="119"/>
      <c r="J156" s="119">
        <v>120000</v>
      </c>
      <c r="K156" s="119" t="s">
        <v>3724</v>
      </c>
    </row>
    <row r="157" spans="1:11" ht="19" x14ac:dyDescent="0.2">
      <c r="A157" s="144">
        <v>2481000</v>
      </c>
      <c r="B157" s="145" t="s">
        <v>3725</v>
      </c>
      <c r="C157" s="151" t="s">
        <v>9</v>
      </c>
      <c r="D157" s="147" t="s">
        <v>3726</v>
      </c>
      <c r="E157" s="150">
        <v>1593000</v>
      </c>
      <c r="F157" s="139">
        <v>238000</v>
      </c>
      <c r="G157" s="139">
        <v>650000</v>
      </c>
      <c r="H157" s="139"/>
      <c r="I157" s="139"/>
      <c r="J157" s="139">
        <v>150000</v>
      </c>
      <c r="K157" s="139" t="s">
        <v>3727</v>
      </c>
    </row>
    <row r="158" spans="1:11" ht="19" x14ac:dyDescent="0.2">
      <c r="A158" s="143">
        <v>2581000</v>
      </c>
      <c r="B158" s="153"/>
      <c r="C158" s="154" t="s">
        <v>10</v>
      </c>
      <c r="D158" s="155" t="s">
        <v>3531</v>
      </c>
      <c r="E158" s="164">
        <v>1691000</v>
      </c>
      <c r="F158" s="119">
        <v>337000</v>
      </c>
      <c r="G158" s="119">
        <v>553000</v>
      </c>
      <c r="H158" s="119"/>
      <c r="I158" s="119"/>
      <c r="J158" s="119">
        <v>75000</v>
      </c>
      <c r="K158" s="119" t="s">
        <v>1307</v>
      </c>
    </row>
    <row r="159" spans="1:11" ht="19" x14ac:dyDescent="0.2">
      <c r="A159" s="144"/>
      <c r="B159" s="145"/>
      <c r="C159" s="146"/>
      <c r="D159" s="147"/>
      <c r="E159" s="150"/>
      <c r="F159" s="139"/>
      <c r="G159" s="139"/>
      <c r="H159" s="139"/>
      <c r="I159" s="139"/>
      <c r="J159" s="139">
        <v>150000</v>
      </c>
      <c r="K159" s="139" t="s">
        <v>1710</v>
      </c>
    </row>
    <row r="160" spans="1:11" ht="19" x14ac:dyDescent="0.2">
      <c r="A160" s="143">
        <v>2692000</v>
      </c>
      <c r="B160" s="32">
        <v>45653</v>
      </c>
      <c r="C160" s="3" t="s">
        <v>9</v>
      </c>
      <c r="D160" s="13" t="s">
        <v>3726</v>
      </c>
      <c r="E160" s="15">
        <v>1646000</v>
      </c>
      <c r="F160" s="9">
        <v>256000</v>
      </c>
      <c r="G160" s="9">
        <v>790000</v>
      </c>
      <c r="H160" s="9"/>
      <c r="I160" s="9"/>
      <c r="J160" s="9">
        <v>105000</v>
      </c>
      <c r="K160" s="9" t="s">
        <v>3728</v>
      </c>
    </row>
    <row r="161" spans="1:11" ht="19" x14ac:dyDescent="0.2">
      <c r="A161" s="294"/>
      <c r="B161" s="145"/>
      <c r="C161" s="151"/>
      <c r="D161" s="147"/>
      <c r="E161" s="150"/>
      <c r="F161" s="139"/>
      <c r="G161" s="139"/>
      <c r="H161" s="139"/>
      <c r="I161" s="139"/>
      <c r="J161" s="139">
        <v>4000</v>
      </c>
      <c r="K161" s="139" t="s">
        <v>1375</v>
      </c>
    </row>
    <row r="162" spans="1:11" ht="19" x14ac:dyDescent="0.2">
      <c r="A162" s="143">
        <v>2504000</v>
      </c>
      <c r="B162" s="32"/>
      <c r="C162" s="35" t="s">
        <v>10</v>
      </c>
      <c r="D162" s="102" t="s">
        <v>3531</v>
      </c>
      <c r="E162" s="15">
        <v>1517000</v>
      </c>
      <c r="F162" s="9">
        <v>480000</v>
      </c>
      <c r="G162" s="9">
        <v>507000</v>
      </c>
      <c r="H162" s="9"/>
      <c r="I162" s="9"/>
      <c r="J162" s="9">
        <v>150000</v>
      </c>
      <c r="K162" s="9" t="s">
        <v>3729</v>
      </c>
    </row>
    <row r="163" spans="1:11" ht="19" x14ac:dyDescent="0.2">
      <c r="A163" s="148"/>
      <c r="B163" s="145"/>
      <c r="C163" s="151"/>
      <c r="D163" s="160"/>
      <c r="E163" s="150"/>
      <c r="F163" s="139"/>
      <c r="G163" s="139"/>
      <c r="H163" s="139"/>
      <c r="I163" s="139"/>
      <c r="J163" s="139"/>
      <c r="K163" s="139"/>
    </row>
    <row r="164" spans="1:11" ht="19" x14ac:dyDescent="0.2">
      <c r="A164" s="142">
        <v>2676000</v>
      </c>
      <c r="B164" s="32">
        <v>45654</v>
      </c>
      <c r="C164" s="35" t="s">
        <v>9</v>
      </c>
      <c r="D164" s="102" t="s">
        <v>3726</v>
      </c>
      <c r="E164" s="15">
        <v>1266000</v>
      </c>
      <c r="F164" s="9">
        <v>604000</v>
      </c>
      <c r="G164" s="9">
        <v>806000</v>
      </c>
      <c r="H164" s="9"/>
      <c r="I164" s="9"/>
      <c r="J164" s="9">
        <v>174000</v>
      </c>
      <c r="K164" s="9" t="s">
        <v>3730</v>
      </c>
    </row>
    <row r="165" spans="1:11" ht="19" x14ac:dyDescent="0.2">
      <c r="A165" s="144"/>
      <c r="B165" s="145"/>
      <c r="C165" s="159"/>
      <c r="D165" s="147"/>
      <c r="E165" s="150"/>
      <c r="F165" s="139"/>
      <c r="G165" s="139"/>
      <c r="H165" s="139"/>
      <c r="I165" s="139"/>
      <c r="J165" s="139">
        <v>99000</v>
      </c>
      <c r="K165" s="262" t="s">
        <v>3731</v>
      </c>
    </row>
    <row r="166" spans="1:11" ht="19" x14ac:dyDescent="0.2">
      <c r="A166" s="143">
        <v>1647000</v>
      </c>
      <c r="B166" s="32"/>
      <c r="C166" s="49" t="s">
        <v>10</v>
      </c>
      <c r="D166" s="13" t="s">
        <v>3531</v>
      </c>
      <c r="E166" s="15">
        <v>1119000</v>
      </c>
      <c r="F166" s="9">
        <v>172000</v>
      </c>
      <c r="G166" s="9">
        <v>356000</v>
      </c>
      <c r="H166" s="9"/>
      <c r="I166" s="9"/>
      <c r="J166" s="9">
        <v>66000</v>
      </c>
      <c r="K166" s="9" t="s">
        <v>1500</v>
      </c>
    </row>
    <row r="167" spans="1:11" ht="19" x14ac:dyDescent="0.2">
      <c r="A167" s="144"/>
      <c r="B167" s="145"/>
      <c r="C167" s="146"/>
      <c r="D167" s="147"/>
      <c r="E167" s="150"/>
      <c r="F167" s="139"/>
      <c r="G167" s="139"/>
      <c r="H167" s="139"/>
      <c r="I167" s="139"/>
      <c r="J167" s="139">
        <v>56000</v>
      </c>
      <c r="K167" s="139" t="s">
        <v>1473</v>
      </c>
    </row>
    <row r="168" spans="1:11" ht="19" x14ac:dyDescent="0.2">
      <c r="A168" s="143"/>
      <c r="B168" s="32"/>
      <c r="C168" s="49"/>
      <c r="D168" s="13"/>
      <c r="E168" s="15"/>
      <c r="F168" s="9"/>
      <c r="G168" s="9"/>
      <c r="H168" s="9"/>
      <c r="I168" s="9"/>
      <c r="J168" s="9">
        <v>33000</v>
      </c>
      <c r="K168" s="9" t="s">
        <v>1662</v>
      </c>
    </row>
    <row r="169" spans="1:11" ht="19" x14ac:dyDescent="0.2">
      <c r="A169" s="144"/>
      <c r="B169" s="145"/>
      <c r="C169" s="263"/>
      <c r="D169" s="147"/>
      <c r="E169" s="150"/>
      <c r="F169" s="139"/>
      <c r="G169" s="139"/>
      <c r="H169" s="139"/>
      <c r="I169" s="139"/>
      <c r="J169" s="139">
        <v>20000</v>
      </c>
      <c r="K169" s="139" t="s">
        <v>3463</v>
      </c>
    </row>
    <row r="170" spans="1:11" ht="19" x14ac:dyDescent="0.2">
      <c r="A170" s="143"/>
      <c r="B170" s="153"/>
      <c r="C170" s="154"/>
      <c r="D170" s="155"/>
      <c r="E170" s="164"/>
      <c r="F170" s="119"/>
      <c r="G170" s="119"/>
      <c r="H170" s="119"/>
      <c r="I170" s="119"/>
      <c r="J170" s="119">
        <v>160000</v>
      </c>
      <c r="K170" s="119" t="s">
        <v>1597</v>
      </c>
    </row>
    <row r="171" spans="1:11" ht="19" x14ac:dyDescent="0.2">
      <c r="A171" s="144"/>
      <c r="B171" s="145"/>
      <c r="C171" s="151"/>
      <c r="D171" s="147"/>
      <c r="E171" s="150"/>
      <c r="F171" s="139"/>
      <c r="G171" s="139"/>
      <c r="H171" s="139"/>
      <c r="I171" s="139"/>
      <c r="J171" s="139">
        <v>105000</v>
      </c>
      <c r="K171" s="139" t="s">
        <v>1566</v>
      </c>
    </row>
    <row r="172" spans="1:11" ht="19" x14ac:dyDescent="0.2">
      <c r="A172" s="143"/>
      <c r="B172" s="153"/>
      <c r="C172" s="163"/>
      <c r="D172" s="155"/>
      <c r="E172" s="164"/>
      <c r="F172" s="119"/>
      <c r="G172" s="119"/>
      <c r="H172" s="119"/>
      <c r="I172" s="119"/>
      <c r="J172" s="119">
        <v>192000</v>
      </c>
      <c r="K172" s="119" t="s">
        <v>1245</v>
      </c>
    </row>
    <row r="173" spans="1:11" ht="19" x14ac:dyDescent="0.2">
      <c r="A173" s="144"/>
      <c r="B173" s="145"/>
      <c r="C173" s="151"/>
      <c r="D173" s="147"/>
      <c r="E173" s="150"/>
      <c r="F173" s="139"/>
      <c r="G173" s="139"/>
      <c r="H173" s="139"/>
      <c r="I173" s="139"/>
      <c r="J173" s="139">
        <v>50000</v>
      </c>
      <c r="K173" s="139" t="s">
        <v>123</v>
      </c>
    </row>
    <row r="174" spans="1:11" ht="19" x14ac:dyDescent="0.2">
      <c r="A174" s="143"/>
      <c r="B174" s="153"/>
      <c r="C174" s="163"/>
      <c r="D174" s="155"/>
      <c r="E174" s="164"/>
      <c r="F174" s="119"/>
      <c r="G174" s="119"/>
      <c r="H174" s="119"/>
      <c r="I174" s="119"/>
      <c r="J174" s="119">
        <v>200000</v>
      </c>
      <c r="K174" s="119" t="s">
        <v>2796</v>
      </c>
    </row>
    <row r="175" spans="1:11" ht="19" x14ac:dyDescent="0.2">
      <c r="A175" s="144"/>
      <c r="B175" s="145"/>
      <c r="C175" s="149"/>
      <c r="D175" s="147"/>
      <c r="E175" s="150"/>
      <c r="F175" s="139"/>
      <c r="G175" s="139"/>
      <c r="H175" s="139"/>
      <c r="I175" s="139"/>
      <c r="J175" s="139">
        <v>45000</v>
      </c>
      <c r="K175" s="139" t="s">
        <v>1722</v>
      </c>
    </row>
    <row r="176" spans="1:11" ht="19" x14ac:dyDescent="0.2">
      <c r="A176" s="143"/>
      <c r="B176" s="153"/>
      <c r="C176" s="171"/>
      <c r="D176" s="155"/>
      <c r="E176" s="164"/>
      <c r="F176" s="119"/>
      <c r="G176" s="119"/>
      <c r="H176" s="119"/>
      <c r="I176" s="119"/>
      <c r="J176" s="168">
        <v>150000</v>
      </c>
      <c r="K176" s="168" t="s">
        <v>1710</v>
      </c>
    </row>
    <row r="177" spans="1:11" ht="19" x14ac:dyDescent="0.2">
      <c r="A177" s="144">
        <v>2100000</v>
      </c>
      <c r="B177" s="145">
        <v>45655</v>
      </c>
      <c r="C177" s="149" t="s">
        <v>9</v>
      </c>
      <c r="D177" s="147" t="s">
        <v>3726</v>
      </c>
      <c r="E177" s="150">
        <v>1297000</v>
      </c>
      <c r="F177" s="139">
        <v>213000</v>
      </c>
      <c r="G177" s="139">
        <v>590000</v>
      </c>
      <c r="H177" s="139"/>
      <c r="I177" s="139"/>
      <c r="J177" s="162"/>
      <c r="K177" s="162"/>
    </row>
    <row r="178" spans="1:11" ht="19" x14ac:dyDescent="0.2">
      <c r="A178" s="143">
        <v>2190000</v>
      </c>
      <c r="B178" s="153"/>
      <c r="C178" s="171" t="s">
        <v>10</v>
      </c>
      <c r="D178" s="155" t="s">
        <v>3531</v>
      </c>
      <c r="E178" s="164">
        <v>1530000</v>
      </c>
      <c r="F178" s="119">
        <v>192000</v>
      </c>
      <c r="G178" s="119">
        <v>468000</v>
      </c>
      <c r="H178" s="119"/>
      <c r="I178" s="119"/>
      <c r="J178" s="174"/>
      <c r="K178" s="174"/>
    </row>
    <row r="179" spans="1:11" ht="19" x14ac:dyDescent="0.2">
      <c r="A179" s="144"/>
      <c r="B179" s="145"/>
      <c r="C179" s="149"/>
      <c r="D179" s="147"/>
      <c r="E179" s="150"/>
      <c r="F179" s="139"/>
      <c r="G179" s="139"/>
      <c r="H179" s="139"/>
      <c r="I179" s="139"/>
      <c r="J179" s="165"/>
      <c r="K179" s="165"/>
    </row>
    <row r="180" spans="1:11" ht="19" x14ac:dyDescent="0.2">
      <c r="A180" s="143">
        <v>2107000</v>
      </c>
      <c r="B180" s="153">
        <v>45656</v>
      </c>
      <c r="C180" s="171" t="s">
        <v>9</v>
      </c>
      <c r="D180" s="155" t="s">
        <v>3726</v>
      </c>
      <c r="E180" s="164">
        <v>1111000</v>
      </c>
      <c r="F180" s="119">
        <v>416000</v>
      </c>
      <c r="G180" s="119">
        <v>580000</v>
      </c>
      <c r="H180" s="119"/>
      <c r="I180" s="119"/>
      <c r="J180" s="168"/>
      <c r="K180" s="168"/>
    </row>
    <row r="181" spans="1:11" ht="19" x14ac:dyDescent="0.2">
      <c r="A181" s="144"/>
      <c r="B181" s="145"/>
      <c r="C181" s="149"/>
      <c r="D181" s="147"/>
      <c r="E181" s="150"/>
      <c r="F181" s="139"/>
      <c r="G181" s="139"/>
      <c r="H181" s="139"/>
      <c r="I181" s="139"/>
      <c r="J181" s="165"/>
      <c r="K181" s="165"/>
    </row>
    <row r="182" spans="1:11" ht="19" x14ac:dyDescent="0.2">
      <c r="A182" s="143">
        <v>2104000</v>
      </c>
      <c r="B182" s="153"/>
      <c r="C182" s="171" t="s">
        <v>10</v>
      </c>
      <c r="D182" s="155" t="s">
        <v>20</v>
      </c>
      <c r="E182" s="164">
        <v>1557000</v>
      </c>
      <c r="F182" s="119">
        <v>178000</v>
      </c>
      <c r="G182" s="119">
        <v>369000</v>
      </c>
      <c r="H182" s="119">
        <v>2650000</v>
      </c>
      <c r="I182" s="119" t="s">
        <v>3740</v>
      </c>
      <c r="J182" s="119">
        <v>9000</v>
      </c>
      <c r="K182" s="119" t="s">
        <v>3732</v>
      </c>
    </row>
    <row r="183" spans="1:11" ht="19" x14ac:dyDescent="0.2">
      <c r="A183" s="144"/>
      <c r="B183" s="145"/>
      <c r="C183" s="149"/>
      <c r="D183" s="147"/>
      <c r="E183" s="150"/>
      <c r="F183" s="139"/>
      <c r="G183" s="139"/>
      <c r="H183" s="139">
        <v>2674000</v>
      </c>
      <c r="I183" s="139" t="s">
        <v>3520</v>
      </c>
      <c r="J183" s="165">
        <v>28000</v>
      </c>
      <c r="K183" s="165" t="s">
        <v>3733</v>
      </c>
    </row>
    <row r="184" spans="1:11" ht="19" x14ac:dyDescent="0.2">
      <c r="A184" s="143">
        <v>1378000</v>
      </c>
      <c r="B184" s="153">
        <v>45657</v>
      </c>
      <c r="C184" s="171" t="s">
        <v>9</v>
      </c>
      <c r="D184" s="155" t="s">
        <v>3690</v>
      </c>
      <c r="E184" s="164">
        <v>1024000</v>
      </c>
      <c r="F184" s="119">
        <v>50000</v>
      </c>
      <c r="G184" s="119">
        <v>304000</v>
      </c>
      <c r="H184" s="119">
        <v>1772000</v>
      </c>
      <c r="I184" s="119" t="s">
        <v>3734</v>
      </c>
      <c r="J184" s="168">
        <v>32000</v>
      </c>
      <c r="K184" s="168" t="s">
        <v>3735</v>
      </c>
    </row>
    <row r="185" spans="1:11" ht="19" x14ac:dyDescent="0.2">
      <c r="A185" s="144"/>
      <c r="B185" s="145"/>
      <c r="C185" s="149"/>
      <c r="D185" s="147"/>
      <c r="E185" s="150"/>
      <c r="F185" s="139"/>
      <c r="G185" s="139"/>
      <c r="H185" s="139">
        <v>1250000</v>
      </c>
      <c r="I185" s="139" t="s">
        <v>3736</v>
      </c>
      <c r="J185" s="165"/>
      <c r="K185" s="165"/>
    </row>
    <row r="186" spans="1:11" ht="19" x14ac:dyDescent="0.2">
      <c r="A186" s="143"/>
      <c r="B186" s="153"/>
      <c r="C186" s="171" t="s">
        <v>10</v>
      </c>
      <c r="D186" s="155"/>
      <c r="E186" s="164" t="s">
        <v>1721</v>
      </c>
      <c r="F186" s="119"/>
      <c r="G186" s="119"/>
      <c r="H186" s="119">
        <v>340000</v>
      </c>
      <c r="I186" s="119" t="s">
        <v>3737</v>
      </c>
      <c r="J186" s="168"/>
      <c r="K186" s="168"/>
    </row>
    <row r="187" spans="1:11" ht="19" x14ac:dyDescent="0.2">
      <c r="A187" s="144"/>
      <c r="B187" s="145"/>
      <c r="C187" s="149"/>
      <c r="D187" s="147"/>
      <c r="E187" s="150"/>
      <c r="F187" s="139"/>
      <c r="G187" s="139"/>
      <c r="H187" s="139">
        <v>900000</v>
      </c>
      <c r="I187" s="139" t="s">
        <v>3738</v>
      </c>
      <c r="J187" s="165"/>
      <c r="K187" s="165"/>
    </row>
    <row r="188" spans="1:11" ht="48" x14ac:dyDescent="0.2">
      <c r="A188" s="143"/>
      <c r="B188" s="153"/>
      <c r="C188" s="171"/>
      <c r="D188" s="155"/>
      <c r="E188" s="164"/>
      <c r="F188" s="119"/>
      <c r="G188" s="119"/>
      <c r="H188" s="119">
        <v>5660000</v>
      </c>
      <c r="I188" s="176" t="s">
        <v>3572</v>
      </c>
      <c r="J188" s="168"/>
      <c r="K188" s="168"/>
    </row>
    <row r="189" spans="1:11" ht="19" x14ac:dyDescent="0.2">
      <c r="A189" s="144"/>
      <c r="B189" s="145"/>
      <c r="C189" s="149"/>
      <c r="D189" s="147"/>
      <c r="E189" s="150"/>
      <c r="F189" s="139"/>
      <c r="G189" s="139"/>
      <c r="H189" s="139">
        <v>1300000</v>
      </c>
      <c r="I189" s="139" t="s">
        <v>785</v>
      </c>
      <c r="J189" s="165"/>
      <c r="K189" s="165"/>
    </row>
    <row r="190" spans="1:11" ht="19" x14ac:dyDescent="0.2">
      <c r="A190" s="143"/>
      <c r="B190" s="153"/>
      <c r="C190" s="171"/>
      <c r="D190" s="155"/>
      <c r="E190" s="164"/>
      <c r="F190" s="119"/>
      <c r="G190" s="119"/>
      <c r="H190" s="119">
        <v>1300000</v>
      </c>
      <c r="I190" s="119" t="s">
        <v>3739</v>
      </c>
      <c r="J190" s="168"/>
      <c r="K190" s="16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K177"/>
  <sheetViews>
    <sheetView workbookViewId="0">
      <selection activeCell="K33" sqref="K33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7.1640625" customWidth="1"/>
    <col min="5" max="5" width="20.33203125" bestFit="1" customWidth="1"/>
    <col min="6" max="6" width="24.1640625" customWidth="1"/>
    <col min="7" max="7" width="26" customWidth="1"/>
    <col min="8" max="8" width="23.6640625" customWidth="1"/>
    <col min="9" max="9" width="35.83203125" customWidth="1"/>
    <col min="10" max="10" width="25.1640625" customWidth="1"/>
    <col min="11" max="11" width="28.8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17455000</v>
      </c>
      <c r="K4" s="72">
        <f>J4/10820</f>
        <v>1613.2162661737523</v>
      </c>
    </row>
    <row r="5" spans="1:11" ht="24" x14ac:dyDescent="0.3">
      <c r="B5" s="99" t="s">
        <v>3812</v>
      </c>
      <c r="H5" s="73"/>
      <c r="I5" s="71" t="s">
        <v>2315</v>
      </c>
      <c r="J5" s="71">
        <v>17455000</v>
      </c>
      <c r="K5" s="72">
        <f>J5/10820</f>
        <v>1613.2162661737523</v>
      </c>
    </row>
    <row r="6" spans="1:11" ht="24" x14ac:dyDescent="0.3">
      <c r="B6" s="99"/>
      <c r="H6" s="73"/>
      <c r="I6" s="71" t="s">
        <v>178</v>
      </c>
      <c r="J6" s="71">
        <v>4206042</v>
      </c>
      <c r="K6" s="72" t="s">
        <v>3813</v>
      </c>
    </row>
    <row r="7" spans="1:11" ht="26" x14ac:dyDescent="0.3">
      <c r="B7" s="100" t="s">
        <v>3815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SUM(A11:A443)</f>
        <v>123196000</v>
      </c>
      <c r="B10" s="65"/>
      <c r="C10" s="66" t="s">
        <v>13</v>
      </c>
      <c r="D10" s="67"/>
      <c r="E10" s="68">
        <f>SUM(E11:E443)</f>
        <v>78972000</v>
      </c>
      <c r="F10" s="69">
        <f>SUM(F11:F443)</f>
        <v>15973000</v>
      </c>
      <c r="G10" s="69">
        <f>SUM(G11:G430)</f>
        <v>28251000</v>
      </c>
      <c r="H10" s="69">
        <f>SUM(H11:H443)</f>
        <v>23010000</v>
      </c>
      <c r="I10" s="69"/>
      <c r="J10" s="69">
        <f>SUM(J11:J443)</f>
        <v>22523000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/>
      <c r="B12" s="145">
        <v>45658</v>
      </c>
      <c r="C12" s="151"/>
      <c r="D12" s="147"/>
      <c r="E12" s="150" t="s">
        <v>1721</v>
      </c>
      <c r="F12" s="139"/>
      <c r="G12" s="139"/>
      <c r="H12" s="139">
        <v>468000</v>
      </c>
      <c r="I12" s="162" t="s">
        <v>1406</v>
      </c>
      <c r="J12" s="139"/>
      <c r="K12" s="139"/>
    </row>
    <row r="13" spans="1:11" ht="19" x14ac:dyDescent="0.2">
      <c r="A13" s="143">
        <v>2300000</v>
      </c>
      <c r="B13" s="153">
        <v>45659</v>
      </c>
      <c r="C13" s="163" t="s">
        <v>9</v>
      </c>
      <c r="D13" s="155" t="s">
        <v>3329</v>
      </c>
      <c r="E13" s="164">
        <v>1402000</v>
      </c>
      <c r="F13" s="119">
        <v>214000</v>
      </c>
      <c r="G13" s="119">
        <v>684000</v>
      </c>
      <c r="H13" s="175"/>
      <c r="I13" s="174"/>
      <c r="J13" s="119"/>
      <c r="K13" s="119"/>
    </row>
    <row r="14" spans="1:11" ht="19" x14ac:dyDescent="0.2">
      <c r="A14" s="144">
        <v>1685000</v>
      </c>
      <c r="B14" s="145"/>
      <c r="C14" s="151" t="s">
        <v>10</v>
      </c>
      <c r="D14" s="147" t="s">
        <v>20</v>
      </c>
      <c r="E14" s="150">
        <v>1258000</v>
      </c>
      <c r="F14" s="139">
        <v>159000</v>
      </c>
      <c r="G14" s="139">
        <v>268000</v>
      </c>
      <c r="H14" s="152"/>
      <c r="I14" s="162"/>
      <c r="J14" s="139"/>
      <c r="K14" s="139"/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/>
      <c r="K15" s="119"/>
    </row>
    <row r="16" spans="1:11" ht="19" x14ac:dyDescent="0.2">
      <c r="A16" s="144">
        <v>1894000</v>
      </c>
      <c r="B16" s="145">
        <v>45660</v>
      </c>
      <c r="C16" s="151" t="s">
        <v>9</v>
      </c>
      <c r="D16" s="147" t="s">
        <v>3329</v>
      </c>
      <c r="E16" s="150">
        <v>865000</v>
      </c>
      <c r="F16" s="139">
        <v>306000</v>
      </c>
      <c r="G16" s="139">
        <v>723000</v>
      </c>
      <c r="H16" s="139"/>
      <c r="I16" s="162"/>
      <c r="J16" s="139">
        <v>520000</v>
      </c>
      <c r="K16" s="139" t="s">
        <v>1462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60000</v>
      </c>
      <c r="K17" s="119" t="s">
        <v>1490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25000</v>
      </c>
      <c r="K18" s="139" t="s">
        <v>3463</v>
      </c>
    </row>
    <row r="19" spans="1:11" ht="19" x14ac:dyDescent="0.2">
      <c r="A19" s="143">
        <v>1798000</v>
      </c>
      <c r="B19" s="153"/>
      <c r="C19" s="163" t="s">
        <v>10</v>
      </c>
      <c r="D19" s="155" t="s">
        <v>20</v>
      </c>
      <c r="E19" s="164">
        <v>951000</v>
      </c>
      <c r="F19" s="119">
        <v>399000</v>
      </c>
      <c r="G19" s="119">
        <v>448000</v>
      </c>
      <c r="H19" s="119"/>
      <c r="I19" s="119"/>
      <c r="J19" s="119">
        <v>150000</v>
      </c>
      <c r="K19" s="119" t="s">
        <v>3746</v>
      </c>
    </row>
    <row r="20" spans="1:11" ht="19" x14ac:dyDescent="0.2">
      <c r="A20" s="144">
        <v>2292000</v>
      </c>
      <c r="B20" s="145">
        <v>45661</v>
      </c>
      <c r="C20" s="149" t="s">
        <v>9</v>
      </c>
      <c r="D20" s="147" t="s">
        <v>3715</v>
      </c>
      <c r="E20" s="150">
        <v>1354000</v>
      </c>
      <c r="F20" s="139">
        <v>220000</v>
      </c>
      <c r="G20" s="139">
        <v>718000</v>
      </c>
      <c r="H20" s="139"/>
      <c r="I20" s="139"/>
      <c r="J20" s="139">
        <v>66000</v>
      </c>
      <c r="K20" s="139" t="s">
        <v>1500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147000</v>
      </c>
      <c r="K21" s="9" t="s">
        <v>2637</v>
      </c>
    </row>
    <row r="22" spans="1:11" ht="19" x14ac:dyDescent="0.2">
      <c r="A22" s="144">
        <v>1595000</v>
      </c>
      <c r="B22" s="145"/>
      <c r="C22" s="149" t="s">
        <v>10</v>
      </c>
      <c r="D22" s="147" t="s">
        <v>20</v>
      </c>
      <c r="E22" s="150">
        <v>1038000</v>
      </c>
      <c r="F22" s="139">
        <v>109000</v>
      </c>
      <c r="G22" s="139">
        <v>448000</v>
      </c>
      <c r="H22" s="139"/>
      <c r="I22" s="139"/>
      <c r="J22" s="139">
        <v>28000</v>
      </c>
      <c r="K22" s="139" t="s">
        <v>3435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56000</v>
      </c>
      <c r="K23" s="9" t="s">
        <v>1473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36000</v>
      </c>
      <c r="K24" s="162" t="s">
        <v>3747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660000</v>
      </c>
      <c r="K25" s="119" t="s">
        <v>3748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18000</v>
      </c>
      <c r="K26" s="139" t="s">
        <v>2663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9">
        <v>50000</v>
      </c>
      <c r="K27" s="106" t="s">
        <v>123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75000</v>
      </c>
      <c r="K28" s="139" t="s">
        <v>3749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200000</v>
      </c>
      <c r="K29" s="9" t="s">
        <v>2796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150000</v>
      </c>
      <c r="K30" s="139" t="s">
        <v>1710</v>
      </c>
    </row>
    <row r="31" spans="1:11" ht="19" x14ac:dyDescent="0.2">
      <c r="A31" s="143">
        <v>1512000</v>
      </c>
      <c r="B31" s="32">
        <v>45662</v>
      </c>
      <c r="C31" s="49" t="s">
        <v>9</v>
      </c>
      <c r="D31" s="13" t="s">
        <v>3726</v>
      </c>
      <c r="E31" s="15">
        <v>773000</v>
      </c>
      <c r="F31" s="9">
        <v>293000</v>
      </c>
      <c r="G31" s="9">
        <v>446000</v>
      </c>
      <c r="H31" s="9"/>
      <c r="I31" s="119"/>
      <c r="J31" s="9">
        <v>200000</v>
      </c>
      <c r="K31" s="9" t="s">
        <v>3750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192000</v>
      </c>
      <c r="K32" s="139" t="s">
        <v>1245</v>
      </c>
    </row>
    <row r="33" spans="1:11" ht="19" x14ac:dyDescent="0.2">
      <c r="A33" s="143">
        <v>2068000</v>
      </c>
      <c r="B33" s="153"/>
      <c r="C33" s="171" t="s">
        <v>10</v>
      </c>
      <c r="D33" s="155" t="s">
        <v>20</v>
      </c>
      <c r="E33" s="164">
        <v>1350000</v>
      </c>
      <c r="F33" s="119">
        <v>255000</v>
      </c>
      <c r="G33" s="119">
        <v>463000</v>
      </c>
      <c r="H33" s="119"/>
      <c r="I33" s="119"/>
      <c r="J33" s="119">
        <v>7150000</v>
      </c>
      <c r="K33" s="119" t="s">
        <v>3814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/>
      <c r="K34" s="139"/>
    </row>
    <row r="35" spans="1:11" ht="19" x14ac:dyDescent="0.2">
      <c r="A35" s="143">
        <v>2052000</v>
      </c>
      <c r="B35" s="32">
        <v>45663</v>
      </c>
      <c r="C35" s="49" t="s">
        <v>9</v>
      </c>
      <c r="D35" s="13" t="s">
        <v>3751</v>
      </c>
      <c r="E35" s="15">
        <v>1295000</v>
      </c>
      <c r="F35" s="9">
        <v>216000</v>
      </c>
      <c r="G35" s="9">
        <v>541000</v>
      </c>
      <c r="H35" s="9"/>
      <c r="I35" s="119"/>
      <c r="J35" s="9">
        <v>72000</v>
      </c>
      <c r="K35" s="9" t="s">
        <v>3752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70000</v>
      </c>
      <c r="K36" s="139" t="s">
        <v>3753</v>
      </c>
    </row>
    <row r="37" spans="1:11" ht="19" x14ac:dyDescent="0.2">
      <c r="A37" s="143">
        <v>1653000</v>
      </c>
      <c r="B37" s="32"/>
      <c r="C37" s="49" t="s">
        <v>10</v>
      </c>
      <c r="D37" s="13" t="s">
        <v>3531</v>
      </c>
      <c r="E37" s="15">
        <v>1100000</v>
      </c>
      <c r="F37" s="9">
        <v>209000</v>
      </c>
      <c r="G37" s="9">
        <v>344000</v>
      </c>
      <c r="H37" s="9"/>
      <c r="I37" s="119"/>
      <c r="J37" s="9">
        <v>210000</v>
      </c>
      <c r="K37" s="9" t="s">
        <v>2269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/>
      <c r="K38" s="139"/>
    </row>
    <row r="39" spans="1:11" ht="19" x14ac:dyDescent="0.2">
      <c r="A39" s="143">
        <v>2834000</v>
      </c>
      <c r="B39" s="32">
        <v>45664</v>
      </c>
      <c r="C39" s="49" t="s">
        <v>9</v>
      </c>
      <c r="D39" s="13" t="s">
        <v>3726</v>
      </c>
      <c r="E39" s="15">
        <v>1712000</v>
      </c>
      <c r="F39" s="9">
        <v>437000</v>
      </c>
      <c r="G39" s="9">
        <v>685000</v>
      </c>
      <c r="H39" s="9"/>
      <c r="I39" s="119"/>
      <c r="J39" s="9">
        <v>24000</v>
      </c>
      <c r="K39" s="9" t="s">
        <v>2670</v>
      </c>
    </row>
    <row r="40" spans="1:11" ht="19" x14ac:dyDescent="0.2">
      <c r="A40" s="144">
        <v>1642000</v>
      </c>
      <c r="B40" s="145"/>
      <c r="C40" s="149" t="s">
        <v>10</v>
      </c>
      <c r="D40" s="147" t="s">
        <v>3531</v>
      </c>
      <c r="E40" s="150">
        <v>992000</v>
      </c>
      <c r="F40" s="139">
        <v>311000</v>
      </c>
      <c r="G40" s="139">
        <v>339000</v>
      </c>
      <c r="H40" s="139"/>
      <c r="I40" s="139"/>
      <c r="J40" s="139"/>
      <c r="K40" s="139"/>
    </row>
    <row r="41" spans="1:11" ht="19" x14ac:dyDescent="0.2">
      <c r="A41" s="143">
        <v>2815000</v>
      </c>
      <c r="B41" s="32">
        <v>45665</v>
      </c>
      <c r="C41" s="49" t="s">
        <v>9</v>
      </c>
      <c r="D41" s="13" t="s">
        <v>3726</v>
      </c>
      <c r="E41" s="15">
        <v>1336000</v>
      </c>
      <c r="F41" s="9">
        <v>624000</v>
      </c>
      <c r="G41" s="9">
        <v>855000</v>
      </c>
      <c r="H41" s="9"/>
      <c r="I41" s="119"/>
      <c r="J41" s="9">
        <v>45000</v>
      </c>
      <c r="K41" s="9" t="s">
        <v>1645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>
        <v>280000</v>
      </c>
      <c r="I42" s="139" t="s">
        <v>3754</v>
      </c>
      <c r="J42" s="139">
        <v>174000</v>
      </c>
      <c r="K42" s="139" t="s">
        <v>2732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116000</v>
      </c>
      <c r="K43" s="9" t="s">
        <v>3755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>
        <v>3900000</v>
      </c>
      <c r="I44" s="139" t="s">
        <v>861</v>
      </c>
      <c r="J44" s="139">
        <v>6000</v>
      </c>
      <c r="K44" s="139" t="s">
        <v>3756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55000</v>
      </c>
      <c r="K45" s="119" t="s">
        <v>3757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54000</v>
      </c>
      <c r="K46" s="139" t="s">
        <v>3758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97000</v>
      </c>
      <c r="K47" s="119" t="s">
        <v>3759</v>
      </c>
    </row>
    <row r="48" spans="1:11" ht="19" x14ac:dyDescent="0.2">
      <c r="A48" s="144">
        <v>1182000</v>
      </c>
      <c r="B48" s="145"/>
      <c r="C48" s="149" t="s">
        <v>10</v>
      </c>
      <c r="D48" s="147" t="s">
        <v>20</v>
      </c>
      <c r="E48" s="150">
        <v>698000</v>
      </c>
      <c r="F48" s="139">
        <v>218000</v>
      </c>
      <c r="G48" s="139">
        <v>266000</v>
      </c>
      <c r="H48" s="139"/>
      <c r="I48" s="139"/>
      <c r="J48" s="139">
        <v>105000</v>
      </c>
      <c r="K48" s="139" t="s">
        <v>1771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67000</v>
      </c>
      <c r="K49" s="119" t="s">
        <v>3539</v>
      </c>
    </row>
    <row r="50" spans="1:11" ht="19" x14ac:dyDescent="0.2">
      <c r="A50" s="144">
        <v>2645000</v>
      </c>
      <c r="B50" s="145">
        <v>45666</v>
      </c>
      <c r="C50" s="149" t="s">
        <v>9</v>
      </c>
      <c r="D50" s="147" t="s">
        <v>3726</v>
      </c>
      <c r="E50" s="150">
        <v>1582000</v>
      </c>
      <c r="F50" s="139">
        <v>150000</v>
      </c>
      <c r="G50" s="139">
        <v>913000</v>
      </c>
      <c r="H50" s="139"/>
      <c r="I50" s="139"/>
      <c r="J50" s="139">
        <v>100000</v>
      </c>
      <c r="K50" s="139" t="s">
        <v>3760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100000</v>
      </c>
      <c r="K51" s="119" t="s">
        <v>3761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100000</v>
      </c>
      <c r="K52" s="139" t="s">
        <v>3762</v>
      </c>
    </row>
    <row r="53" spans="1:11" ht="19" x14ac:dyDescent="0.2">
      <c r="A53" s="143">
        <v>1661000</v>
      </c>
      <c r="B53" s="153"/>
      <c r="C53" s="171" t="s">
        <v>10</v>
      </c>
      <c r="D53" s="155" t="s">
        <v>3531</v>
      </c>
      <c r="E53" s="164">
        <v>1014000</v>
      </c>
      <c r="F53" s="119">
        <v>211000</v>
      </c>
      <c r="G53" s="119">
        <v>436000</v>
      </c>
      <c r="H53" s="119"/>
      <c r="I53" s="176"/>
      <c r="J53" s="119">
        <v>100000</v>
      </c>
      <c r="K53" s="119" t="s">
        <v>3763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120000</v>
      </c>
      <c r="K54" s="139" t="s">
        <v>3724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17000</v>
      </c>
      <c r="K55" s="119" t="s">
        <v>3463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75000</v>
      </c>
      <c r="K56" s="139" t="s">
        <v>3764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75000</v>
      </c>
      <c r="K57" s="119" t="s">
        <v>3765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65000</v>
      </c>
      <c r="K58" s="139" t="s">
        <v>3766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200000</v>
      </c>
      <c r="K59" s="119" t="s">
        <v>2796</v>
      </c>
    </row>
    <row r="60" spans="1:11" ht="19" x14ac:dyDescent="0.2">
      <c r="A60" s="144">
        <v>2423000</v>
      </c>
      <c r="B60" s="145">
        <v>45667</v>
      </c>
      <c r="C60" s="149" t="s">
        <v>9</v>
      </c>
      <c r="D60" s="147" t="s">
        <v>3329</v>
      </c>
      <c r="E60" s="150">
        <v>1605000</v>
      </c>
      <c r="F60" s="139">
        <v>282000</v>
      </c>
      <c r="G60" s="139">
        <v>536000</v>
      </c>
      <c r="H60" s="157"/>
      <c r="I60" s="139"/>
      <c r="J60" s="139">
        <v>60000</v>
      </c>
      <c r="K60" s="139" t="s">
        <v>1681</v>
      </c>
    </row>
    <row r="61" spans="1:11" ht="19" x14ac:dyDescent="0.2">
      <c r="A61" s="143">
        <v>1482000</v>
      </c>
      <c r="B61" s="153"/>
      <c r="C61" s="171" t="s">
        <v>10</v>
      </c>
      <c r="D61" s="155" t="s">
        <v>20</v>
      </c>
      <c r="E61" s="164">
        <v>1130000</v>
      </c>
      <c r="F61" s="119">
        <v>146000</v>
      </c>
      <c r="G61" s="119">
        <v>206000</v>
      </c>
      <c r="H61" s="173"/>
      <c r="I61" s="119"/>
      <c r="J61" s="119">
        <v>240000</v>
      </c>
      <c r="K61" s="119" t="s">
        <v>2723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140000</v>
      </c>
      <c r="K62" s="139" t="s">
        <v>1285</v>
      </c>
    </row>
    <row r="63" spans="1:11" ht="19" x14ac:dyDescent="0.2">
      <c r="A63" s="143">
        <v>2239000</v>
      </c>
      <c r="B63" s="153">
        <v>45668</v>
      </c>
      <c r="C63" s="171" t="s">
        <v>9</v>
      </c>
      <c r="D63" s="155" t="s">
        <v>3690</v>
      </c>
      <c r="E63" s="164">
        <v>1566000</v>
      </c>
      <c r="F63" s="119">
        <v>311000</v>
      </c>
      <c r="G63" s="119">
        <v>362000</v>
      </c>
      <c r="H63" s="119"/>
      <c r="I63" s="119"/>
      <c r="J63" s="119">
        <v>165000</v>
      </c>
      <c r="K63" s="119" t="s">
        <v>3767</v>
      </c>
    </row>
    <row r="64" spans="1:11" ht="19" x14ac:dyDescent="0.2">
      <c r="A64" s="144">
        <v>1972000</v>
      </c>
      <c r="B64" s="145"/>
      <c r="C64" s="149" t="s">
        <v>10</v>
      </c>
      <c r="D64" s="147" t="s">
        <v>3531</v>
      </c>
      <c r="E64" s="150">
        <v>1440000</v>
      </c>
      <c r="F64" s="150">
        <v>271000</v>
      </c>
      <c r="G64" s="139">
        <v>261000</v>
      </c>
      <c r="H64" s="139"/>
      <c r="I64" s="139"/>
      <c r="J64" s="139">
        <v>50000</v>
      </c>
      <c r="K64" s="139" t="s">
        <v>123</v>
      </c>
    </row>
    <row r="65" spans="1:11" ht="19" x14ac:dyDescent="0.2">
      <c r="A65" s="143">
        <v>1652000</v>
      </c>
      <c r="B65" s="153">
        <v>45669</v>
      </c>
      <c r="C65" s="171" t="s">
        <v>9</v>
      </c>
      <c r="D65" s="155" t="s">
        <v>3329</v>
      </c>
      <c r="E65" s="164">
        <v>1225000</v>
      </c>
      <c r="F65" s="119">
        <v>132000</v>
      </c>
      <c r="G65" s="119">
        <v>295000</v>
      </c>
      <c r="H65" s="119"/>
      <c r="I65" s="119"/>
      <c r="J65" s="119"/>
      <c r="K65" s="119"/>
    </row>
    <row r="66" spans="1:11" ht="19" x14ac:dyDescent="0.2">
      <c r="A66" s="144">
        <v>1333000</v>
      </c>
      <c r="B66" s="145"/>
      <c r="C66" s="149" t="s">
        <v>10</v>
      </c>
      <c r="D66" s="147" t="s">
        <v>3751</v>
      </c>
      <c r="E66" s="150">
        <v>1138000</v>
      </c>
      <c r="F66" s="139">
        <v>25000</v>
      </c>
      <c r="G66" s="139">
        <v>170000</v>
      </c>
      <c r="H66" s="139"/>
      <c r="I66" s="139"/>
      <c r="J66" s="139">
        <v>30000</v>
      </c>
      <c r="K66" s="139" t="s">
        <v>3348</v>
      </c>
    </row>
    <row r="67" spans="1:11" ht="19" x14ac:dyDescent="0.2">
      <c r="A67" s="143">
        <v>1721000</v>
      </c>
      <c r="B67" s="153">
        <v>45670</v>
      </c>
      <c r="C67" s="171" t="s">
        <v>9</v>
      </c>
      <c r="D67" s="155" t="s">
        <v>3329</v>
      </c>
      <c r="E67" s="164">
        <v>1066000</v>
      </c>
      <c r="F67" s="119">
        <v>175000</v>
      </c>
      <c r="G67" s="119">
        <v>480000</v>
      </c>
      <c r="H67" s="119"/>
      <c r="I67" s="119"/>
      <c r="J67" s="119">
        <v>82000</v>
      </c>
      <c r="K67" s="119" t="s">
        <v>3768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40000</v>
      </c>
      <c r="K68" s="139" t="s">
        <v>3769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30000</v>
      </c>
      <c r="K69" s="119" t="s">
        <v>3770</v>
      </c>
    </row>
    <row r="70" spans="1:11" ht="19" x14ac:dyDescent="0.2">
      <c r="A70" s="144"/>
      <c r="B70" s="145"/>
      <c r="C70" s="149"/>
      <c r="D70" s="222"/>
      <c r="E70" s="150"/>
      <c r="F70" s="139"/>
      <c r="G70" s="139"/>
      <c r="H70" s="139"/>
      <c r="I70" s="139"/>
      <c r="J70" s="139">
        <v>40000</v>
      </c>
      <c r="K70" s="139" t="s">
        <v>3771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36000</v>
      </c>
      <c r="K71" s="9" t="s">
        <v>2778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60000</v>
      </c>
      <c r="K72" s="139" t="s">
        <v>3772</v>
      </c>
    </row>
    <row r="73" spans="1:11" ht="19" x14ac:dyDescent="0.2">
      <c r="A73" s="143">
        <v>1557000</v>
      </c>
      <c r="B73" s="32"/>
      <c r="C73" s="49" t="s">
        <v>10</v>
      </c>
      <c r="D73" s="155" t="s">
        <v>20</v>
      </c>
      <c r="E73" s="15">
        <v>953000</v>
      </c>
      <c r="F73" s="9">
        <v>530000</v>
      </c>
      <c r="G73" s="9">
        <v>74000</v>
      </c>
      <c r="H73" s="9"/>
      <c r="I73" s="9"/>
      <c r="J73" s="9">
        <v>120000</v>
      </c>
      <c r="K73" s="9" t="s">
        <v>3773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180000</v>
      </c>
      <c r="K74" s="139" t="s">
        <v>1838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76"/>
      <c r="J75" s="119">
        <v>200000</v>
      </c>
      <c r="K75" s="119" t="s">
        <v>1296</v>
      </c>
    </row>
    <row r="76" spans="1:11" ht="19" x14ac:dyDescent="0.2">
      <c r="A76" s="144">
        <v>2455000</v>
      </c>
      <c r="B76" s="145">
        <v>45671</v>
      </c>
      <c r="C76" s="149" t="s">
        <v>9</v>
      </c>
      <c r="D76" s="147" t="s">
        <v>3774</v>
      </c>
      <c r="E76" s="150">
        <v>1724000</v>
      </c>
      <c r="F76" s="139">
        <v>217000</v>
      </c>
      <c r="G76" s="139">
        <v>514000</v>
      </c>
      <c r="H76" s="152"/>
      <c r="I76" s="152"/>
      <c r="J76" s="139">
        <v>12000</v>
      </c>
      <c r="K76" s="139" t="s">
        <v>3723</v>
      </c>
    </row>
    <row r="77" spans="1:11" ht="19" x14ac:dyDescent="0.2">
      <c r="A77" s="143"/>
      <c r="B77" s="32"/>
      <c r="C77" s="49"/>
      <c r="D77" s="13"/>
      <c r="E77" s="15"/>
      <c r="F77" s="9"/>
      <c r="G77" s="9"/>
      <c r="H77" s="60"/>
      <c r="I77" s="60"/>
      <c r="J77" s="9">
        <v>82000</v>
      </c>
      <c r="K77" s="9" t="s">
        <v>2494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>
        <v>56000</v>
      </c>
      <c r="K78" s="139" t="s">
        <v>1473</v>
      </c>
    </row>
    <row r="79" spans="1:11" ht="19" x14ac:dyDescent="0.2">
      <c r="A79" s="143">
        <v>1990000</v>
      </c>
      <c r="B79" s="153"/>
      <c r="C79" s="171" t="s">
        <v>10</v>
      </c>
      <c r="D79" s="155" t="s">
        <v>3531</v>
      </c>
      <c r="E79" s="164">
        <v>1263000</v>
      </c>
      <c r="F79" s="119">
        <v>196000</v>
      </c>
      <c r="G79" s="119">
        <v>531000</v>
      </c>
      <c r="H79" s="174"/>
      <c r="I79" s="243"/>
      <c r="J79" s="119">
        <v>25000</v>
      </c>
      <c r="K79" s="119" t="s">
        <v>3463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52"/>
      <c r="I80" s="152"/>
      <c r="J80" s="139">
        <v>520000</v>
      </c>
      <c r="K80" s="139" t="s">
        <v>3775</v>
      </c>
    </row>
    <row r="81" spans="1:11" ht="19" x14ac:dyDescent="0.2">
      <c r="A81" s="143"/>
      <c r="B81" s="153"/>
      <c r="C81" s="171"/>
      <c r="D81" s="230"/>
      <c r="E81" s="164"/>
      <c r="F81" s="119"/>
      <c r="G81" s="119"/>
      <c r="H81" s="119"/>
      <c r="I81" s="176"/>
      <c r="J81" s="119">
        <v>60000</v>
      </c>
      <c r="K81" s="119" t="s">
        <v>1490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228000</v>
      </c>
      <c r="K82" s="139" t="s">
        <v>1559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25000</v>
      </c>
      <c r="K83" s="9" t="s">
        <v>2512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24000</v>
      </c>
      <c r="K84" s="139" t="s">
        <v>3445</v>
      </c>
    </row>
    <row r="85" spans="1:11" ht="32" x14ac:dyDescent="0.2">
      <c r="A85" s="143">
        <v>2779000</v>
      </c>
      <c r="B85" s="153">
        <v>45672</v>
      </c>
      <c r="C85" s="171" t="s">
        <v>9</v>
      </c>
      <c r="D85" s="155" t="s">
        <v>3774</v>
      </c>
      <c r="E85" s="164">
        <v>1683000</v>
      </c>
      <c r="F85" s="119">
        <v>207000</v>
      </c>
      <c r="G85" s="119">
        <v>889000</v>
      </c>
      <c r="H85" s="174">
        <v>1045000</v>
      </c>
      <c r="I85" s="243" t="s">
        <v>3776</v>
      </c>
      <c r="J85" s="119">
        <v>150000</v>
      </c>
      <c r="K85" s="119" t="s">
        <v>3777</v>
      </c>
    </row>
    <row r="86" spans="1:11" ht="19" x14ac:dyDescent="0.2">
      <c r="A86" s="144"/>
      <c r="B86" s="145"/>
      <c r="C86" s="149"/>
      <c r="D86" s="222"/>
      <c r="E86" s="150"/>
      <c r="F86" s="139"/>
      <c r="G86" s="139"/>
      <c r="H86" s="162">
        <v>1530000</v>
      </c>
      <c r="I86" s="162" t="s">
        <v>3778</v>
      </c>
      <c r="J86" s="139">
        <v>150000</v>
      </c>
      <c r="K86" s="139" t="s">
        <v>3779</v>
      </c>
    </row>
    <row r="87" spans="1:11" ht="32" x14ac:dyDescent="0.2">
      <c r="A87" s="143">
        <v>1558000</v>
      </c>
      <c r="B87" s="153"/>
      <c r="C87" s="171" t="s">
        <v>10</v>
      </c>
      <c r="D87" s="155" t="s">
        <v>20</v>
      </c>
      <c r="E87" s="164">
        <v>1231000</v>
      </c>
      <c r="F87" s="119">
        <v>119000</v>
      </c>
      <c r="G87" s="119">
        <v>208000</v>
      </c>
      <c r="H87" s="119">
        <v>493000</v>
      </c>
      <c r="I87" s="243" t="s">
        <v>3780</v>
      </c>
      <c r="J87" s="9">
        <v>30000</v>
      </c>
      <c r="K87" s="119" t="s">
        <v>1596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>
        <v>1550000</v>
      </c>
      <c r="I88" s="162" t="s">
        <v>3781</v>
      </c>
      <c r="J88" s="162">
        <v>420000</v>
      </c>
      <c r="K88" s="162" t="s">
        <v>2866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>
        <v>400000</v>
      </c>
      <c r="I89" s="106" t="s">
        <v>3737</v>
      </c>
      <c r="J89" s="119"/>
      <c r="K89" s="119"/>
    </row>
    <row r="90" spans="1:11" ht="19" x14ac:dyDescent="0.2">
      <c r="A90" s="144">
        <v>2969000</v>
      </c>
      <c r="B90" s="145">
        <v>45673</v>
      </c>
      <c r="C90" s="149" t="s">
        <v>9</v>
      </c>
      <c r="D90" s="147" t="s">
        <v>3329</v>
      </c>
      <c r="E90" s="150">
        <v>2214000</v>
      </c>
      <c r="F90" s="139">
        <v>210000</v>
      </c>
      <c r="G90" s="139">
        <v>545000</v>
      </c>
      <c r="H90" s="152"/>
      <c r="I90" s="152"/>
      <c r="J90" s="139">
        <v>150000</v>
      </c>
      <c r="K90" s="139" t="s">
        <v>3782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20000</v>
      </c>
      <c r="K91" s="9" t="s">
        <v>3237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52"/>
      <c r="I92" s="152"/>
      <c r="J92" s="139">
        <v>200000</v>
      </c>
      <c r="K92" s="139" t="s">
        <v>2796</v>
      </c>
    </row>
    <row r="93" spans="1:11" ht="19" x14ac:dyDescent="0.2">
      <c r="A93" s="143">
        <v>1592000</v>
      </c>
      <c r="B93" s="153"/>
      <c r="C93" s="49" t="s">
        <v>10</v>
      </c>
      <c r="D93" s="13" t="s">
        <v>3531</v>
      </c>
      <c r="E93" s="15">
        <v>1024000</v>
      </c>
      <c r="F93" s="9">
        <v>60000</v>
      </c>
      <c r="G93" s="9">
        <v>508000</v>
      </c>
      <c r="H93" s="175"/>
      <c r="I93" s="9"/>
      <c r="J93" s="9">
        <v>150000</v>
      </c>
      <c r="K93" s="9" t="s">
        <v>1710</v>
      </c>
    </row>
    <row r="94" spans="1:11" ht="19" x14ac:dyDescent="0.2">
      <c r="A94" s="144">
        <v>3172000</v>
      </c>
      <c r="B94" s="145">
        <v>45674</v>
      </c>
      <c r="C94" s="149" t="s">
        <v>9</v>
      </c>
      <c r="D94" s="222" t="s">
        <v>3329</v>
      </c>
      <c r="E94" s="150">
        <v>1995000</v>
      </c>
      <c r="F94" s="139">
        <v>441000</v>
      </c>
      <c r="G94" s="139">
        <v>736000</v>
      </c>
      <c r="H94" s="139"/>
      <c r="I94" s="161"/>
      <c r="J94" s="139"/>
      <c r="K94" s="139"/>
    </row>
    <row r="95" spans="1:11" ht="19" x14ac:dyDescent="0.2">
      <c r="A95" s="143">
        <v>1331000</v>
      </c>
      <c r="B95" s="32"/>
      <c r="C95" s="49" t="s">
        <v>10</v>
      </c>
      <c r="D95" s="13" t="s">
        <v>3531</v>
      </c>
      <c r="E95" s="15">
        <v>904000</v>
      </c>
      <c r="F95" s="9">
        <v>250000</v>
      </c>
      <c r="G95" s="9">
        <v>177000</v>
      </c>
      <c r="H95" s="9"/>
      <c r="I95" s="9"/>
      <c r="J95" s="9"/>
      <c r="K95" s="9"/>
    </row>
    <row r="96" spans="1:11" ht="19" x14ac:dyDescent="0.2">
      <c r="A96" s="144">
        <v>3542000</v>
      </c>
      <c r="B96" s="145">
        <v>45675</v>
      </c>
      <c r="C96" s="149" t="s">
        <v>9</v>
      </c>
      <c r="D96" s="147" t="s">
        <v>3751</v>
      </c>
      <c r="E96" s="150">
        <v>2658000</v>
      </c>
      <c r="F96" s="139">
        <v>321000</v>
      </c>
      <c r="G96" s="139">
        <v>563000</v>
      </c>
      <c r="H96" s="139"/>
      <c r="I96" s="139"/>
      <c r="J96" s="139">
        <v>105000</v>
      </c>
      <c r="K96" s="139" t="s">
        <v>1771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80000</v>
      </c>
      <c r="K97" s="9" t="s">
        <v>3783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80000</v>
      </c>
      <c r="K98" s="139" t="s">
        <v>3765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80000</v>
      </c>
      <c r="K99" s="119" t="s">
        <v>3784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80000</v>
      </c>
      <c r="K100" s="139" t="s">
        <v>3749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240000</v>
      </c>
      <c r="K101" s="119" t="s">
        <v>2723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140000</v>
      </c>
      <c r="K102" s="139" t="s">
        <v>1285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384000</v>
      </c>
      <c r="K103" s="119" t="s">
        <v>1248</v>
      </c>
    </row>
    <row r="104" spans="1:11" ht="19" x14ac:dyDescent="0.2">
      <c r="A104" s="144">
        <v>1796000</v>
      </c>
      <c r="B104" s="145"/>
      <c r="C104" s="149" t="s">
        <v>10</v>
      </c>
      <c r="D104" s="222" t="s">
        <v>3531</v>
      </c>
      <c r="E104" s="150">
        <v>1411000</v>
      </c>
      <c r="F104" s="139">
        <v>196000</v>
      </c>
      <c r="G104" s="139">
        <v>189000</v>
      </c>
      <c r="H104" s="152"/>
      <c r="I104" s="240"/>
      <c r="J104" s="139">
        <v>17000</v>
      </c>
      <c r="K104" s="139" t="s">
        <v>3237</v>
      </c>
    </row>
    <row r="105" spans="1:11" ht="19" x14ac:dyDescent="0.2">
      <c r="A105" s="143">
        <v>1984000</v>
      </c>
      <c r="B105" s="153">
        <v>45676</v>
      </c>
      <c r="C105" s="171" t="s">
        <v>9</v>
      </c>
      <c r="D105" s="155" t="s">
        <v>3751</v>
      </c>
      <c r="E105" s="164">
        <v>1402000</v>
      </c>
      <c r="F105" s="119">
        <v>267000</v>
      </c>
      <c r="G105" s="119">
        <v>315000</v>
      </c>
      <c r="H105" s="119"/>
      <c r="I105" s="176"/>
      <c r="J105" s="119">
        <v>50000</v>
      </c>
      <c r="K105" s="119" t="s">
        <v>123</v>
      </c>
    </row>
    <row r="106" spans="1:11" ht="19" x14ac:dyDescent="0.2">
      <c r="A106" s="144">
        <v>1099000</v>
      </c>
      <c r="B106" s="145"/>
      <c r="C106" s="149" t="s">
        <v>10</v>
      </c>
      <c r="D106" s="147" t="s">
        <v>3531</v>
      </c>
      <c r="E106" s="150">
        <v>768000</v>
      </c>
      <c r="F106" s="139">
        <v>100000</v>
      </c>
      <c r="G106" s="139">
        <v>231000</v>
      </c>
      <c r="H106" s="139"/>
      <c r="I106" s="139"/>
      <c r="J106" s="139"/>
      <c r="K106" s="139"/>
    </row>
    <row r="107" spans="1:11" ht="19" x14ac:dyDescent="0.2">
      <c r="A107" s="143">
        <v>2900000</v>
      </c>
      <c r="B107" s="153">
        <v>45677</v>
      </c>
      <c r="C107" s="171" t="s">
        <v>9</v>
      </c>
      <c r="D107" s="155" t="s">
        <v>3774</v>
      </c>
      <c r="E107" s="164">
        <v>1867000</v>
      </c>
      <c r="F107" s="119">
        <v>394000</v>
      </c>
      <c r="G107" s="119">
        <v>639000</v>
      </c>
      <c r="H107" s="119"/>
      <c r="I107" s="119"/>
      <c r="J107" s="119">
        <v>120000</v>
      </c>
      <c r="K107" s="119" t="s">
        <v>3724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165000</v>
      </c>
      <c r="K108" s="139" t="s">
        <v>1869</v>
      </c>
    </row>
    <row r="109" spans="1:11" ht="19" x14ac:dyDescent="0.2">
      <c r="A109" s="293">
        <v>1254000</v>
      </c>
      <c r="B109" s="153"/>
      <c r="C109" s="171" t="s">
        <v>10</v>
      </c>
      <c r="D109" s="155" t="s">
        <v>20</v>
      </c>
      <c r="E109" s="164">
        <v>866000</v>
      </c>
      <c r="F109" s="119">
        <v>96000</v>
      </c>
      <c r="G109" s="119">
        <v>292000</v>
      </c>
      <c r="H109" s="119"/>
      <c r="I109" s="119"/>
      <c r="J109" s="119">
        <v>71000</v>
      </c>
      <c r="K109" s="119" t="s">
        <v>3785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61"/>
      <c r="J110" s="139">
        <v>42000</v>
      </c>
      <c r="K110" s="139" t="s">
        <v>3786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76"/>
      <c r="J111" s="119">
        <v>9000</v>
      </c>
      <c r="K111" s="119" t="s">
        <v>3787</v>
      </c>
    </row>
    <row r="112" spans="1:11" ht="19" x14ac:dyDescent="0.2">
      <c r="A112" s="144">
        <v>3407000</v>
      </c>
      <c r="B112" s="145">
        <v>45678</v>
      </c>
      <c r="C112" s="149" t="s">
        <v>9</v>
      </c>
      <c r="D112" s="147" t="s">
        <v>3774</v>
      </c>
      <c r="E112" s="150">
        <v>1778000</v>
      </c>
      <c r="F112" s="139">
        <v>708000</v>
      </c>
      <c r="G112" s="139">
        <v>921000</v>
      </c>
      <c r="H112" s="139"/>
      <c r="I112" s="139"/>
      <c r="J112" s="139">
        <v>132000</v>
      </c>
      <c r="K112" s="139" t="s">
        <v>2015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90000</v>
      </c>
      <c r="K113" s="119" t="s">
        <v>1789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99000</v>
      </c>
      <c r="K114" s="139" t="s">
        <v>2997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23000</v>
      </c>
      <c r="K115" s="119" t="s">
        <v>3788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56000</v>
      </c>
      <c r="K116" s="162" t="s">
        <v>3789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150000</v>
      </c>
      <c r="K117" s="174" t="s">
        <v>3729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200000</v>
      </c>
      <c r="K118" s="139" t="s">
        <v>2796</v>
      </c>
    </row>
    <row r="119" spans="1:11" ht="19" x14ac:dyDescent="0.2">
      <c r="A119" s="143">
        <v>1845000</v>
      </c>
      <c r="B119" s="153"/>
      <c r="C119" s="171" t="s">
        <v>10</v>
      </c>
      <c r="D119" s="155" t="s">
        <v>3531</v>
      </c>
      <c r="E119" s="164">
        <v>1078000</v>
      </c>
      <c r="F119" s="119">
        <v>424000</v>
      </c>
      <c r="G119" s="119">
        <v>343000</v>
      </c>
      <c r="H119" s="119"/>
      <c r="I119" s="119"/>
      <c r="J119" s="119">
        <v>150000</v>
      </c>
      <c r="K119" s="119" t="s">
        <v>1710</v>
      </c>
    </row>
    <row r="120" spans="1:11" ht="19" x14ac:dyDescent="0.2">
      <c r="A120" s="144">
        <v>3034000</v>
      </c>
      <c r="B120" s="145">
        <v>45679</v>
      </c>
      <c r="C120" s="149" t="s">
        <v>9</v>
      </c>
      <c r="D120" s="147" t="s">
        <v>3329</v>
      </c>
      <c r="E120" s="150">
        <v>1823000</v>
      </c>
      <c r="F120" s="139">
        <v>438000</v>
      </c>
      <c r="G120" s="139">
        <v>773000</v>
      </c>
      <c r="H120" s="139"/>
      <c r="I120" s="139"/>
      <c r="J120" s="139">
        <v>120000</v>
      </c>
      <c r="K120" s="139" t="s">
        <v>3724</v>
      </c>
    </row>
    <row r="121" spans="1:11" ht="19" x14ac:dyDescent="0.2">
      <c r="A121" s="143">
        <v>1763000</v>
      </c>
      <c r="B121" s="153"/>
      <c r="C121" s="171" t="s">
        <v>10</v>
      </c>
      <c r="D121" s="155" t="s">
        <v>20</v>
      </c>
      <c r="E121" s="164">
        <v>1297000</v>
      </c>
      <c r="F121" s="119">
        <v>141000</v>
      </c>
      <c r="G121" s="119">
        <v>325000</v>
      </c>
      <c r="H121" s="119"/>
      <c r="I121" s="119"/>
      <c r="J121" s="119"/>
      <c r="K121" s="119"/>
    </row>
    <row r="122" spans="1:11" ht="19" x14ac:dyDescent="0.2">
      <c r="A122" s="144">
        <v>2827000</v>
      </c>
      <c r="B122" s="145">
        <v>45680</v>
      </c>
      <c r="C122" s="149" t="s">
        <v>9</v>
      </c>
      <c r="D122" s="147" t="s">
        <v>3751</v>
      </c>
      <c r="E122" s="150">
        <v>1843000</v>
      </c>
      <c r="F122" s="139">
        <v>399000</v>
      </c>
      <c r="G122" s="139">
        <v>585000</v>
      </c>
      <c r="H122" s="139"/>
      <c r="I122" s="139"/>
      <c r="J122" s="139"/>
      <c r="K122" s="139"/>
    </row>
    <row r="123" spans="1:11" ht="19" x14ac:dyDescent="0.2">
      <c r="A123" s="143">
        <v>2587000</v>
      </c>
      <c r="B123" s="153"/>
      <c r="C123" s="163" t="s">
        <v>10</v>
      </c>
      <c r="D123" s="155" t="s">
        <v>3531</v>
      </c>
      <c r="E123" s="164">
        <v>1794000</v>
      </c>
      <c r="F123" s="119">
        <v>361000</v>
      </c>
      <c r="G123" s="119">
        <v>432000</v>
      </c>
      <c r="H123" s="119"/>
      <c r="I123" s="119"/>
      <c r="J123" s="174"/>
      <c r="K123" s="174"/>
    </row>
    <row r="124" spans="1:11" ht="19" x14ac:dyDescent="0.2">
      <c r="A124" s="144">
        <v>2695000</v>
      </c>
      <c r="B124" s="145">
        <v>45681</v>
      </c>
      <c r="C124" s="151" t="s">
        <v>9</v>
      </c>
      <c r="D124" s="147" t="s">
        <v>3329</v>
      </c>
      <c r="E124" s="150">
        <v>1771000</v>
      </c>
      <c r="F124" s="139">
        <v>345000</v>
      </c>
      <c r="G124" s="139">
        <v>579000</v>
      </c>
      <c r="H124" s="139"/>
      <c r="I124" s="139"/>
      <c r="J124" s="162">
        <v>90000</v>
      </c>
      <c r="K124" s="162" t="s">
        <v>3790</v>
      </c>
    </row>
    <row r="125" spans="1:11" ht="19" x14ac:dyDescent="0.2">
      <c r="A125" s="143"/>
      <c r="B125" s="32"/>
      <c r="C125" s="171"/>
      <c r="D125" s="230"/>
      <c r="E125" s="15"/>
      <c r="F125" s="9"/>
      <c r="G125" s="9"/>
      <c r="H125" s="9"/>
      <c r="I125" s="9"/>
      <c r="J125" s="174">
        <v>118000</v>
      </c>
      <c r="K125" s="106" t="s">
        <v>2612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44000</v>
      </c>
      <c r="K126" s="162" t="s">
        <v>3791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30000</v>
      </c>
      <c r="K127" s="174" t="s">
        <v>3792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46000</v>
      </c>
      <c r="K128" s="139" t="s">
        <v>1818</v>
      </c>
    </row>
    <row r="129" spans="1:11" ht="19" x14ac:dyDescent="0.2">
      <c r="A129" s="143">
        <v>1327000</v>
      </c>
      <c r="B129" s="153"/>
      <c r="C129" s="163" t="s">
        <v>10</v>
      </c>
      <c r="D129" s="155" t="s">
        <v>3751</v>
      </c>
      <c r="E129" s="164">
        <v>1002000</v>
      </c>
      <c r="F129" s="119">
        <v>229000</v>
      </c>
      <c r="G129" s="119">
        <v>96000</v>
      </c>
      <c r="H129" s="119"/>
      <c r="I129" s="119"/>
      <c r="J129" s="174">
        <v>90000</v>
      </c>
      <c r="K129" s="174" t="s">
        <v>1310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200000</v>
      </c>
      <c r="K130" s="139" t="s">
        <v>2796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45000</v>
      </c>
      <c r="K131" s="119" t="s">
        <v>1722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150000</v>
      </c>
      <c r="K132" s="139" t="s">
        <v>1710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25000</v>
      </c>
      <c r="K133" s="119" t="s">
        <v>3793</v>
      </c>
    </row>
    <row r="134" spans="1:11" ht="19" x14ac:dyDescent="0.2">
      <c r="A134" s="144">
        <v>2320000</v>
      </c>
      <c r="B134" s="145">
        <v>45682</v>
      </c>
      <c r="C134" s="151" t="s">
        <v>9</v>
      </c>
      <c r="D134" s="147" t="s">
        <v>3329</v>
      </c>
      <c r="E134" s="150">
        <v>1192000</v>
      </c>
      <c r="F134" s="139">
        <v>436000</v>
      </c>
      <c r="G134" s="139">
        <v>692000</v>
      </c>
      <c r="H134" s="139"/>
      <c r="I134" s="139"/>
      <c r="J134" s="139">
        <v>30000</v>
      </c>
      <c r="K134" s="139" t="s">
        <v>3794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90000</v>
      </c>
      <c r="K135" s="119" t="s">
        <v>3795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5000</v>
      </c>
      <c r="K136" s="139" t="s">
        <v>3796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58000</v>
      </c>
      <c r="K137" s="174" t="s">
        <v>3797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56000</v>
      </c>
      <c r="K138" s="162" t="s">
        <v>1473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150000</v>
      </c>
      <c r="K139" s="106" t="s">
        <v>3711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240"/>
      <c r="J140" s="162">
        <v>150000</v>
      </c>
      <c r="K140" s="162" t="s">
        <v>3798</v>
      </c>
    </row>
    <row r="141" spans="1:11" ht="19" x14ac:dyDescent="0.2">
      <c r="A141" s="143">
        <v>1656000</v>
      </c>
      <c r="B141" s="32"/>
      <c r="C141" s="35" t="s">
        <v>10</v>
      </c>
      <c r="D141" s="13" t="s">
        <v>3531</v>
      </c>
      <c r="E141" s="15">
        <v>1164000</v>
      </c>
      <c r="F141" s="9">
        <v>145000</v>
      </c>
      <c r="G141" s="9">
        <v>347000</v>
      </c>
      <c r="H141" s="9"/>
      <c r="I141" s="9"/>
      <c r="J141" s="106">
        <v>150000</v>
      </c>
      <c r="K141" s="106" t="s">
        <v>3799</v>
      </c>
    </row>
    <row r="142" spans="1:11" ht="19" x14ac:dyDescent="0.2">
      <c r="A142" s="144">
        <v>1850000</v>
      </c>
      <c r="B142" s="145">
        <v>45683</v>
      </c>
      <c r="C142" s="151" t="s">
        <v>9</v>
      </c>
      <c r="D142" s="147" t="s">
        <v>3751</v>
      </c>
      <c r="E142" s="150">
        <v>1383000</v>
      </c>
      <c r="F142" s="139">
        <v>329000</v>
      </c>
      <c r="G142" s="139">
        <v>138000</v>
      </c>
      <c r="H142" s="139"/>
      <c r="I142" s="139"/>
      <c r="J142" s="139">
        <v>50000</v>
      </c>
      <c r="K142" s="139" t="s">
        <v>123</v>
      </c>
    </row>
    <row r="143" spans="1:11" ht="19" x14ac:dyDescent="0.2">
      <c r="A143" s="143">
        <v>1616000</v>
      </c>
      <c r="B143" s="270"/>
      <c r="C143" s="163" t="s">
        <v>10</v>
      </c>
      <c r="D143" s="155" t="s">
        <v>3531</v>
      </c>
      <c r="E143" s="164">
        <v>1257000</v>
      </c>
      <c r="F143" s="119">
        <v>181000</v>
      </c>
      <c r="G143" s="119">
        <v>178000</v>
      </c>
      <c r="H143" s="119"/>
      <c r="I143" s="119"/>
      <c r="J143" s="119"/>
      <c r="K143" s="119"/>
    </row>
    <row r="144" spans="1:11" ht="19" x14ac:dyDescent="0.2">
      <c r="A144" s="144">
        <v>2440000</v>
      </c>
      <c r="B144" s="145">
        <v>45684</v>
      </c>
      <c r="C144" s="159" t="s">
        <v>9</v>
      </c>
      <c r="D144" s="147" t="s">
        <v>3751</v>
      </c>
      <c r="E144" s="150">
        <v>1214000</v>
      </c>
      <c r="F144" s="139">
        <v>371000</v>
      </c>
      <c r="G144" s="139">
        <v>855000</v>
      </c>
      <c r="H144" s="139"/>
      <c r="I144" s="139"/>
      <c r="J144" s="139">
        <v>16000</v>
      </c>
      <c r="K144" s="139" t="s">
        <v>1758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47000</v>
      </c>
      <c r="K145" s="119" t="s">
        <v>1755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58000</v>
      </c>
      <c r="K146" s="162" t="s">
        <v>3800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50000</v>
      </c>
      <c r="K147" s="119" t="s">
        <v>3720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9000</v>
      </c>
      <c r="K148" s="139" t="s">
        <v>1305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90000</v>
      </c>
      <c r="K149" s="119" t="s">
        <v>3801</v>
      </c>
    </row>
    <row r="150" spans="1:11" ht="19" x14ac:dyDescent="0.2">
      <c r="A150" s="148">
        <v>2302000</v>
      </c>
      <c r="B150" s="145"/>
      <c r="C150" s="151" t="s">
        <v>10</v>
      </c>
      <c r="D150" s="160" t="s">
        <v>20</v>
      </c>
      <c r="E150" s="150">
        <v>1622000</v>
      </c>
      <c r="F150" s="139">
        <v>243000</v>
      </c>
      <c r="G150" s="139">
        <v>437000</v>
      </c>
      <c r="H150" s="139"/>
      <c r="I150" s="139"/>
      <c r="J150" s="139">
        <v>90000</v>
      </c>
      <c r="K150" s="139" t="s">
        <v>1310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80000</v>
      </c>
      <c r="K151" s="119" t="s">
        <v>2641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80000</v>
      </c>
      <c r="K152" s="139" t="s">
        <v>3802</v>
      </c>
    </row>
    <row r="153" spans="1:11" ht="19" x14ac:dyDescent="0.2">
      <c r="A153" s="143">
        <v>2512000</v>
      </c>
      <c r="B153" s="153">
        <v>45685</v>
      </c>
      <c r="C153" s="163" t="s">
        <v>9</v>
      </c>
      <c r="D153" s="155" t="s">
        <v>3329</v>
      </c>
      <c r="E153" s="164">
        <v>1560000</v>
      </c>
      <c r="F153" s="119">
        <v>235000</v>
      </c>
      <c r="G153" s="119">
        <v>717000</v>
      </c>
      <c r="H153" s="119"/>
      <c r="I153" s="119"/>
      <c r="J153" s="119">
        <v>23000</v>
      </c>
      <c r="K153" s="119" t="s">
        <v>3803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48000</v>
      </c>
      <c r="K154" s="139" t="s">
        <v>3804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9000</v>
      </c>
      <c r="K155" s="119" t="s">
        <v>3805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520000</v>
      </c>
      <c r="K156" s="139" t="s">
        <v>1462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12000</v>
      </c>
      <c r="K157" s="119" t="s">
        <v>3806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298"/>
      <c r="J158" s="139">
        <v>200000</v>
      </c>
      <c r="K158" s="139" t="s">
        <v>3807</v>
      </c>
    </row>
    <row r="159" spans="1:11" ht="19" x14ac:dyDescent="0.2">
      <c r="A159" s="143">
        <v>1072000</v>
      </c>
      <c r="B159" s="153"/>
      <c r="C159" s="154" t="s">
        <v>10</v>
      </c>
      <c r="D159" s="155" t="s">
        <v>3751</v>
      </c>
      <c r="E159" s="164">
        <v>764000</v>
      </c>
      <c r="F159" s="119">
        <v>120000</v>
      </c>
      <c r="G159" s="119">
        <v>188000</v>
      </c>
      <c r="H159" s="119"/>
      <c r="I159" s="168"/>
      <c r="J159" s="119">
        <v>150000</v>
      </c>
      <c r="K159" s="119" t="s">
        <v>1710</v>
      </c>
    </row>
    <row r="160" spans="1:11" ht="19" x14ac:dyDescent="0.2">
      <c r="A160" s="144">
        <v>2085000</v>
      </c>
      <c r="B160" s="145">
        <v>45686</v>
      </c>
      <c r="C160" s="146" t="s">
        <v>9</v>
      </c>
      <c r="D160" s="147" t="s">
        <v>3329</v>
      </c>
      <c r="E160" s="150">
        <v>1400000</v>
      </c>
      <c r="F160" s="139">
        <v>204000</v>
      </c>
      <c r="G160" s="139">
        <v>481000</v>
      </c>
      <c r="H160" s="139"/>
      <c r="I160" s="165"/>
      <c r="J160" s="139"/>
      <c r="K160" s="139"/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/>
      <c r="K161" s="9"/>
    </row>
    <row r="162" spans="1:11" ht="19" x14ac:dyDescent="0.2">
      <c r="A162" s="294">
        <v>1292000</v>
      </c>
      <c r="B162" s="145"/>
      <c r="C162" s="151" t="s">
        <v>10</v>
      </c>
      <c r="D162" s="147" t="s">
        <v>20</v>
      </c>
      <c r="E162" s="150">
        <v>823000</v>
      </c>
      <c r="F162" s="139">
        <v>271000</v>
      </c>
      <c r="G162" s="139">
        <v>198000</v>
      </c>
      <c r="H162" s="139"/>
      <c r="I162" s="165"/>
      <c r="J162" s="139"/>
      <c r="K162" s="139"/>
    </row>
    <row r="163" spans="1:11" ht="19" x14ac:dyDescent="0.2">
      <c r="A163" s="143">
        <v>2136000</v>
      </c>
      <c r="B163" s="32">
        <v>45687</v>
      </c>
      <c r="C163" s="35" t="s">
        <v>9</v>
      </c>
      <c r="D163" s="102" t="s">
        <v>3774</v>
      </c>
      <c r="E163" s="15">
        <v>1362000</v>
      </c>
      <c r="F163" s="9">
        <v>242000</v>
      </c>
      <c r="G163" s="9">
        <v>532000</v>
      </c>
      <c r="H163" s="9"/>
      <c r="I163" s="77"/>
      <c r="J163" s="9">
        <v>81000</v>
      </c>
      <c r="K163" s="9" t="s">
        <v>2494</v>
      </c>
    </row>
    <row r="164" spans="1:11" ht="19" x14ac:dyDescent="0.2">
      <c r="A164" s="148"/>
      <c r="B164" s="145"/>
      <c r="C164" s="151"/>
      <c r="D164" s="160"/>
      <c r="E164" s="150"/>
      <c r="F164" s="139"/>
      <c r="G164" s="139"/>
      <c r="H164" s="139"/>
      <c r="I164" s="165"/>
      <c r="J164" s="139">
        <v>62000</v>
      </c>
      <c r="K164" s="139" t="s">
        <v>3808</v>
      </c>
    </row>
    <row r="165" spans="1:11" ht="19" x14ac:dyDescent="0.2">
      <c r="A165" s="142"/>
      <c r="B165" s="32"/>
      <c r="C165" s="35"/>
      <c r="D165" s="102"/>
      <c r="E165" s="15"/>
      <c r="F165" s="9"/>
      <c r="G165" s="9"/>
      <c r="H165" s="9"/>
      <c r="I165" s="77"/>
      <c r="J165" s="9">
        <v>35000</v>
      </c>
      <c r="K165" s="9" t="s">
        <v>3543</v>
      </c>
    </row>
    <row r="166" spans="1:11" ht="19" x14ac:dyDescent="0.2">
      <c r="A166" s="144"/>
      <c r="B166" s="145"/>
      <c r="C166" s="159"/>
      <c r="D166" s="147"/>
      <c r="E166" s="150"/>
      <c r="F166" s="139"/>
      <c r="G166" s="139"/>
      <c r="H166" s="139"/>
      <c r="I166" s="165"/>
      <c r="J166" s="139">
        <v>71000</v>
      </c>
      <c r="K166" s="262" t="s">
        <v>3809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102000</v>
      </c>
      <c r="K167" s="9" t="s">
        <v>3810</v>
      </c>
    </row>
    <row r="168" spans="1:11" ht="19" x14ac:dyDescent="0.2">
      <c r="A168" s="144"/>
      <c r="B168" s="145"/>
      <c r="C168" s="146"/>
      <c r="D168" s="147"/>
      <c r="E168" s="150"/>
      <c r="F168" s="139"/>
      <c r="G168" s="139"/>
      <c r="H168" s="139"/>
      <c r="I168" s="165"/>
      <c r="J168" s="139">
        <v>240000</v>
      </c>
      <c r="K168" s="139" t="s">
        <v>2723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360000</v>
      </c>
      <c r="K169" s="9" t="s">
        <v>1508</v>
      </c>
    </row>
    <row r="170" spans="1:11" ht="19" x14ac:dyDescent="0.2">
      <c r="A170" s="144">
        <v>1830000</v>
      </c>
      <c r="B170" s="145"/>
      <c r="C170" s="263" t="s">
        <v>10</v>
      </c>
      <c r="D170" s="147" t="s">
        <v>3531</v>
      </c>
      <c r="E170" s="150">
        <v>1255000</v>
      </c>
      <c r="F170" s="139">
        <v>249000</v>
      </c>
      <c r="G170" s="139">
        <v>326000</v>
      </c>
      <c r="H170" s="139"/>
      <c r="I170" s="139"/>
      <c r="J170" s="139">
        <v>150000</v>
      </c>
      <c r="K170" s="139" t="s">
        <v>2562</v>
      </c>
    </row>
    <row r="171" spans="1:11" ht="19" x14ac:dyDescent="0.2">
      <c r="A171" s="143">
        <v>2841000</v>
      </c>
      <c r="B171" s="153">
        <v>45688</v>
      </c>
      <c r="C171" s="154" t="s">
        <v>9</v>
      </c>
      <c r="D171" s="155" t="s">
        <v>3329</v>
      </c>
      <c r="E171" s="164">
        <v>998000</v>
      </c>
      <c r="F171" s="119">
        <v>495000</v>
      </c>
      <c r="G171" s="119">
        <v>1348000</v>
      </c>
      <c r="H171" s="119">
        <v>2282000</v>
      </c>
      <c r="I171" s="119" t="s">
        <v>3566</v>
      </c>
      <c r="J171" s="119">
        <v>75000</v>
      </c>
      <c r="K171" s="119" t="s">
        <v>1307</v>
      </c>
    </row>
    <row r="172" spans="1:11" ht="19" x14ac:dyDescent="0.2">
      <c r="A172" s="144">
        <v>1331000</v>
      </c>
      <c r="B172" s="145"/>
      <c r="C172" s="151" t="s">
        <v>10</v>
      </c>
      <c r="D172" s="147" t="s">
        <v>20</v>
      </c>
      <c r="E172" s="150">
        <v>739000</v>
      </c>
      <c r="F172" s="139">
        <v>130000</v>
      </c>
      <c r="G172" s="139">
        <v>462000</v>
      </c>
      <c r="H172" s="139">
        <v>1000000</v>
      </c>
      <c r="I172" s="165" t="s">
        <v>3610</v>
      </c>
      <c r="J172" s="139"/>
      <c r="K172" s="139"/>
    </row>
    <row r="173" spans="1:11" ht="19" x14ac:dyDescent="0.2">
      <c r="A173" s="143"/>
      <c r="B173" s="153"/>
      <c r="C173" s="163"/>
      <c r="D173" s="155"/>
      <c r="E173" s="164"/>
      <c r="F173" s="119"/>
      <c r="G173" s="119"/>
      <c r="H173" s="119">
        <v>1782000</v>
      </c>
      <c r="I173" s="168" t="s">
        <v>3811</v>
      </c>
      <c r="J173" s="119"/>
      <c r="K173" s="119"/>
    </row>
    <row r="174" spans="1:11" ht="32" x14ac:dyDescent="0.2">
      <c r="A174" s="144"/>
      <c r="B174" s="145"/>
      <c r="C174" s="151"/>
      <c r="D174" s="147"/>
      <c r="E174" s="150"/>
      <c r="F174" s="139"/>
      <c r="G174" s="139"/>
      <c r="H174" s="139">
        <v>5680000</v>
      </c>
      <c r="I174" s="253" t="s">
        <v>3572</v>
      </c>
      <c r="J174" s="139"/>
      <c r="K174" s="139"/>
    </row>
    <row r="175" spans="1:11" ht="19" x14ac:dyDescent="0.2">
      <c r="A175" s="143"/>
      <c r="B175" s="153"/>
      <c r="C175" s="163"/>
      <c r="D175" s="155"/>
      <c r="E175" s="164"/>
      <c r="F175" s="119"/>
      <c r="G175" s="119"/>
      <c r="H175" s="119">
        <v>1300000</v>
      </c>
      <c r="I175" s="168" t="s">
        <v>717</v>
      </c>
      <c r="J175" s="119"/>
      <c r="K175" s="119"/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>
        <v>1300000</v>
      </c>
      <c r="I176" s="139" t="s">
        <v>3125</v>
      </c>
      <c r="J176" s="139"/>
      <c r="K176" s="139"/>
    </row>
    <row r="177" spans="1:11" ht="19" x14ac:dyDescent="0.2">
      <c r="A177" s="143"/>
      <c r="B177" s="153"/>
      <c r="C177" s="171"/>
      <c r="D177" s="155"/>
      <c r="E177" s="164"/>
      <c r="F177" s="119"/>
      <c r="G177" s="119"/>
      <c r="H177" s="119"/>
      <c r="I177" s="119"/>
      <c r="J177" s="168"/>
      <c r="K177" s="16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K164"/>
  <sheetViews>
    <sheetView workbookViewId="0">
      <selection activeCell="J15" sqref="J15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0" bestFit="1" customWidth="1"/>
    <col min="5" max="5" width="20.33203125" bestFit="1" customWidth="1"/>
    <col min="6" max="6" width="24.6640625" customWidth="1"/>
    <col min="7" max="7" width="23.1640625" customWidth="1"/>
    <col min="8" max="8" width="20.33203125" bestFit="1" customWidth="1"/>
    <col min="9" max="9" width="35.1640625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18076500</v>
      </c>
      <c r="K4" s="72">
        <f>J4/10820</f>
        <v>1670.6561922365988</v>
      </c>
    </row>
    <row r="5" spans="1:11" ht="24" x14ac:dyDescent="0.3">
      <c r="B5" s="99" t="s">
        <v>3885</v>
      </c>
      <c r="H5" s="73"/>
      <c r="I5" s="71" t="s">
        <v>2315</v>
      </c>
      <c r="J5" s="71">
        <v>18076500</v>
      </c>
      <c r="K5" s="72">
        <f>J5/10820</f>
        <v>1670.6561922365988</v>
      </c>
    </row>
    <row r="6" spans="1:11" ht="24" x14ac:dyDescent="0.3">
      <c r="B6" s="99"/>
      <c r="H6" s="73"/>
      <c r="I6" s="71" t="s">
        <v>178</v>
      </c>
      <c r="J6" s="71">
        <v>1802322</v>
      </c>
      <c r="K6" s="72" t="s">
        <v>3887</v>
      </c>
    </row>
    <row r="7" spans="1:11" ht="26" x14ac:dyDescent="0.3">
      <c r="B7" s="100" t="s">
        <v>3886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SUM(A11:A443)</f>
        <v>118647000</v>
      </c>
      <c r="B10" s="65"/>
      <c r="C10" s="66" t="s">
        <v>13</v>
      </c>
      <c r="D10" s="67"/>
      <c r="E10" s="68">
        <f>SUM(E11:E443)</f>
        <v>79111000</v>
      </c>
      <c r="F10" s="69">
        <f>SUM(F11:F443)</f>
        <v>12839000</v>
      </c>
      <c r="G10" s="69">
        <f>SUM(G11:G430)</f>
        <v>26697000</v>
      </c>
      <c r="H10" s="69">
        <f>SUM(H11:H443)</f>
        <v>29427000</v>
      </c>
      <c r="I10" s="69"/>
      <c r="J10" s="69">
        <f>SUM(J11:J443)</f>
        <v>13531000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2343000</v>
      </c>
      <c r="B12" s="145">
        <v>45689</v>
      </c>
      <c r="C12" s="151" t="s">
        <v>9</v>
      </c>
      <c r="D12" s="147" t="s">
        <v>3690</v>
      </c>
      <c r="E12" s="150">
        <v>1434000</v>
      </c>
      <c r="F12" s="139">
        <v>306000</v>
      </c>
      <c r="G12" s="139">
        <v>603000</v>
      </c>
      <c r="H12" s="139">
        <v>468000</v>
      </c>
      <c r="I12" s="162" t="s">
        <v>1399</v>
      </c>
      <c r="J12" s="139">
        <v>300000</v>
      </c>
      <c r="K12" s="139" t="s">
        <v>3816</v>
      </c>
    </row>
    <row r="13" spans="1:11" ht="19" x14ac:dyDescent="0.2">
      <c r="A13" s="143">
        <v>1888000</v>
      </c>
      <c r="B13" s="153"/>
      <c r="C13" s="163" t="s">
        <v>10</v>
      </c>
      <c r="D13" s="155" t="s">
        <v>3751</v>
      </c>
      <c r="E13" s="164">
        <v>1213000</v>
      </c>
      <c r="F13" s="119">
        <v>269000</v>
      </c>
      <c r="G13" s="119">
        <v>406000</v>
      </c>
      <c r="H13" s="175"/>
      <c r="I13" s="174"/>
      <c r="J13" s="119"/>
      <c r="K13" s="119"/>
    </row>
    <row r="14" spans="1:11" ht="19" x14ac:dyDescent="0.2">
      <c r="A14" s="144">
        <v>1940000</v>
      </c>
      <c r="B14" s="145">
        <v>45690</v>
      </c>
      <c r="C14" s="151" t="s">
        <v>9</v>
      </c>
      <c r="D14" s="147" t="s">
        <v>3329</v>
      </c>
      <c r="E14" s="150">
        <v>1253000</v>
      </c>
      <c r="F14" s="139">
        <v>298000</v>
      </c>
      <c r="G14" s="139">
        <v>389000</v>
      </c>
      <c r="H14" s="152"/>
      <c r="I14" s="162"/>
      <c r="J14" s="139">
        <v>50000</v>
      </c>
      <c r="K14" s="139" t="s">
        <v>123</v>
      </c>
    </row>
    <row r="15" spans="1:11" ht="19" x14ac:dyDescent="0.2">
      <c r="A15" s="143">
        <v>1969000</v>
      </c>
      <c r="B15" s="153"/>
      <c r="C15" s="163" t="s">
        <v>10</v>
      </c>
      <c r="D15" s="155" t="s">
        <v>3751</v>
      </c>
      <c r="E15" s="164">
        <v>1344000</v>
      </c>
      <c r="F15" s="119">
        <v>114000</v>
      </c>
      <c r="G15" s="119">
        <v>511000</v>
      </c>
      <c r="H15" s="119"/>
      <c r="I15" s="174"/>
      <c r="J15" s="119"/>
      <c r="K15" s="119"/>
    </row>
    <row r="16" spans="1:11" ht="19" x14ac:dyDescent="0.2">
      <c r="A16" s="144">
        <v>2673000</v>
      </c>
      <c r="B16" s="145">
        <v>45691</v>
      </c>
      <c r="C16" s="151" t="s">
        <v>9</v>
      </c>
      <c r="D16" s="147" t="s">
        <v>3329</v>
      </c>
      <c r="E16" s="150">
        <v>1601000</v>
      </c>
      <c r="F16" s="139">
        <v>326000</v>
      </c>
      <c r="G16" s="139">
        <v>746000</v>
      </c>
      <c r="H16" s="139"/>
      <c r="I16" s="162"/>
      <c r="J16" s="139">
        <v>55000</v>
      </c>
      <c r="K16" s="139" t="s">
        <v>3817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78000</v>
      </c>
      <c r="K17" s="119" t="s">
        <v>3818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132000</v>
      </c>
      <c r="K18" s="139" t="s">
        <v>2782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6000</v>
      </c>
      <c r="K19" s="119" t="s">
        <v>1580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116000</v>
      </c>
      <c r="K20" s="139" t="s">
        <v>3755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180000</v>
      </c>
      <c r="K21" s="9" t="s">
        <v>1838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144000</v>
      </c>
      <c r="K22" s="139" t="s">
        <v>3724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320000</v>
      </c>
      <c r="K23" s="9" t="s">
        <v>3819</v>
      </c>
    </row>
    <row r="24" spans="1:11" ht="19" x14ac:dyDescent="0.2">
      <c r="A24" s="148">
        <v>1320000</v>
      </c>
      <c r="B24" s="145"/>
      <c r="C24" s="149" t="s">
        <v>10</v>
      </c>
      <c r="D24" s="147" t="s">
        <v>3751</v>
      </c>
      <c r="E24" s="150">
        <v>979000</v>
      </c>
      <c r="F24" s="139">
        <v>149000</v>
      </c>
      <c r="G24" s="139">
        <v>192000</v>
      </c>
      <c r="H24" s="139"/>
      <c r="I24" s="139"/>
      <c r="J24" s="162">
        <v>200000</v>
      </c>
      <c r="K24" s="162" t="s">
        <v>2796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45000</v>
      </c>
      <c r="K25" s="119" t="s">
        <v>1722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150000</v>
      </c>
      <c r="K26" s="139" t="s">
        <v>1710</v>
      </c>
    </row>
    <row r="27" spans="1:11" ht="19" x14ac:dyDescent="0.2">
      <c r="A27" s="143">
        <v>2545000</v>
      </c>
      <c r="B27" s="32">
        <v>45692</v>
      </c>
      <c r="C27" s="49" t="s">
        <v>9</v>
      </c>
      <c r="D27" s="13" t="s">
        <v>3690</v>
      </c>
      <c r="E27" s="15">
        <v>1294000</v>
      </c>
      <c r="F27" s="9">
        <v>517000</v>
      </c>
      <c r="G27" s="9">
        <v>734000</v>
      </c>
      <c r="H27" s="9"/>
      <c r="I27" s="9"/>
      <c r="J27" s="9">
        <v>27000</v>
      </c>
      <c r="K27" s="106" t="s">
        <v>3662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98000</v>
      </c>
      <c r="K28" s="139" t="s">
        <v>3820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7000</v>
      </c>
      <c r="K29" s="9" t="s">
        <v>3821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26000</v>
      </c>
      <c r="K30" s="139" t="s">
        <v>3822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200000</v>
      </c>
      <c r="K31" s="9" t="s">
        <v>1296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140000</v>
      </c>
      <c r="K32" s="139" t="s">
        <v>1285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240000</v>
      </c>
      <c r="K33" s="119" t="s">
        <v>3659</v>
      </c>
    </row>
    <row r="34" spans="1:11" ht="19" x14ac:dyDescent="0.2">
      <c r="A34" s="144">
        <v>1633000</v>
      </c>
      <c r="B34" s="145"/>
      <c r="C34" s="149" t="s">
        <v>10</v>
      </c>
      <c r="D34" s="147" t="s">
        <v>3751</v>
      </c>
      <c r="E34" s="150">
        <v>1009000</v>
      </c>
      <c r="F34" s="139">
        <v>311000</v>
      </c>
      <c r="G34" s="139">
        <v>313000</v>
      </c>
      <c r="H34" s="139"/>
      <c r="I34" s="139"/>
      <c r="J34" s="139"/>
      <c r="K34" s="139"/>
    </row>
    <row r="35" spans="1:11" ht="19" x14ac:dyDescent="0.2">
      <c r="A35" s="143">
        <v>3341000</v>
      </c>
      <c r="B35" s="32">
        <v>45693</v>
      </c>
      <c r="C35" s="49" t="s">
        <v>9</v>
      </c>
      <c r="D35" s="13" t="s">
        <v>3690</v>
      </c>
      <c r="E35" s="15">
        <v>2039000</v>
      </c>
      <c r="F35" s="9">
        <v>342000</v>
      </c>
      <c r="G35" s="9">
        <v>960000</v>
      </c>
      <c r="H35" s="9"/>
      <c r="I35" s="119"/>
      <c r="J35" s="9"/>
      <c r="K35" s="9"/>
    </row>
    <row r="36" spans="1:11" ht="19" x14ac:dyDescent="0.2">
      <c r="A36" s="144">
        <v>1673000</v>
      </c>
      <c r="B36" s="145"/>
      <c r="C36" s="149" t="s">
        <v>10</v>
      </c>
      <c r="D36" s="147" t="s">
        <v>20</v>
      </c>
      <c r="E36" s="150">
        <v>1239000</v>
      </c>
      <c r="F36" s="139">
        <v>93000</v>
      </c>
      <c r="G36" s="139">
        <v>341000</v>
      </c>
      <c r="H36" s="139"/>
      <c r="I36" s="139"/>
      <c r="J36" s="139"/>
      <c r="K36" s="139"/>
    </row>
    <row r="37" spans="1:11" ht="19" x14ac:dyDescent="0.2">
      <c r="A37" s="143">
        <v>2675000</v>
      </c>
      <c r="B37" s="32">
        <v>45694</v>
      </c>
      <c r="C37" s="49" t="s">
        <v>9</v>
      </c>
      <c r="D37" s="13" t="s">
        <v>3690</v>
      </c>
      <c r="E37" s="15">
        <v>1747000</v>
      </c>
      <c r="F37" s="9">
        <v>272000</v>
      </c>
      <c r="G37" s="9">
        <v>656000</v>
      </c>
      <c r="H37" s="9"/>
      <c r="I37" s="119"/>
      <c r="J37" s="9">
        <v>30000</v>
      </c>
      <c r="K37" s="9" t="s">
        <v>3823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70000</v>
      </c>
      <c r="K38" s="139" t="s">
        <v>3753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45000</v>
      </c>
      <c r="K39" s="9" t="s">
        <v>1507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80000</v>
      </c>
      <c r="K40" s="139" t="s">
        <v>2449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80000</v>
      </c>
      <c r="K41" s="9" t="s">
        <v>2641</v>
      </c>
    </row>
    <row r="42" spans="1:11" ht="19" x14ac:dyDescent="0.2">
      <c r="A42" s="144">
        <v>1826000</v>
      </c>
      <c r="B42" s="145"/>
      <c r="C42" s="149" t="s">
        <v>10</v>
      </c>
      <c r="D42" s="147" t="s">
        <v>3751</v>
      </c>
      <c r="E42" s="150">
        <v>1109000</v>
      </c>
      <c r="F42" s="139">
        <v>369000</v>
      </c>
      <c r="G42" s="139">
        <v>348000</v>
      </c>
      <c r="H42" s="139"/>
      <c r="I42" s="139"/>
      <c r="J42" s="139">
        <v>200000</v>
      </c>
      <c r="K42" s="139" t="s">
        <v>2796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45000</v>
      </c>
      <c r="K43" s="9" t="s">
        <v>1722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150000</v>
      </c>
      <c r="K44" s="139" t="s">
        <v>1710</v>
      </c>
    </row>
    <row r="45" spans="1:11" ht="19" x14ac:dyDescent="0.2">
      <c r="A45" s="143">
        <v>3044000</v>
      </c>
      <c r="B45" s="153">
        <v>45695</v>
      </c>
      <c r="C45" s="171" t="s">
        <v>9</v>
      </c>
      <c r="D45" s="155" t="s">
        <v>3690</v>
      </c>
      <c r="E45" s="164">
        <v>1598000</v>
      </c>
      <c r="F45" s="119">
        <v>475000</v>
      </c>
      <c r="G45" s="119">
        <v>971000</v>
      </c>
      <c r="H45" s="119"/>
      <c r="I45" s="119"/>
      <c r="J45" s="119">
        <v>12000</v>
      </c>
      <c r="K45" s="119" t="s">
        <v>1734</v>
      </c>
    </row>
    <row r="46" spans="1:11" ht="19" x14ac:dyDescent="0.2">
      <c r="A46" s="144">
        <v>2001000</v>
      </c>
      <c r="B46" s="145"/>
      <c r="C46" s="149" t="s">
        <v>10</v>
      </c>
      <c r="D46" s="147" t="s">
        <v>20</v>
      </c>
      <c r="E46" s="150">
        <v>1297000</v>
      </c>
      <c r="F46" s="139">
        <v>225000</v>
      </c>
      <c r="G46" s="139">
        <v>479000</v>
      </c>
      <c r="H46" s="139"/>
      <c r="I46" s="139"/>
      <c r="J46" s="139">
        <v>95000</v>
      </c>
      <c r="K46" s="139" t="s">
        <v>3824</v>
      </c>
    </row>
    <row r="47" spans="1:11" ht="19" x14ac:dyDescent="0.2">
      <c r="A47" s="143">
        <v>2693000</v>
      </c>
      <c r="B47" s="153">
        <v>45696</v>
      </c>
      <c r="C47" s="171" t="s">
        <v>9</v>
      </c>
      <c r="D47" s="155" t="s">
        <v>3690</v>
      </c>
      <c r="E47" s="164">
        <v>1498000</v>
      </c>
      <c r="F47" s="119">
        <v>269000</v>
      </c>
      <c r="G47" s="119">
        <v>926000</v>
      </c>
      <c r="H47" s="119">
        <v>200000</v>
      </c>
      <c r="I47" s="119" t="s">
        <v>3825</v>
      </c>
      <c r="J47" s="119">
        <v>7000</v>
      </c>
      <c r="K47" s="119" t="s">
        <v>3826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>
        <v>80000</v>
      </c>
      <c r="I48" s="139" t="s">
        <v>3827</v>
      </c>
      <c r="J48" s="139"/>
      <c r="K48" s="139"/>
    </row>
    <row r="49" spans="1:11" ht="19" x14ac:dyDescent="0.2">
      <c r="A49" s="143">
        <v>1437000</v>
      </c>
      <c r="B49" s="153"/>
      <c r="C49" s="171" t="s">
        <v>10</v>
      </c>
      <c r="D49" s="155" t="s">
        <v>3751</v>
      </c>
      <c r="E49" s="164">
        <v>1004000</v>
      </c>
      <c r="F49" s="119">
        <v>253000</v>
      </c>
      <c r="G49" s="119">
        <v>180000</v>
      </c>
      <c r="H49" s="119"/>
      <c r="I49" s="119"/>
      <c r="J49" s="119">
        <v>50000</v>
      </c>
      <c r="K49" s="119" t="s">
        <v>123</v>
      </c>
    </row>
    <row r="50" spans="1:11" ht="19" x14ac:dyDescent="0.2">
      <c r="A50" s="144">
        <v>1480000</v>
      </c>
      <c r="B50" s="145">
        <v>45697</v>
      </c>
      <c r="C50" s="149" t="s">
        <v>9</v>
      </c>
      <c r="D50" s="147" t="s">
        <v>3329</v>
      </c>
      <c r="E50" s="150">
        <v>1091000</v>
      </c>
      <c r="F50" s="139">
        <v>120000</v>
      </c>
      <c r="G50" s="139">
        <v>269000</v>
      </c>
      <c r="H50" s="139"/>
      <c r="I50" s="139"/>
      <c r="J50" s="139">
        <v>90000</v>
      </c>
      <c r="K50" s="139" t="s">
        <v>3828</v>
      </c>
    </row>
    <row r="51" spans="1:11" ht="19" x14ac:dyDescent="0.2">
      <c r="A51" s="143">
        <v>1960000</v>
      </c>
      <c r="B51" s="153"/>
      <c r="C51" s="171" t="s">
        <v>10</v>
      </c>
      <c r="D51" s="155" t="s">
        <v>3751</v>
      </c>
      <c r="E51" s="164">
        <v>1529000</v>
      </c>
      <c r="F51" s="119">
        <v>26000</v>
      </c>
      <c r="G51" s="119">
        <v>405000</v>
      </c>
      <c r="H51" s="119"/>
      <c r="I51" s="119"/>
      <c r="J51" s="119"/>
      <c r="K51" s="119"/>
    </row>
    <row r="52" spans="1:11" ht="19" x14ac:dyDescent="0.2">
      <c r="A52" s="144">
        <v>2475000</v>
      </c>
      <c r="B52" s="145">
        <v>45698</v>
      </c>
      <c r="C52" s="149" t="s">
        <v>9</v>
      </c>
      <c r="D52" s="147" t="s">
        <v>3690</v>
      </c>
      <c r="E52" s="150">
        <v>1568000</v>
      </c>
      <c r="F52" s="139">
        <v>159000</v>
      </c>
      <c r="G52" s="139">
        <v>748000</v>
      </c>
      <c r="H52" s="139">
        <v>5200000</v>
      </c>
      <c r="I52" s="139" t="s">
        <v>3829</v>
      </c>
      <c r="J52" s="139">
        <v>19000</v>
      </c>
      <c r="K52" s="139" t="s">
        <v>3627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>
        <v>3900000</v>
      </c>
      <c r="I53" s="119" t="s">
        <v>3830</v>
      </c>
      <c r="J53" s="119">
        <v>43000</v>
      </c>
      <c r="K53" s="119" t="s">
        <v>3831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28000</v>
      </c>
      <c r="K54" s="139" t="s">
        <v>3832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127000</v>
      </c>
      <c r="K55" s="119" t="s">
        <v>3833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30000</v>
      </c>
      <c r="K56" s="139" t="s">
        <v>3463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80000</v>
      </c>
      <c r="K57" s="119" t="s">
        <v>3784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80000</v>
      </c>
      <c r="K58" s="139" t="s">
        <v>2641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80000</v>
      </c>
      <c r="K59" s="119" t="s">
        <v>3834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157"/>
      <c r="I60" s="139"/>
      <c r="J60" s="139">
        <v>150000</v>
      </c>
      <c r="K60" s="139" t="s">
        <v>3835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150000</v>
      </c>
      <c r="K61" s="119" t="s">
        <v>3836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800000</v>
      </c>
      <c r="K62" s="139" t="s">
        <v>3837</v>
      </c>
    </row>
    <row r="63" spans="1:11" ht="19" x14ac:dyDescent="0.2">
      <c r="A63" s="143">
        <v>908000</v>
      </c>
      <c r="B63" s="153"/>
      <c r="C63" s="171" t="s">
        <v>10</v>
      </c>
      <c r="D63" s="155" t="s">
        <v>3751</v>
      </c>
      <c r="E63" s="164">
        <v>708000</v>
      </c>
      <c r="F63" s="119">
        <v>118000</v>
      </c>
      <c r="G63" s="119">
        <v>82000</v>
      </c>
      <c r="H63" s="119"/>
      <c r="I63" s="119"/>
      <c r="J63" s="119">
        <v>140000</v>
      </c>
      <c r="K63" s="119" t="s">
        <v>2299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300000</v>
      </c>
      <c r="K64" s="139" t="s">
        <v>3838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200000</v>
      </c>
      <c r="K65" s="119" t="s">
        <v>2796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150000</v>
      </c>
      <c r="K66" s="139" t="s">
        <v>1710</v>
      </c>
    </row>
    <row r="67" spans="1:11" ht="19" x14ac:dyDescent="0.2">
      <c r="A67" s="143">
        <v>3176000</v>
      </c>
      <c r="B67" s="153">
        <v>45699</v>
      </c>
      <c r="C67" s="171" t="s">
        <v>9</v>
      </c>
      <c r="D67" s="155" t="s">
        <v>3690</v>
      </c>
      <c r="E67" s="164">
        <v>1614000</v>
      </c>
      <c r="F67" s="119">
        <v>465000</v>
      </c>
      <c r="G67" s="119">
        <v>1097000</v>
      </c>
      <c r="H67" s="119"/>
      <c r="I67" s="119"/>
      <c r="J67" s="119">
        <v>260000</v>
      </c>
      <c r="K67" s="119" t="s">
        <v>3839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115000</v>
      </c>
      <c r="K68" s="139" t="s">
        <v>1668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50000</v>
      </c>
      <c r="K69" s="119" t="s">
        <v>1762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24000</v>
      </c>
      <c r="K70" s="139" t="s">
        <v>3840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120000</v>
      </c>
      <c r="K71" s="9" t="s">
        <v>2199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105000</v>
      </c>
      <c r="K72" s="139" t="s">
        <v>1771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24000</v>
      </c>
      <c r="K73" s="9" t="s">
        <v>3463</v>
      </c>
    </row>
    <row r="74" spans="1:11" ht="19" x14ac:dyDescent="0.2">
      <c r="A74" s="148">
        <v>2188000</v>
      </c>
      <c r="B74" s="145"/>
      <c r="C74" s="151" t="s">
        <v>10</v>
      </c>
      <c r="D74" s="147" t="s">
        <v>3751</v>
      </c>
      <c r="E74" s="150">
        <v>1762000</v>
      </c>
      <c r="F74" s="139">
        <v>0</v>
      </c>
      <c r="G74" s="139">
        <v>426000</v>
      </c>
      <c r="H74" s="139"/>
      <c r="I74" s="139"/>
      <c r="J74" s="139"/>
      <c r="K74" s="139"/>
    </row>
    <row r="75" spans="1:11" ht="19" x14ac:dyDescent="0.2">
      <c r="A75" s="143">
        <v>2672000</v>
      </c>
      <c r="B75" s="153">
        <v>45700</v>
      </c>
      <c r="C75" s="163" t="s">
        <v>9</v>
      </c>
      <c r="D75" s="155" t="s">
        <v>3690</v>
      </c>
      <c r="E75" s="164">
        <v>1401000</v>
      </c>
      <c r="F75" s="119">
        <v>396000</v>
      </c>
      <c r="G75" s="119">
        <v>875000</v>
      </c>
      <c r="H75" s="119"/>
      <c r="I75" s="119"/>
      <c r="J75" s="119">
        <v>119000</v>
      </c>
      <c r="K75" s="119" t="s">
        <v>3841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55000</v>
      </c>
      <c r="K76" s="139" t="s">
        <v>3842</v>
      </c>
    </row>
    <row r="77" spans="1:11" ht="19" x14ac:dyDescent="0.2">
      <c r="A77" s="143"/>
      <c r="B77" s="32"/>
      <c r="C77" s="49"/>
      <c r="D77" s="13"/>
      <c r="E77" s="15"/>
      <c r="F77" s="9"/>
      <c r="G77" s="9"/>
      <c r="H77" s="60"/>
      <c r="I77" s="60"/>
      <c r="J77" s="9">
        <v>8000</v>
      </c>
      <c r="K77" s="9" t="s">
        <v>1580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52"/>
      <c r="I78" s="152"/>
      <c r="J78" s="139">
        <v>56000</v>
      </c>
      <c r="K78" s="139" t="s">
        <v>1473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74"/>
      <c r="I79" s="174"/>
      <c r="J79" s="119">
        <v>8000</v>
      </c>
      <c r="K79" s="119" t="s">
        <v>3843</v>
      </c>
    </row>
    <row r="80" spans="1:11" ht="19" x14ac:dyDescent="0.2">
      <c r="A80" s="144">
        <v>1545000</v>
      </c>
      <c r="B80" s="145"/>
      <c r="C80" s="149" t="s">
        <v>10</v>
      </c>
      <c r="D80" s="147" t="s">
        <v>20</v>
      </c>
      <c r="E80" s="150">
        <v>1064000</v>
      </c>
      <c r="F80" s="139">
        <v>221000</v>
      </c>
      <c r="G80" s="139">
        <v>260000</v>
      </c>
      <c r="H80" s="152"/>
      <c r="I80" s="152"/>
      <c r="J80" s="139"/>
      <c r="K80" s="139"/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/>
      <c r="K81" s="119"/>
    </row>
    <row r="82" spans="1:11" ht="19" x14ac:dyDescent="0.2">
      <c r="A82" s="144">
        <v>2799000</v>
      </c>
      <c r="B82" s="145">
        <v>45701</v>
      </c>
      <c r="C82" s="149" t="s">
        <v>9</v>
      </c>
      <c r="D82" s="147" t="s">
        <v>3690</v>
      </c>
      <c r="E82" s="150">
        <v>1694000</v>
      </c>
      <c r="F82" s="139">
        <v>281000</v>
      </c>
      <c r="G82" s="139">
        <v>824000</v>
      </c>
      <c r="H82" s="152"/>
      <c r="I82" s="152"/>
      <c r="J82" s="139"/>
      <c r="K82" s="139"/>
    </row>
    <row r="83" spans="1:11" ht="19" x14ac:dyDescent="0.2">
      <c r="A83" s="143">
        <v>1094000</v>
      </c>
      <c r="B83" s="153"/>
      <c r="C83" s="171" t="s">
        <v>10</v>
      </c>
      <c r="D83" s="155" t="s">
        <v>3751</v>
      </c>
      <c r="E83" s="15">
        <v>698000</v>
      </c>
      <c r="F83" s="9">
        <v>202000</v>
      </c>
      <c r="G83" s="9">
        <v>194000</v>
      </c>
      <c r="H83" s="9"/>
      <c r="I83" s="9"/>
      <c r="J83" s="9">
        <v>200000</v>
      </c>
      <c r="K83" s="9" t="s">
        <v>2796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45000</v>
      </c>
      <c r="K84" s="139" t="s">
        <v>1722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150000</v>
      </c>
      <c r="K85" s="119" t="s">
        <v>1710</v>
      </c>
    </row>
    <row r="86" spans="1:11" ht="19" x14ac:dyDescent="0.2">
      <c r="A86" s="144">
        <v>2411000</v>
      </c>
      <c r="B86" s="145">
        <v>45702</v>
      </c>
      <c r="C86" s="149" t="s">
        <v>9</v>
      </c>
      <c r="D86" s="147" t="s">
        <v>3690</v>
      </c>
      <c r="E86" s="150">
        <v>1651000</v>
      </c>
      <c r="F86" s="139">
        <v>199000</v>
      </c>
      <c r="G86" s="139">
        <v>561000</v>
      </c>
      <c r="H86" s="162"/>
      <c r="I86" s="162"/>
      <c r="J86" s="139">
        <v>42000</v>
      </c>
      <c r="K86" s="139" t="s">
        <v>3463</v>
      </c>
    </row>
    <row r="87" spans="1:11" ht="19" x14ac:dyDescent="0.2">
      <c r="A87" s="143">
        <v>2254000</v>
      </c>
      <c r="B87" s="153"/>
      <c r="C87" s="171" t="s">
        <v>10</v>
      </c>
      <c r="D87" s="155" t="s">
        <v>20</v>
      </c>
      <c r="E87" s="164">
        <v>1318000</v>
      </c>
      <c r="F87" s="119">
        <v>230000</v>
      </c>
      <c r="G87" s="119">
        <v>706000</v>
      </c>
      <c r="H87" s="119"/>
      <c r="I87" s="174"/>
      <c r="J87" s="119">
        <v>144000</v>
      </c>
      <c r="K87" s="119" t="s">
        <v>3724</v>
      </c>
    </row>
    <row r="88" spans="1:11" ht="19" x14ac:dyDescent="0.2">
      <c r="A88" s="144">
        <v>2360000</v>
      </c>
      <c r="B88" s="145">
        <v>45703</v>
      </c>
      <c r="C88" s="149" t="s">
        <v>9</v>
      </c>
      <c r="D88" s="147" t="s">
        <v>3690</v>
      </c>
      <c r="E88" s="150">
        <v>1591000</v>
      </c>
      <c r="F88" s="139">
        <v>245000</v>
      </c>
      <c r="G88" s="139">
        <v>524000</v>
      </c>
      <c r="H88" s="162">
        <v>2550000</v>
      </c>
      <c r="I88" s="162" t="s">
        <v>3844</v>
      </c>
      <c r="J88" s="162">
        <v>47000</v>
      </c>
      <c r="K88" s="162" t="s">
        <v>1493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>
        <v>2200000</v>
      </c>
      <c r="I89" s="106" t="s">
        <v>3845</v>
      </c>
      <c r="J89" s="119">
        <v>54000</v>
      </c>
      <c r="K89" s="119" t="s">
        <v>3846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39">
        <v>600000</v>
      </c>
      <c r="I90" s="139" t="s">
        <v>3847</v>
      </c>
      <c r="J90" s="139">
        <v>23000</v>
      </c>
      <c r="K90" s="139" t="s">
        <v>3848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19">
        <v>800000</v>
      </c>
      <c r="I91" s="119" t="s">
        <v>3849</v>
      </c>
      <c r="J91" s="9">
        <v>35000</v>
      </c>
      <c r="K91" s="9" t="s">
        <v>3703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52"/>
      <c r="I92" s="152"/>
      <c r="J92" s="139">
        <v>4000</v>
      </c>
      <c r="K92" s="139" t="s">
        <v>3850</v>
      </c>
    </row>
    <row r="93" spans="1:11" ht="19" x14ac:dyDescent="0.2">
      <c r="A93" s="143">
        <v>2344000</v>
      </c>
      <c r="B93" s="153"/>
      <c r="C93" s="49" t="s">
        <v>10</v>
      </c>
      <c r="D93" s="13" t="s">
        <v>3751</v>
      </c>
      <c r="E93" s="15">
        <v>1548000</v>
      </c>
      <c r="F93" s="9">
        <v>69000</v>
      </c>
      <c r="G93" s="9">
        <v>727000</v>
      </c>
      <c r="H93" s="175"/>
      <c r="I93" s="9"/>
      <c r="J93" s="119">
        <v>54000</v>
      </c>
      <c r="K93" s="9" t="s">
        <v>3851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39">
        <v>100000</v>
      </c>
      <c r="K94" s="139" t="s">
        <v>3248</v>
      </c>
    </row>
    <row r="95" spans="1:11" ht="19" x14ac:dyDescent="0.2">
      <c r="A95" s="143">
        <v>1735000</v>
      </c>
      <c r="B95" s="32">
        <v>45704</v>
      </c>
      <c r="C95" s="49" t="s">
        <v>9</v>
      </c>
      <c r="D95" s="13" t="s">
        <v>3329</v>
      </c>
      <c r="E95" s="15">
        <v>804000</v>
      </c>
      <c r="F95" s="9">
        <v>436000</v>
      </c>
      <c r="G95" s="9">
        <v>495000</v>
      </c>
      <c r="H95" s="9"/>
      <c r="I95" s="9"/>
      <c r="J95" s="9">
        <v>160000</v>
      </c>
      <c r="K95" s="9" t="s">
        <v>2513</v>
      </c>
    </row>
    <row r="96" spans="1:11" ht="19" x14ac:dyDescent="0.2">
      <c r="A96" s="144">
        <v>1635000</v>
      </c>
      <c r="B96" s="145"/>
      <c r="C96" s="149" t="s">
        <v>10</v>
      </c>
      <c r="D96" s="147" t="s">
        <v>3751</v>
      </c>
      <c r="E96" s="150">
        <v>1268000</v>
      </c>
      <c r="F96" s="139">
        <v>154000</v>
      </c>
      <c r="G96" s="139">
        <v>213000</v>
      </c>
      <c r="H96" s="139"/>
      <c r="I96" s="139"/>
      <c r="J96" s="139">
        <v>50000</v>
      </c>
      <c r="K96" s="139" t="s">
        <v>123</v>
      </c>
    </row>
    <row r="97" spans="1:11" ht="19" x14ac:dyDescent="0.2">
      <c r="A97" s="143">
        <v>2582000</v>
      </c>
      <c r="B97" s="32">
        <v>45705</v>
      </c>
      <c r="C97" s="49" t="s">
        <v>9</v>
      </c>
      <c r="D97" s="13" t="s">
        <v>3329</v>
      </c>
      <c r="E97" s="15">
        <v>1681000</v>
      </c>
      <c r="F97" s="9">
        <v>161000</v>
      </c>
      <c r="G97" s="9">
        <v>740000</v>
      </c>
      <c r="H97" s="60"/>
      <c r="I97" s="175"/>
      <c r="J97" s="9">
        <v>118000</v>
      </c>
      <c r="K97" s="9" t="s">
        <v>2612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69000</v>
      </c>
      <c r="K98" s="139" t="s">
        <v>3852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50000</v>
      </c>
      <c r="K99" s="119" t="s">
        <v>3661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81000</v>
      </c>
      <c r="K100" s="139" t="s">
        <v>3722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46000</v>
      </c>
      <c r="K101" s="119" t="s">
        <v>1645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40000</v>
      </c>
      <c r="K102" s="139" t="s">
        <v>3543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150000</v>
      </c>
      <c r="K103" s="119" t="s">
        <v>1518</v>
      </c>
    </row>
    <row r="104" spans="1:11" ht="19" x14ac:dyDescent="0.2">
      <c r="A104" s="144">
        <v>957000</v>
      </c>
      <c r="B104" s="145"/>
      <c r="C104" s="149" t="s">
        <v>10</v>
      </c>
      <c r="D104" s="147" t="s">
        <v>3751</v>
      </c>
      <c r="E104" s="150">
        <v>614000</v>
      </c>
      <c r="F104" s="139">
        <v>255000</v>
      </c>
      <c r="G104" s="139">
        <v>88000</v>
      </c>
      <c r="H104" s="152"/>
      <c r="I104" s="152"/>
      <c r="J104" s="139">
        <v>200000</v>
      </c>
      <c r="K104" s="139" t="s">
        <v>2796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45000</v>
      </c>
      <c r="K105" s="119" t="s">
        <v>1722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150000</v>
      </c>
      <c r="K106" s="139" t="s">
        <v>1710</v>
      </c>
    </row>
    <row r="107" spans="1:11" ht="19" x14ac:dyDescent="0.2">
      <c r="A107" s="143">
        <v>2674000</v>
      </c>
      <c r="B107" s="153">
        <v>45706</v>
      </c>
      <c r="C107" s="171" t="s">
        <v>9</v>
      </c>
      <c r="D107" s="155" t="s">
        <v>3329</v>
      </c>
      <c r="E107" s="164">
        <v>1766000</v>
      </c>
      <c r="F107" s="119">
        <v>252000</v>
      </c>
      <c r="G107" s="119">
        <v>656000</v>
      </c>
      <c r="H107" s="119"/>
      <c r="I107" s="119"/>
      <c r="J107" s="119">
        <v>48000</v>
      </c>
      <c r="K107" s="119" t="s">
        <v>1449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10000</v>
      </c>
      <c r="K108" s="139" t="s">
        <v>1305</v>
      </c>
    </row>
    <row r="109" spans="1:11" ht="19" x14ac:dyDescent="0.2">
      <c r="A109" s="293">
        <v>1500000</v>
      </c>
      <c r="B109" s="153"/>
      <c r="C109" s="171" t="s">
        <v>10</v>
      </c>
      <c r="D109" s="155" t="s">
        <v>3751</v>
      </c>
      <c r="E109" s="164">
        <v>1273000</v>
      </c>
      <c r="F109" s="119">
        <v>143000</v>
      </c>
      <c r="G109" s="119">
        <v>84000</v>
      </c>
      <c r="H109" s="119"/>
      <c r="I109" s="119"/>
      <c r="J109" s="119">
        <v>60000</v>
      </c>
      <c r="K109" s="119" t="s">
        <v>3853</v>
      </c>
    </row>
    <row r="110" spans="1:11" ht="19" x14ac:dyDescent="0.2">
      <c r="A110" s="144">
        <v>2977000</v>
      </c>
      <c r="B110" s="145">
        <v>45707</v>
      </c>
      <c r="C110" s="149" t="s">
        <v>9</v>
      </c>
      <c r="D110" s="147" t="s">
        <v>3329</v>
      </c>
      <c r="E110" s="150">
        <v>1848000</v>
      </c>
      <c r="F110" s="139">
        <v>503000</v>
      </c>
      <c r="G110" s="139">
        <v>626000</v>
      </c>
      <c r="H110" s="139"/>
      <c r="I110" s="139"/>
      <c r="J110" s="139">
        <v>15000</v>
      </c>
      <c r="K110" s="139" t="s">
        <v>3854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64000</v>
      </c>
      <c r="K111" s="119" t="s">
        <v>3855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91000</v>
      </c>
      <c r="K112" s="139" t="s">
        <v>3856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45000</v>
      </c>
      <c r="K113" s="119" t="s">
        <v>3857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41000</v>
      </c>
      <c r="K114" s="139" t="s">
        <v>3858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12000</v>
      </c>
      <c r="K115" s="119" t="s">
        <v>3859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50000</v>
      </c>
      <c r="K116" s="162" t="s">
        <v>3720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54000</v>
      </c>
      <c r="K117" s="174" t="s">
        <v>3851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120000</v>
      </c>
      <c r="K118" s="139" t="s">
        <v>1553</v>
      </c>
    </row>
    <row r="119" spans="1:11" ht="19" x14ac:dyDescent="0.2">
      <c r="A119" s="143">
        <v>1423000</v>
      </c>
      <c r="B119" s="153"/>
      <c r="C119" s="171" t="s">
        <v>10</v>
      </c>
      <c r="D119" s="155" t="s">
        <v>3531</v>
      </c>
      <c r="E119" s="164">
        <v>1245000</v>
      </c>
      <c r="F119" s="119">
        <v>48000</v>
      </c>
      <c r="G119" s="119">
        <v>130000</v>
      </c>
      <c r="H119" s="119"/>
      <c r="I119" s="119"/>
      <c r="J119" s="119">
        <v>200000</v>
      </c>
      <c r="K119" s="119" t="s">
        <v>1296</v>
      </c>
    </row>
    <row r="120" spans="1:11" ht="19" x14ac:dyDescent="0.2">
      <c r="A120" s="144">
        <v>2828000</v>
      </c>
      <c r="B120" s="145">
        <v>45708</v>
      </c>
      <c r="C120" s="149" t="s">
        <v>9</v>
      </c>
      <c r="D120" s="147" t="s">
        <v>3329</v>
      </c>
      <c r="E120" s="150">
        <v>1904000</v>
      </c>
      <c r="F120" s="139">
        <v>245000</v>
      </c>
      <c r="G120" s="139">
        <v>679000</v>
      </c>
      <c r="H120" s="139"/>
      <c r="I120" s="139"/>
      <c r="J120" s="139">
        <v>520000</v>
      </c>
      <c r="K120" s="139" t="s">
        <v>1462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120000</v>
      </c>
      <c r="K121" s="119" t="s">
        <v>2199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114000</v>
      </c>
      <c r="K122" s="139" t="s">
        <v>1668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25000</v>
      </c>
      <c r="K123" s="174" t="s">
        <v>3463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80000</v>
      </c>
      <c r="K124" s="162" t="s">
        <v>3860</v>
      </c>
    </row>
    <row r="125" spans="1:11" ht="19" x14ac:dyDescent="0.2">
      <c r="A125" s="143">
        <v>1545000</v>
      </c>
      <c r="B125" s="32"/>
      <c r="C125" s="171" t="s">
        <v>10</v>
      </c>
      <c r="D125" s="155" t="s">
        <v>3751</v>
      </c>
      <c r="E125" s="15">
        <v>1033000</v>
      </c>
      <c r="F125" s="9">
        <v>391000</v>
      </c>
      <c r="G125" s="9">
        <v>121000</v>
      </c>
      <c r="H125" s="9"/>
      <c r="I125" s="9"/>
      <c r="J125" s="174">
        <v>169000</v>
      </c>
      <c r="K125" s="106" t="s">
        <v>3861</v>
      </c>
    </row>
    <row r="126" spans="1:11" ht="19" x14ac:dyDescent="0.2">
      <c r="A126" s="144">
        <v>2363000</v>
      </c>
      <c r="B126" s="145">
        <v>45709</v>
      </c>
      <c r="C126" s="149" t="s">
        <v>9</v>
      </c>
      <c r="D126" s="147" t="s">
        <v>3690</v>
      </c>
      <c r="E126" s="150">
        <v>1536000</v>
      </c>
      <c r="F126" s="139">
        <v>343000</v>
      </c>
      <c r="G126" s="139">
        <v>484000</v>
      </c>
      <c r="H126" s="139"/>
      <c r="I126" s="139"/>
      <c r="J126" s="162">
        <v>140000</v>
      </c>
      <c r="K126" s="162" t="s">
        <v>3862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80000</v>
      </c>
      <c r="K127" s="174" t="s">
        <v>3863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240000</v>
      </c>
      <c r="K128" s="139" t="s">
        <v>3659</v>
      </c>
    </row>
    <row r="129" spans="1:11" ht="19" x14ac:dyDescent="0.2">
      <c r="A129" s="143">
        <v>1733000</v>
      </c>
      <c r="B129" s="153"/>
      <c r="C129" s="163" t="s">
        <v>10</v>
      </c>
      <c r="D129" s="155" t="s">
        <v>3531</v>
      </c>
      <c r="E129" s="164">
        <v>1327000</v>
      </c>
      <c r="F129" s="119">
        <v>129000</v>
      </c>
      <c r="G129" s="119">
        <v>277000</v>
      </c>
      <c r="H129" s="119"/>
      <c r="I129" s="119"/>
      <c r="J129" s="174"/>
      <c r="K129" s="174"/>
    </row>
    <row r="130" spans="1:11" ht="19" x14ac:dyDescent="0.2">
      <c r="A130" s="144">
        <v>2280000</v>
      </c>
      <c r="B130" s="145">
        <v>45710</v>
      </c>
      <c r="C130" s="151" t="s">
        <v>9</v>
      </c>
      <c r="D130" s="147" t="s">
        <v>3329</v>
      </c>
      <c r="E130" s="139">
        <v>1748000</v>
      </c>
      <c r="F130" s="139">
        <v>20000</v>
      </c>
      <c r="G130" s="139">
        <v>512000</v>
      </c>
      <c r="H130" s="139"/>
      <c r="I130" s="139"/>
      <c r="J130" s="139">
        <v>93000</v>
      </c>
      <c r="K130" s="139" t="s">
        <v>3864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40000</v>
      </c>
      <c r="K131" s="119" t="s">
        <v>3865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12000</v>
      </c>
      <c r="K132" s="139" t="s">
        <v>3866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27000</v>
      </c>
      <c r="K133" s="119" t="s">
        <v>3867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120000</v>
      </c>
      <c r="K134" s="139" t="s">
        <v>1553</v>
      </c>
    </row>
    <row r="135" spans="1:11" ht="19" x14ac:dyDescent="0.2">
      <c r="A135" s="143">
        <v>2002000</v>
      </c>
      <c r="B135" s="153"/>
      <c r="C135" s="163" t="s">
        <v>10</v>
      </c>
      <c r="D135" s="155" t="s">
        <v>3751</v>
      </c>
      <c r="E135" s="164">
        <v>1800000</v>
      </c>
      <c r="F135" s="119">
        <v>92000</v>
      </c>
      <c r="G135" s="119">
        <v>110000</v>
      </c>
      <c r="H135" s="119"/>
      <c r="I135" s="119"/>
      <c r="J135" s="119">
        <v>150000</v>
      </c>
      <c r="K135" s="119" t="s">
        <v>3868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50000</v>
      </c>
      <c r="K136" s="139" t="s">
        <v>123</v>
      </c>
    </row>
    <row r="137" spans="1:11" ht="19" x14ac:dyDescent="0.2">
      <c r="A137" s="143">
        <v>1562000</v>
      </c>
      <c r="B137" s="153">
        <v>45711</v>
      </c>
      <c r="C137" s="163" t="s">
        <v>9</v>
      </c>
      <c r="D137" s="155" t="s">
        <v>3329</v>
      </c>
      <c r="E137" s="164">
        <v>1244000</v>
      </c>
      <c r="F137" s="119">
        <v>91000</v>
      </c>
      <c r="G137" s="119">
        <v>227000</v>
      </c>
      <c r="H137" s="119"/>
      <c r="I137" s="119"/>
      <c r="J137" s="174"/>
      <c r="K137" s="174"/>
    </row>
    <row r="138" spans="1:11" ht="19" x14ac:dyDescent="0.2">
      <c r="A138" s="144">
        <v>1470000</v>
      </c>
      <c r="B138" s="145"/>
      <c r="C138" s="151" t="s">
        <v>10</v>
      </c>
      <c r="D138" s="147" t="s">
        <v>3751</v>
      </c>
      <c r="E138" s="150">
        <v>982000</v>
      </c>
      <c r="F138" s="139">
        <v>272000</v>
      </c>
      <c r="G138" s="139">
        <v>216000</v>
      </c>
      <c r="H138" s="139"/>
      <c r="I138" s="139"/>
      <c r="J138" s="162"/>
      <c r="K138" s="162"/>
    </row>
    <row r="139" spans="1:11" ht="19" x14ac:dyDescent="0.2">
      <c r="A139" s="143">
        <v>3024000</v>
      </c>
      <c r="B139" s="32">
        <v>45712</v>
      </c>
      <c r="C139" s="35" t="s">
        <v>9</v>
      </c>
      <c r="D139" s="13" t="s">
        <v>3329</v>
      </c>
      <c r="E139" s="15">
        <v>1660000</v>
      </c>
      <c r="F139" s="9">
        <v>380000</v>
      </c>
      <c r="G139" s="9">
        <v>984000</v>
      </c>
      <c r="H139" s="9"/>
      <c r="I139" s="9"/>
      <c r="J139" s="106">
        <v>54000</v>
      </c>
      <c r="K139" s="106" t="s">
        <v>3851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150000</v>
      </c>
      <c r="K140" s="162" t="s">
        <v>3869</v>
      </c>
    </row>
    <row r="141" spans="1:11" ht="19" x14ac:dyDescent="0.2">
      <c r="A141" s="143">
        <v>1730000</v>
      </c>
      <c r="B141" s="32"/>
      <c r="C141" s="35" t="s">
        <v>10</v>
      </c>
      <c r="D141" s="13" t="s">
        <v>3751</v>
      </c>
      <c r="E141" s="15">
        <v>1145000</v>
      </c>
      <c r="F141" s="9">
        <v>154000</v>
      </c>
      <c r="G141" s="9">
        <v>431000</v>
      </c>
      <c r="H141" s="9"/>
      <c r="I141" s="9"/>
      <c r="J141" s="106">
        <v>200000</v>
      </c>
      <c r="K141" s="106" t="s">
        <v>3870</v>
      </c>
    </row>
    <row r="142" spans="1:11" ht="19" x14ac:dyDescent="0.2">
      <c r="A142" s="144">
        <v>2782000</v>
      </c>
      <c r="B142" s="145">
        <v>45713</v>
      </c>
      <c r="C142" s="151" t="s">
        <v>9</v>
      </c>
      <c r="D142" s="147" t="s">
        <v>3871</v>
      </c>
      <c r="E142" s="150">
        <v>1890000</v>
      </c>
      <c r="F142" s="139">
        <v>292000</v>
      </c>
      <c r="G142" s="139">
        <v>600000</v>
      </c>
      <c r="H142" s="139"/>
      <c r="I142" s="139"/>
      <c r="J142" s="139">
        <v>150000</v>
      </c>
      <c r="K142" s="139" t="s">
        <v>2580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/>
      <c r="K143" s="119"/>
    </row>
    <row r="144" spans="1:11" ht="19" x14ac:dyDescent="0.2">
      <c r="A144" s="144">
        <v>2354000</v>
      </c>
      <c r="B144" s="145"/>
      <c r="C144" s="159" t="s">
        <v>10</v>
      </c>
      <c r="D144" s="147" t="s">
        <v>3751</v>
      </c>
      <c r="E144" s="150">
        <v>1997000</v>
      </c>
      <c r="F144" s="139">
        <v>316000</v>
      </c>
      <c r="G144" s="139">
        <v>41000</v>
      </c>
      <c r="H144" s="139"/>
      <c r="I144" s="139"/>
      <c r="J144" s="139">
        <v>10000</v>
      </c>
      <c r="K144" s="139" t="s">
        <v>742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48000</v>
      </c>
      <c r="K145" s="119" t="s">
        <v>716</v>
      </c>
    </row>
    <row r="146" spans="1:11" ht="19" x14ac:dyDescent="0.2">
      <c r="A146" s="144">
        <v>2866000</v>
      </c>
      <c r="B146" s="145">
        <v>45714</v>
      </c>
      <c r="C146" s="151" t="s">
        <v>9</v>
      </c>
      <c r="D146" s="160" t="s">
        <v>3871</v>
      </c>
      <c r="E146" s="150">
        <v>1958000</v>
      </c>
      <c r="F146" s="139">
        <v>266000</v>
      </c>
      <c r="G146" s="139">
        <v>642000</v>
      </c>
      <c r="H146" s="139"/>
      <c r="I146" s="139"/>
      <c r="J146" s="162">
        <v>18000</v>
      </c>
      <c r="K146" s="162" t="s">
        <v>3872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132000</v>
      </c>
      <c r="K147" s="119" t="s">
        <v>3873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9000</v>
      </c>
      <c r="K148" s="139" t="s">
        <v>3874</v>
      </c>
    </row>
    <row r="149" spans="1:11" ht="19" x14ac:dyDescent="0.2">
      <c r="A149" s="142">
        <v>1990000</v>
      </c>
      <c r="B149" s="153"/>
      <c r="C149" s="163" t="s">
        <v>10</v>
      </c>
      <c r="D149" s="172" t="s">
        <v>3531</v>
      </c>
      <c r="E149" s="164">
        <v>1745000</v>
      </c>
      <c r="F149" s="119"/>
      <c r="G149" s="119">
        <v>245000</v>
      </c>
      <c r="H149" s="119"/>
      <c r="I149" s="119"/>
      <c r="J149" s="119">
        <v>25000</v>
      </c>
      <c r="K149" s="119" t="s">
        <v>3875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135000</v>
      </c>
      <c r="K150" s="139" t="s">
        <v>895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80000</v>
      </c>
      <c r="K151" s="119" t="s">
        <v>3876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80000</v>
      </c>
      <c r="K152" s="139" t="s">
        <v>3877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70000</v>
      </c>
      <c r="K153" s="119" t="s">
        <v>3878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360000</v>
      </c>
      <c r="K154" s="139" t="s">
        <v>3879</v>
      </c>
    </row>
    <row r="155" spans="1:11" ht="19" x14ac:dyDescent="0.2">
      <c r="A155" s="143">
        <v>2823000</v>
      </c>
      <c r="B155" s="153">
        <v>45715</v>
      </c>
      <c r="C155" s="154" t="s">
        <v>1228</v>
      </c>
      <c r="D155" s="155" t="s">
        <v>3871</v>
      </c>
      <c r="E155" s="164">
        <v>2087000</v>
      </c>
      <c r="F155" s="119">
        <v>142000</v>
      </c>
      <c r="G155" s="119">
        <v>594000</v>
      </c>
      <c r="H155" s="119"/>
      <c r="I155" s="119"/>
      <c r="J155" s="119">
        <v>200000</v>
      </c>
      <c r="K155" s="119" t="s">
        <v>2796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150000</v>
      </c>
      <c r="K156" s="139" t="s">
        <v>1710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24000</v>
      </c>
      <c r="K157" s="119" t="s">
        <v>3880</v>
      </c>
    </row>
    <row r="158" spans="1:11" ht="19" x14ac:dyDescent="0.2">
      <c r="A158" s="144">
        <v>1311000</v>
      </c>
      <c r="B158" s="145"/>
      <c r="C158" s="151" t="s">
        <v>10</v>
      </c>
      <c r="D158" s="147" t="s">
        <v>3751</v>
      </c>
      <c r="E158" s="150">
        <v>841000</v>
      </c>
      <c r="F158" s="139">
        <v>137000</v>
      </c>
      <c r="G158" s="139">
        <v>333000</v>
      </c>
      <c r="H158" s="139">
        <v>1850000</v>
      </c>
      <c r="I158" s="139" t="s">
        <v>3881</v>
      </c>
      <c r="J158" s="139"/>
      <c r="K158" s="139"/>
    </row>
    <row r="159" spans="1:11" ht="19" x14ac:dyDescent="0.2">
      <c r="A159" s="143">
        <v>2785000</v>
      </c>
      <c r="B159" s="153">
        <v>45716</v>
      </c>
      <c r="C159" s="154" t="s">
        <v>9</v>
      </c>
      <c r="D159" s="155" t="s">
        <v>3329</v>
      </c>
      <c r="E159" s="164">
        <v>2042000</v>
      </c>
      <c r="F159" s="119">
        <v>182000</v>
      </c>
      <c r="G159" s="119">
        <v>561000</v>
      </c>
      <c r="H159" s="119">
        <v>2155000</v>
      </c>
      <c r="I159" s="168" t="s">
        <v>3882</v>
      </c>
      <c r="J159" s="119"/>
      <c r="K159" s="119"/>
    </row>
    <row r="160" spans="1:11" ht="19" x14ac:dyDescent="0.2">
      <c r="A160" s="144">
        <v>1049000</v>
      </c>
      <c r="B160" s="145"/>
      <c r="C160" s="146" t="s">
        <v>10</v>
      </c>
      <c r="D160" s="147" t="s">
        <v>3751</v>
      </c>
      <c r="E160" s="150">
        <v>778000</v>
      </c>
      <c r="F160" s="139">
        <v>116000</v>
      </c>
      <c r="G160" s="139">
        <v>155000</v>
      </c>
      <c r="H160" s="139">
        <v>800000</v>
      </c>
      <c r="I160" s="165" t="s">
        <v>3883</v>
      </c>
      <c r="J160" s="139"/>
      <c r="K160" s="139"/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>
        <v>582000</v>
      </c>
      <c r="I161" s="77" t="s">
        <v>3884</v>
      </c>
      <c r="J161" s="9"/>
      <c r="K161" s="9"/>
    </row>
    <row r="162" spans="1:11" ht="32" x14ac:dyDescent="0.2">
      <c r="A162" s="294"/>
      <c r="B162" s="145"/>
      <c r="C162" s="151"/>
      <c r="D162" s="147"/>
      <c r="E162" s="150"/>
      <c r="F162" s="139"/>
      <c r="G162" s="139"/>
      <c r="H162" s="139">
        <v>5442000</v>
      </c>
      <c r="I162" s="253" t="s">
        <v>3572</v>
      </c>
      <c r="J162" s="139"/>
      <c r="K162" s="139"/>
    </row>
    <row r="163" spans="1:11" ht="19" x14ac:dyDescent="0.2">
      <c r="A163" s="143"/>
      <c r="B163" s="32"/>
      <c r="C163" s="35"/>
      <c r="D163" s="102"/>
      <c r="E163" s="15"/>
      <c r="F163" s="9"/>
      <c r="G163" s="9"/>
      <c r="H163" s="9">
        <v>1300000</v>
      </c>
      <c r="I163" s="77" t="s">
        <v>785</v>
      </c>
      <c r="J163" s="9"/>
      <c r="K163" s="9"/>
    </row>
    <row r="164" spans="1:11" ht="19" x14ac:dyDescent="0.2">
      <c r="A164" s="148"/>
      <c r="B164" s="145"/>
      <c r="C164" s="151"/>
      <c r="D164" s="160"/>
      <c r="E164" s="150"/>
      <c r="F164" s="139"/>
      <c r="G164" s="139"/>
      <c r="H164" s="139">
        <v>1300000</v>
      </c>
      <c r="I164" s="165" t="s">
        <v>3739</v>
      </c>
      <c r="J164" s="139"/>
      <c r="K164" s="13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3:K163"/>
  <sheetViews>
    <sheetView zoomScale="101" workbookViewId="0">
      <selection activeCell="K30" sqref="K30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5.6640625" bestFit="1" customWidth="1"/>
    <col min="5" max="5" width="20.33203125" bestFit="1" customWidth="1"/>
    <col min="6" max="6" width="27.83203125" customWidth="1"/>
    <col min="7" max="8" width="20.33203125" bestFit="1" customWidth="1"/>
    <col min="9" max="9" width="34" customWidth="1"/>
    <col min="10" max="10" width="20.33203125" bestFit="1" customWidth="1"/>
    <col min="11" max="11" width="31.33203125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14760500</v>
      </c>
      <c r="K4" s="72">
        <f>J4/10820</f>
        <v>1364.1866913123845</v>
      </c>
    </row>
    <row r="5" spans="1:11" ht="24" x14ac:dyDescent="0.3">
      <c r="B5" s="99" t="s">
        <v>3954</v>
      </c>
      <c r="H5" s="73"/>
      <c r="I5" s="71" t="s">
        <v>2315</v>
      </c>
      <c r="J5" s="71">
        <v>14760500</v>
      </c>
      <c r="K5" s="72">
        <f>J5/10820</f>
        <v>1364.1866913123845</v>
      </c>
    </row>
    <row r="6" spans="1:11" ht="24" x14ac:dyDescent="0.3">
      <c r="B6" s="99"/>
      <c r="H6" s="73"/>
      <c r="I6" s="71" t="s">
        <v>178</v>
      </c>
      <c r="J6" s="71">
        <v>1689411</v>
      </c>
      <c r="K6" s="72" t="s">
        <v>3957</v>
      </c>
    </row>
    <row r="7" spans="1:11" ht="26" x14ac:dyDescent="0.3">
      <c r="B7" s="100" t="s">
        <v>3956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SUM(A11:A444)</f>
        <v>103638000</v>
      </c>
      <c r="B10" s="65"/>
      <c r="C10" s="66" t="s">
        <v>13</v>
      </c>
      <c r="D10" s="67"/>
      <c r="E10" s="68">
        <f>SUM(E11:E444)</f>
        <v>68551000</v>
      </c>
      <c r="F10" s="69">
        <f>SUM(F11:F444)</f>
        <v>12045000</v>
      </c>
      <c r="G10" s="69">
        <f>SUM(G11:G431)</f>
        <v>23042000</v>
      </c>
      <c r="H10" s="69">
        <f>SUM(H11:H444)</f>
        <v>25775000</v>
      </c>
      <c r="I10" s="69"/>
      <c r="J10" s="69">
        <f>SUM(J11:J444)</f>
        <v>13255000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427000</v>
      </c>
      <c r="B12" s="145">
        <v>45717</v>
      </c>
      <c r="C12" s="151" t="s">
        <v>9</v>
      </c>
      <c r="D12" s="147" t="s">
        <v>3329</v>
      </c>
      <c r="E12" s="150">
        <v>173000</v>
      </c>
      <c r="F12" s="139">
        <v>126000</v>
      </c>
      <c r="G12" s="139">
        <v>128000</v>
      </c>
      <c r="H12" s="139">
        <v>832000</v>
      </c>
      <c r="I12" s="296" t="s">
        <v>3888</v>
      </c>
      <c r="J12" s="139">
        <v>180000</v>
      </c>
      <c r="K12" s="139" t="s">
        <v>3869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75"/>
      <c r="I13" s="174"/>
      <c r="J13" s="119">
        <v>32000</v>
      </c>
      <c r="K13" s="119" t="s">
        <v>3100</v>
      </c>
    </row>
    <row r="14" spans="1:11" ht="19" x14ac:dyDescent="0.2">
      <c r="A14" s="144">
        <v>2346000</v>
      </c>
      <c r="B14" s="145"/>
      <c r="C14" s="151" t="s">
        <v>10</v>
      </c>
      <c r="D14" s="147" t="s">
        <v>3531</v>
      </c>
      <c r="E14" s="150">
        <v>1500000</v>
      </c>
      <c r="F14" s="139">
        <v>325000</v>
      </c>
      <c r="G14" s="139">
        <v>521000</v>
      </c>
      <c r="H14" s="152"/>
      <c r="I14" s="162"/>
      <c r="J14" s="139">
        <v>45000</v>
      </c>
      <c r="K14" s="139" t="s">
        <v>3889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210000</v>
      </c>
      <c r="K15" s="119" t="s">
        <v>3890</v>
      </c>
    </row>
    <row r="16" spans="1:11" ht="19" x14ac:dyDescent="0.2">
      <c r="A16" s="144">
        <v>707000</v>
      </c>
      <c r="B16" s="145">
        <v>45718</v>
      </c>
      <c r="C16" s="151" t="s">
        <v>9</v>
      </c>
      <c r="D16" s="147" t="s">
        <v>3329</v>
      </c>
      <c r="E16" s="150">
        <v>418000</v>
      </c>
      <c r="F16" s="139">
        <v>88000</v>
      </c>
      <c r="G16" s="139">
        <v>201000</v>
      </c>
      <c r="H16" s="139"/>
      <c r="I16" s="162"/>
      <c r="J16" s="139">
        <v>50000</v>
      </c>
      <c r="K16" s="139" t="s">
        <v>206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150000</v>
      </c>
      <c r="K17" s="119" t="s">
        <v>3891</v>
      </c>
    </row>
    <row r="18" spans="1:11" ht="19" x14ac:dyDescent="0.2">
      <c r="A18" s="144">
        <v>2583000</v>
      </c>
      <c r="B18" s="145"/>
      <c r="C18" s="151" t="s">
        <v>10</v>
      </c>
      <c r="D18" s="147" t="s">
        <v>3531</v>
      </c>
      <c r="E18" s="150">
        <v>1992000</v>
      </c>
      <c r="F18" s="139">
        <v>180000</v>
      </c>
      <c r="G18" s="139">
        <v>411000</v>
      </c>
      <c r="H18" s="139"/>
      <c r="I18" s="162"/>
      <c r="J18" s="139">
        <v>80000</v>
      </c>
      <c r="K18" s="139" t="s">
        <v>3892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80000</v>
      </c>
      <c r="K19" s="119" t="s">
        <v>3893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200000</v>
      </c>
      <c r="K20" s="139" t="s">
        <v>3030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75000</v>
      </c>
      <c r="K21" s="9" t="s">
        <v>3894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45000</v>
      </c>
      <c r="K22" s="139" t="s">
        <v>3895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150000</v>
      </c>
      <c r="K23" s="9" t="s">
        <v>2039</v>
      </c>
    </row>
    <row r="24" spans="1:11" ht="19" x14ac:dyDescent="0.2">
      <c r="A24" s="148">
        <v>1021000</v>
      </c>
      <c r="B24" s="145">
        <v>45719</v>
      </c>
      <c r="C24" s="149" t="s">
        <v>9</v>
      </c>
      <c r="D24" s="147" t="s">
        <v>3690</v>
      </c>
      <c r="E24" s="150">
        <v>682000</v>
      </c>
      <c r="F24" s="139">
        <v>146000</v>
      </c>
      <c r="G24" s="139">
        <v>193000</v>
      </c>
      <c r="H24" s="139"/>
      <c r="I24" s="139"/>
      <c r="J24" s="162">
        <v>52000</v>
      </c>
      <c r="K24" s="162" t="s">
        <v>3896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32000</v>
      </c>
      <c r="K25" s="119" t="s">
        <v>3150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120000</v>
      </c>
      <c r="K26" s="139" t="s">
        <v>3897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9">
        <v>25000</v>
      </c>
      <c r="K27" s="106" t="s">
        <v>3703</v>
      </c>
    </row>
    <row r="28" spans="1:11" ht="19" x14ac:dyDescent="0.2">
      <c r="A28" s="144">
        <v>1788000</v>
      </c>
      <c r="B28" s="145"/>
      <c r="C28" s="149" t="s">
        <v>10</v>
      </c>
      <c r="D28" s="147" t="s">
        <v>3329</v>
      </c>
      <c r="E28" s="150">
        <v>1203000</v>
      </c>
      <c r="F28" s="139">
        <v>180000</v>
      </c>
      <c r="G28" s="139">
        <v>405000</v>
      </c>
      <c r="H28" s="139"/>
      <c r="I28" s="139"/>
      <c r="J28" s="139">
        <v>160000</v>
      </c>
      <c r="K28" s="139" t="s">
        <v>1597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240000</v>
      </c>
      <c r="K29" s="9" t="s">
        <v>3659</v>
      </c>
    </row>
    <row r="30" spans="1:11" ht="19" x14ac:dyDescent="0.2">
      <c r="A30" s="144">
        <v>945000</v>
      </c>
      <c r="B30" s="145">
        <v>45720</v>
      </c>
      <c r="C30" s="149" t="s">
        <v>9</v>
      </c>
      <c r="D30" s="147" t="s">
        <v>3690</v>
      </c>
      <c r="E30" s="150">
        <v>671000</v>
      </c>
      <c r="F30" s="139">
        <v>182000</v>
      </c>
      <c r="G30" s="139">
        <v>92000</v>
      </c>
      <c r="H30" s="139"/>
      <c r="I30" s="139"/>
      <c r="J30" s="139">
        <v>2000000</v>
      </c>
      <c r="K30" s="139" t="s">
        <v>3955</v>
      </c>
    </row>
    <row r="31" spans="1:11" ht="19" x14ac:dyDescent="0.2">
      <c r="A31" s="143">
        <v>1891000</v>
      </c>
      <c r="B31" s="32"/>
      <c r="C31" s="49" t="s">
        <v>10</v>
      </c>
      <c r="D31" s="13" t="s">
        <v>3531</v>
      </c>
      <c r="E31" s="15">
        <v>1200000</v>
      </c>
      <c r="F31" s="9">
        <v>245000</v>
      </c>
      <c r="G31" s="9">
        <v>446000</v>
      </c>
      <c r="H31" s="9"/>
      <c r="I31" s="119"/>
      <c r="J31" s="9"/>
      <c r="K31" s="9"/>
    </row>
    <row r="32" spans="1:11" ht="19" x14ac:dyDescent="0.2">
      <c r="A32" s="144">
        <v>1675000</v>
      </c>
      <c r="B32" s="145">
        <v>45721</v>
      </c>
      <c r="C32" s="149" t="s">
        <v>9</v>
      </c>
      <c r="D32" s="147" t="s">
        <v>3329</v>
      </c>
      <c r="E32" s="150">
        <v>978000</v>
      </c>
      <c r="F32" s="139">
        <v>177000</v>
      </c>
      <c r="G32" s="139">
        <v>520000</v>
      </c>
      <c r="H32" s="139"/>
      <c r="I32" s="139"/>
      <c r="J32" s="139"/>
      <c r="K32" s="139"/>
    </row>
    <row r="33" spans="1:11" ht="19" x14ac:dyDescent="0.2">
      <c r="A33" s="143">
        <v>1811000</v>
      </c>
      <c r="B33" s="153"/>
      <c r="C33" s="171" t="s">
        <v>10</v>
      </c>
      <c r="D33" s="155" t="s">
        <v>3751</v>
      </c>
      <c r="E33" s="164">
        <v>1219000</v>
      </c>
      <c r="F33" s="119">
        <v>284000</v>
      </c>
      <c r="G33" s="119">
        <v>308000</v>
      </c>
      <c r="H33" s="119"/>
      <c r="I33" s="119"/>
      <c r="J33" s="119">
        <v>140000</v>
      </c>
      <c r="K33" s="119" t="s">
        <v>1285</v>
      </c>
    </row>
    <row r="34" spans="1:11" ht="19" x14ac:dyDescent="0.2">
      <c r="A34" s="144">
        <v>1645000</v>
      </c>
      <c r="B34" s="145">
        <v>45722</v>
      </c>
      <c r="C34" s="149" t="s">
        <v>9</v>
      </c>
      <c r="D34" s="147" t="s">
        <v>3329</v>
      </c>
      <c r="E34" s="150">
        <v>1014000</v>
      </c>
      <c r="F34" s="139">
        <v>149000</v>
      </c>
      <c r="G34" s="139">
        <v>482000</v>
      </c>
      <c r="H34" s="139"/>
      <c r="I34" s="139"/>
      <c r="J34" s="139">
        <v>59000</v>
      </c>
      <c r="K34" s="139" t="s">
        <v>1500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119000</v>
      </c>
      <c r="K35" s="9" t="s">
        <v>3556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107000</v>
      </c>
      <c r="K36" s="139" t="s">
        <v>3352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51000</v>
      </c>
      <c r="K37" s="9" t="s">
        <v>3898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23000</v>
      </c>
      <c r="K38" s="139" t="s">
        <v>3899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48000</v>
      </c>
      <c r="K39" s="9" t="s">
        <v>3555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55000</v>
      </c>
      <c r="K40" s="139" t="s">
        <v>1473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50000</v>
      </c>
      <c r="K41" s="9" t="s">
        <v>3661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10000</v>
      </c>
      <c r="K42" s="139" t="s">
        <v>3900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520000</v>
      </c>
      <c r="K43" s="9" t="s">
        <v>1462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25000</v>
      </c>
      <c r="K44" s="139" t="s">
        <v>3100</v>
      </c>
    </row>
    <row r="45" spans="1:11" ht="19" x14ac:dyDescent="0.2">
      <c r="A45" s="143">
        <v>2122000</v>
      </c>
      <c r="B45" s="153"/>
      <c r="C45" s="171" t="s">
        <v>10</v>
      </c>
      <c r="D45" s="155" t="s">
        <v>3751</v>
      </c>
      <c r="E45" s="164">
        <v>1470000</v>
      </c>
      <c r="F45" s="119">
        <v>413000</v>
      </c>
      <c r="G45" s="119">
        <v>239000</v>
      </c>
      <c r="H45" s="119"/>
      <c r="I45" s="119"/>
      <c r="J45" s="119">
        <v>72000</v>
      </c>
      <c r="K45" s="119" t="s">
        <v>3901</v>
      </c>
    </row>
    <row r="46" spans="1:11" ht="19" x14ac:dyDescent="0.2">
      <c r="A46" s="144">
        <v>1232000</v>
      </c>
      <c r="B46" s="145">
        <v>45723</v>
      </c>
      <c r="C46" s="149" t="s">
        <v>9</v>
      </c>
      <c r="D46" s="147" t="s">
        <v>3329</v>
      </c>
      <c r="E46" s="150">
        <v>780000</v>
      </c>
      <c r="F46" s="139">
        <v>64000</v>
      </c>
      <c r="G46" s="139">
        <v>388000</v>
      </c>
      <c r="H46" s="139"/>
      <c r="I46" s="139"/>
      <c r="J46" s="139">
        <v>45000</v>
      </c>
      <c r="K46" s="139" t="s">
        <v>1507</v>
      </c>
    </row>
    <row r="47" spans="1:11" ht="19" x14ac:dyDescent="0.2">
      <c r="A47" s="143">
        <v>2338000</v>
      </c>
      <c r="B47" s="153"/>
      <c r="C47" s="171" t="s">
        <v>10</v>
      </c>
      <c r="D47" s="155" t="s">
        <v>3531</v>
      </c>
      <c r="E47" s="164">
        <v>1596000</v>
      </c>
      <c r="F47" s="119">
        <v>306000</v>
      </c>
      <c r="G47" s="119">
        <v>436000</v>
      </c>
      <c r="H47" s="119"/>
      <c r="I47" s="119"/>
      <c r="J47" s="119">
        <v>150000</v>
      </c>
      <c r="K47" s="119" t="s">
        <v>3902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39"/>
      <c r="J48" s="139">
        <v>150000</v>
      </c>
      <c r="K48" s="139" t="s">
        <v>3835</v>
      </c>
    </row>
    <row r="49" spans="1:11" ht="19" x14ac:dyDescent="0.2">
      <c r="A49" s="143">
        <v>910000</v>
      </c>
      <c r="B49" s="153">
        <v>45724</v>
      </c>
      <c r="C49" s="171" t="s">
        <v>9</v>
      </c>
      <c r="D49" s="155" t="s">
        <v>3690</v>
      </c>
      <c r="E49" s="164">
        <v>567000</v>
      </c>
      <c r="F49" s="119">
        <v>219000</v>
      </c>
      <c r="G49" s="119">
        <v>124000</v>
      </c>
      <c r="H49" s="119">
        <v>288000</v>
      </c>
      <c r="I49" s="119" t="s">
        <v>1800</v>
      </c>
      <c r="J49" s="119">
        <v>150000</v>
      </c>
      <c r="K49" s="119" t="s">
        <v>3903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150000</v>
      </c>
      <c r="K50" s="139" t="s">
        <v>3710</v>
      </c>
    </row>
    <row r="51" spans="1:11" ht="19" x14ac:dyDescent="0.2">
      <c r="A51" s="143">
        <v>2471000</v>
      </c>
      <c r="B51" s="153"/>
      <c r="C51" s="171" t="s">
        <v>10</v>
      </c>
      <c r="D51" s="155" t="s">
        <v>3751</v>
      </c>
      <c r="E51" s="164">
        <v>1573000</v>
      </c>
      <c r="F51" s="119">
        <v>156000</v>
      </c>
      <c r="G51" s="119">
        <v>742000</v>
      </c>
      <c r="H51" s="119"/>
      <c r="I51" s="119"/>
      <c r="J51" s="119">
        <v>150000</v>
      </c>
      <c r="K51" s="119" t="s">
        <v>3904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50000</v>
      </c>
      <c r="K52" s="139" t="s">
        <v>206</v>
      </c>
    </row>
    <row r="53" spans="1:11" ht="19" x14ac:dyDescent="0.2">
      <c r="A53" s="143">
        <v>745000</v>
      </c>
      <c r="B53" s="153">
        <v>45725</v>
      </c>
      <c r="C53" s="171" t="s">
        <v>9</v>
      </c>
      <c r="D53" s="155" t="s">
        <v>3329</v>
      </c>
      <c r="E53" s="164">
        <v>550000</v>
      </c>
      <c r="F53" s="119">
        <v>0</v>
      </c>
      <c r="G53" s="119">
        <v>195000</v>
      </c>
      <c r="H53" s="119"/>
      <c r="I53" s="119"/>
      <c r="J53" s="119"/>
      <c r="K53" s="119"/>
    </row>
    <row r="54" spans="1:11" ht="19" x14ac:dyDescent="0.2">
      <c r="A54" s="144">
        <v>2762000</v>
      </c>
      <c r="B54" s="145"/>
      <c r="C54" s="149" t="s">
        <v>10</v>
      </c>
      <c r="D54" s="147" t="s">
        <v>3905</v>
      </c>
      <c r="E54" s="150">
        <v>1943000</v>
      </c>
      <c r="F54" s="139">
        <v>338000</v>
      </c>
      <c r="G54" s="139">
        <v>481000</v>
      </c>
      <c r="H54" s="139"/>
      <c r="I54" s="139"/>
      <c r="J54" s="139">
        <v>105000</v>
      </c>
      <c r="K54" s="139" t="s">
        <v>1771</v>
      </c>
    </row>
    <row r="55" spans="1:11" ht="19" x14ac:dyDescent="0.2">
      <c r="A55" s="143">
        <v>1036000</v>
      </c>
      <c r="B55" s="153">
        <v>45726</v>
      </c>
      <c r="C55" s="171" t="s">
        <v>9</v>
      </c>
      <c r="D55" s="155" t="s">
        <v>3329</v>
      </c>
      <c r="E55" s="164">
        <v>567000</v>
      </c>
      <c r="F55" s="119">
        <v>295000</v>
      </c>
      <c r="G55" s="119">
        <v>174000</v>
      </c>
      <c r="H55" s="119">
        <v>5200000</v>
      </c>
      <c r="I55" s="119" t="s">
        <v>3953</v>
      </c>
      <c r="J55" s="119">
        <v>47000</v>
      </c>
      <c r="K55" s="119" t="s">
        <v>1493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60000</v>
      </c>
      <c r="K56" s="139" t="s">
        <v>3772</v>
      </c>
    </row>
    <row r="57" spans="1:11" ht="19" x14ac:dyDescent="0.2">
      <c r="A57" s="143">
        <v>2155000</v>
      </c>
      <c r="B57" s="153"/>
      <c r="C57" s="171" t="s">
        <v>10</v>
      </c>
      <c r="D57" s="155" t="s">
        <v>3751</v>
      </c>
      <c r="E57" s="164">
        <v>1662000</v>
      </c>
      <c r="F57" s="119">
        <v>178000</v>
      </c>
      <c r="G57" s="119">
        <v>315000</v>
      </c>
      <c r="H57" s="119"/>
      <c r="I57" s="119"/>
      <c r="J57" s="119">
        <v>24000</v>
      </c>
      <c r="K57" s="119" t="s">
        <v>1859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200000</v>
      </c>
      <c r="K58" s="139" t="s">
        <v>3030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45000</v>
      </c>
      <c r="K59" s="119" t="s">
        <v>3895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157"/>
      <c r="I60" s="139"/>
      <c r="J60" s="139">
        <v>150000</v>
      </c>
      <c r="K60" s="139" t="s">
        <v>3906</v>
      </c>
    </row>
    <row r="61" spans="1:11" ht="19" x14ac:dyDescent="0.2">
      <c r="A61" s="143">
        <v>1445000</v>
      </c>
      <c r="B61" s="153">
        <v>45727</v>
      </c>
      <c r="C61" s="171" t="s">
        <v>9</v>
      </c>
      <c r="D61" s="155" t="s">
        <v>3907</v>
      </c>
      <c r="E61" s="164">
        <v>849000</v>
      </c>
      <c r="F61" s="119">
        <v>332000</v>
      </c>
      <c r="G61" s="119">
        <v>264000</v>
      </c>
      <c r="H61" s="173"/>
      <c r="I61" s="119"/>
      <c r="J61" s="119"/>
      <c r="K61" s="119"/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/>
      <c r="K62" s="139"/>
    </row>
    <row r="63" spans="1:11" ht="19" x14ac:dyDescent="0.2">
      <c r="A63" s="143">
        <v>1811000</v>
      </c>
      <c r="B63" s="153"/>
      <c r="C63" s="171" t="s">
        <v>1787</v>
      </c>
      <c r="D63" s="155" t="s">
        <v>3531</v>
      </c>
      <c r="E63" s="164">
        <v>1150000</v>
      </c>
      <c r="F63" s="119">
        <v>224000</v>
      </c>
      <c r="G63" s="119">
        <v>437000</v>
      </c>
      <c r="H63" s="119"/>
      <c r="I63" s="119"/>
      <c r="J63" s="119"/>
      <c r="K63" s="119"/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/>
      <c r="K64" s="139"/>
    </row>
    <row r="65" spans="1:11" ht="19" x14ac:dyDescent="0.2">
      <c r="A65" s="143">
        <v>1034000</v>
      </c>
      <c r="B65" s="153">
        <v>45728</v>
      </c>
      <c r="C65" s="171" t="s">
        <v>9</v>
      </c>
      <c r="D65" s="155" t="s">
        <v>3907</v>
      </c>
      <c r="E65" s="164">
        <v>646000</v>
      </c>
      <c r="F65" s="119">
        <v>44000</v>
      </c>
      <c r="G65" s="119">
        <v>344000</v>
      </c>
      <c r="H65" s="119"/>
      <c r="I65" s="119"/>
      <c r="J65" s="119"/>
      <c r="K65" s="119"/>
    </row>
    <row r="66" spans="1:11" ht="19" x14ac:dyDescent="0.2">
      <c r="A66" s="144">
        <v>1873000</v>
      </c>
      <c r="B66" s="145"/>
      <c r="C66" s="149" t="s">
        <v>10</v>
      </c>
      <c r="D66" s="147" t="s">
        <v>3751</v>
      </c>
      <c r="E66" s="150">
        <v>1460000</v>
      </c>
      <c r="F66" s="139">
        <v>114000</v>
      </c>
      <c r="G66" s="139">
        <v>299000</v>
      </c>
      <c r="H66" s="139"/>
      <c r="I66" s="139"/>
      <c r="J66" s="139"/>
      <c r="K66" s="139"/>
    </row>
    <row r="67" spans="1:11" ht="19" x14ac:dyDescent="0.2">
      <c r="A67" s="143">
        <v>1086000</v>
      </c>
      <c r="B67" s="153">
        <v>45729</v>
      </c>
      <c r="C67" s="171" t="s">
        <v>9</v>
      </c>
      <c r="D67" s="155" t="s">
        <v>3908</v>
      </c>
      <c r="E67" s="164">
        <v>588000</v>
      </c>
      <c r="F67" s="119">
        <v>177000</v>
      </c>
      <c r="G67" s="119">
        <v>321000</v>
      </c>
      <c r="H67" s="119"/>
      <c r="I67" s="119"/>
      <c r="J67" s="119">
        <v>72000</v>
      </c>
      <c r="K67" s="119" t="s">
        <v>3909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11000</v>
      </c>
      <c r="K68" s="139" t="s">
        <v>3910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118000</v>
      </c>
      <c r="K69" s="119" t="s">
        <v>2612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31000</v>
      </c>
      <c r="K70" s="139" t="s">
        <v>1841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63000</v>
      </c>
      <c r="K71" s="9" t="s">
        <v>1473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66000</v>
      </c>
      <c r="K72" s="139" t="s">
        <v>1600</v>
      </c>
    </row>
    <row r="73" spans="1:11" ht="19" x14ac:dyDescent="0.2">
      <c r="A73" s="143">
        <v>1481000</v>
      </c>
      <c r="B73" s="32"/>
      <c r="C73" s="49" t="s">
        <v>10</v>
      </c>
      <c r="D73" s="155" t="s">
        <v>3751</v>
      </c>
      <c r="E73" s="15">
        <v>1122000</v>
      </c>
      <c r="F73" s="9">
        <v>90000</v>
      </c>
      <c r="G73" s="9">
        <v>269000</v>
      </c>
      <c r="H73" s="9"/>
      <c r="I73" s="9"/>
      <c r="J73" s="9">
        <v>75000</v>
      </c>
      <c r="K73" s="9" t="s">
        <v>1307</v>
      </c>
    </row>
    <row r="74" spans="1:11" ht="19" x14ac:dyDescent="0.2">
      <c r="A74" s="148">
        <v>1000000</v>
      </c>
      <c r="B74" s="145">
        <v>45730</v>
      </c>
      <c r="C74" s="151" t="s">
        <v>9</v>
      </c>
      <c r="D74" s="147" t="s">
        <v>3908</v>
      </c>
      <c r="E74" s="150">
        <v>577000</v>
      </c>
      <c r="F74" s="139">
        <v>180000</v>
      </c>
      <c r="G74" s="139">
        <v>243000</v>
      </c>
      <c r="H74" s="139"/>
      <c r="I74" s="139"/>
      <c r="J74" s="139">
        <v>240000</v>
      </c>
      <c r="K74" s="139" t="s">
        <v>3659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160000</v>
      </c>
      <c r="K75" s="119" t="s">
        <v>1597</v>
      </c>
    </row>
    <row r="76" spans="1:11" ht="19" x14ac:dyDescent="0.2">
      <c r="A76" s="144">
        <v>2172000</v>
      </c>
      <c r="B76" s="145"/>
      <c r="C76" s="149" t="s">
        <v>10</v>
      </c>
      <c r="D76" s="147" t="s">
        <v>3531</v>
      </c>
      <c r="E76" s="150">
        <v>1687000</v>
      </c>
      <c r="F76" s="139">
        <v>177000</v>
      </c>
      <c r="G76" s="139">
        <v>308000</v>
      </c>
      <c r="H76" s="152"/>
      <c r="I76" s="152"/>
      <c r="J76" s="139">
        <v>140000</v>
      </c>
      <c r="K76" s="139" t="s">
        <v>3911</v>
      </c>
    </row>
    <row r="77" spans="1:11" ht="32" x14ac:dyDescent="0.2">
      <c r="A77" s="143">
        <v>1137000</v>
      </c>
      <c r="B77" s="153">
        <v>45731</v>
      </c>
      <c r="C77" s="171" t="s">
        <v>9</v>
      </c>
      <c r="D77" s="155" t="s">
        <v>3690</v>
      </c>
      <c r="E77" s="164">
        <v>483000</v>
      </c>
      <c r="F77" s="119">
        <v>288000</v>
      </c>
      <c r="G77" s="119">
        <v>366000</v>
      </c>
      <c r="H77" s="9">
        <v>1123000</v>
      </c>
      <c r="I77" s="47" t="s">
        <v>3912</v>
      </c>
      <c r="J77" s="9">
        <v>41000</v>
      </c>
      <c r="K77" s="9" t="s">
        <v>2846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>
        <v>740000</v>
      </c>
      <c r="I78" s="139" t="s">
        <v>3913</v>
      </c>
      <c r="J78" s="139">
        <v>85000</v>
      </c>
      <c r="K78" s="139" t="s">
        <v>3914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>
        <v>1565000</v>
      </c>
      <c r="I79" s="119" t="s">
        <v>3915</v>
      </c>
      <c r="J79" s="119">
        <v>88000</v>
      </c>
      <c r="K79" s="119" t="s">
        <v>3916</v>
      </c>
    </row>
    <row r="80" spans="1:11" ht="19" x14ac:dyDescent="0.2">
      <c r="A80" s="144">
        <v>2067000</v>
      </c>
      <c r="B80" s="145"/>
      <c r="C80" s="149" t="s">
        <v>10</v>
      </c>
      <c r="D80" s="147" t="s">
        <v>3751</v>
      </c>
      <c r="E80" s="150">
        <v>1562000</v>
      </c>
      <c r="F80" s="139">
        <v>255000</v>
      </c>
      <c r="G80" s="139">
        <v>250000</v>
      </c>
      <c r="H80" s="139">
        <v>600000</v>
      </c>
      <c r="I80" s="139" t="s">
        <v>3917</v>
      </c>
      <c r="J80" s="139">
        <v>54000</v>
      </c>
      <c r="K80" s="139" t="s">
        <v>3918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12000</v>
      </c>
      <c r="K81" s="119" t="s">
        <v>3723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10000</v>
      </c>
      <c r="K82" s="139" t="s">
        <v>1305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6000</v>
      </c>
      <c r="K83" s="9" t="s">
        <v>1580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39000</v>
      </c>
      <c r="K84" s="139" t="s">
        <v>3919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50000</v>
      </c>
      <c r="K85" s="119" t="s">
        <v>123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22000</v>
      </c>
      <c r="K86" s="139" t="s">
        <v>3463</v>
      </c>
    </row>
    <row r="87" spans="1:11" ht="19" x14ac:dyDescent="0.2">
      <c r="A87" s="143">
        <v>1080000</v>
      </c>
      <c r="B87" s="153">
        <v>45732</v>
      </c>
      <c r="C87" s="171" t="s">
        <v>9</v>
      </c>
      <c r="D87" s="155" t="s">
        <v>3329</v>
      </c>
      <c r="E87" s="164">
        <v>778000</v>
      </c>
      <c r="F87" s="119">
        <v>81000</v>
      </c>
      <c r="G87" s="119">
        <v>221000</v>
      </c>
      <c r="H87" s="119"/>
      <c r="I87" s="174"/>
      <c r="J87" s="119"/>
      <c r="K87" s="119"/>
    </row>
    <row r="88" spans="1:11" ht="19" x14ac:dyDescent="0.2">
      <c r="A88" s="144">
        <v>2340000</v>
      </c>
      <c r="B88" s="145"/>
      <c r="C88" s="149" t="s">
        <v>10</v>
      </c>
      <c r="D88" s="147" t="s">
        <v>3751</v>
      </c>
      <c r="E88" s="150">
        <v>1270000</v>
      </c>
      <c r="F88" s="139">
        <v>109000</v>
      </c>
      <c r="G88" s="139">
        <v>961000</v>
      </c>
      <c r="H88" s="162"/>
      <c r="I88" s="162"/>
      <c r="J88" s="162"/>
      <c r="K88" s="162"/>
    </row>
    <row r="89" spans="1:11" ht="19" x14ac:dyDescent="0.2">
      <c r="A89" s="143">
        <v>1249000</v>
      </c>
      <c r="B89" s="153">
        <v>45733</v>
      </c>
      <c r="C89" s="171" t="s">
        <v>9</v>
      </c>
      <c r="D89" s="155" t="s">
        <v>3908</v>
      </c>
      <c r="E89" s="164">
        <v>684000</v>
      </c>
      <c r="F89" s="119">
        <v>26000</v>
      </c>
      <c r="G89" s="119">
        <v>539000</v>
      </c>
      <c r="H89" s="106"/>
      <c r="I89" s="106"/>
      <c r="J89" s="119">
        <v>80000</v>
      </c>
      <c r="K89" s="119" t="s">
        <v>3920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80000</v>
      </c>
      <c r="K90" s="139" t="s">
        <v>2641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150000</v>
      </c>
      <c r="K91" s="9" t="s">
        <v>2635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52"/>
      <c r="I92" s="152"/>
      <c r="J92" s="139">
        <v>200000</v>
      </c>
      <c r="K92" s="139" t="s">
        <v>3921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75"/>
      <c r="I93" s="9"/>
      <c r="J93" s="119">
        <v>47000</v>
      </c>
      <c r="K93" s="9" t="s">
        <v>1493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39">
        <v>24000</v>
      </c>
      <c r="K94" s="139" t="s">
        <v>3922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9">
        <v>50000</v>
      </c>
      <c r="K95" s="9" t="s">
        <v>3720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48000</v>
      </c>
      <c r="K96" s="139" t="s">
        <v>1449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73000</v>
      </c>
      <c r="K97" s="9" t="s">
        <v>3923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54000</v>
      </c>
      <c r="K98" s="139" t="s">
        <v>3924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15000</v>
      </c>
      <c r="K99" s="119" t="s">
        <v>3925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27000</v>
      </c>
      <c r="K100" s="139" t="s">
        <v>3926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39000</v>
      </c>
      <c r="K101" s="119" t="s">
        <v>3927</v>
      </c>
    </row>
    <row r="102" spans="1:11" ht="19" x14ac:dyDescent="0.2">
      <c r="A102" s="144">
        <v>1513000</v>
      </c>
      <c r="B102" s="145"/>
      <c r="C102" s="149" t="s">
        <v>10</v>
      </c>
      <c r="D102" s="147" t="s">
        <v>3751</v>
      </c>
      <c r="E102" s="150">
        <v>797000</v>
      </c>
      <c r="F102" s="139">
        <v>245000</v>
      </c>
      <c r="G102" s="139">
        <v>471000</v>
      </c>
      <c r="H102" s="139"/>
      <c r="I102" s="139"/>
      <c r="J102" s="139">
        <v>110000</v>
      </c>
      <c r="K102" s="139" t="s">
        <v>3928</v>
      </c>
    </row>
    <row r="103" spans="1:11" ht="19" x14ac:dyDescent="0.2">
      <c r="A103" s="143">
        <v>787000</v>
      </c>
      <c r="B103" s="153">
        <v>45734</v>
      </c>
      <c r="C103" s="171" t="s">
        <v>9</v>
      </c>
      <c r="D103" s="155" t="s">
        <v>3908</v>
      </c>
      <c r="E103" s="164">
        <v>384000</v>
      </c>
      <c r="F103" s="119">
        <v>0</v>
      </c>
      <c r="G103" s="119">
        <v>403000</v>
      </c>
      <c r="H103" s="119"/>
      <c r="I103" s="119"/>
      <c r="J103" s="119">
        <v>60000</v>
      </c>
      <c r="K103" s="119" t="s">
        <v>1681</v>
      </c>
    </row>
    <row r="104" spans="1:11" ht="19" x14ac:dyDescent="0.2">
      <c r="A104" s="144">
        <v>2590000</v>
      </c>
      <c r="B104" s="145"/>
      <c r="C104" s="149" t="s">
        <v>10</v>
      </c>
      <c r="D104" s="147" t="s">
        <v>3531</v>
      </c>
      <c r="E104" s="150">
        <v>1618000</v>
      </c>
      <c r="F104" s="139">
        <v>515000</v>
      </c>
      <c r="G104" s="139">
        <v>457000</v>
      </c>
      <c r="H104" s="152"/>
      <c r="I104" s="152"/>
      <c r="J104" s="139"/>
      <c r="K104" s="139"/>
    </row>
    <row r="105" spans="1:11" ht="19" x14ac:dyDescent="0.2">
      <c r="A105" s="143">
        <v>1226000</v>
      </c>
      <c r="B105" s="153">
        <v>45735</v>
      </c>
      <c r="C105" s="171" t="s">
        <v>9</v>
      </c>
      <c r="D105" s="155" t="s">
        <v>3908</v>
      </c>
      <c r="E105" s="164">
        <v>548000</v>
      </c>
      <c r="F105" s="119">
        <v>151000</v>
      </c>
      <c r="G105" s="119">
        <v>527000</v>
      </c>
      <c r="H105" s="119"/>
      <c r="I105" s="119"/>
      <c r="J105" s="119">
        <v>38000</v>
      </c>
      <c r="K105" s="119" t="s">
        <v>1584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99000</v>
      </c>
      <c r="K106" s="139" t="s">
        <v>1738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16000</v>
      </c>
      <c r="K107" s="119" t="s">
        <v>3929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119000</v>
      </c>
      <c r="K108" s="139" t="s">
        <v>3556</v>
      </c>
    </row>
    <row r="109" spans="1:11" ht="19" x14ac:dyDescent="0.2">
      <c r="A109" s="293">
        <v>2021000</v>
      </c>
      <c r="B109" s="153"/>
      <c r="C109" s="171" t="s">
        <v>10</v>
      </c>
      <c r="D109" s="155" t="s">
        <v>3751</v>
      </c>
      <c r="E109" s="164">
        <v>1174000</v>
      </c>
      <c r="F109" s="119">
        <v>295000</v>
      </c>
      <c r="G109" s="119">
        <v>552000</v>
      </c>
      <c r="H109" s="119"/>
      <c r="I109" s="119"/>
      <c r="J109" s="119">
        <v>50000</v>
      </c>
      <c r="K109" s="119" t="s">
        <v>3661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200000</v>
      </c>
      <c r="K110" s="139" t="s">
        <v>2796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150000</v>
      </c>
      <c r="K111" s="119" t="s">
        <v>1710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75000</v>
      </c>
      <c r="K112" s="139" t="s">
        <v>1307</v>
      </c>
    </row>
    <row r="113" spans="1:11" ht="19" x14ac:dyDescent="0.2">
      <c r="A113" s="143">
        <v>1227000</v>
      </c>
      <c r="B113" s="153">
        <v>45736</v>
      </c>
      <c r="C113" s="171" t="s">
        <v>9</v>
      </c>
      <c r="D113" s="155" t="s">
        <v>3329</v>
      </c>
      <c r="E113" s="164">
        <v>784000</v>
      </c>
      <c r="F113" s="119">
        <v>43000</v>
      </c>
      <c r="G113" s="119">
        <v>400000</v>
      </c>
      <c r="H113" s="119"/>
      <c r="I113" s="175"/>
      <c r="J113" s="119">
        <v>520000</v>
      </c>
      <c r="K113" s="119" t="s">
        <v>1462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60000</v>
      </c>
      <c r="K114" s="139" t="s">
        <v>1490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50000</v>
      </c>
      <c r="K115" s="119" t="s">
        <v>3597</v>
      </c>
    </row>
    <row r="116" spans="1:11" ht="19" x14ac:dyDescent="0.2">
      <c r="A116" s="144">
        <v>1951000</v>
      </c>
      <c r="B116" s="145"/>
      <c r="C116" s="149" t="s">
        <v>10</v>
      </c>
      <c r="D116" s="147" t="s">
        <v>3751</v>
      </c>
      <c r="E116" s="150">
        <v>1233000</v>
      </c>
      <c r="F116" s="139">
        <v>134000</v>
      </c>
      <c r="G116" s="139">
        <v>584000</v>
      </c>
      <c r="H116" s="139"/>
      <c r="I116" s="139"/>
      <c r="J116" s="162">
        <v>25000</v>
      </c>
      <c r="K116" s="162" t="s">
        <v>3463</v>
      </c>
    </row>
    <row r="117" spans="1:11" ht="19" x14ac:dyDescent="0.2">
      <c r="A117" s="143">
        <v>763000</v>
      </c>
      <c r="B117" s="153">
        <v>45737</v>
      </c>
      <c r="C117" s="171" t="s">
        <v>9</v>
      </c>
      <c r="D117" s="155" t="s">
        <v>3690</v>
      </c>
      <c r="E117" s="164">
        <v>443000</v>
      </c>
      <c r="F117" s="119">
        <v>157000</v>
      </c>
      <c r="G117" s="119">
        <v>163000</v>
      </c>
      <c r="H117" s="119">
        <v>950000</v>
      </c>
      <c r="I117" s="119" t="s">
        <v>3930</v>
      </c>
      <c r="J117" s="174"/>
      <c r="K117" s="174"/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/>
      <c r="K118" s="139"/>
    </row>
    <row r="119" spans="1:11" ht="19" x14ac:dyDescent="0.2">
      <c r="A119" s="143">
        <v>2539000</v>
      </c>
      <c r="B119" s="153"/>
      <c r="C119" s="171" t="s">
        <v>10</v>
      </c>
      <c r="D119" s="155" t="s">
        <v>20</v>
      </c>
      <c r="E119" s="164">
        <v>1967000</v>
      </c>
      <c r="F119" s="119">
        <v>180000</v>
      </c>
      <c r="G119" s="119">
        <v>392000</v>
      </c>
      <c r="H119" s="119"/>
      <c r="I119" s="119"/>
      <c r="J119" s="119"/>
      <c r="K119" s="119"/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/>
      <c r="K120" s="139"/>
    </row>
    <row r="121" spans="1:11" ht="19" x14ac:dyDescent="0.2">
      <c r="A121" s="143">
        <v>1323000</v>
      </c>
      <c r="B121" s="153">
        <v>45738</v>
      </c>
      <c r="C121" s="171" t="s">
        <v>9</v>
      </c>
      <c r="D121" s="155" t="s">
        <v>565</v>
      </c>
      <c r="E121" s="164">
        <v>1095000</v>
      </c>
      <c r="F121" s="119">
        <v>30000</v>
      </c>
      <c r="G121" s="119">
        <v>198000</v>
      </c>
      <c r="H121" s="119"/>
      <c r="I121" s="119"/>
      <c r="J121" s="119">
        <v>150000</v>
      </c>
      <c r="K121" s="119" t="s">
        <v>2191</v>
      </c>
    </row>
    <row r="122" spans="1:11" ht="19" x14ac:dyDescent="0.2">
      <c r="A122" s="144"/>
      <c r="B122" s="145"/>
      <c r="C122" s="149"/>
      <c r="D122" s="147"/>
      <c r="E122" s="150" t="s">
        <v>547</v>
      </c>
      <c r="F122" s="139"/>
      <c r="G122" s="139"/>
      <c r="H122" s="139"/>
      <c r="I122" s="139"/>
      <c r="J122" s="139">
        <v>150000</v>
      </c>
      <c r="K122" s="139" t="s">
        <v>3931</v>
      </c>
    </row>
    <row r="123" spans="1:11" ht="19" x14ac:dyDescent="0.2">
      <c r="A123" s="143">
        <v>2040000</v>
      </c>
      <c r="B123" s="153"/>
      <c r="C123" s="163" t="s">
        <v>10</v>
      </c>
      <c r="D123" s="155" t="s">
        <v>3751</v>
      </c>
      <c r="E123" s="164">
        <v>1384000</v>
      </c>
      <c r="F123" s="119">
        <v>131000</v>
      </c>
      <c r="G123" s="119">
        <v>525000</v>
      </c>
      <c r="H123" s="119"/>
      <c r="I123" s="119"/>
      <c r="J123" s="174">
        <v>50000</v>
      </c>
      <c r="K123" s="174" t="s">
        <v>123</v>
      </c>
    </row>
    <row r="124" spans="1:11" ht="19" x14ac:dyDescent="0.2">
      <c r="A124" s="144">
        <v>833000</v>
      </c>
      <c r="B124" s="145">
        <v>45739</v>
      </c>
      <c r="C124" s="151" t="s">
        <v>9</v>
      </c>
      <c r="D124" s="147" t="s">
        <v>20</v>
      </c>
      <c r="E124" s="150">
        <v>386000</v>
      </c>
      <c r="F124" s="139">
        <v>237000</v>
      </c>
      <c r="G124" s="139">
        <v>210000</v>
      </c>
      <c r="H124" s="139"/>
      <c r="I124" s="139"/>
      <c r="J124" s="162"/>
      <c r="K124" s="162"/>
    </row>
    <row r="125" spans="1:11" ht="19" x14ac:dyDescent="0.2">
      <c r="A125" s="143">
        <v>1764000</v>
      </c>
      <c r="B125" s="32"/>
      <c r="C125" s="171" t="s">
        <v>10</v>
      </c>
      <c r="D125" s="155" t="s">
        <v>3751</v>
      </c>
      <c r="E125" s="15">
        <v>1321000</v>
      </c>
      <c r="F125" s="9">
        <v>156000</v>
      </c>
      <c r="G125" s="9">
        <v>287000</v>
      </c>
      <c r="H125" s="9"/>
      <c r="I125" s="9"/>
      <c r="J125" s="174"/>
      <c r="K125" s="106"/>
    </row>
    <row r="126" spans="1:11" ht="19" x14ac:dyDescent="0.2">
      <c r="A126" s="144">
        <v>1451000</v>
      </c>
      <c r="B126" s="145">
        <v>45740</v>
      </c>
      <c r="C126" s="149" t="s">
        <v>9</v>
      </c>
      <c r="D126" s="147" t="s">
        <v>3690</v>
      </c>
      <c r="E126" s="150">
        <v>990000</v>
      </c>
      <c r="F126" s="139">
        <v>236000</v>
      </c>
      <c r="G126" s="139">
        <v>225000</v>
      </c>
      <c r="H126" s="139"/>
      <c r="I126" s="139"/>
      <c r="J126" s="162">
        <v>74000</v>
      </c>
      <c r="K126" s="162" t="s">
        <v>3548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81000</v>
      </c>
      <c r="K127" s="174" t="s">
        <v>3932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61000</v>
      </c>
      <c r="K128" s="139" t="s">
        <v>3933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28000</v>
      </c>
      <c r="K129" s="174" t="s">
        <v>2475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44000</v>
      </c>
      <c r="K130" s="139" t="s">
        <v>3934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27000</v>
      </c>
      <c r="K131" s="119" t="s">
        <v>3662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35000</v>
      </c>
      <c r="K132" s="139" t="s">
        <v>3543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81000</v>
      </c>
      <c r="K133" s="119" t="s">
        <v>3722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72000</v>
      </c>
      <c r="K134" s="139" t="s">
        <v>3901</v>
      </c>
    </row>
    <row r="135" spans="1:11" ht="19" x14ac:dyDescent="0.2">
      <c r="A135" s="143">
        <v>2086000</v>
      </c>
      <c r="B135" s="153"/>
      <c r="C135" s="163" t="s">
        <v>10</v>
      </c>
      <c r="D135" s="155" t="s">
        <v>3751</v>
      </c>
      <c r="E135" s="164">
        <v>1352000</v>
      </c>
      <c r="F135" s="119">
        <v>278000</v>
      </c>
      <c r="G135" s="119">
        <v>456000</v>
      </c>
      <c r="H135" s="119"/>
      <c r="I135" s="119"/>
      <c r="J135" s="119">
        <v>120000</v>
      </c>
      <c r="K135" s="119" t="s">
        <v>1553</v>
      </c>
    </row>
    <row r="136" spans="1:11" ht="19" x14ac:dyDescent="0.2">
      <c r="A136" s="144">
        <v>1635000</v>
      </c>
      <c r="B136" s="145">
        <v>45741</v>
      </c>
      <c r="C136" s="151" t="s">
        <v>9</v>
      </c>
      <c r="D136" s="147" t="s">
        <v>3690</v>
      </c>
      <c r="E136" s="150">
        <v>1308000</v>
      </c>
      <c r="F136" s="139">
        <v>52000</v>
      </c>
      <c r="G136" s="139">
        <v>275000</v>
      </c>
      <c r="H136" s="139"/>
      <c r="I136" s="139"/>
      <c r="J136" s="139"/>
      <c r="K136" s="139"/>
    </row>
    <row r="137" spans="1:11" ht="19" x14ac:dyDescent="0.2">
      <c r="A137" s="143">
        <v>1843000</v>
      </c>
      <c r="B137" s="153"/>
      <c r="C137" s="163" t="s">
        <v>10</v>
      </c>
      <c r="D137" s="155" t="s">
        <v>3751</v>
      </c>
      <c r="E137" s="164">
        <v>1333000</v>
      </c>
      <c r="F137" s="119">
        <v>163000</v>
      </c>
      <c r="G137" s="119">
        <v>347000</v>
      </c>
      <c r="H137" s="119"/>
      <c r="I137" s="119"/>
      <c r="J137" s="174">
        <v>200000</v>
      </c>
      <c r="K137" s="174" t="s">
        <v>2796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150000</v>
      </c>
      <c r="K138" s="162" t="s">
        <v>1710</v>
      </c>
    </row>
    <row r="139" spans="1:11" ht="19" x14ac:dyDescent="0.2">
      <c r="A139" s="143">
        <v>1898000</v>
      </c>
      <c r="B139" s="32">
        <v>45742</v>
      </c>
      <c r="C139" s="35" t="s">
        <v>9</v>
      </c>
      <c r="D139" s="13" t="s">
        <v>3690</v>
      </c>
      <c r="E139" s="15">
        <v>1310000</v>
      </c>
      <c r="F139" s="9">
        <v>224000</v>
      </c>
      <c r="G139" s="9">
        <v>364000</v>
      </c>
      <c r="H139" s="9"/>
      <c r="I139" s="9"/>
      <c r="J139" s="106"/>
      <c r="K139" s="106"/>
    </row>
    <row r="140" spans="1:11" ht="19" x14ac:dyDescent="0.2">
      <c r="A140" s="144">
        <v>2575000</v>
      </c>
      <c r="B140" s="145"/>
      <c r="C140" s="151" t="s">
        <v>10</v>
      </c>
      <c r="D140" s="147" t="s">
        <v>3531</v>
      </c>
      <c r="E140" s="150">
        <v>1706000</v>
      </c>
      <c r="F140" s="139">
        <v>323000</v>
      </c>
      <c r="G140" s="139">
        <v>546000</v>
      </c>
      <c r="H140" s="139"/>
      <c r="I140" s="152"/>
      <c r="J140" s="162"/>
      <c r="K140" s="162"/>
    </row>
    <row r="141" spans="1:11" ht="19" x14ac:dyDescent="0.2">
      <c r="A141" s="143">
        <v>1180000</v>
      </c>
      <c r="B141" s="153">
        <v>45743</v>
      </c>
      <c r="C141" s="163" t="s">
        <v>9</v>
      </c>
      <c r="D141" s="155" t="s">
        <v>3690</v>
      </c>
      <c r="E141" s="164">
        <v>756000</v>
      </c>
      <c r="F141" s="119">
        <v>138000</v>
      </c>
      <c r="G141" s="119">
        <v>286000</v>
      </c>
      <c r="H141" s="175"/>
      <c r="I141" s="175"/>
      <c r="J141" s="174">
        <v>37000</v>
      </c>
      <c r="K141" s="174" t="s">
        <v>3935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83000</v>
      </c>
      <c r="K142" s="139" t="s">
        <v>3936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41000</v>
      </c>
      <c r="K143" s="119" t="s">
        <v>3937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10000</v>
      </c>
      <c r="K144" s="139" t="s">
        <v>1305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48000</v>
      </c>
      <c r="K145" s="119" t="s">
        <v>1449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9000</v>
      </c>
      <c r="K146" s="162" t="s">
        <v>3938</v>
      </c>
    </row>
    <row r="147" spans="1:11" ht="19" x14ac:dyDescent="0.2">
      <c r="A147" s="143">
        <v>2674000</v>
      </c>
      <c r="B147" s="153"/>
      <c r="C147" s="163" t="s">
        <v>10</v>
      </c>
      <c r="D147" s="155" t="s">
        <v>3751</v>
      </c>
      <c r="E147" s="164">
        <v>1287000</v>
      </c>
      <c r="F147" s="119">
        <v>381000</v>
      </c>
      <c r="G147" s="119">
        <v>1006000</v>
      </c>
      <c r="H147" s="119"/>
      <c r="I147" s="119"/>
      <c r="J147" s="119">
        <v>17000</v>
      </c>
      <c r="K147" s="119" t="s">
        <v>3463</v>
      </c>
    </row>
    <row r="148" spans="1:11" ht="19" x14ac:dyDescent="0.2">
      <c r="A148" s="148">
        <v>1293000</v>
      </c>
      <c r="B148" s="145">
        <v>45744</v>
      </c>
      <c r="C148" s="151" t="s">
        <v>9</v>
      </c>
      <c r="D148" s="147" t="s">
        <v>3939</v>
      </c>
      <c r="E148" s="150">
        <v>920000</v>
      </c>
      <c r="F148" s="139">
        <v>190000</v>
      </c>
      <c r="G148" s="139">
        <v>183000</v>
      </c>
      <c r="H148" s="139"/>
      <c r="I148" s="139"/>
      <c r="J148" s="139"/>
      <c r="K148" s="139"/>
    </row>
    <row r="149" spans="1:11" ht="19" x14ac:dyDescent="0.2">
      <c r="A149" s="142">
        <v>2945000</v>
      </c>
      <c r="B149" s="153"/>
      <c r="C149" s="163" t="s">
        <v>10</v>
      </c>
      <c r="D149" s="172" t="s">
        <v>3531</v>
      </c>
      <c r="E149" s="164">
        <v>1886000</v>
      </c>
      <c r="F149" s="119">
        <v>454000</v>
      </c>
      <c r="G149" s="119">
        <v>605000</v>
      </c>
      <c r="H149" s="119"/>
      <c r="I149" s="119"/>
      <c r="J149" s="119"/>
      <c r="K149" s="119"/>
    </row>
    <row r="150" spans="1:11" ht="19" x14ac:dyDescent="0.2">
      <c r="A150" s="148">
        <v>1053000</v>
      </c>
      <c r="B150" s="145">
        <v>45745</v>
      </c>
      <c r="C150" s="151" t="s">
        <v>9</v>
      </c>
      <c r="D150" s="160" t="s">
        <v>3939</v>
      </c>
      <c r="E150" s="150">
        <v>705000</v>
      </c>
      <c r="F150" s="139">
        <v>82000</v>
      </c>
      <c r="G150" s="139">
        <v>266000</v>
      </c>
      <c r="H150" s="139"/>
      <c r="I150" s="139"/>
      <c r="J150" s="139"/>
      <c r="K150" s="139"/>
    </row>
    <row r="151" spans="1:11" ht="19" x14ac:dyDescent="0.2">
      <c r="A151" s="142">
        <v>2067000</v>
      </c>
      <c r="B151" s="153"/>
      <c r="C151" s="163" t="s">
        <v>10</v>
      </c>
      <c r="D151" s="172" t="s">
        <v>3531</v>
      </c>
      <c r="E151" s="164">
        <v>1726000</v>
      </c>
      <c r="F151" s="119">
        <v>189000</v>
      </c>
      <c r="G151" s="119">
        <v>152000</v>
      </c>
      <c r="H151" s="119"/>
      <c r="I151" s="119"/>
      <c r="J151" s="119">
        <v>60000</v>
      </c>
      <c r="K151" s="119" t="s">
        <v>3940</v>
      </c>
    </row>
    <row r="152" spans="1:11" ht="19" x14ac:dyDescent="0.2">
      <c r="A152" s="148">
        <v>1939000</v>
      </c>
      <c r="B152" s="145">
        <v>45746</v>
      </c>
      <c r="C152" s="151" t="s">
        <v>9</v>
      </c>
      <c r="D152" s="160" t="s">
        <v>3941</v>
      </c>
      <c r="E152" s="150">
        <v>1229000</v>
      </c>
      <c r="F152" s="139">
        <v>134000</v>
      </c>
      <c r="G152" s="139">
        <v>576000</v>
      </c>
      <c r="H152" s="139"/>
      <c r="I152" s="139"/>
      <c r="J152" s="139">
        <v>45000</v>
      </c>
      <c r="K152" s="139" t="s">
        <v>1722</v>
      </c>
    </row>
    <row r="153" spans="1:11" ht="19" x14ac:dyDescent="0.2">
      <c r="A153" s="143">
        <v>2517000</v>
      </c>
      <c r="B153" s="153"/>
      <c r="C153" s="163" t="s">
        <v>10</v>
      </c>
      <c r="D153" s="155" t="s">
        <v>3531</v>
      </c>
      <c r="E153" s="164">
        <v>1706000</v>
      </c>
      <c r="F153" s="119">
        <v>458000</v>
      </c>
      <c r="G153" s="119">
        <v>353000</v>
      </c>
      <c r="H153" s="119"/>
      <c r="I153" s="119"/>
      <c r="J153" s="119">
        <v>200000</v>
      </c>
      <c r="K153" s="119" t="s">
        <v>2796</v>
      </c>
    </row>
    <row r="154" spans="1:11" ht="32" x14ac:dyDescent="0.2">
      <c r="A154" s="144">
        <v>1676000</v>
      </c>
      <c r="B154" s="145">
        <v>45747</v>
      </c>
      <c r="C154" s="151" t="s">
        <v>9</v>
      </c>
      <c r="D154" s="147" t="s">
        <v>20</v>
      </c>
      <c r="E154" s="150">
        <v>1152000</v>
      </c>
      <c r="F154" s="139">
        <v>222000</v>
      </c>
      <c r="G154" s="139">
        <v>302000</v>
      </c>
      <c r="H154" s="139">
        <v>1600000</v>
      </c>
      <c r="I154" s="161" t="s">
        <v>3942</v>
      </c>
      <c r="J154" s="139">
        <v>240000</v>
      </c>
      <c r="K154" s="139" t="s">
        <v>3659</v>
      </c>
    </row>
    <row r="155" spans="1:11" ht="19" x14ac:dyDescent="0.2">
      <c r="A155" s="143">
        <v>1844000</v>
      </c>
      <c r="B155" s="153"/>
      <c r="C155" s="154" t="s">
        <v>10</v>
      </c>
      <c r="D155" s="155" t="s">
        <v>3531</v>
      </c>
      <c r="E155" s="164">
        <v>1437000</v>
      </c>
      <c r="F155" s="119">
        <v>99000</v>
      </c>
      <c r="G155" s="119">
        <v>308000</v>
      </c>
      <c r="H155" s="119">
        <v>300000</v>
      </c>
      <c r="I155" s="119" t="s">
        <v>3943</v>
      </c>
      <c r="J155" s="119">
        <v>160000</v>
      </c>
      <c r="K155" s="119" t="s">
        <v>1597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>
        <v>1800000</v>
      </c>
      <c r="I156" s="139" t="s">
        <v>3944</v>
      </c>
      <c r="J156" s="139">
        <v>23000</v>
      </c>
      <c r="K156" s="139" t="s">
        <v>3945</v>
      </c>
    </row>
    <row r="157" spans="1:11" ht="32" x14ac:dyDescent="0.2">
      <c r="A157" s="143"/>
      <c r="B157" s="153"/>
      <c r="C157" s="171"/>
      <c r="D157" s="155"/>
      <c r="E157" s="164"/>
      <c r="F157" s="119"/>
      <c r="G157" s="119"/>
      <c r="H157" s="119">
        <v>1495000</v>
      </c>
      <c r="I157" s="176" t="s">
        <v>3946</v>
      </c>
      <c r="J157" s="119">
        <v>35000</v>
      </c>
      <c r="K157" s="119" t="s">
        <v>3947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>
        <v>600000</v>
      </c>
      <c r="I158" s="139" t="s">
        <v>3917</v>
      </c>
      <c r="J158" s="139">
        <v>17000</v>
      </c>
      <c r="K158" s="139" t="s">
        <v>3948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>
        <v>600000</v>
      </c>
      <c r="I159" s="168" t="s">
        <v>3949</v>
      </c>
      <c r="J159" s="119">
        <v>24000</v>
      </c>
      <c r="K159" s="119" t="s">
        <v>2670</v>
      </c>
    </row>
    <row r="160" spans="1:11" ht="32" x14ac:dyDescent="0.2">
      <c r="A160" s="144"/>
      <c r="B160" s="145"/>
      <c r="C160" s="146"/>
      <c r="D160" s="147"/>
      <c r="E160" s="150"/>
      <c r="F160" s="139"/>
      <c r="G160" s="139"/>
      <c r="H160" s="139">
        <v>5482000</v>
      </c>
      <c r="I160" s="253" t="s">
        <v>3572</v>
      </c>
      <c r="J160" s="139">
        <v>50000</v>
      </c>
      <c r="K160" s="139" t="s">
        <v>123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>
        <v>1300000</v>
      </c>
      <c r="I161" s="77" t="s">
        <v>785</v>
      </c>
      <c r="J161" s="9">
        <v>150000</v>
      </c>
      <c r="K161" s="9" t="s">
        <v>3950</v>
      </c>
    </row>
    <row r="162" spans="1:11" ht="19" x14ac:dyDescent="0.2">
      <c r="A162" s="143"/>
      <c r="B162" s="32"/>
      <c r="C162" s="49"/>
      <c r="D162" s="13"/>
      <c r="E162" s="15"/>
      <c r="F162" s="9"/>
      <c r="G162" s="9"/>
      <c r="H162" s="9">
        <v>1300000</v>
      </c>
      <c r="I162" s="77" t="s">
        <v>3739</v>
      </c>
      <c r="J162" s="9">
        <v>80000</v>
      </c>
      <c r="K162" s="9" t="s">
        <v>3951</v>
      </c>
    </row>
    <row r="163" spans="1:11" ht="19" x14ac:dyDescent="0.2">
      <c r="A163" s="294"/>
      <c r="B163" s="145"/>
      <c r="C163" s="151"/>
      <c r="D163" s="147"/>
      <c r="E163" s="150"/>
      <c r="F163" s="139"/>
      <c r="G163" s="139"/>
      <c r="H163" s="139"/>
      <c r="I163" s="165"/>
      <c r="J163" s="139">
        <v>80000</v>
      </c>
      <c r="K163" s="139" t="s">
        <v>3952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3:K188"/>
  <sheetViews>
    <sheetView topLeftCell="A3" workbookViewId="0">
      <selection activeCell="K73" sqref="K73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8.5" bestFit="1" customWidth="1"/>
    <col min="5" max="5" width="22.83203125" customWidth="1"/>
    <col min="6" max="6" width="26.5" customWidth="1"/>
    <col min="7" max="7" width="26.6640625" customWidth="1"/>
    <col min="8" max="8" width="25.6640625" customWidth="1"/>
    <col min="9" max="9" width="32" customWidth="1"/>
    <col min="10" max="10" width="23.33203125" customWidth="1"/>
    <col min="11" max="11" width="30.83203125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14414500</v>
      </c>
      <c r="K4" s="72">
        <f>J4/10820</f>
        <v>1332.2088724584103</v>
      </c>
    </row>
    <row r="5" spans="1:11" ht="24" x14ac:dyDescent="0.3">
      <c r="B5" s="99" t="s">
        <v>4046</v>
      </c>
      <c r="H5" s="73"/>
      <c r="I5" s="71" t="s">
        <v>2315</v>
      </c>
      <c r="J5" s="71">
        <v>14414500</v>
      </c>
      <c r="K5" s="72">
        <f>J5/10820</f>
        <v>1332.2088724584103</v>
      </c>
    </row>
    <row r="6" spans="1:11" ht="24" x14ac:dyDescent="0.3">
      <c r="B6" s="99"/>
      <c r="H6" s="73"/>
      <c r="I6" s="71" t="s">
        <v>178</v>
      </c>
      <c r="J6" s="71">
        <v>6523049</v>
      </c>
      <c r="K6" s="72" t="s">
        <v>4048</v>
      </c>
    </row>
    <row r="7" spans="1:11" ht="26" x14ac:dyDescent="0.3">
      <c r="B7" s="100" t="s">
        <v>4047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SUM(A11:A469)</f>
        <v>125189000</v>
      </c>
      <c r="B10" s="65"/>
      <c r="C10" s="66" t="s">
        <v>13</v>
      </c>
      <c r="D10" s="67"/>
      <c r="E10" s="68">
        <f>SUM(E11:E469)</f>
        <v>78846000</v>
      </c>
      <c r="F10" s="69">
        <f>SUM(F11:F469)</f>
        <v>17466000</v>
      </c>
      <c r="G10" s="69">
        <f>SUM(G11:G456)</f>
        <v>28877000</v>
      </c>
      <c r="H10" s="69">
        <f>SUM(H11:H469)</f>
        <v>28765000</v>
      </c>
      <c r="I10" s="69"/>
      <c r="J10" s="69">
        <f>SUM(J11:J469)</f>
        <v>21252000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32" x14ac:dyDescent="0.2">
      <c r="A12" s="144">
        <v>1951000</v>
      </c>
      <c r="B12" s="145">
        <v>45748</v>
      </c>
      <c r="C12" s="151" t="s">
        <v>9</v>
      </c>
      <c r="D12" s="147" t="s">
        <v>3939</v>
      </c>
      <c r="E12" s="150">
        <v>1177000</v>
      </c>
      <c r="F12" s="139">
        <v>157000</v>
      </c>
      <c r="G12" s="139">
        <v>617000</v>
      </c>
      <c r="H12" s="139">
        <v>832000</v>
      </c>
      <c r="I12" s="245" t="s">
        <v>4043</v>
      </c>
      <c r="J12" s="139">
        <v>100000</v>
      </c>
      <c r="K12" s="139" t="s">
        <v>3248</v>
      </c>
    </row>
    <row r="13" spans="1:11" ht="19" x14ac:dyDescent="0.2">
      <c r="A13" s="143">
        <v>1883000</v>
      </c>
      <c r="B13" s="153"/>
      <c r="C13" s="163" t="s">
        <v>10</v>
      </c>
      <c r="D13" s="155" t="s">
        <v>3531</v>
      </c>
      <c r="E13" s="164">
        <v>1746000</v>
      </c>
      <c r="F13" s="119">
        <v>25000</v>
      </c>
      <c r="G13" s="119">
        <v>112000</v>
      </c>
      <c r="H13" s="175"/>
      <c r="I13" s="174"/>
      <c r="J13" s="119">
        <v>162000</v>
      </c>
      <c r="K13" s="119" t="s">
        <v>1649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150000</v>
      </c>
      <c r="K14" s="139" t="s">
        <v>3958</v>
      </c>
    </row>
    <row r="15" spans="1:11" ht="19" x14ac:dyDescent="0.2">
      <c r="A15" s="143">
        <v>2021000</v>
      </c>
      <c r="B15" s="153">
        <v>45749</v>
      </c>
      <c r="C15" s="163" t="s">
        <v>9</v>
      </c>
      <c r="D15" s="155" t="s">
        <v>3690</v>
      </c>
      <c r="E15" s="164">
        <v>1368000</v>
      </c>
      <c r="F15" s="119">
        <v>121000</v>
      </c>
      <c r="G15" s="119">
        <v>532000</v>
      </c>
      <c r="H15" s="119"/>
      <c r="I15" s="174"/>
      <c r="J15" s="119">
        <v>28000</v>
      </c>
      <c r="K15" s="119" t="s">
        <v>3435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25000</v>
      </c>
      <c r="K16" s="139" t="s">
        <v>1582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53000</v>
      </c>
      <c r="K17" s="119" t="s">
        <v>1897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130000</v>
      </c>
      <c r="K18" s="139" t="s">
        <v>3959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83000</v>
      </c>
      <c r="K19" s="119" t="s">
        <v>3960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63000</v>
      </c>
      <c r="K20" s="139" t="s">
        <v>3961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12000</v>
      </c>
      <c r="K21" s="9" t="s">
        <v>3962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61000</v>
      </c>
      <c r="K22" s="139" t="s">
        <v>3963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70000</v>
      </c>
      <c r="K23" s="9" t="s">
        <v>3964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80000</v>
      </c>
      <c r="K24" s="162" t="s">
        <v>3965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150000</v>
      </c>
      <c r="K25" s="119" t="s">
        <v>3563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150000</v>
      </c>
      <c r="K26" s="139" t="s">
        <v>3966</v>
      </c>
    </row>
    <row r="27" spans="1:11" ht="19" x14ac:dyDescent="0.2">
      <c r="A27" s="143">
        <v>2712000</v>
      </c>
      <c r="B27" s="32"/>
      <c r="C27" s="49" t="s">
        <v>10</v>
      </c>
      <c r="D27" s="13" t="s">
        <v>3967</v>
      </c>
      <c r="E27" s="15">
        <v>1718000</v>
      </c>
      <c r="F27" s="9">
        <v>773000</v>
      </c>
      <c r="G27" s="9">
        <v>221000</v>
      </c>
      <c r="H27" s="9"/>
      <c r="I27" s="9"/>
      <c r="J27" s="9">
        <v>150000</v>
      </c>
      <c r="K27" s="106" t="s">
        <v>3968</v>
      </c>
    </row>
    <row r="28" spans="1:11" ht="19" x14ac:dyDescent="0.2">
      <c r="A28" s="144">
        <v>2370000</v>
      </c>
      <c r="B28" s="145">
        <v>45750</v>
      </c>
      <c r="C28" s="149" t="s">
        <v>9</v>
      </c>
      <c r="D28" s="147" t="s">
        <v>3690</v>
      </c>
      <c r="E28" s="150">
        <v>1428000</v>
      </c>
      <c r="F28" s="139">
        <v>360000</v>
      </c>
      <c r="G28" s="139">
        <v>582000</v>
      </c>
      <c r="H28" s="139">
        <v>50000</v>
      </c>
      <c r="I28" s="139" t="s">
        <v>3969</v>
      </c>
      <c r="J28" s="139">
        <v>90000</v>
      </c>
      <c r="K28" s="139" t="s">
        <v>1310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35000</v>
      </c>
      <c r="K29" s="9" t="s">
        <v>3970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144000</v>
      </c>
      <c r="K30" s="139" t="s">
        <v>3724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200000</v>
      </c>
      <c r="K31" s="9" t="s">
        <v>2796</v>
      </c>
    </row>
    <row r="32" spans="1:11" ht="19" x14ac:dyDescent="0.2">
      <c r="A32" s="144">
        <v>2188000</v>
      </c>
      <c r="B32" s="145"/>
      <c r="C32" s="149" t="s">
        <v>10</v>
      </c>
      <c r="D32" s="147" t="s">
        <v>3967</v>
      </c>
      <c r="E32" s="150">
        <v>1190000</v>
      </c>
      <c r="F32" s="139">
        <v>424000</v>
      </c>
      <c r="G32" s="139">
        <v>574000</v>
      </c>
      <c r="H32" s="139"/>
      <c r="I32" s="139"/>
      <c r="J32" s="139">
        <v>150000</v>
      </c>
      <c r="K32" s="139" t="s">
        <v>1710</v>
      </c>
    </row>
    <row r="33" spans="1:11" ht="19" x14ac:dyDescent="0.2">
      <c r="A33" s="143">
        <v>2266000</v>
      </c>
      <c r="B33" s="153">
        <v>45751</v>
      </c>
      <c r="C33" s="171" t="s">
        <v>9</v>
      </c>
      <c r="D33" s="155" t="s">
        <v>3690</v>
      </c>
      <c r="E33" s="164">
        <v>1647000</v>
      </c>
      <c r="F33" s="119">
        <v>162000</v>
      </c>
      <c r="G33" s="119">
        <v>457000</v>
      </c>
      <c r="H33" s="119"/>
      <c r="I33" s="119"/>
      <c r="J33" s="119">
        <v>15000</v>
      </c>
      <c r="K33" s="119" t="s">
        <v>3971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47000</v>
      </c>
      <c r="K34" s="139" t="s">
        <v>1493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149000</v>
      </c>
      <c r="K35" s="9" t="s">
        <v>3972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77000</v>
      </c>
      <c r="K36" s="139" t="s">
        <v>3973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34000</v>
      </c>
      <c r="K37" s="9" t="s">
        <v>3974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520000</v>
      </c>
      <c r="K38" s="139" t="s">
        <v>1462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114000</v>
      </c>
      <c r="K39" s="9" t="s">
        <v>3975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24000</v>
      </c>
      <c r="K40" s="139" t="s">
        <v>3445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50000</v>
      </c>
      <c r="K41" s="9" t="s">
        <v>1762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80000</v>
      </c>
      <c r="K42" s="139" t="s">
        <v>1490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34000</v>
      </c>
      <c r="K43" s="9" t="s">
        <v>3463</v>
      </c>
    </row>
    <row r="44" spans="1:11" ht="19" x14ac:dyDescent="0.2">
      <c r="A44" s="144">
        <v>1452000</v>
      </c>
      <c r="B44" s="145"/>
      <c r="C44" s="149" t="s">
        <v>10</v>
      </c>
      <c r="D44" s="147" t="s">
        <v>3976</v>
      </c>
      <c r="E44" s="150">
        <v>1036000</v>
      </c>
      <c r="F44" s="139">
        <v>86000</v>
      </c>
      <c r="G44" s="139">
        <v>330000</v>
      </c>
      <c r="H44" s="139"/>
      <c r="I44" s="139"/>
      <c r="J44" s="139">
        <v>17000</v>
      </c>
      <c r="K44" s="139" t="s">
        <v>3977</v>
      </c>
    </row>
    <row r="45" spans="1:11" ht="19" x14ac:dyDescent="0.2">
      <c r="A45" s="143">
        <v>2306000</v>
      </c>
      <c r="B45" s="153">
        <v>45752</v>
      </c>
      <c r="C45" s="171" t="s">
        <v>9</v>
      </c>
      <c r="D45" s="155" t="s">
        <v>3690</v>
      </c>
      <c r="E45" s="164">
        <v>1430000</v>
      </c>
      <c r="F45" s="119">
        <v>281000</v>
      </c>
      <c r="G45" s="119">
        <v>595000</v>
      </c>
      <c r="H45" s="119"/>
      <c r="I45" s="119"/>
      <c r="J45" s="119">
        <v>10000</v>
      </c>
      <c r="K45" s="119" t="s">
        <v>1375</v>
      </c>
    </row>
    <row r="46" spans="1:11" ht="19" x14ac:dyDescent="0.2">
      <c r="A46" s="144">
        <v>1997000</v>
      </c>
      <c r="B46" s="145"/>
      <c r="C46" s="149" t="s">
        <v>10</v>
      </c>
      <c r="D46" s="147" t="s">
        <v>20</v>
      </c>
      <c r="E46" s="150">
        <v>1326000</v>
      </c>
      <c r="F46" s="139">
        <v>351000</v>
      </c>
      <c r="G46" s="139">
        <v>320000</v>
      </c>
      <c r="H46" s="139"/>
      <c r="I46" s="139"/>
      <c r="J46" s="139">
        <v>90000</v>
      </c>
      <c r="K46" s="139" t="s">
        <v>1307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45000</v>
      </c>
      <c r="K47" s="119" t="s">
        <v>1507</v>
      </c>
    </row>
    <row r="48" spans="1:11" ht="19" x14ac:dyDescent="0.2">
      <c r="A48" s="144">
        <v>2602000</v>
      </c>
      <c r="B48" s="145">
        <v>45753</v>
      </c>
      <c r="C48" s="149" t="s">
        <v>9</v>
      </c>
      <c r="D48" s="147" t="s">
        <v>3941</v>
      </c>
      <c r="E48" s="150">
        <v>1714000</v>
      </c>
      <c r="F48" s="139">
        <v>315000</v>
      </c>
      <c r="G48" s="139">
        <v>573000</v>
      </c>
      <c r="H48" s="139"/>
      <c r="I48" s="139"/>
      <c r="J48" s="139"/>
      <c r="K48" s="139"/>
    </row>
    <row r="49" spans="1:11" ht="19" x14ac:dyDescent="0.2">
      <c r="A49" s="143">
        <v>1854000</v>
      </c>
      <c r="B49" s="153"/>
      <c r="C49" s="171" t="s">
        <v>10</v>
      </c>
      <c r="D49" s="155" t="s">
        <v>20</v>
      </c>
      <c r="E49" s="164">
        <v>1504000</v>
      </c>
      <c r="F49" s="119">
        <v>169000</v>
      </c>
      <c r="G49" s="119">
        <v>181000</v>
      </c>
      <c r="H49" s="119"/>
      <c r="I49" s="119"/>
      <c r="J49" s="119">
        <v>50000</v>
      </c>
      <c r="K49" s="119" t="s">
        <v>123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195000</v>
      </c>
      <c r="K50" s="139" t="s">
        <v>2255</v>
      </c>
    </row>
    <row r="51" spans="1:11" ht="19" x14ac:dyDescent="0.2">
      <c r="A51" s="143">
        <v>2214000</v>
      </c>
      <c r="B51" s="153">
        <v>45754</v>
      </c>
      <c r="C51" s="171" t="s">
        <v>9</v>
      </c>
      <c r="D51" s="155" t="s">
        <v>3690</v>
      </c>
      <c r="E51" s="164">
        <v>1384000</v>
      </c>
      <c r="F51" s="119">
        <v>303000</v>
      </c>
      <c r="G51" s="119">
        <v>527000</v>
      </c>
      <c r="H51" s="119">
        <v>290000</v>
      </c>
      <c r="I51" s="119" t="s">
        <v>3978</v>
      </c>
      <c r="J51" s="119">
        <v>74000</v>
      </c>
      <c r="K51" s="119" t="s">
        <v>3979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47000</v>
      </c>
      <c r="K52" s="139" t="s">
        <v>1493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35000</v>
      </c>
      <c r="K53" s="119" t="s">
        <v>1885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134000</v>
      </c>
      <c r="K54" s="139" t="s">
        <v>3980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17000</v>
      </c>
      <c r="K55" s="119" t="s">
        <v>3981</v>
      </c>
    </row>
    <row r="56" spans="1:11" ht="19" x14ac:dyDescent="0.2">
      <c r="A56" s="144">
        <v>2057000</v>
      </c>
      <c r="B56" s="145"/>
      <c r="C56" s="149" t="s">
        <v>10</v>
      </c>
      <c r="D56" s="147" t="s">
        <v>3967</v>
      </c>
      <c r="E56" s="150">
        <v>1380000</v>
      </c>
      <c r="F56" s="139">
        <v>187000</v>
      </c>
      <c r="G56" s="139">
        <v>490000</v>
      </c>
      <c r="H56" s="139"/>
      <c r="I56" s="139"/>
      <c r="J56" s="139">
        <v>90000</v>
      </c>
      <c r="K56" s="139" t="s">
        <v>3828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200000</v>
      </c>
      <c r="K57" s="119" t="s">
        <v>2796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45000</v>
      </c>
      <c r="K58" s="139" t="s">
        <v>1722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150000</v>
      </c>
      <c r="K59" s="119" t="s">
        <v>1710</v>
      </c>
    </row>
    <row r="60" spans="1:11" ht="19" x14ac:dyDescent="0.2">
      <c r="A60" s="144">
        <v>2483000</v>
      </c>
      <c r="B60" s="145">
        <v>45755</v>
      </c>
      <c r="C60" s="149" t="s">
        <v>9</v>
      </c>
      <c r="D60" s="147" t="s">
        <v>3690</v>
      </c>
      <c r="E60" s="150">
        <v>1653000</v>
      </c>
      <c r="F60" s="139">
        <v>100000</v>
      </c>
      <c r="G60" s="139">
        <v>730000</v>
      </c>
      <c r="H60" s="157"/>
      <c r="I60" s="139"/>
      <c r="J60" s="139">
        <v>132000</v>
      </c>
      <c r="K60" s="139" t="s">
        <v>2015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82000</v>
      </c>
      <c r="K61" s="119" t="s">
        <v>3982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51000</v>
      </c>
      <c r="K62" s="139" t="s">
        <v>3983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22000</v>
      </c>
      <c r="K63" s="119" t="s">
        <v>3984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33000</v>
      </c>
      <c r="K64" s="139" t="s">
        <v>1857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23000</v>
      </c>
      <c r="K65" s="119" t="s">
        <v>1524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39"/>
      <c r="I66" s="139"/>
      <c r="J66" s="139">
        <v>4000</v>
      </c>
      <c r="K66" s="139" t="s">
        <v>3985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82000</v>
      </c>
      <c r="K67" s="119" t="s">
        <v>3722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150000</v>
      </c>
      <c r="K68" s="139" t="s">
        <v>3986</v>
      </c>
    </row>
    <row r="69" spans="1:11" ht="19" x14ac:dyDescent="0.2">
      <c r="A69" s="206">
        <v>1200000</v>
      </c>
      <c r="B69" s="153"/>
      <c r="C69" s="171" t="s">
        <v>10</v>
      </c>
      <c r="D69" s="155" t="s">
        <v>3976</v>
      </c>
      <c r="E69" s="210">
        <v>469000</v>
      </c>
      <c r="F69" s="211">
        <v>159000</v>
      </c>
      <c r="G69" s="211">
        <v>572000</v>
      </c>
      <c r="H69" s="211"/>
      <c r="I69" s="119"/>
      <c r="J69" s="211">
        <v>500000</v>
      </c>
      <c r="K69" s="119" t="s">
        <v>2536</v>
      </c>
    </row>
    <row r="70" spans="1:11" ht="19" x14ac:dyDescent="0.2">
      <c r="A70" s="144">
        <v>2731000</v>
      </c>
      <c r="B70" s="145">
        <v>45756</v>
      </c>
      <c r="C70" s="149" t="s">
        <v>9</v>
      </c>
      <c r="D70" s="147" t="s">
        <v>3690</v>
      </c>
      <c r="E70" s="150">
        <v>1461000</v>
      </c>
      <c r="F70" s="139">
        <v>457000</v>
      </c>
      <c r="G70" s="139">
        <v>813000</v>
      </c>
      <c r="H70" s="139"/>
      <c r="I70" s="139"/>
      <c r="J70" s="139">
        <v>200000</v>
      </c>
      <c r="K70" s="139" t="s">
        <v>3987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90000</v>
      </c>
      <c r="K71" s="9" t="s">
        <v>3828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48000</v>
      </c>
      <c r="K72" s="139" t="s">
        <v>1493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290000</v>
      </c>
      <c r="K73" s="9" t="s">
        <v>2764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80000</v>
      </c>
      <c r="K74" s="139" t="s">
        <v>3988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80000</v>
      </c>
      <c r="K75" s="119" t="s">
        <v>3989</v>
      </c>
    </row>
    <row r="76" spans="1:11" ht="19" x14ac:dyDescent="0.2">
      <c r="A76" s="144">
        <v>1362000</v>
      </c>
      <c r="B76" s="145"/>
      <c r="C76" s="149" t="s">
        <v>10</v>
      </c>
      <c r="D76" s="147" t="s">
        <v>3967</v>
      </c>
      <c r="E76" s="150">
        <v>994000</v>
      </c>
      <c r="F76" s="139">
        <v>25000</v>
      </c>
      <c r="G76" s="139">
        <v>343000</v>
      </c>
      <c r="H76" s="152"/>
      <c r="I76" s="152"/>
      <c r="J76" s="139">
        <v>100000</v>
      </c>
      <c r="K76" s="139" t="s">
        <v>3248</v>
      </c>
    </row>
    <row r="77" spans="1:11" ht="19" x14ac:dyDescent="0.2">
      <c r="A77" s="143">
        <v>2189000</v>
      </c>
      <c r="B77" s="153">
        <v>45757</v>
      </c>
      <c r="C77" s="171" t="s">
        <v>9</v>
      </c>
      <c r="D77" s="155" t="s">
        <v>3690</v>
      </c>
      <c r="E77" s="164">
        <v>1411000</v>
      </c>
      <c r="F77" s="119">
        <v>373000</v>
      </c>
      <c r="G77" s="119">
        <v>405000</v>
      </c>
      <c r="H77" s="9">
        <v>7764000</v>
      </c>
      <c r="I77" s="9" t="s">
        <v>2898</v>
      </c>
      <c r="J77" s="9">
        <v>24000</v>
      </c>
      <c r="K77" s="9" t="s">
        <v>3990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139000</v>
      </c>
      <c r="K78" s="139" t="s">
        <v>3991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71000</v>
      </c>
      <c r="K79" s="119" t="s">
        <v>3992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56000</v>
      </c>
      <c r="K80" s="139" t="s">
        <v>3993</v>
      </c>
    </row>
    <row r="81" spans="1:11" ht="19" x14ac:dyDescent="0.2">
      <c r="A81" s="143">
        <v>1338000</v>
      </c>
      <c r="B81" s="153"/>
      <c r="C81" s="171" t="s">
        <v>10</v>
      </c>
      <c r="D81" s="155" t="s">
        <v>3967</v>
      </c>
      <c r="E81" s="164">
        <v>897000</v>
      </c>
      <c r="F81" s="119">
        <v>123000</v>
      </c>
      <c r="G81" s="119">
        <v>318000</v>
      </c>
      <c r="H81" s="119"/>
      <c r="I81" s="119"/>
      <c r="J81" s="119">
        <v>75000</v>
      </c>
      <c r="K81" s="119" t="s">
        <v>1307</v>
      </c>
    </row>
    <row r="82" spans="1:11" ht="19" x14ac:dyDescent="0.2">
      <c r="A82" s="144">
        <v>2543000</v>
      </c>
      <c r="B82" s="145">
        <v>45758</v>
      </c>
      <c r="C82" s="149" t="s">
        <v>9</v>
      </c>
      <c r="D82" s="147" t="s">
        <v>3690</v>
      </c>
      <c r="E82" s="150">
        <v>1533000</v>
      </c>
      <c r="F82" s="139">
        <v>202000</v>
      </c>
      <c r="G82" s="139">
        <v>808000</v>
      </c>
      <c r="H82" s="152"/>
      <c r="I82" s="152"/>
      <c r="J82" s="139">
        <v>70000</v>
      </c>
      <c r="K82" s="139" t="s">
        <v>3808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83000</v>
      </c>
      <c r="K83" s="9" t="s">
        <v>2830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8000</v>
      </c>
      <c r="K84" s="139" t="s">
        <v>3994</v>
      </c>
    </row>
    <row r="85" spans="1:11" ht="19" x14ac:dyDescent="0.2">
      <c r="A85" s="143">
        <v>1060000</v>
      </c>
      <c r="B85" s="153"/>
      <c r="C85" s="171" t="s">
        <v>10</v>
      </c>
      <c r="D85" s="155" t="s">
        <v>3531</v>
      </c>
      <c r="E85" s="164">
        <v>849000</v>
      </c>
      <c r="F85" s="119">
        <v>80000</v>
      </c>
      <c r="G85" s="119">
        <v>131000</v>
      </c>
      <c r="H85" s="174"/>
      <c r="I85" s="106"/>
      <c r="J85" s="119">
        <v>60000</v>
      </c>
      <c r="K85" s="119" t="s">
        <v>3995</v>
      </c>
    </row>
    <row r="86" spans="1:11" ht="19" x14ac:dyDescent="0.2">
      <c r="A86" s="144">
        <v>2395000</v>
      </c>
      <c r="B86" s="145">
        <v>45759</v>
      </c>
      <c r="C86" s="149" t="s">
        <v>9</v>
      </c>
      <c r="D86" s="147" t="s">
        <v>3690</v>
      </c>
      <c r="E86" s="150">
        <v>1611000</v>
      </c>
      <c r="F86" s="139">
        <v>238000</v>
      </c>
      <c r="G86" s="139">
        <v>546000</v>
      </c>
      <c r="H86" s="162"/>
      <c r="I86" s="162"/>
      <c r="J86" s="139">
        <v>70000</v>
      </c>
      <c r="K86" s="139" t="s">
        <v>3996</v>
      </c>
    </row>
    <row r="87" spans="1:11" ht="19" x14ac:dyDescent="0.2">
      <c r="A87" s="143">
        <v>1679000</v>
      </c>
      <c r="B87" s="153"/>
      <c r="C87" s="171" t="s">
        <v>10</v>
      </c>
      <c r="D87" s="155" t="s">
        <v>28</v>
      </c>
      <c r="E87" s="164">
        <v>1102000</v>
      </c>
      <c r="F87" s="119">
        <v>189000</v>
      </c>
      <c r="G87" s="119">
        <v>388000</v>
      </c>
      <c r="H87" s="119"/>
      <c r="I87" s="174"/>
      <c r="J87" s="119">
        <v>200000</v>
      </c>
      <c r="K87" s="119" t="s">
        <v>3997</v>
      </c>
    </row>
    <row r="88" spans="1:11" ht="19" x14ac:dyDescent="0.2">
      <c r="A88" s="144">
        <v>2061000</v>
      </c>
      <c r="B88" s="145">
        <v>45760</v>
      </c>
      <c r="C88" s="149" t="s">
        <v>9</v>
      </c>
      <c r="D88" s="147" t="s">
        <v>3941</v>
      </c>
      <c r="E88" s="150">
        <v>1576000</v>
      </c>
      <c r="F88" s="139">
        <v>156000</v>
      </c>
      <c r="G88" s="139">
        <v>329000</v>
      </c>
      <c r="H88" s="162"/>
      <c r="I88" s="162"/>
      <c r="J88" s="162">
        <v>50000</v>
      </c>
      <c r="K88" s="162" t="s">
        <v>123</v>
      </c>
    </row>
    <row r="89" spans="1:11" ht="19" x14ac:dyDescent="0.2">
      <c r="A89" s="143">
        <v>1938000</v>
      </c>
      <c r="B89" s="153"/>
      <c r="C89" s="171" t="s">
        <v>10</v>
      </c>
      <c r="D89" s="155" t="s">
        <v>20</v>
      </c>
      <c r="E89" s="164">
        <v>1047000</v>
      </c>
      <c r="F89" s="119">
        <v>334000</v>
      </c>
      <c r="G89" s="119">
        <v>557000</v>
      </c>
      <c r="H89" s="106"/>
      <c r="I89" s="106"/>
      <c r="J89" s="119">
        <v>1300000</v>
      </c>
      <c r="K89" s="119" t="s">
        <v>4045</v>
      </c>
    </row>
    <row r="90" spans="1:11" ht="19" x14ac:dyDescent="0.2">
      <c r="A90" s="144">
        <v>2714000</v>
      </c>
      <c r="B90" s="145">
        <v>45761</v>
      </c>
      <c r="C90" s="149" t="s">
        <v>9</v>
      </c>
      <c r="D90" s="147" t="s">
        <v>3941</v>
      </c>
      <c r="E90" s="150">
        <v>2144000</v>
      </c>
      <c r="F90" s="139">
        <v>86000</v>
      </c>
      <c r="G90" s="139">
        <v>484000</v>
      </c>
      <c r="H90" s="152"/>
      <c r="I90" s="152"/>
      <c r="J90" s="139">
        <v>30000</v>
      </c>
      <c r="K90" s="139" t="s">
        <v>3628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58000</v>
      </c>
      <c r="K91" s="9" t="s">
        <v>3998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52"/>
      <c r="I92" s="152"/>
      <c r="J92" s="139">
        <v>90000</v>
      </c>
      <c r="K92" s="139" t="s">
        <v>1310</v>
      </c>
    </row>
    <row r="93" spans="1:11" ht="19" x14ac:dyDescent="0.2">
      <c r="A93" s="143">
        <v>1724000</v>
      </c>
      <c r="B93" s="153"/>
      <c r="C93" s="49" t="s">
        <v>10</v>
      </c>
      <c r="D93" s="13" t="s">
        <v>28</v>
      </c>
      <c r="E93" s="15">
        <v>1285000</v>
      </c>
      <c r="F93" s="9">
        <v>56000</v>
      </c>
      <c r="G93" s="9">
        <v>383000</v>
      </c>
      <c r="H93" s="175"/>
      <c r="I93" s="9"/>
      <c r="J93" s="119">
        <v>90000</v>
      </c>
      <c r="K93" s="9" t="s">
        <v>3828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39">
        <v>200000</v>
      </c>
      <c r="K94" s="139" t="s">
        <v>2796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>
        <v>1700000</v>
      </c>
      <c r="I95" s="9" t="s">
        <v>3999</v>
      </c>
      <c r="J95" s="9">
        <v>150000</v>
      </c>
      <c r="K95" s="9" t="s">
        <v>1710</v>
      </c>
    </row>
    <row r="96" spans="1:11" ht="19" x14ac:dyDescent="0.2">
      <c r="A96" s="144">
        <v>2522000</v>
      </c>
      <c r="B96" s="145">
        <v>45762</v>
      </c>
      <c r="C96" s="149" t="s">
        <v>9</v>
      </c>
      <c r="D96" s="147" t="s">
        <v>4000</v>
      </c>
      <c r="E96" s="150">
        <v>1655000</v>
      </c>
      <c r="F96" s="139">
        <v>259000</v>
      </c>
      <c r="G96" s="139">
        <v>608000</v>
      </c>
      <c r="H96" s="139">
        <v>660000</v>
      </c>
      <c r="I96" s="139" t="s">
        <v>3917</v>
      </c>
      <c r="J96" s="139">
        <v>33000</v>
      </c>
      <c r="K96" s="139" t="s">
        <v>1857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9">
        <v>1832000</v>
      </c>
      <c r="I97" s="119" t="s">
        <v>4001</v>
      </c>
      <c r="J97" s="9">
        <v>132000</v>
      </c>
      <c r="K97" s="9" t="s">
        <v>2015</v>
      </c>
    </row>
    <row r="98" spans="1:11" ht="32" x14ac:dyDescent="0.2">
      <c r="A98" s="144"/>
      <c r="B98" s="145"/>
      <c r="C98" s="159"/>
      <c r="D98" s="147"/>
      <c r="E98" s="150"/>
      <c r="F98" s="139"/>
      <c r="G98" s="139"/>
      <c r="H98" s="139">
        <v>1169000</v>
      </c>
      <c r="I98" s="161" t="s">
        <v>4002</v>
      </c>
      <c r="J98" s="139">
        <v>28000</v>
      </c>
      <c r="K98" s="139" t="s">
        <v>3435</v>
      </c>
    </row>
    <row r="99" spans="1:11" ht="19" x14ac:dyDescent="0.2">
      <c r="A99" s="143">
        <v>1163000</v>
      </c>
      <c r="B99" s="153"/>
      <c r="C99" s="171" t="s">
        <v>10</v>
      </c>
      <c r="D99" s="155" t="s">
        <v>3531</v>
      </c>
      <c r="E99" s="164">
        <v>837000</v>
      </c>
      <c r="F99" s="164">
        <v>115000</v>
      </c>
      <c r="G99" s="119">
        <v>211000</v>
      </c>
      <c r="H99" s="119"/>
      <c r="I99" s="119"/>
      <c r="J99" s="119">
        <v>15000</v>
      </c>
      <c r="K99" s="119" t="s">
        <v>4003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72000</v>
      </c>
      <c r="K100" s="139" t="s">
        <v>3808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7000</v>
      </c>
      <c r="K101" s="119" t="s">
        <v>4004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24000</v>
      </c>
      <c r="K102" s="139" t="s">
        <v>1305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89000</v>
      </c>
      <c r="K103" s="119" t="s">
        <v>4005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51000</v>
      </c>
      <c r="K104" s="139" t="s">
        <v>1449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240000</v>
      </c>
      <c r="K105" s="119" t="s">
        <v>4006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140000</v>
      </c>
      <c r="K106" s="139" t="s">
        <v>751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135000</v>
      </c>
      <c r="K107" s="119" t="s">
        <v>895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150000</v>
      </c>
      <c r="K108" s="139" t="s">
        <v>4007</v>
      </c>
    </row>
    <row r="109" spans="1:11" ht="19" x14ac:dyDescent="0.2">
      <c r="A109" s="293">
        <v>2407000</v>
      </c>
      <c r="B109" s="153">
        <v>45763</v>
      </c>
      <c r="C109" s="171" t="s">
        <v>9</v>
      </c>
      <c r="D109" s="155" t="s">
        <v>3941</v>
      </c>
      <c r="E109" s="164">
        <v>987000</v>
      </c>
      <c r="F109" s="119">
        <v>993000</v>
      </c>
      <c r="G109" s="119">
        <v>427000</v>
      </c>
      <c r="H109" s="119"/>
      <c r="I109" s="119"/>
      <c r="J109" s="119">
        <v>150000</v>
      </c>
      <c r="K109" s="119" t="s">
        <v>4008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160000</v>
      </c>
      <c r="K110" s="139" t="s">
        <v>4009</v>
      </c>
    </row>
    <row r="111" spans="1:11" ht="19" x14ac:dyDescent="0.2">
      <c r="A111" s="143">
        <v>1307000</v>
      </c>
      <c r="B111" s="153"/>
      <c r="C111" s="171" t="s">
        <v>10</v>
      </c>
      <c r="D111" s="155" t="s">
        <v>28</v>
      </c>
      <c r="E111" s="164">
        <v>835000</v>
      </c>
      <c r="F111" s="119">
        <v>169000</v>
      </c>
      <c r="G111" s="119">
        <v>303000</v>
      </c>
      <c r="H111" s="119"/>
      <c r="I111" s="119"/>
      <c r="J111" s="119">
        <v>100000</v>
      </c>
      <c r="K111" s="119" t="s">
        <v>3248</v>
      </c>
    </row>
    <row r="112" spans="1:11" ht="19" x14ac:dyDescent="0.2">
      <c r="A112" s="144">
        <v>2857000</v>
      </c>
      <c r="B112" s="145">
        <v>45764</v>
      </c>
      <c r="C112" s="149" t="s">
        <v>9</v>
      </c>
      <c r="D112" s="147" t="s">
        <v>4010</v>
      </c>
      <c r="E112" s="150">
        <v>1476000</v>
      </c>
      <c r="F112" s="139">
        <v>515000</v>
      </c>
      <c r="G112" s="139">
        <v>866000</v>
      </c>
      <c r="H112" s="139"/>
      <c r="I112" s="139"/>
      <c r="J112" s="139">
        <v>160000</v>
      </c>
      <c r="K112" s="139" t="s">
        <v>1597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98000</v>
      </c>
      <c r="K113" s="119" t="s">
        <v>4011</v>
      </c>
    </row>
    <row r="114" spans="1:11" ht="19" x14ac:dyDescent="0.2">
      <c r="A114" s="144">
        <v>1806000</v>
      </c>
      <c r="B114" s="145"/>
      <c r="C114" s="149" t="s">
        <v>10</v>
      </c>
      <c r="D114" s="147" t="s">
        <v>28</v>
      </c>
      <c r="E114" s="150">
        <v>1252000</v>
      </c>
      <c r="F114" s="139">
        <v>204000</v>
      </c>
      <c r="G114" s="139">
        <v>350000</v>
      </c>
      <c r="H114" s="139"/>
      <c r="I114" s="139"/>
      <c r="J114" s="139">
        <v>2108000</v>
      </c>
      <c r="K114" s="139" t="s">
        <v>4044</v>
      </c>
    </row>
    <row r="115" spans="1:11" ht="19" x14ac:dyDescent="0.2">
      <c r="A115" s="143">
        <v>2654000</v>
      </c>
      <c r="B115" s="153">
        <v>45765</v>
      </c>
      <c r="C115" s="171" t="s">
        <v>9</v>
      </c>
      <c r="D115" s="155" t="s">
        <v>3941</v>
      </c>
      <c r="E115" s="164">
        <v>1615000</v>
      </c>
      <c r="F115" s="119">
        <v>292000</v>
      </c>
      <c r="G115" s="119">
        <v>747000</v>
      </c>
      <c r="H115" s="119"/>
      <c r="I115" s="119"/>
      <c r="J115" s="119">
        <v>64000</v>
      </c>
      <c r="K115" s="119" t="s">
        <v>4012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63000</v>
      </c>
      <c r="K116" s="162" t="s">
        <v>4013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117000</v>
      </c>
      <c r="K117" s="174" t="s">
        <v>4014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90000</v>
      </c>
      <c r="K118" s="139" t="s">
        <v>1307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520000</v>
      </c>
      <c r="K119" s="119" t="s">
        <v>1462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115000</v>
      </c>
      <c r="K120" s="139" t="s">
        <v>1668</v>
      </c>
    </row>
    <row r="121" spans="1:11" ht="19" x14ac:dyDescent="0.2">
      <c r="A121" s="143">
        <v>1922000</v>
      </c>
      <c r="B121" s="153"/>
      <c r="C121" s="171" t="s">
        <v>10</v>
      </c>
      <c r="D121" s="155" t="s">
        <v>3531</v>
      </c>
      <c r="E121" s="164">
        <v>1264000</v>
      </c>
      <c r="F121" s="119">
        <v>378000</v>
      </c>
      <c r="G121" s="119">
        <v>280000</v>
      </c>
      <c r="H121" s="119"/>
      <c r="I121" s="119"/>
      <c r="J121" s="119">
        <v>32000</v>
      </c>
      <c r="K121" s="119" t="s">
        <v>3463</v>
      </c>
    </row>
    <row r="122" spans="1:11" ht="19" x14ac:dyDescent="0.2">
      <c r="A122" s="144">
        <v>2298000</v>
      </c>
      <c r="B122" s="145">
        <v>45766</v>
      </c>
      <c r="C122" s="149" t="s">
        <v>9</v>
      </c>
      <c r="D122" s="147" t="s">
        <v>20</v>
      </c>
      <c r="E122" s="150">
        <v>1647000</v>
      </c>
      <c r="F122" s="139">
        <v>326000</v>
      </c>
      <c r="G122" s="139">
        <v>325000</v>
      </c>
      <c r="H122" s="139"/>
      <c r="I122" s="139"/>
      <c r="J122" s="139">
        <v>75000</v>
      </c>
      <c r="K122" s="139" t="s">
        <v>1307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18000</v>
      </c>
      <c r="K123" s="174" t="s">
        <v>3463</v>
      </c>
    </row>
    <row r="124" spans="1:11" ht="19" x14ac:dyDescent="0.2">
      <c r="A124" s="144">
        <v>1857000</v>
      </c>
      <c r="B124" s="145"/>
      <c r="C124" s="151" t="s">
        <v>10</v>
      </c>
      <c r="D124" s="147" t="s">
        <v>28</v>
      </c>
      <c r="E124" s="150">
        <v>1623000</v>
      </c>
      <c r="F124" s="139">
        <v>167000</v>
      </c>
      <c r="G124" s="139">
        <v>67000</v>
      </c>
      <c r="H124" s="139"/>
      <c r="I124" s="139"/>
      <c r="J124" s="162">
        <v>54000</v>
      </c>
      <c r="K124" s="162" t="s">
        <v>3851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50000</v>
      </c>
      <c r="K125" s="106" t="s">
        <v>123</v>
      </c>
    </row>
    <row r="126" spans="1:11" ht="19" x14ac:dyDescent="0.2">
      <c r="A126" s="144">
        <v>1421000</v>
      </c>
      <c r="B126" s="145">
        <v>45767</v>
      </c>
      <c r="C126" s="149" t="s">
        <v>9</v>
      </c>
      <c r="D126" s="147" t="s">
        <v>20</v>
      </c>
      <c r="E126" s="150">
        <v>893000</v>
      </c>
      <c r="F126" s="139">
        <v>70000</v>
      </c>
      <c r="G126" s="139">
        <v>458000</v>
      </c>
      <c r="H126" s="139"/>
      <c r="I126" s="139"/>
      <c r="J126" s="162"/>
      <c r="K126" s="162"/>
    </row>
    <row r="127" spans="1:11" ht="19" x14ac:dyDescent="0.2">
      <c r="A127" s="143">
        <v>1548000</v>
      </c>
      <c r="B127" s="153"/>
      <c r="C127" s="163" t="s">
        <v>10</v>
      </c>
      <c r="D127" s="155" t="s">
        <v>28</v>
      </c>
      <c r="E127" s="164">
        <v>809000</v>
      </c>
      <c r="F127" s="119">
        <v>257000</v>
      </c>
      <c r="G127" s="119">
        <v>482000</v>
      </c>
      <c r="H127" s="119"/>
      <c r="I127" s="119"/>
      <c r="J127" s="174">
        <v>1060000</v>
      </c>
      <c r="K127" s="174" t="s">
        <v>4015</v>
      </c>
    </row>
    <row r="128" spans="1:11" ht="19" x14ac:dyDescent="0.2">
      <c r="A128" s="148">
        <v>3215000</v>
      </c>
      <c r="B128" s="145">
        <v>45768</v>
      </c>
      <c r="C128" s="159" t="s">
        <v>9</v>
      </c>
      <c r="D128" s="147" t="s">
        <v>20</v>
      </c>
      <c r="E128" s="150">
        <v>1498000</v>
      </c>
      <c r="F128" s="139">
        <v>746000</v>
      </c>
      <c r="G128" s="139">
        <v>971000</v>
      </c>
      <c r="H128" s="139"/>
      <c r="I128" s="139"/>
      <c r="J128" s="139">
        <v>60000</v>
      </c>
      <c r="K128" s="139" t="s">
        <v>3395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8000</v>
      </c>
      <c r="K129" s="174" t="s">
        <v>4016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51000</v>
      </c>
      <c r="K130" s="139" t="s">
        <v>1449</v>
      </c>
    </row>
    <row r="131" spans="1:11" ht="19" x14ac:dyDescent="0.2">
      <c r="A131" s="143">
        <v>1692000</v>
      </c>
      <c r="B131" s="153"/>
      <c r="C131" s="163" t="s">
        <v>10</v>
      </c>
      <c r="D131" s="155" t="s">
        <v>28</v>
      </c>
      <c r="E131" s="164">
        <v>1196000</v>
      </c>
      <c r="F131" s="119">
        <v>157000</v>
      </c>
      <c r="G131" s="119">
        <v>339000</v>
      </c>
      <c r="H131" s="119"/>
      <c r="I131" s="119"/>
      <c r="J131" s="119">
        <v>150000</v>
      </c>
      <c r="K131" s="119" t="s">
        <v>4017</v>
      </c>
    </row>
    <row r="132" spans="1:11" ht="19" x14ac:dyDescent="0.2">
      <c r="A132" s="144">
        <v>2333000</v>
      </c>
      <c r="B132" s="145">
        <v>45769</v>
      </c>
      <c r="C132" s="151" t="s">
        <v>9</v>
      </c>
      <c r="D132" s="147" t="s">
        <v>3941</v>
      </c>
      <c r="E132" s="150">
        <v>1409000</v>
      </c>
      <c r="F132" s="139">
        <v>342000</v>
      </c>
      <c r="G132" s="139">
        <v>582000</v>
      </c>
      <c r="H132" s="139"/>
      <c r="I132" s="139"/>
      <c r="J132" s="139">
        <v>117000</v>
      </c>
      <c r="K132" s="139" t="s">
        <v>4018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200000</v>
      </c>
      <c r="K133" s="119" t="s">
        <v>2796</v>
      </c>
    </row>
    <row r="134" spans="1:11" ht="19" x14ac:dyDescent="0.2">
      <c r="A134" s="144">
        <v>1538000</v>
      </c>
      <c r="B134" s="145"/>
      <c r="C134" s="151" t="s">
        <v>10</v>
      </c>
      <c r="D134" s="147" t="s">
        <v>3531</v>
      </c>
      <c r="E134" s="150">
        <v>914000</v>
      </c>
      <c r="F134" s="139">
        <v>243000</v>
      </c>
      <c r="G134" s="139">
        <v>381000</v>
      </c>
      <c r="H134" s="139"/>
      <c r="I134" s="139"/>
      <c r="J134" s="139">
        <v>150000</v>
      </c>
      <c r="K134" s="139" t="s">
        <v>1710</v>
      </c>
    </row>
    <row r="135" spans="1:11" ht="19" x14ac:dyDescent="0.2">
      <c r="A135" s="143">
        <v>3158000</v>
      </c>
      <c r="B135" s="153">
        <v>45770</v>
      </c>
      <c r="C135" s="163" t="s">
        <v>9</v>
      </c>
      <c r="D135" s="155" t="s">
        <v>3941</v>
      </c>
      <c r="E135" s="164">
        <v>1666000</v>
      </c>
      <c r="F135" s="119">
        <v>733000</v>
      </c>
      <c r="G135" s="119">
        <v>759000</v>
      </c>
      <c r="H135" s="119"/>
      <c r="I135" s="119"/>
      <c r="J135" s="119">
        <v>30000</v>
      </c>
      <c r="K135" s="119" t="s">
        <v>2250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240000</v>
      </c>
      <c r="K136" s="139" t="s">
        <v>4006</v>
      </c>
    </row>
    <row r="137" spans="1:11" ht="19" x14ac:dyDescent="0.2">
      <c r="A137" s="143">
        <v>1444000</v>
      </c>
      <c r="B137" s="153"/>
      <c r="C137" s="163" t="s">
        <v>10</v>
      </c>
      <c r="D137" s="155" t="s">
        <v>28</v>
      </c>
      <c r="E137" s="164">
        <v>802000</v>
      </c>
      <c r="F137" s="119">
        <v>99000</v>
      </c>
      <c r="G137" s="119">
        <v>543000</v>
      </c>
      <c r="H137" s="119"/>
      <c r="I137" s="119"/>
      <c r="J137" s="174">
        <v>120000</v>
      </c>
      <c r="K137" s="174" t="s">
        <v>1854</v>
      </c>
    </row>
    <row r="138" spans="1:11" ht="19" x14ac:dyDescent="0.2">
      <c r="A138" s="144">
        <v>3004000</v>
      </c>
      <c r="B138" s="145">
        <v>45771</v>
      </c>
      <c r="C138" s="151" t="s">
        <v>9</v>
      </c>
      <c r="D138" s="147" t="s">
        <v>20</v>
      </c>
      <c r="E138" s="150">
        <v>1610000</v>
      </c>
      <c r="F138" s="139">
        <v>578000</v>
      </c>
      <c r="G138" s="139">
        <v>816000</v>
      </c>
      <c r="H138" s="139"/>
      <c r="I138" s="139"/>
      <c r="J138" s="162">
        <v>140000</v>
      </c>
      <c r="K138" s="162" t="s">
        <v>3556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82000</v>
      </c>
      <c r="K139" s="106" t="s">
        <v>3722</v>
      </c>
    </row>
    <row r="140" spans="1:11" ht="19" x14ac:dyDescent="0.2">
      <c r="A140" s="144">
        <v>1739000</v>
      </c>
      <c r="B140" s="145"/>
      <c r="C140" s="151" t="s">
        <v>10</v>
      </c>
      <c r="D140" s="147" t="s">
        <v>28</v>
      </c>
      <c r="E140" s="150">
        <v>1338000</v>
      </c>
      <c r="F140" s="139">
        <v>182000</v>
      </c>
      <c r="G140" s="139">
        <v>219000</v>
      </c>
      <c r="H140" s="139"/>
      <c r="I140" s="152"/>
      <c r="J140" s="162">
        <v>52000</v>
      </c>
      <c r="K140" s="162" t="s">
        <v>4019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18000</v>
      </c>
      <c r="K141" s="174" t="s">
        <v>4020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49000</v>
      </c>
      <c r="K142" s="139" t="s">
        <v>1493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23000</v>
      </c>
      <c r="K143" s="119" t="s">
        <v>1859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17000</v>
      </c>
      <c r="K144" s="139" t="s">
        <v>4021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162000</v>
      </c>
      <c r="K145" s="119" t="s">
        <v>4022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64000</v>
      </c>
      <c r="K146" s="162" t="s">
        <v>2846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7000</v>
      </c>
      <c r="K147" s="119" t="s">
        <v>2776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105000</v>
      </c>
      <c r="K148" s="139" t="s">
        <v>617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150000</v>
      </c>
      <c r="K149" s="119" t="s">
        <v>1518</v>
      </c>
    </row>
    <row r="150" spans="1:11" ht="19" x14ac:dyDescent="0.2">
      <c r="A150" s="148">
        <v>2945000</v>
      </c>
      <c r="B150" s="145">
        <v>45772</v>
      </c>
      <c r="C150" s="151" t="s">
        <v>9</v>
      </c>
      <c r="D150" s="160" t="s">
        <v>3941</v>
      </c>
      <c r="E150" s="150">
        <v>1733000</v>
      </c>
      <c r="F150" s="139">
        <v>333000</v>
      </c>
      <c r="G150" s="139">
        <v>879000</v>
      </c>
      <c r="H150" s="139"/>
      <c r="I150" s="139"/>
      <c r="J150" s="139">
        <v>150000</v>
      </c>
      <c r="K150" s="139" t="s">
        <v>3563</v>
      </c>
    </row>
    <row r="151" spans="1:11" ht="19" x14ac:dyDescent="0.2">
      <c r="A151" s="142">
        <v>1510000</v>
      </c>
      <c r="B151" s="153"/>
      <c r="C151" s="163" t="s">
        <v>10</v>
      </c>
      <c r="D151" s="172" t="s">
        <v>3531</v>
      </c>
      <c r="E151" s="164">
        <v>949000</v>
      </c>
      <c r="F151" s="119">
        <v>166000</v>
      </c>
      <c r="G151" s="119">
        <v>395000</v>
      </c>
      <c r="H151" s="119"/>
      <c r="I151" s="119"/>
      <c r="J151" s="119">
        <v>300000</v>
      </c>
      <c r="K151" s="119" t="s">
        <v>4023</v>
      </c>
    </row>
    <row r="152" spans="1:11" ht="19" x14ac:dyDescent="0.2">
      <c r="A152" s="148">
        <v>3118000</v>
      </c>
      <c r="B152" s="145">
        <v>45773</v>
      </c>
      <c r="C152" s="151" t="s">
        <v>9</v>
      </c>
      <c r="D152" s="160" t="s">
        <v>20</v>
      </c>
      <c r="E152" s="150">
        <v>1704000</v>
      </c>
      <c r="F152" s="139">
        <v>508000</v>
      </c>
      <c r="G152" s="139">
        <v>906000</v>
      </c>
      <c r="H152" s="139"/>
      <c r="I152" s="139"/>
      <c r="J152" s="139">
        <v>49000</v>
      </c>
      <c r="K152" s="139" t="s">
        <v>1493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93000</v>
      </c>
      <c r="K153" s="119" t="s">
        <v>4024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53000</v>
      </c>
      <c r="K154" s="139" t="s">
        <v>4025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40000</v>
      </c>
      <c r="K155" s="119" t="s">
        <v>3354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16000</v>
      </c>
      <c r="K156" s="139" t="s">
        <v>1934</v>
      </c>
    </row>
    <row r="157" spans="1:11" ht="19" x14ac:dyDescent="0.2">
      <c r="A157" s="143">
        <v>2063000</v>
      </c>
      <c r="B157" s="153"/>
      <c r="C157" s="171" t="s">
        <v>10</v>
      </c>
      <c r="D157" s="155" t="s">
        <v>28</v>
      </c>
      <c r="E157" s="164">
        <v>1172000</v>
      </c>
      <c r="F157" s="119">
        <v>673000</v>
      </c>
      <c r="G157" s="119">
        <v>218000</v>
      </c>
      <c r="H157" s="119"/>
      <c r="I157" s="119"/>
      <c r="J157" s="119">
        <v>152000</v>
      </c>
      <c r="K157" s="119" t="s">
        <v>4026</v>
      </c>
    </row>
    <row r="158" spans="1:11" ht="19" x14ac:dyDescent="0.2">
      <c r="A158" s="144">
        <v>2052000</v>
      </c>
      <c r="B158" s="145">
        <v>45774</v>
      </c>
      <c r="C158" s="151" t="s">
        <v>9</v>
      </c>
      <c r="D158" s="147" t="s">
        <v>20</v>
      </c>
      <c r="E158" s="150">
        <v>1405000</v>
      </c>
      <c r="F158" s="139">
        <v>148000</v>
      </c>
      <c r="G158" s="139">
        <v>499000</v>
      </c>
      <c r="H158" s="139"/>
      <c r="I158" s="139"/>
      <c r="J158" s="139">
        <v>50000</v>
      </c>
      <c r="K158" s="139" t="s">
        <v>123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150000</v>
      </c>
      <c r="K159" s="119" t="s">
        <v>1518</v>
      </c>
    </row>
    <row r="160" spans="1:11" ht="19" x14ac:dyDescent="0.2">
      <c r="A160" s="144">
        <v>1471000</v>
      </c>
      <c r="B160" s="145"/>
      <c r="C160" s="146" t="s">
        <v>10</v>
      </c>
      <c r="D160" s="147" t="s">
        <v>28</v>
      </c>
      <c r="E160" s="150">
        <v>962000</v>
      </c>
      <c r="F160" s="139">
        <v>207000</v>
      </c>
      <c r="G160" s="139">
        <v>302000</v>
      </c>
      <c r="H160" s="139"/>
      <c r="I160" s="165"/>
      <c r="J160" s="139"/>
      <c r="K160" s="139"/>
    </row>
    <row r="161" spans="1:11" ht="19" x14ac:dyDescent="0.2">
      <c r="A161" s="143">
        <v>2343000</v>
      </c>
      <c r="B161" s="32">
        <v>45775</v>
      </c>
      <c r="C161" s="3" t="s">
        <v>9</v>
      </c>
      <c r="D161" s="13" t="s">
        <v>3690</v>
      </c>
      <c r="E161" s="15">
        <v>1683000</v>
      </c>
      <c r="F161" s="9">
        <v>99000</v>
      </c>
      <c r="G161" s="9">
        <v>561000</v>
      </c>
      <c r="H161" s="9"/>
      <c r="I161" s="77"/>
      <c r="J161" s="9">
        <v>98000</v>
      </c>
      <c r="K161" s="9" t="s">
        <v>1641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50000</v>
      </c>
      <c r="K162" s="139" t="s">
        <v>3720</v>
      </c>
    </row>
    <row r="163" spans="1:11" ht="19" x14ac:dyDescent="0.2">
      <c r="A163" s="143">
        <v>1507000</v>
      </c>
      <c r="B163" s="32"/>
      <c r="C163" s="49" t="s">
        <v>1787</v>
      </c>
      <c r="D163" s="13" t="s">
        <v>4027</v>
      </c>
      <c r="E163" s="15">
        <v>693000</v>
      </c>
      <c r="F163" s="9">
        <v>662000</v>
      </c>
      <c r="G163" s="9">
        <v>152000</v>
      </c>
      <c r="H163" s="9"/>
      <c r="I163" s="77"/>
      <c r="J163" s="9">
        <v>12000</v>
      </c>
      <c r="K163" s="9" t="s">
        <v>1582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51000</v>
      </c>
      <c r="K164" s="139" t="s">
        <v>1449</v>
      </c>
    </row>
    <row r="165" spans="1:11" ht="19" x14ac:dyDescent="0.2">
      <c r="A165" s="143">
        <v>2388000</v>
      </c>
      <c r="B165" s="32">
        <v>45776</v>
      </c>
      <c r="C165" s="49" t="s">
        <v>9</v>
      </c>
      <c r="D165" s="13" t="s">
        <v>4010</v>
      </c>
      <c r="E165" s="15">
        <v>1538000</v>
      </c>
      <c r="F165" s="9">
        <v>437000</v>
      </c>
      <c r="G165" s="9">
        <v>413000</v>
      </c>
      <c r="H165" s="9">
        <v>1700000</v>
      </c>
      <c r="I165" s="77" t="s">
        <v>4028</v>
      </c>
      <c r="J165" s="9">
        <v>132000</v>
      </c>
      <c r="K165" s="9" t="s">
        <v>2015</v>
      </c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>
        <v>33000</v>
      </c>
      <c r="K166" s="139" t="s">
        <v>1857</v>
      </c>
    </row>
    <row r="167" spans="1:11" ht="19" x14ac:dyDescent="0.2">
      <c r="A167" s="143">
        <v>1715000</v>
      </c>
      <c r="B167" s="32"/>
      <c r="C167" s="49" t="s">
        <v>10</v>
      </c>
      <c r="D167" s="13" t="s">
        <v>3531</v>
      </c>
      <c r="E167" s="15">
        <v>1165000</v>
      </c>
      <c r="F167" s="9">
        <v>309000</v>
      </c>
      <c r="G167" s="9">
        <v>241000</v>
      </c>
      <c r="H167" s="9"/>
      <c r="I167" s="77"/>
      <c r="J167" s="9">
        <v>45000</v>
      </c>
      <c r="K167" s="9" t="s">
        <v>1645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7000</v>
      </c>
      <c r="K168" s="139" t="s">
        <v>1734</v>
      </c>
    </row>
    <row r="169" spans="1:11" ht="19" x14ac:dyDescent="0.2">
      <c r="A169" s="143">
        <v>3307000</v>
      </c>
      <c r="B169" s="32">
        <v>45777</v>
      </c>
      <c r="C169" s="49" t="s">
        <v>9</v>
      </c>
      <c r="D169" s="13" t="s">
        <v>3941</v>
      </c>
      <c r="E169" s="15">
        <v>1687000</v>
      </c>
      <c r="F169" s="9">
        <v>585000</v>
      </c>
      <c r="G169" s="9">
        <v>1035000</v>
      </c>
      <c r="H169" s="9"/>
      <c r="I169" s="77"/>
      <c r="J169" s="9">
        <v>210000</v>
      </c>
      <c r="K169" s="9" t="s">
        <v>2998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150000</v>
      </c>
      <c r="K170" s="139" t="s">
        <v>1710</v>
      </c>
    </row>
    <row r="171" spans="1:11" ht="19" x14ac:dyDescent="0.2">
      <c r="A171" s="143">
        <v>1595000</v>
      </c>
      <c r="B171" s="32"/>
      <c r="C171" s="49" t="s">
        <v>10</v>
      </c>
      <c r="D171" s="13" t="s">
        <v>20</v>
      </c>
      <c r="E171" s="15">
        <v>749000</v>
      </c>
      <c r="F171" s="9">
        <v>222000</v>
      </c>
      <c r="G171" s="9">
        <v>624000</v>
      </c>
      <c r="H171" s="9">
        <v>1800000</v>
      </c>
      <c r="I171" s="77" t="s">
        <v>4029</v>
      </c>
      <c r="J171" s="9">
        <v>200000</v>
      </c>
      <c r="K171" s="9" t="s">
        <v>2796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>
        <v>1914000</v>
      </c>
      <c r="I172" s="165" t="s">
        <v>4001</v>
      </c>
      <c r="J172" s="139">
        <v>192000</v>
      </c>
      <c r="K172" s="139" t="s">
        <v>1245</v>
      </c>
    </row>
    <row r="173" spans="1:11" ht="32" x14ac:dyDescent="0.2">
      <c r="A173" s="143"/>
      <c r="B173" s="32"/>
      <c r="C173" s="49"/>
      <c r="D173" s="13"/>
      <c r="E173" s="15"/>
      <c r="F173" s="9"/>
      <c r="G173" s="9"/>
      <c r="H173" s="9">
        <v>597000</v>
      </c>
      <c r="I173" s="78" t="s">
        <v>4030</v>
      </c>
      <c r="J173" s="9">
        <v>200000</v>
      </c>
      <c r="K173" s="9" t="s">
        <v>1296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>
        <v>200000</v>
      </c>
      <c r="I174" s="165" t="s">
        <v>4031</v>
      </c>
      <c r="J174" s="139">
        <v>52000</v>
      </c>
      <c r="K174" s="139" t="s">
        <v>4032</v>
      </c>
    </row>
    <row r="175" spans="1:11" ht="48" x14ac:dyDescent="0.2">
      <c r="A175" s="143"/>
      <c r="B175" s="32"/>
      <c r="C175" s="49"/>
      <c r="D175" s="13"/>
      <c r="E175" s="15"/>
      <c r="F175" s="9"/>
      <c r="G175" s="9"/>
      <c r="H175" s="9">
        <v>5657000</v>
      </c>
      <c r="I175" s="78" t="s">
        <v>3572</v>
      </c>
      <c r="J175" s="9">
        <v>158000</v>
      </c>
      <c r="K175" s="9" t="s">
        <v>4033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>
        <v>1300000</v>
      </c>
      <c r="I176" s="165" t="s">
        <v>3739</v>
      </c>
      <c r="J176" s="139">
        <v>30000</v>
      </c>
      <c r="K176" s="139" t="s">
        <v>4034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>
        <v>1300000</v>
      </c>
      <c r="I177" s="77" t="s">
        <v>965</v>
      </c>
      <c r="J177" s="9">
        <v>59000</v>
      </c>
      <c r="K177" s="9" t="s">
        <v>4035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199000</v>
      </c>
      <c r="K178" s="139" t="s">
        <v>4036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54000</v>
      </c>
      <c r="K179" s="9" t="s">
        <v>4037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102000</v>
      </c>
      <c r="K180" s="139" t="s">
        <v>4038</v>
      </c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>
        <v>90000</v>
      </c>
      <c r="K181" s="9" t="s">
        <v>1016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>
        <v>150000</v>
      </c>
      <c r="K182" s="139" t="s">
        <v>4039</v>
      </c>
    </row>
    <row r="183" spans="1:11" ht="19" x14ac:dyDescent="0.2">
      <c r="A183" s="143"/>
      <c r="B183" s="32"/>
      <c r="C183" s="49"/>
      <c r="D183" s="13"/>
      <c r="E183" s="15"/>
      <c r="F183" s="9"/>
      <c r="G183" s="9"/>
      <c r="H183" s="9"/>
      <c r="I183" s="77"/>
      <c r="J183" s="9">
        <v>150000</v>
      </c>
      <c r="K183" s="9" t="s">
        <v>4040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150000</v>
      </c>
      <c r="K184" s="139" t="s">
        <v>4041</v>
      </c>
    </row>
    <row r="185" spans="1:11" ht="19" x14ac:dyDescent="0.2">
      <c r="A185" s="143"/>
      <c r="B185" s="32"/>
      <c r="C185" s="49"/>
      <c r="D185" s="13"/>
      <c r="E185" s="15"/>
      <c r="F185" s="9"/>
      <c r="G185" s="9"/>
      <c r="H185" s="9"/>
      <c r="I185" s="77"/>
      <c r="J185" s="9">
        <v>100000</v>
      </c>
      <c r="K185" s="9" t="s">
        <v>3545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65"/>
      <c r="J186" s="139">
        <v>160000</v>
      </c>
      <c r="K186" s="139" t="s">
        <v>4042</v>
      </c>
    </row>
    <row r="187" spans="1:11" ht="19" x14ac:dyDescent="0.2">
      <c r="A187" s="143"/>
      <c r="B187" s="32"/>
      <c r="C187" s="49"/>
      <c r="D187" s="13"/>
      <c r="E187" s="15"/>
      <c r="F187" s="9"/>
      <c r="G187" s="9"/>
      <c r="H187" s="9"/>
      <c r="I187" s="77"/>
      <c r="J187" s="9"/>
      <c r="K187" s="9"/>
    </row>
    <row r="188" spans="1:11" ht="19" x14ac:dyDescent="0.2">
      <c r="A188" s="294"/>
      <c r="B188" s="145"/>
      <c r="C188" s="151"/>
      <c r="D188" s="147"/>
      <c r="E188" s="150"/>
      <c r="F188" s="139"/>
      <c r="G188" s="139"/>
      <c r="H188" s="139"/>
      <c r="I188" s="165"/>
      <c r="J188" s="139"/>
      <c r="K188" s="13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3:K188"/>
  <sheetViews>
    <sheetView workbookViewId="0">
      <selection activeCell="I12" sqref="I12"/>
    </sheetView>
  </sheetViews>
  <sheetFormatPr baseColWidth="10" defaultColWidth="11.5" defaultRowHeight="15" x14ac:dyDescent="0.2"/>
  <cols>
    <col min="1" max="1" width="21.83203125" bestFit="1" customWidth="1"/>
    <col min="3" max="3" width="13.33203125" bestFit="1" customWidth="1"/>
    <col min="4" max="4" width="15.6640625" bestFit="1" customWidth="1"/>
    <col min="5" max="5" width="20.33203125" bestFit="1" customWidth="1"/>
    <col min="6" max="6" width="24.5" customWidth="1"/>
    <col min="7" max="7" width="23.83203125" customWidth="1"/>
    <col min="8" max="8" width="20.33203125" bestFit="1" customWidth="1"/>
    <col min="9" max="9" width="36" customWidth="1"/>
    <col min="10" max="10" width="23.5" customWidth="1"/>
    <col min="11" max="11" width="28.8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16756000</v>
      </c>
      <c r="K4" s="72">
        <f>J4/10820</f>
        <v>1548.6136783733825</v>
      </c>
    </row>
    <row r="5" spans="1:11" ht="24" x14ac:dyDescent="0.3">
      <c r="B5" s="99" t="s">
        <v>4133</v>
      </c>
      <c r="H5" s="73"/>
      <c r="I5" s="71" t="s">
        <v>2315</v>
      </c>
      <c r="J5" s="71">
        <v>16746000</v>
      </c>
      <c r="K5" s="72">
        <f>J5/10820</f>
        <v>1547.6894639556376</v>
      </c>
    </row>
    <row r="6" spans="1:11" ht="24" x14ac:dyDescent="0.3">
      <c r="B6" s="99"/>
      <c r="H6" s="73"/>
      <c r="I6" s="71" t="s">
        <v>178</v>
      </c>
      <c r="J6" s="71">
        <v>5120063</v>
      </c>
      <c r="K6" s="72" t="s">
        <v>4135</v>
      </c>
    </row>
    <row r="7" spans="1:11" ht="26" x14ac:dyDescent="0.3">
      <c r="B7" s="100" t="s">
        <v>4134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SUM(A11:A469)</f>
        <v>126134000</v>
      </c>
      <c r="B10" s="65"/>
      <c r="C10" s="66" t="s">
        <v>13</v>
      </c>
      <c r="D10" s="67"/>
      <c r="E10" s="68">
        <f>SUM(E11:E469)</f>
        <v>83451000</v>
      </c>
      <c r="F10" s="69">
        <f>SUM(F11:F469)</f>
        <v>14541000</v>
      </c>
      <c r="G10" s="69">
        <f>SUM(G11:G456)</f>
        <v>28142000</v>
      </c>
      <c r="H10" s="69">
        <f>SUM(H11:H469)</f>
        <v>33491000</v>
      </c>
      <c r="I10" s="69"/>
      <c r="J10" s="69">
        <f>SUM(J11:J469)</f>
        <v>16468000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2567000</v>
      </c>
      <c r="B12" s="145">
        <v>45778</v>
      </c>
      <c r="C12" s="151" t="s">
        <v>9</v>
      </c>
      <c r="D12" s="147" t="s">
        <v>3941</v>
      </c>
      <c r="E12" s="150">
        <v>1506000</v>
      </c>
      <c r="F12" s="139">
        <v>260000</v>
      </c>
      <c r="G12" s="139">
        <v>801000</v>
      </c>
      <c r="H12" s="139">
        <v>920000</v>
      </c>
      <c r="I12" s="296" t="s">
        <v>4043</v>
      </c>
      <c r="J12" s="139">
        <v>80000</v>
      </c>
      <c r="K12" s="139" t="s">
        <v>1641</v>
      </c>
    </row>
    <row r="13" spans="1:11" ht="19" x14ac:dyDescent="0.2">
      <c r="A13" s="143">
        <v>1481000</v>
      </c>
      <c r="B13" s="153"/>
      <c r="C13" s="163" t="s">
        <v>10</v>
      </c>
      <c r="D13" s="155" t="s">
        <v>20</v>
      </c>
      <c r="E13" s="164">
        <v>1142000</v>
      </c>
      <c r="F13" s="119">
        <v>0</v>
      </c>
      <c r="G13" s="119">
        <v>339000</v>
      </c>
      <c r="H13" s="175"/>
      <c r="I13" s="174"/>
      <c r="J13" s="119">
        <v>5000</v>
      </c>
      <c r="K13" s="119" t="s">
        <v>4049</v>
      </c>
    </row>
    <row r="14" spans="1:11" ht="19" x14ac:dyDescent="0.2">
      <c r="A14" s="144">
        <v>2454000</v>
      </c>
      <c r="B14" s="145">
        <v>45779</v>
      </c>
      <c r="C14" s="151" t="s">
        <v>9</v>
      </c>
      <c r="D14" s="147" t="s">
        <v>3941</v>
      </c>
      <c r="E14" s="150">
        <v>1478000</v>
      </c>
      <c r="F14" s="139">
        <v>300000</v>
      </c>
      <c r="G14" s="139">
        <v>676000</v>
      </c>
      <c r="H14" s="139">
        <v>300000</v>
      </c>
      <c r="I14" s="162" t="s">
        <v>1720</v>
      </c>
      <c r="J14" s="139">
        <v>17000</v>
      </c>
      <c r="K14" s="139" t="s">
        <v>3981</v>
      </c>
    </row>
    <row r="15" spans="1:11" ht="19" x14ac:dyDescent="0.2">
      <c r="A15" s="143">
        <v>2176000</v>
      </c>
      <c r="B15" s="153"/>
      <c r="C15" s="163" t="s">
        <v>10</v>
      </c>
      <c r="D15" s="155" t="s">
        <v>3531</v>
      </c>
      <c r="E15" s="164">
        <v>1746000</v>
      </c>
      <c r="F15" s="119">
        <v>94000</v>
      </c>
      <c r="G15" s="119">
        <v>336000</v>
      </c>
      <c r="H15" s="119"/>
      <c r="I15" s="174"/>
      <c r="J15" s="119">
        <v>74000</v>
      </c>
      <c r="K15" s="119" t="s">
        <v>4050</v>
      </c>
    </row>
    <row r="16" spans="1:11" ht="19" x14ac:dyDescent="0.2">
      <c r="A16" s="144">
        <v>2738000</v>
      </c>
      <c r="B16" s="145">
        <v>45780</v>
      </c>
      <c r="C16" s="151" t="s">
        <v>9</v>
      </c>
      <c r="D16" s="147" t="s">
        <v>3941</v>
      </c>
      <c r="E16" s="150">
        <v>1842000</v>
      </c>
      <c r="F16" s="139">
        <v>497000</v>
      </c>
      <c r="G16" s="139">
        <v>399000</v>
      </c>
      <c r="H16" s="139"/>
      <c r="I16" s="162"/>
      <c r="J16" s="139">
        <v>90000</v>
      </c>
      <c r="K16" s="139" t="s">
        <v>3828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45000</v>
      </c>
      <c r="K17" s="119" t="s">
        <v>4051</v>
      </c>
    </row>
    <row r="18" spans="1:11" ht="19" x14ac:dyDescent="0.2">
      <c r="A18" s="144">
        <v>1033000</v>
      </c>
      <c r="B18" s="145"/>
      <c r="C18" s="151" t="s">
        <v>10</v>
      </c>
      <c r="D18" s="147" t="s">
        <v>20</v>
      </c>
      <c r="E18" s="150">
        <v>777000</v>
      </c>
      <c r="F18" s="139">
        <v>131000</v>
      </c>
      <c r="G18" s="139">
        <v>125000</v>
      </c>
      <c r="H18" s="139"/>
      <c r="I18" s="162"/>
      <c r="J18" s="139">
        <v>28000</v>
      </c>
      <c r="K18" s="139" t="s">
        <v>3237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520000</v>
      </c>
      <c r="K19" s="119" t="s">
        <v>4052</v>
      </c>
    </row>
    <row r="20" spans="1:11" ht="19" x14ac:dyDescent="0.2">
      <c r="A20" s="144">
        <v>1445000</v>
      </c>
      <c r="B20" s="145">
        <v>45781</v>
      </c>
      <c r="C20" s="149" t="s">
        <v>9</v>
      </c>
      <c r="D20" s="147" t="s">
        <v>3941</v>
      </c>
      <c r="E20" s="150">
        <v>902000</v>
      </c>
      <c r="F20" s="139">
        <v>264000</v>
      </c>
      <c r="G20" s="139">
        <v>279000</v>
      </c>
      <c r="H20" s="139"/>
      <c r="I20" s="139"/>
      <c r="J20" s="139">
        <v>25000</v>
      </c>
      <c r="K20" s="139" t="s">
        <v>2512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48000</v>
      </c>
      <c r="K21" s="9" t="s">
        <v>2795</v>
      </c>
    </row>
    <row r="22" spans="1:11" ht="19" x14ac:dyDescent="0.2">
      <c r="A22" s="144">
        <v>1573000</v>
      </c>
      <c r="B22" s="145"/>
      <c r="C22" s="149" t="s">
        <v>10</v>
      </c>
      <c r="D22" s="147" t="s">
        <v>20</v>
      </c>
      <c r="E22" s="150">
        <v>1018000</v>
      </c>
      <c r="F22" s="139">
        <v>291000</v>
      </c>
      <c r="G22" s="139">
        <v>264000</v>
      </c>
      <c r="H22" s="139"/>
      <c r="I22" s="139"/>
      <c r="J22" s="139">
        <v>114000</v>
      </c>
      <c r="K22" s="139" t="s">
        <v>1668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60000</v>
      </c>
      <c r="K23" s="9" t="s">
        <v>1490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12000</v>
      </c>
      <c r="K24" s="162" t="s">
        <v>2854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192000</v>
      </c>
      <c r="K25" s="119" t="s">
        <v>4053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50000</v>
      </c>
      <c r="K26" s="139" t="s">
        <v>123</v>
      </c>
    </row>
    <row r="27" spans="1:11" ht="19" x14ac:dyDescent="0.2">
      <c r="A27" s="143">
        <v>2486000</v>
      </c>
      <c r="B27" s="32">
        <v>45782</v>
      </c>
      <c r="C27" s="49" t="s">
        <v>9</v>
      </c>
      <c r="D27" s="13" t="s">
        <v>3690</v>
      </c>
      <c r="E27" s="15">
        <v>1597000</v>
      </c>
      <c r="F27" s="9">
        <v>284000</v>
      </c>
      <c r="G27" s="9">
        <v>605000</v>
      </c>
      <c r="H27" s="9"/>
      <c r="I27" s="9"/>
      <c r="J27" s="9">
        <v>135000</v>
      </c>
      <c r="K27" s="106" t="s">
        <v>1649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42000</v>
      </c>
      <c r="K28" s="139" t="s">
        <v>4054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80000</v>
      </c>
      <c r="K29" s="9" t="s">
        <v>1641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47000</v>
      </c>
      <c r="K30" s="139" t="s">
        <v>1449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200000</v>
      </c>
      <c r="K31" s="9" t="s">
        <v>2796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150000</v>
      </c>
      <c r="K32" s="139" t="s">
        <v>1710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150000</v>
      </c>
      <c r="K33" s="119" t="s">
        <v>4055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150000</v>
      </c>
      <c r="K34" s="139" t="s">
        <v>4056</v>
      </c>
    </row>
    <row r="35" spans="1:11" ht="19" x14ac:dyDescent="0.2">
      <c r="A35" s="143">
        <v>1019000</v>
      </c>
      <c r="B35" s="32"/>
      <c r="C35" s="49" t="s">
        <v>10</v>
      </c>
      <c r="D35" s="13" t="s">
        <v>20</v>
      </c>
      <c r="E35" s="15">
        <v>587000</v>
      </c>
      <c r="F35" s="9">
        <v>231000</v>
      </c>
      <c r="G35" s="9">
        <v>201000</v>
      </c>
      <c r="H35" s="9"/>
      <c r="I35" s="119"/>
      <c r="J35" s="9">
        <v>150000</v>
      </c>
      <c r="K35" s="9" t="s">
        <v>4057</v>
      </c>
    </row>
    <row r="36" spans="1:11" ht="19" x14ac:dyDescent="0.2">
      <c r="A36" s="144">
        <v>2246000</v>
      </c>
      <c r="B36" s="145">
        <v>45783</v>
      </c>
      <c r="C36" s="149" t="s">
        <v>9</v>
      </c>
      <c r="D36" s="147" t="s">
        <v>3941</v>
      </c>
      <c r="E36" s="150">
        <v>1554000</v>
      </c>
      <c r="F36" s="139">
        <v>211000</v>
      </c>
      <c r="G36" s="139">
        <v>481000</v>
      </c>
      <c r="H36" s="139"/>
      <c r="I36" s="139"/>
      <c r="J36" s="139">
        <v>90000</v>
      </c>
      <c r="K36" s="139" t="s">
        <v>4058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>
        <v>3000000</v>
      </c>
      <c r="I37" s="119" t="s">
        <v>4059</v>
      </c>
      <c r="J37" s="9">
        <v>108000</v>
      </c>
      <c r="K37" s="9" t="s">
        <v>2015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71000</v>
      </c>
      <c r="K38" s="139" t="s">
        <v>1759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200000</v>
      </c>
      <c r="K39" s="9" t="s">
        <v>4060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101000</v>
      </c>
      <c r="K40" s="139" t="s">
        <v>4061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900000</v>
      </c>
      <c r="K41" s="9" t="s">
        <v>4062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34000</v>
      </c>
      <c r="K42" s="139" t="s">
        <v>3463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160000</v>
      </c>
      <c r="K43" s="9" t="s">
        <v>1597</v>
      </c>
    </row>
    <row r="44" spans="1:11" ht="19" x14ac:dyDescent="0.2">
      <c r="A44" s="144">
        <v>1727000</v>
      </c>
      <c r="B44" s="145"/>
      <c r="C44" s="149" t="s">
        <v>10</v>
      </c>
      <c r="D44" s="147" t="s">
        <v>20</v>
      </c>
      <c r="E44" s="150">
        <v>1358000</v>
      </c>
      <c r="F44" s="139">
        <v>91000</v>
      </c>
      <c r="G44" s="139">
        <v>278000</v>
      </c>
      <c r="H44" s="139"/>
      <c r="I44" s="139"/>
      <c r="J44" s="139">
        <v>140000</v>
      </c>
      <c r="K44" s="139" t="s">
        <v>1285</v>
      </c>
    </row>
    <row r="45" spans="1:11" ht="19" x14ac:dyDescent="0.2">
      <c r="A45" s="143">
        <v>2682000</v>
      </c>
      <c r="B45" s="153">
        <v>45784</v>
      </c>
      <c r="C45" s="171" t="s">
        <v>9</v>
      </c>
      <c r="D45" s="155" t="s">
        <v>3941</v>
      </c>
      <c r="E45" s="164">
        <v>1868000</v>
      </c>
      <c r="F45" s="119">
        <v>277000</v>
      </c>
      <c r="G45" s="119">
        <v>537000</v>
      </c>
      <c r="H45" s="119"/>
      <c r="I45" s="119"/>
      <c r="J45" s="119">
        <v>66000</v>
      </c>
      <c r="K45" s="119" t="s">
        <v>4063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32000</v>
      </c>
      <c r="K46" s="139" t="s">
        <v>3662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28000</v>
      </c>
      <c r="K47" s="119" t="s">
        <v>2475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39"/>
      <c r="J48" s="139">
        <v>210000</v>
      </c>
      <c r="K48" s="139" t="s">
        <v>2998</v>
      </c>
    </row>
    <row r="49" spans="1:11" ht="19" x14ac:dyDescent="0.2">
      <c r="A49" s="143">
        <v>1744000</v>
      </c>
      <c r="B49" s="153"/>
      <c r="C49" s="171" t="s">
        <v>10</v>
      </c>
      <c r="D49" s="155" t="s">
        <v>20</v>
      </c>
      <c r="E49" s="164">
        <v>1010000</v>
      </c>
      <c r="F49" s="119">
        <v>129000</v>
      </c>
      <c r="G49" s="119">
        <v>605000</v>
      </c>
      <c r="H49" s="119"/>
      <c r="I49" s="119"/>
      <c r="J49" s="119">
        <v>47000</v>
      </c>
      <c r="K49" s="119" t="s">
        <v>4064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60000</v>
      </c>
      <c r="K50" s="139" t="s">
        <v>4065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120000</v>
      </c>
      <c r="K51" s="119" t="s">
        <v>807</v>
      </c>
    </row>
    <row r="52" spans="1:11" ht="19" x14ac:dyDescent="0.2">
      <c r="A52" s="144">
        <v>2611000</v>
      </c>
      <c r="B52" s="145">
        <v>45785</v>
      </c>
      <c r="C52" s="149" t="s">
        <v>9</v>
      </c>
      <c r="D52" s="147" t="s">
        <v>3690</v>
      </c>
      <c r="E52" s="150">
        <v>1664000</v>
      </c>
      <c r="F52" s="139">
        <v>571000</v>
      </c>
      <c r="G52" s="139">
        <v>376000</v>
      </c>
      <c r="H52" s="139"/>
      <c r="I52" s="139"/>
      <c r="J52" s="139">
        <v>59000</v>
      </c>
      <c r="K52" s="139" t="s">
        <v>4066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76000</v>
      </c>
      <c r="K53" s="119" t="s">
        <v>4067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49000</v>
      </c>
      <c r="K54" s="139" t="s">
        <v>4068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22000</v>
      </c>
      <c r="K55" s="119" t="s">
        <v>4069</v>
      </c>
    </row>
    <row r="56" spans="1:11" ht="19" x14ac:dyDescent="0.2">
      <c r="A56" s="144">
        <v>2021000</v>
      </c>
      <c r="B56" s="145"/>
      <c r="C56" s="149" t="s">
        <v>10</v>
      </c>
      <c r="D56" s="147" t="s">
        <v>3531</v>
      </c>
      <c r="E56" s="150">
        <v>1198000</v>
      </c>
      <c r="F56" s="139">
        <v>202000</v>
      </c>
      <c r="G56" s="139">
        <v>621000</v>
      </c>
      <c r="H56" s="139"/>
      <c r="I56" s="139"/>
      <c r="J56" s="139">
        <v>72000</v>
      </c>
      <c r="K56" s="139" t="s">
        <v>1681</v>
      </c>
    </row>
    <row r="57" spans="1:11" ht="19" x14ac:dyDescent="0.2">
      <c r="A57" s="143">
        <v>2043000</v>
      </c>
      <c r="B57" s="153">
        <v>45786</v>
      </c>
      <c r="C57" s="171" t="s">
        <v>9</v>
      </c>
      <c r="D57" s="155" t="s">
        <v>3941</v>
      </c>
      <c r="E57" s="164">
        <v>1227000</v>
      </c>
      <c r="F57" s="119">
        <v>129000</v>
      </c>
      <c r="G57" s="119">
        <v>687000</v>
      </c>
      <c r="H57" s="119"/>
      <c r="I57" s="119"/>
      <c r="J57" s="119">
        <v>98000</v>
      </c>
      <c r="K57" s="119" t="s">
        <v>1641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12000</v>
      </c>
      <c r="K58" s="139" t="s">
        <v>4070</v>
      </c>
    </row>
    <row r="59" spans="1:11" ht="19" x14ac:dyDescent="0.2">
      <c r="A59" s="143">
        <v>1591000</v>
      </c>
      <c r="B59" s="153"/>
      <c r="C59" s="171" t="s">
        <v>10</v>
      </c>
      <c r="D59" s="155" t="s">
        <v>3531</v>
      </c>
      <c r="E59" s="164">
        <v>865000</v>
      </c>
      <c r="F59" s="119">
        <v>104000</v>
      </c>
      <c r="G59" s="119">
        <v>622000</v>
      </c>
      <c r="H59" s="173"/>
      <c r="I59" s="119"/>
      <c r="J59" s="119">
        <v>90000</v>
      </c>
      <c r="K59" s="119" t="s">
        <v>3828</v>
      </c>
    </row>
    <row r="60" spans="1:11" ht="19" x14ac:dyDescent="0.2">
      <c r="A60" s="144">
        <v>1843000</v>
      </c>
      <c r="B60" s="145">
        <v>45787</v>
      </c>
      <c r="C60" s="149" t="s">
        <v>9</v>
      </c>
      <c r="D60" s="147" t="s">
        <v>3941</v>
      </c>
      <c r="E60" s="150">
        <v>1317000</v>
      </c>
      <c r="F60" s="139">
        <v>224000</v>
      </c>
      <c r="G60" s="139">
        <v>302000</v>
      </c>
      <c r="H60" s="284">
        <v>295000</v>
      </c>
      <c r="I60" s="139" t="s">
        <v>1800</v>
      </c>
      <c r="J60" s="139">
        <v>179000</v>
      </c>
      <c r="K60" s="139" t="s">
        <v>4071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48000</v>
      </c>
      <c r="K61" s="119" t="s">
        <v>4072</v>
      </c>
    </row>
    <row r="62" spans="1:11" ht="19" x14ac:dyDescent="0.2">
      <c r="A62" s="144">
        <v>1314000</v>
      </c>
      <c r="B62" s="145"/>
      <c r="C62" s="149" t="s">
        <v>10</v>
      </c>
      <c r="D62" s="147" t="s">
        <v>3531</v>
      </c>
      <c r="E62" s="150">
        <v>918000</v>
      </c>
      <c r="F62" s="139">
        <v>102000</v>
      </c>
      <c r="G62" s="139">
        <v>294000</v>
      </c>
      <c r="H62" s="157"/>
      <c r="I62" s="139"/>
      <c r="J62" s="139">
        <v>100000</v>
      </c>
      <c r="K62" s="139" t="s">
        <v>3248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50000</v>
      </c>
      <c r="K63" s="119" t="s">
        <v>123</v>
      </c>
    </row>
    <row r="64" spans="1:11" ht="19" x14ac:dyDescent="0.2">
      <c r="A64" s="144">
        <v>1480000</v>
      </c>
      <c r="B64" s="145">
        <v>45788</v>
      </c>
      <c r="C64" s="149" t="s">
        <v>9</v>
      </c>
      <c r="D64" s="147" t="s">
        <v>3941</v>
      </c>
      <c r="E64" s="150">
        <v>991000</v>
      </c>
      <c r="F64" s="150">
        <v>91000</v>
      </c>
      <c r="G64" s="139">
        <v>398000</v>
      </c>
      <c r="H64" s="139"/>
      <c r="I64" s="139"/>
      <c r="J64" s="139">
        <v>18000</v>
      </c>
      <c r="K64" s="139" t="s">
        <v>4073</v>
      </c>
    </row>
    <row r="65" spans="1:11" ht="19" x14ac:dyDescent="0.2">
      <c r="A65" s="143">
        <v>1550000</v>
      </c>
      <c r="B65" s="153"/>
      <c r="C65" s="171" t="s">
        <v>10</v>
      </c>
      <c r="D65" s="155" t="s">
        <v>20</v>
      </c>
      <c r="E65" s="164">
        <v>1083000</v>
      </c>
      <c r="F65" s="119">
        <v>56000</v>
      </c>
      <c r="G65" s="119">
        <v>411000</v>
      </c>
      <c r="H65" s="119"/>
      <c r="I65" s="119"/>
      <c r="J65" s="119"/>
      <c r="K65" s="119"/>
    </row>
    <row r="66" spans="1:11" ht="19" x14ac:dyDescent="0.2">
      <c r="A66" s="144">
        <v>2564000</v>
      </c>
      <c r="B66" s="145">
        <v>45789</v>
      </c>
      <c r="C66" s="149" t="s">
        <v>9</v>
      </c>
      <c r="D66" s="147" t="s">
        <v>4074</v>
      </c>
      <c r="E66" s="150">
        <v>1773000</v>
      </c>
      <c r="F66" s="139">
        <v>291000</v>
      </c>
      <c r="G66" s="139">
        <v>500000</v>
      </c>
      <c r="H66" s="139"/>
      <c r="I66" s="139"/>
      <c r="J66" s="139">
        <v>100000</v>
      </c>
      <c r="K66" s="139" t="s">
        <v>3215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100000</v>
      </c>
      <c r="K67" s="119" t="s">
        <v>4075</v>
      </c>
    </row>
    <row r="68" spans="1:11" ht="19" x14ac:dyDescent="0.2">
      <c r="A68" s="144">
        <v>2502000</v>
      </c>
      <c r="B68" s="145"/>
      <c r="C68" s="149" t="s">
        <v>10</v>
      </c>
      <c r="D68" s="147" t="s">
        <v>20</v>
      </c>
      <c r="E68" s="150">
        <v>1694000</v>
      </c>
      <c r="F68" s="139">
        <v>406000</v>
      </c>
      <c r="G68" s="139">
        <v>402000</v>
      </c>
      <c r="H68" s="139"/>
      <c r="I68" s="139"/>
      <c r="J68" s="139">
        <v>110000</v>
      </c>
      <c r="K68" s="139" t="s">
        <v>4076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147000</v>
      </c>
      <c r="K69" s="119" t="s">
        <v>1856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10000</v>
      </c>
      <c r="K70" s="139" t="s">
        <v>4077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6000</v>
      </c>
      <c r="K71" s="9" t="s">
        <v>1580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17000</v>
      </c>
      <c r="K72" s="139" t="s">
        <v>4078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48000</v>
      </c>
      <c r="K73" s="9" t="s">
        <v>1449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200000</v>
      </c>
      <c r="K74" s="139" t="s">
        <v>3807</v>
      </c>
    </row>
    <row r="75" spans="1:11" ht="19" x14ac:dyDescent="0.2">
      <c r="A75" s="143">
        <v>1564000</v>
      </c>
      <c r="B75" s="153">
        <v>45790</v>
      </c>
      <c r="C75" s="163" t="s">
        <v>9</v>
      </c>
      <c r="D75" s="155" t="s">
        <v>4079</v>
      </c>
      <c r="E75" s="164">
        <v>1114000</v>
      </c>
      <c r="F75" s="119">
        <v>95000</v>
      </c>
      <c r="G75" s="119">
        <v>355000</v>
      </c>
      <c r="H75" s="119">
        <v>7662000</v>
      </c>
      <c r="I75" s="119" t="s">
        <v>1799</v>
      </c>
      <c r="J75" s="119"/>
      <c r="K75" s="119"/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10000</v>
      </c>
      <c r="K76" s="139" t="s">
        <v>1375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9">
        <v>150000</v>
      </c>
      <c r="K77" s="9" t="s">
        <v>1710</v>
      </c>
    </row>
    <row r="78" spans="1:11" ht="19" x14ac:dyDescent="0.2">
      <c r="A78" s="144">
        <v>1575000</v>
      </c>
      <c r="B78" s="145"/>
      <c r="C78" s="149" t="s">
        <v>10</v>
      </c>
      <c r="D78" s="147" t="s">
        <v>20</v>
      </c>
      <c r="E78" s="150">
        <v>1069000</v>
      </c>
      <c r="F78" s="139">
        <v>60000</v>
      </c>
      <c r="G78" s="139">
        <v>446000</v>
      </c>
      <c r="H78" s="139"/>
      <c r="I78" s="139"/>
      <c r="J78" s="139">
        <v>45000</v>
      </c>
      <c r="K78" s="139" t="s">
        <v>2512</v>
      </c>
    </row>
    <row r="79" spans="1:11" ht="19" x14ac:dyDescent="0.2">
      <c r="A79" s="143">
        <v>2650000</v>
      </c>
      <c r="B79" s="153">
        <v>45791</v>
      </c>
      <c r="C79" s="171" t="s">
        <v>9</v>
      </c>
      <c r="D79" s="155" t="s">
        <v>4079</v>
      </c>
      <c r="E79" s="164">
        <v>1644000</v>
      </c>
      <c r="F79" s="119">
        <v>350000</v>
      </c>
      <c r="G79" s="119">
        <v>656000</v>
      </c>
      <c r="H79" s="119">
        <v>405000</v>
      </c>
      <c r="I79" s="119" t="s">
        <v>4080</v>
      </c>
      <c r="J79" s="119">
        <v>210000</v>
      </c>
      <c r="K79" s="119" t="s">
        <v>2998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66000</v>
      </c>
      <c r="K80" s="139" t="s">
        <v>4081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240000</v>
      </c>
      <c r="K81" s="119" t="s">
        <v>3659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160000</v>
      </c>
      <c r="K82" s="139" t="s">
        <v>1597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140000</v>
      </c>
      <c r="K83" s="9" t="s">
        <v>1285</v>
      </c>
    </row>
    <row r="84" spans="1:11" ht="19" x14ac:dyDescent="0.2">
      <c r="A84" s="144">
        <v>1304000</v>
      </c>
      <c r="B84" s="145"/>
      <c r="C84" s="149" t="s">
        <v>10</v>
      </c>
      <c r="D84" s="147" t="s">
        <v>20</v>
      </c>
      <c r="E84" s="150">
        <v>1002000</v>
      </c>
      <c r="F84" s="139">
        <v>90000</v>
      </c>
      <c r="G84" s="139">
        <v>212000</v>
      </c>
      <c r="H84" s="162"/>
      <c r="I84" s="162"/>
      <c r="J84" s="139">
        <v>60000</v>
      </c>
      <c r="K84" s="139" t="s">
        <v>4082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>
        <v>200000</v>
      </c>
      <c r="I85" s="106" t="s">
        <v>4083</v>
      </c>
      <c r="J85" s="119">
        <v>150000</v>
      </c>
      <c r="K85" s="119" t="s">
        <v>1518</v>
      </c>
    </row>
    <row r="86" spans="1:11" ht="19" x14ac:dyDescent="0.2">
      <c r="A86" s="144">
        <v>2583000</v>
      </c>
      <c r="B86" s="145">
        <v>45792</v>
      </c>
      <c r="C86" s="149" t="s">
        <v>9</v>
      </c>
      <c r="D86" s="147" t="s">
        <v>4079</v>
      </c>
      <c r="E86" s="150">
        <v>1427000</v>
      </c>
      <c r="F86" s="139">
        <v>404000</v>
      </c>
      <c r="G86" s="139">
        <v>752000</v>
      </c>
      <c r="H86" s="162">
        <v>2380000</v>
      </c>
      <c r="I86" s="162" t="s">
        <v>4084</v>
      </c>
      <c r="J86" s="139">
        <v>4000</v>
      </c>
      <c r="K86" s="139" t="s">
        <v>1667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>
        <v>2000000</v>
      </c>
      <c r="I87" s="174" t="s">
        <v>4085</v>
      </c>
      <c r="J87" s="119">
        <v>17000</v>
      </c>
      <c r="K87" s="119" t="s">
        <v>4086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>
        <v>400000</v>
      </c>
      <c r="I88" s="162" t="s">
        <v>4087</v>
      </c>
      <c r="J88" s="162">
        <v>180000</v>
      </c>
      <c r="K88" s="162" t="s">
        <v>1476</v>
      </c>
    </row>
    <row r="89" spans="1:11" ht="19" x14ac:dyDescent="0.2">
      <c r="A89" s="143">
        <v>1917000</v>
      </c>
      <c r="B89" s="153"/>
      <c r="C89" s="171" t="s">
        <v>10</v>
      </c>
      <c r="D89" s="155" t="s">
        <v>3531</v>
      </c>
      <c r="E89" s="164">
        <v>1184000</v>
      </c>
      <c r="F89" s="119">
        <v>319000</v>
      </c>
      <c r="G89" s="119">
        <v>414000</v>
      </c>
      <c r="H89" s="106">
        <v>600000</v>
      </c>
      <c r="I89" s="106" t="s">
        <v>4088</v>
      </c>
      <c r="J89" s="119">
        <v>5000</v>
      </c>
      <c r="K89" s="119" t="s">
        <v>4089</v>
      </c>
    </row>
    <row r="90" spans="1:11" ht="19" x14ac:dyDescent="0.2">
      <c r="A90" s="144">
        <v>2278000</v>
      </c>
      <c r="B90" s="145">
        <v>45793</v>
      </c>
      <c r="C90" s="149" t="s">
        <v>9</v>
      </c>
      <c r="D90" s="147" t="s">
        <v>3941</v>
      </c>
      <c r="E90" s="150">
        <v>1413000</v>
      </c>
      <c r="F90" s="139">
        <v>372000</v>
      </c>
      <c r="G90" s="139">
        <v>493000</v>
      </c>
      <c r="H90" s="152"/>
      <c r="I90" s="152"/>
      <c r="J90" s="139">
        <v>50000</v>
      </c>
      <c r="K90" s="139" t="s">
        <v>1195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147000</v>
      </c>
      <c r="K91" s="9" t="s">
        <v>1856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52"/>
      <c r="I92" s="152"/>
      <c r="J92" s="139">
        <v>171000</v>
      </c>
      <c r="K92" s="139" t="s">
        <v>3357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75"/>
      <c r="I93" s="9"/>
      <c r="J93" s="119">
        <v>40000</v>
      </c>
      <c r="K93" s="9" t="s">
        <v>3771</v>
      </c>
    </row>
    <row r="94" spans="1:11" ht="19" x14ac:dyDescent="0.2">
      <c r="A94" s="144">
        <v>1872000</v>
      </c>
      <c r="B94" s="145"/>
      <c r="C94" s="149" t="s">
        <v>10</v>
      </c>
      <c r="D94" s="147" t="s">
        <v>3531</v>
      </c>
      <c r="E94" s="150">
        <v>1153000</v>
      </c>
      <c r="F94" s="139">
        <v>205000</v>
      </c>
      <c r="G94" s="139">
        <v>514000</v>
      </c>
      <c r="H94" s="139"/>
      <c r="I94" s="139"/>
      <c r="J94" s="139">
        <v>10000</v>
      </c>
      <c r="K94" s="139" t="s">
        <v>4090</v>
      </c>
    </row>
    <row r="95" spans="1:11" ht="19" x14ac:dyDescent="0.2">
      <c r="A95" s="143">
        <v>2041000</v>
      </c>
      <c r="B95" s="32">
        <v>45794</v>
      </c>
      <c r="C95" s="49" t="s">
        <v>9</v>
      </c>
      <c r="D95" s="13" t="s">
        <v>3941</v>
      </c>
      <c r="E95" s="15">
        <v>1485000</v>
      </c>
      <c r="F95" s="9">
        <v>96000</v>
      </c>
      <c r="G95" s="9">
        <v>460000</v>
      </c>
      <c r="H95" s="9"/>
      <c r="I95" s="9"/>
      <c r="J95" s="9">
        <v>33000</v>
      </c>
      <c r="K95" s="9" t="s">
        <v>1857</v>
      </c>
    </row>
    <row r="96" spans="1:11" ht="19" x14ac:dyDescent="0.2">
      <c r="A96" s="144">
        <v>1251000</v>
      </c>
      <c r="B96" s="145"/>
      <c r="C96" s="149" t="s">
        <v>10</v>
      </c>
      <c r="D96" s="147" t="s">
        <v>20</v>
      </c>
      <c r="E96" s="150">
        <v>899000</v>
      </c>
      <c r="F96" s="139">
        <v>86000</v>
      </c>
      <c r="G96" s="139">
        <v>266000</v>
      </c>
      <c r="H96" s="139"/>
      <c r="I96" s="139"/>
      <c r="J96" s="139">
        <v>51000</v>
      </c>
      <c r="K96" s="139" t="s">
        <v>1645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72000</v>
      </c>
      <c r="K97" s="9" t="s">
        <v>4091</v>
      </c>
    </row>
    <row r="98" spans="1:11" ht="19" x14ac:dyDescent="0.2">
      <c r="A98" s="144">
        <v>1776000</v>
      </c>
      <c r="B98" s="145">
        <v>45795</v>
      </c>
      <c r="C98" s="159" t="s">
        <v>9</v>
      </c>
      <c r="D98" s="147" t="s">
        <v>3531</v>
      </c>
      <c r="E98" s="150">
        <v>1307000</v>
      </c>
      <c r="F98" s="139">
        <v>138000</v>
      </c>
      <c r="G98" s="139">
        <v>331000</v>
      </c>
      <c r="H98" s="139"/>
      <c r="I98" s="139"/>
      <c r="J98" s="139">
        <v>50000</v>
      </c>
      <c r="K98" s="139" t="s">
        <v>123</v>
      </c>
    </row>
    <row r="99" spans="1:11" ht="19" x14ac:dyDescent="0.2">
      <c r="A99" s="143">
        <v>2529000</v>
      </c>
      <c r="B99" s="153"/>
      <c r="C99" s="171" t="s">
        <v>10</v>
      </c>
      <c r="D99" s="155" t="s">
        <v>20</v>
      </c>
      <c r="E99" s="164">
        <v>1728000</v>
      </c>
      <c r="F99" s="164">
        <v>238000</v>
      </c>
      <c r="G99" s="119">
        <v>563000</v>
      </c>
      <c r="H99" s="119"/>
      <c r="I99" s="119"/>
      <c r="J99" s="119">
        <v>105000</v>
      </c>
      <c r="K99" s="119" t="s">
        <v>1771</v>
      </c>
    </row>
    <row r="100" spans="1:11" ht="19" x14ac:dyDescent="0.2">
      <c r="A100" s="144">
        <v>1586000</v>
      </c>
      <c r="B100" s="145">
        <v>45796</v>
      </c>
      <c r="C100" s="149" t="s">
        <v>4092</v>
      </c>
      <c r="D100" s="147" t="s">
        <v>3690</v>
      </c>
      <c r="E100" s="150">
        <v>936000</v>
      </c>
      <c r="F100" s="139">
        <v>277000</v>
      </c>
      <c r="G100" s="139">
        <v>373000</v>
      </c>
      <c r="H100" s="139"/>
      <c r="I100" s="139"/>
      <c r="J100" s="139">
        <v>108000</v>
      </c>
      <c r="K100" s="139" t="s">
        <v>2015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66000</v>
      </c>
      <c r="K101" s="119" t="s">
        <v>1872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140000</v>
      </c>
      <c r="K102" s="139" t="s">
        <v>3755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10000</v>
      </c>
      <c r="K103" s="119" t="s">
        <v>1667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37000</v>
      </c>
      <c r="K104" s="139" t="s">
        <v>18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82000</v>
      </c>
      <c r="K105" s="119" t="s">
        <v>4093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177000</v>
      </c>
      <c r="K106" s="139" t="s">
        <v>4094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12000</v>
      </c>
      <c r="K107" s="119" t="s">
        <v>1582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150000</v>
      </c>
      <c r="K108" s="139" t="s">
        <v>4095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/>
      <c r="K109" s="119"/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/>
      <c r="K110" s="139"/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70000</v>
      </c>
      <c r="K111" s="119" t="s">
        <v>4096</v>
      </c>
    </row>
    <row r="112" spans="1:11" ht="19" x14ac:dyDescent="0.2">
      <c r="A112" s="144">
        <v>2638000</v>
      </c>
      <c r="B112" s="145"/>
      <c r="C112" s="149" t="s">
        <v>10</v>
      </c>
      <c r="D112" s="147" t="s">
        <v>20</v>
      </c>
      <c r="E112" s="150">
        <v>1737000</v>
      </c>
      <c r="F112" s="139">
        <v>293000</v>
      </c>
      <c r="G112" s="139">
        <v>608000</v>
      </c>
      <c r="H112" s="139"/>
      <c r="I112" s="139"/>
      <c r="J112" s="139">
        <v>80000</v>
      </c>
      <c r="K112" s="139" t="s">
        <v>4097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80000</v>
      </c>
      <c r="K113" s="119" t="s">
        <v>4098</v>
      </c>
    </row>
    <row r="114" spans="1:11" ht="19" x14ac:dyDescent="0.2">
      <c r="A114" s="144">
        <v>2442000</v>
      </c>
      <c r="B114" s="145">
        <v>45797</v>
      </c>
      <c r="C114" s="149" t="s">
        <v>9</v>
      </c>
      <c r="D114" s="147" t="s">
        <v>3941</v>
      </c>
      <c r="E114" s="150">
        <v>1607000</v>
      </c>
      <c r="F114" s="139">
        <v>414000</v>
      </c>
      <c r="G114" s="139">
        <v>421000</v>
      </c>
      <c r="H114" s="139"/>
      <c r="I114" s="139"/>
      <c r="J114" s="139">
        <v>180000</v>
      </c>
      <c r="K114" s="139" t="s">
        <v>1476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147000</v>
      </c>
      <c r="K115" s="119" t="s">
        <v>1856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23000</v>
      </c>
      <c r="K116" s="162" t="s">
        <v>4099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59000</v>
      </c>
      <c r="K117" s="174" t="s">
        <v>4100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19000</v>
      </c>
      <c r="K118" s="139" t="s">
        <v>4101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38000</v>
      </c>
      <c r="K119" s="119" t="s">
        <v>18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81000</v>
      </c>
      <c r="K120" s="139" t="s">
        <v>4102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60000</v>
      </c>
      <c r="K121" s="119" t="s">
        <v>350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100000</v>
      </c>
      <c r="K122" s="139" t="s">
        <v>3248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200000</v>
      </c>
      <c r="K123" s="174" t="s">
        <v>2796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45000</v>
      </c>
      <c r="K124" s="162" t="s">
        <v>3635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150000</v>
      </c>
      <c r="K125" s="106" t="s">
        <v>4103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150000</v>
      </c>
      <c r="K126" s="162" t="s">
        <v>4104</v>
      </c>
    </row>
    <row r="127" spans="1:11" ht="19" x14ac:dyDescent="0.2">
      <c r="A127" s="143">
        <v>1807000</v>
      </c>
      <c r="B127" s="153"/>
      <c r="C127" s="163" t="s">
        <v>10</v>
      </c>
      <c r="D127" s="155" t="s">
        <v>3531</v>
      </c>
      <c r="E127" s="164">
        <v>1129000</v>
      </c>
      <c r="F127" s="119">
        <v>263000</v>
      </c>
      <c r="G127" s="119">
        <v>415000</v>
      </c>
      <c r="H127" s="119"/>
      <c r="I127" s="119"/>
      <c r="J127" s="174">
        <v>150000</v>
      </c>
      <c r="K127" s="174" t="s">
        <v>3868</v>
      </c>
    </row>
    <row r="128" spans="1:11" ht="19" x14ac:dyDescent="0.2">
      <c r="A128" s="148">
        <v>2551000</v>
      </c>
      <c r="B128" s="145">
        <v>45798</v>
      </c>
      <c r="C128" s="159" t="s">
        <v>9</v>
      </c>
      <c r="D128" s="147" t="s">
        <v>3690</v>
      </c>
      <c r="E128" s="150">
        <v>1626000</v>
      </c>
      <c r="F128" s="139">
        <v>261000</v>
      </c>
      <c r="G128" s="139">
        <v>664000</v>
      </c>
      <c r="H128" s="139"/>
      <c r="I128" s="139"/>
      <c r="J128" s="139">
        <v>196000</v>
      </c>
      <c r="K128" s="139" t="s">
        <v>4105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585000</v>
      </c>
      <c r="K129" s="174" t="s">
        <v>4106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36000</v>
      </c>
      <c r="K130" s="139" t="s">
        <v>3445</v>
      </c>
    </row>
    <row r="131" spans="1:11" ht="19" x14ac:dyDescent="0.2">
      <c r="A131" s="143">
        <v>1844000</v>
      </c>
      <c r="B131" s="153"/>
      <c r="C131" s="163" t="s">
        <v>10</v>
      </c>
      <c r="D131" s="155" t="s">
        <v>20</v>
      </c>
      <c r="E131" s="164">
        <v>1388000</v>
      </c>
      <c r="F131" s="119">
        <v>135000</v>
      </c>
      <c r="G131" s="119">
        <v>321000</v>
      </c>
      <c r="H131" s="119"/>
      <c r="I131" s="119"/>
      <c r="J131" s="119">
        <v>28000</v>
      </c>
      <c r="K131" s="119" t="s">
        <v>3463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120000</v>
      </c>
      <c r="K132" s="139" t="s">
        <v>1553</v>
      </c>
    </row>
    <row r="133" spans="1:11" ht="19" x14ac:dyDescent="0.2">
      <c r="A133" s="143">
        <v>2555000</v>
      </c>
      <c r="B133" s="153">
        <v>45799</v>
      </c>
      <c r="C133" s="163" t="s">
        <v>9</v>
      </c>
      <c r="D133" s="155" t="s">
        <v>3941</v>
      </c>
      <c r="E133" s="164">
        <v>1255000</v>
      </c>
      <c r="F133" s="119">
        <v>403000</v>
      </c>
      <c r="G133" s="119">
        <v>897000</v>
      </c>
      <c r="H133" s="119"/>
      <c r="I133" s="119"/>
      <c r="J133" s="119"/>
      <c r="K133" s="119"/>
    </row>
    <row r="134" spans="1:11" ht="19" x14ac:dyDescent="0.2">
      <c r="A134" s="144">
        <v>1891000</v>
      </c>
      <c r="B134" s="145"/>
      <c r="C134" s="151" t="s">
        <v>10</v>
      </c>
      <c r="D134" s="147" t="s">
        <v>20</v>
      </c>
      <c r="E134" s="150">
        <v>1408000</v>
      </c>
      <c r="F134" s="139">
        <v>78000</v>
      </c>
      <c r="G134" s="139">
        <v>405000</v>
      </c>
      <c r="H134" s="139"/>
      <c r="I134" s="139"/>
      <c r="J134" s="139"/>
      <c r="K134" s="139"/>
    </row>
    <row r="135" spans="1:11" ht="19" x14ac:dyDescent="0.2">
      <c r="A135" s="143">
        <v>3021000</v>
      </c>
      <c r="B135" s="153">
        <v>45800</v>
      </c>
      <c r="C135" s="163" t="s">
        <v>9</v>
      </c>
      <c r="D135" s="155" t="s">
        <v>3690</v>
      </c>
      <c r="E135" s="164">
        <v>2112000</v>
      </c>
      <c r="F135" s="119">
        <v>436000</v>
      </c>
      <c r="G135" s="119">
        <v>473000</v>
      </c>
      <c r="H135" s="119"/>
      <c r="I135" s="119"/>
      <c r="J135" s="119">
        <v>56000</v>
      </c>
      <c r="K135" s="119" t="s">
        <v>4107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83000</v>
      </c>
      <c r="K136" s="139" t="s">
        <v>4108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13000</v>
      </c>
      <c r="K137" s="174" t="s">
        <v>4109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211000</v>
      </c>
      <c r="K138" s="162" t="s">
        <v>4110</v>
      </c>
    </row>
    <row r="139" spans="1:11" ht="19" x14ac:dyDescent="0.2">
      <c r="A139" s="143">
        <v>1434000</v>
      </c>
      <c r="B139" s="32"/>
      <c r="C139" s="35" t="s">
        <v>10</v>
      </c>
      <c r="D139" s="13" t="s">
        <v>3531</v>
      </c>
      <c r="E139" s="15">
        <v>1068000</v>
      </c>
      <c r="F139" s="9">
        <v>70000</v>
      </c>
      <c r="G139" s="9">
        <v>296000</v>
      </c>
      <c r="H139" s="9"/>
      <c r="I139" s="9"/>
      <c r="J139" s="106">
        <v>150000</v>
      </c>
      <c r="K139" s="106" t="s">
        <v>4111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150000</v>
      </c>
      <c r="K140" s="162" t="s">
        <v>4112</v>
      </c>
    </row>
    <row r="141" spans="1:11" ht="19" x14ac:dyDescent="0.2">
      <c r="A141" s="143">
        <v>2134000</v>
      </c>
      <c r="B141" s="153">
        <v>45801</v>
      </c>
      <c r="C141" s="163" t="s">
        <v>9</v>
      </c>
      <c r="D141" s="155" t="s">
        <v>3941</v>
      </c>
      <c r="E141" s="164">
        <v>1463000</v>
      </c>
      <c r="F141" s="119">
        <v>354000</v>
      </c>
      <c r="G141" s="119">
        <v>317000</v>
      </c>
      <c r="H141" s="175"/>
      <c r="I141" s="175"/>
      <c r="J141" s="174">
        <v>162000</v>
      </c>
      <c r="K141" s="174" t="s">
        <v>4113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66000</v>
      </c>
      <c r="K142" s="139" t="s">
        <v>4114</v>
      </c>
    </row>
    <row r="143" spans="1:11" ht="19" x14ac:dyDescent="0.2">
      <c r="A143" s="143">
        <v>1842000</v>
      </c>
      <c r="B143" s="270"/>
      <c r="C143" s="163" t="s">
        <v>10</v>
      </c>
      <c r="D143" s="155" t="s">
        <v>20</v>
      </c>
      <c r="E143" s="164">
        <v>1228000</v>
      </c>
      <c r="F143" s="119">
        <v>296000</v>
      </c>
      <c r="G143" s="119">
        <v>318000</v>
      </c>
      <c r="H143" s="119"/>
      <c r="I143" s="119"/>
      <c r="J143" s="119">
        <v>186000</v>
      </c>
      <c r="K143" s="119" t="s">
        <v>2732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84000</v>
      </c>
      <c r="K144" s="139" t="s">
        <v>3960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50000</v>
      </c>
      <c r="K145" s="119" t="s">
        <v>4115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50000</v>
      </c>
      <c r="K146" s="162" t="s">
        <v>123</v>
      </c>
    </row>
    <row r="147" spans="1:11" ht="19" x14ac:dyDescent="0.2">
      <c r="A147" s="143">
        <v>1743000</v>
      </c>
      <c r="B147" s="153">
        <v>45802</v>
      </c>
      <c r="C147" s="163" t="s">
        <v>9</v>
      </c>
      <c r="D147" s="155" t="s">
        <v>3531</v>
      </c>
      <c r="E147" s="164">
        <v>1094000</v>
      </c>
      <c r="F147" s="119">
        <v>207000</v>
      </c>
      <c r="G147" s="119">
        <v>442000</v>
      </c>
      <c r="H147" s="119"/>
      <c r="I147" s="119"/>
      <c r="J147" s="119"/>
      <c r="K147" s="119"/>
    </row>
    <row r="148" spans="1:11" ht="19" x14ac:dyDescent="0.2">
      <c r="A148" s="148">
        <v>1577000</v>
      </c>
      <c r="B148" s="145"/>
      <c r="C148" s="151" t="s">
        <v>10</v>
      </c>
      <c r="D148" s="147" t="s">
        <v>20</v>
      </c>
      <c r="E148" s="150">
        <v>1258000</v>
      </c>
      <c r="F148" s="139">
        <v>138000</v>
      </c>
      <c r="G148" s="139">
        <v>181000</v>
      </c>
      <c r="H148" s="139"/>
      <c r="I148" s="139"/>
      <c r="J148" s="139"/>
      <c r="K148" s="139"/>
    </row>
    <row r="149" spans="1:11" ht="19" x14ac:dyDescent="0.2">
      <c r="A149" s="142">
        <v>2532000</v>
      </c>
      <c r="B149" s="153">
        <v>45803</v>
      </c>
      <c r="C149" s="163" t="s">
        <v>9</v>
      </c>
      <c r="D149" s="172" t="s">
        <v>3690</v>
      </c>
      <c r="E149" s="164">
        <v>1440000</v>
      </c>
      <c r="F149" s="119">
        <v>386000</v>
      </c>
      <c r="G149" s="119">
        <v>706000</v>
      </c>
      <c r="H149" s="119"/>
      <c r="I149" s="119"/>
      <c r="J149" s="119">
        <v>98000</v>
      </c>
      <c r="K149" s="119" t="s">
        <v>1641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83000</v>
      </c>
      <c r="K150" s="139" t="s">
        <v>4116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134000</v>
      </c>
      <c r="K151" s="119" t="s">
        <v>4117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20000</v>
      </c>
      <c r="K152" s="139" t="s">
        <v>4118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35000</v>
      </c>
      <c r="K153" s="119" t="s">
        <v>1885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12000</v>
      </c>
      <c r="K154" s="139" t="s">
        <v>1734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150000</v>
      </c>
      <c r="K155" s="119" t="s">
        <v>1518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200000</v>
      </c>
      <c r="K156" s="139" t="s">
        <v>2796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240000</v>
      </c>
      <c r="K157" s="119" t="s">
        <v>3659</v>
      </c>
    </row>
    <row r="158" spans="1:11" ht="19" x14ac:dyDescent="0.2">
      <c r="A158" s="144">
        <v>1439000</v>
      </c>
      <c r="B158" s="145"/>
      <c r="C158" s="151" t="s">
        <v>10</v>
      </c>
      <c r="D158" s="147" t="s">
        <v>3531</v>
      </c>
      <c r="E158" s="150">
        <v>956000</v>
      </c>
      <c r="F158" s="139">
        <v>163000</v>
      </c>
      <c r="G158" s="139">
        <v>320000</v>
      </c>
      <c r="H158" s="139"/>
      <c r="I158" s="139"/>
      <c r="J158" s="139">
        <v>240000</v>
      </c>
      <c r="K158" s="139" t="s">
        <v>2723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140000</v>
      </c>
      <c r="K159" s="119" t="s">
        <v>1285</v>
      </c>
    </row>
    <row r="160" spans="1:11" ht="19" x14ac:dyDescent="0.2">
      <c r="A160" s="144">
        <v>2468000</v>
      </c>
      <c r="B160" s="145">
        <v>45804</v>
      </c>
      <c r="C160" s="146" t="s">
        <v>9</v>
      </c>
      <c r="D160" s="147" t="s">
        <v>4079</v>
      </c>
      <c r="E160" s="150">
        <v>1526000</v>
      </c>
      <c r="F160" s="139">
        <v>404000</v>
      </c>
      <c r="G160" s="139">
        <v>538000</v>
      </c>
      <c r="H160" s="139">
        <v>850000</v>
      </c>
      <c r="I160" s="165" t="s">
        <v>4132</v>
      </c>
      <c r="J160" s="139">
        <v>44000</v>
      </c>
      <c r="K160" s="139" t="s">
        <v>1493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179000</v>
      </c>
      <c r="K161" s="9" t="s">
        <v>4119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21000</v>
      </c>
      <c r="K162" s="139" t="s">
        <v>4120</v>
      </c>
    </row>
    <row r="163" spans="1:11" ht="19" x14ac:dyDescent="0.2">
      <c r="A163" s="143">
        <v>2090000</v>
      </c>
      <c r="B163" s="32"/>
      <c r="C163" s="49" t="s">
        <v>10</v>
      </c>
      <c r="D163" s="13" t="s">
        <v>3531</v>
      </c>
      <c r="E163" s="15">
        <v>1222000</v>
      </c>
      <c r="F163" s="9">
        <v>375000</v>
      </c>
      <c r="G163" s="9">
        <v>493000</v>
      </c>
      <c r="H163" s="9"/>
      <c r="I163" s="77"/>
      <c r="J163" s="9">
        <v>100000</v>
      </c>
      <c r="K163" s="9" t="s">
        <v>3248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150000</v>
      </c>
      <c r="K164" s="139" t="s">
        <v>4103</v>
      </c>
    </row>
    <row r="165" spans="1:11" ht="19" x14ac:dyDescent="0.2">
      <c r="A165" s="143">
        <v>2551000</v>
      </c>
      <c r="B165" s="32">
        <v>45805</v>
      </c>
      <c r="C165" s="49" t="s">
        <v>9</v>
      </c>
      <c r="D165" s="13" t="s">
        <v>3941</v>
      </c>
      <c r="E165" s="15">
        <v>1485000</v>
      </c>
      <c r="F165" s="9">
        <v>505000</v>
      </c>
      <c r="G165" s="9">
        <v>561000</v>
      </c>
      <c r="H165" s="9"/>
      <c r="I165" s="77"/>
      <c r="J165" s="9">
        <v>18000</v>
      </c>
      <c r="K165" s="9" t="s">
        <v>3463</v>
      </c>
    </row>
    <row r="166" spans="1:11" ht="19" x14ac:dyDescent="0.2">
      <c r="A166" s="144">
        <v>1408000</v>
      </c>
      <c r="B166" s="145"/>
      <c r="C166" s="149" t="s">
        <v>10</v>
      </c>
      <c r="D166" s="147" t="s">
        <v>3531</v>
      </c>
      <c r="E166" s="150">
        <v>1062000</v>
      </c>
      <c r="F166" s="139">
        <v>278000</v>
      </c>
      <c r="G166" s="139">
        <v>68000</v>
      </c>
      <c r="H166" s="139"/>
      <c r="I166" s="165"/>
      <c r="J166" s="139">
        <v>50000</v>
      </c>
      <c r="K166" s="139" t="s">
        <v>4115</v>
      </c>
    </row>
    <row r="167" spans="1:11" ht="19" x14ac:dyDescent="0.2">
      <c r="A167" s="143">
        <v>2489000</v>
      </c>
      <c r="B167" s="32">
        <v>45806</v>
      </c>
      <c r="C167" s="49" t="s">
        <v>9</v>
      </c>
      <c r="D167" s="13" t="s">
        <v>3941</v>
      </c>
      <c r="E167" s="15">
        <v>1611000</v>
      </c>
      <c r="F167" s="9">
        <v>202000</v>
      </c>
      <c r="G167" s="9">
        <v>676000</v>
      </c>
      <c r="H167" s="9"/>
      <c r="I167" s="77"/>
      <c r="J167" s="9">
        <v>48000</v>
      </c>
      <c r="K167" s="9" t="s">
        <v>1449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20000</v>
      </c>
      <c r="K168" s="139" t="s">
        <v>4118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108000</v>
      </c>
      <c r="K169" s="9" t="s">
        <v>2015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14000</v>
      </c>
      <c r="K170" s="139" t="s">
        <v>1305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17000</v>
      </c>
      <c r="K171" s="9" t="s">
        <v>1580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26000</v>
      </c>
      <c r="K172" s="139" t="s">
        <v>4121</v>
      </c>
    </row>
    <row r="173" spans="1:11" ht="19" x14ac:dyDescent="0.2">
      <c r="A173" s="143"/>
      <c r="B173" s="32"/>
      <c r="C173" s="49"/>
      <c r="D173" s="13"/>
      <c r="E173" s="15"/>
      <c r="F173" s="9"/>
      <c r="G173" s="9"/>
      <c r="H173" s="9"/>
      <c r="I173" s="77"/>
      <c r="J173" s="9">
        <v>102000</v>
      </c>
      <c r="K173" s="9" t="s">
        <v>4122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>
        <v>69000</v>
      </c>
      <c r="K174" s="139" t="s">
        <v>3395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187000</v>
      </c>
      <c r="K175" s="9" t="s">
        <v>2732</v>
      </c>
    </row>
    <row r="176" spans="1:11" ht="19" x14ac:dyDescent="0.2">
      <c r="A176" s="144">
        <v>2975000</v>
      </c>
      <c r="B176" s="145"/>
      <c r="C176" s="149" t="s">
        <v>10</v>
      </c>
      <c r="D176" s="147" t="s">
        <v>20</v>
      </c>
      <c r="E176" s="150">
        <v>2142000</v>
      </c>
      <c r="F176" s="139">
        <v>294000</v>
      </c>
      <c r="G176" s="139">
        <v>539000</v>
      </c>
      <c r="H176" s="139"/>
      <c r="I176" s="165"/>
      <c r="J176" s="139">
        <v>50000</v>
      </c>
      <c r="K176" s="139" t="s">
        <v>4115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105000</v>
      </c>
      <c r="K177" s="9" t="s">
        <v>1771</v>
      </c>
    </row>
    <row r="178" spans="1:11" ht="19" x14ac:dyDescent="0.2">
      <c r="A178" s="144">
        <v>2628000</v>
      </c>
      <c r="B178" s="145">
        <v>45807</v>
      </c>
      <c r="C178" s="149" t="s">
        <v>9</v>
      </c>
      <c r="D178" s="147" t="s">
        <v>4123</v>
      </c>
      <c r="E178" s="150">
        <v>1731000</v>
      </c>
      <c r="F178" s="139">
        <v>244000</v>
      </c>
      <c r="G178" s="139">
        <v>653000</v>
      </c>
      <c r="H178" s="139"/>
      <c r="I178" s="165"/>
      <c r="J178" s="139">
        <v>10000</v>
      </c>
      <c r="K178" s="139" t="s">
        <v>4124</v>
      </c>
    </row>
    <row r="179" spans="1:11" ht="19" x14ac:dyDescent="0.2">
      <c r="A179" s="143">
        <v>1274000</v>
      </c>
      <c r="B179" s="32"/>
      <c r="C179" s="49" t="s">
        <v>10</v>
      </c>
      <c r="D179" s="13" t="s">
        <v>3531</v>
      </c>
      <c r="E179" s="15">
        <v>914000</v>
      </c>
      <c r="F179" s="9">
        <v>0</v>
      </c>
      <c r="G179" s="9">
        <v>360000</v>
      </c>
      <c r="H179" s="9">
        <v>1300000</v>
      </c>
      <c r="I179" s="77" t="s">
        <v>3739</v>
      </c>
      <c r="J179" s="9"/>
      <c r="K179" s="9"/>
    </row>
    <row r="180" spans="1:11" ht="19" x14ac:dyDescent="0.2">
      <c r="A180" s="144">
        <v>2642000</v>
      </c>
      <c r="B180" s="145">
        <v>45808</v>
      </c>
      <c r="C180" s="149" t="s">
        <v>9</v>
      </c>
      <c r="D180" s="147" t="s">
        <v>4123</v>
      </c>
      <c r="E180" s="150">
        <v>1793000</v>
      </c>
      <c r="F180" s="139">
        <v>92000</v>
      </c>
      <c r="G180" s="139">
        <v>757000</v>
      </c>
      <c r="H180" s="139">
        <v>1300000</v>
      </c>
      <c r="I180" s="165" t="s">
        <v>785</v>
      </c>
      <c r="J180" s="139">
        <v>150000</v>
      </c>
      <c r="K180" s="139" t="s">
        <v>3729</v>
      </c>
    </row>
    <row r="181" spans="1:11" ht="32" x14ac:dyDescent="0.2">
      <c r="A181" s="143">
        <v>2343000</v>
      </c>
      <c r="B181" s="32"/>
      <c r="C181" s="49" t="s">
        <v>10</v>
      </c>
      <c r="D181" s="13" t="s">
        <v>20</v>
      </c>
      <c r="E181" s="15">
        <v>1720000</v>
      </c>
      <c r="F181" s="9">
        <v>284000</v>
      </c>
      <c r="G181" s="9">
        <v>339000</v>
      </c>
      <c r="H181" s="9">
        <v>1593000</v>
      </c>
      <c r="I181" s="78" t="s">
        <v>4125</v>
      </c>
      <c r="J181" s="9">
        <v>150000</v>
      </c>
      <c r="K181" s="9" t="s">
        <v>4126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>
        <v>2121000</v>
      </c>
      <c r="I182" s="165" t="s">
        <v>4127</v>
      </c>
      <c r="J182" s="139">
        <v>50000</v>
      </c>
      <c r="K182" s="139" t="s">
        <v>123</v>
      </c>
    </row>
    <row r="183" spans="1:11" ht="19" x14ac:dyDescent="0.2">
      <c r="A183" s="143"/>
      <c r="B183" s="32"/>
      <c r="C183" s="49"/>
      <c r="D183" s="13"/>
      <c r="E183" s="15"/>
      <c r="F183" s="9"/>
      <c r="G183" s="9"/>
      <c r="H183" s="9">
        <v>170000</v>
      </c>
      <c r="I183" s="77" t="s">
        <v>4128</v>
      </c>
      <c r="J183" s="9">
        <v>200000</v>
      </c>
      <c r="K183" s="9" t="s">
        <v>2796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>
        <v>340000</v>
      </c>
      <c r="I184" s="165" t="s">
        <v>4129</v>
      </c>
      <c r="J184" s="139"/>
      <c r="K184" s="139"/>
    </row>
    <row r="185" spans="1:11" ht="19" x14ac:dyDescent="0.2">
      <c r="A185" s="143"/>
      <c r="B185" s="32"/>
      <c r="C185" s="49"/>
      <c r="D185" s="13"/>
      <c r="E185" s="15"/>
      <c r="F185" s="9"/>
      <c r="G185" s="9"/>
      <c r="H185" s="9">
        <v>1950000</v>
      </c>
      <c r="I185" s="77" t="s">
        <v>4130</v>
      </c>
      <c r="J185" s="9"/>
      <c r="K185" s="9"/>
    </row>
    <row r="186" spans="1:11" ht="32" x14ac:dyDescent="0.2">
      <c r="A186" s="144"/>
      <c r="B186" s="145"/>
      <c r="C186" s="149"/>
      <c r="D186" s="147"/>
      <c r="E186" s="150"/>
      <c r="F186" s="139"/>
      <c r="G186" s="139"/>
      <c r="H186" s="139">
        <v>5705000</v>
      </c>
      <c r="I186" s="253" t="s">
        <v>4131</v>
      </c>
      <c r="J186" s="139"/>
      <c r="K186" s="139"/>
    </row>
    <row r="187" spans="1:11" ht="19" x14ac:dyDescent="0.2">
      <c r="A187" s="143"/>
      <c r="B187" s="32"/>
      <c r="C187" s="49"/>
      <c r="D187" s="13"/>
      <c r="E187" s="15"/>
      <c r="F187" s="9"/>
      <c r="G187" s="9"/>
      <c r="H187" s="9"/>
      <c r="I187" s="77"/>
      <c r="J187" s="9"/>
      <c r="K187" s="9"/>
    </row>
    <row r="188" spans="1:11" ht="19" x14ac:dyDescent="0.2">
      <c r="A188" s="294"/>
      <c r="B188" s="145"/>
      <c r="C188" s="151"/>
      <c r="D188" s="147"/>
      <c r="E188" s="150"/>
      <c r="F188" s="139"/>
      <c r="G188" s="139"/>
      <c r="H188" s="139"/>
      <c r="I188" s="165"/>
      <c r="J188" s="139"/>
      <c r="K188" s="13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K192"/>
  <sheetViews>
    <sheetView topLeftCell="A86" workbookViewId="0">
      <selection activeCell="I28" sqref="I28"/>
    </sheetView>
  </sheetViews>
  <sheetFormatPr baseColWidth="10" defaultColWidth="11.5" defaultRowHeight="15" x14ac:dyDescent="0.2"/>
  <cols>
    <col min="1" max="1" width="28.83203125" customWidth="1"/>
    <col min="3" max="3" width="13.33203125" bestFit="1" customWidth="1"/>
    <col min="4" max="4" width="15.6640625" bestFit="1" customWidth="1"/>
    <col min="5" max="5" width="20.33203125" bestFit="1" customWidth="1"/>
    <col min="6" max="6" width="28.1640625" customWidth="1"/>
    <col min="7" max="8" width="20.33203125" bestFit="1" customWidth="1"/>
    <col min="9" max="9" width="28.83203125" customWidth="1"/>
    <col min="10" max="10" width="22.83203125" customWidth="1"/>
    <col min="11" max="11" width="29.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12013500</v>
      </c>
      <c r="K4" s="72">
        <f>J4/10820</f>
        <v>1110.3049907578559</v>
      </c>
    </row>
    <row r="5" spans="1:11" ht="24" x14ac:dyDescent="0.3">
      <c r="B5" s="99" t="s">
        <v>4215</v>
      </c>
      <c r="H5" s="73"/>
      <c r="I5" s="71" t="s">
        <v>2315</v>
      </c>
      <c r="J5" s="71">
        <v>12013500</v>
      </c>
      <c r="K5" s="72">
        <f>J5/10820</f>
        <v>1110.3049907578559</v>
      </c>
    </row>
    <row r="6" spans="1:11" ht="24" x14ac:dyDescent="0.3">
      <c r="B6" s="99"/>
      <c r="H6" s="73"/>
      <c r="I6" s="71" t="s">
        <v>178</v>
      </c>
      <c r="J6" s="71">
        <v>4867971</v>
      </c>
      <c r="K6" s="72" t="s">
        <v>4214</v>
      </c>
    </row>
    <row r="7" spans="1:11" ht="26" x14ac:dyDescent="0.3">
      <c r="B7" s="100" t="s">
        <v>4216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SUM(A11:A475)</f>
        <v>113414000</v>
      </c>
      <c r="B10" s="65"/>
      <c r="C10" s="66" t="s">
        <v>13</v>
      </c>
      <c r="D10" s="67"/>
      <c r="E10" s="68">
        <f>SUM(E11:E475)</f>
        <v>73212000</v>
      </c>
      <c r="F10" s="69">
        <f>SUM(F11:F475)</f>
        <v>13972000</v>
      </c>
      <c r="G10" s="69">
        <f>SUM(G11:G462)</f>
        <v>26230000</v>
      </c>
      <c r="H10" s="69">
        <f>SUM(H11:H475)</f>
        <v>27783000</v>
      </c>
      <c r="I10" s="69"/>
      <c r="J10" s="69">
        <f>SUM(J11:J475)</f>
        <v>21402000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32" x14ac:dyDescent="0.2">
      <c r="A12" s="144">
        <v>1550000</v>
      </c>
      <c r="B12" s="145">
        <v>45809</v>
      </c>
      <c r="C12" s="151" t="s">
        <v>9</v>
      </c>
      <c r="D12" s="147" t="s">
        <v>3531</v>
      </c>
      <c r="E12" s="150">
        <v>815000</v>
      </c>
      <c r="F12" s="139">
        <v>326000</v>
      </c>
      <c r="G12" s="139">
        <v>409000</v>
      </c>
      <c r="H12" s="139">
        <v>923000</v>
      </c>
      <c r="I12" s="245" t="s">
        <v>4301</v>
      </c>
      <c r="J12" s="139"/>
      <c r="K12" s="139"/>
    </row>
    <row r="13" spans="1:11" ht="19" x14ac:dyDescent="0.2">
      <c r="A13" s="143">
        <v>1475000</v>
      </c>
      <c r="B13" s="153"/>
      <c r="C13" s="163" t="s">
        <v>10</v>
      </c>
      <c r="D13" s="155" t="s">
        <v>20</v>
      </c>
      <c r="E13" s="164">
        <v>1150000</v>
      </c>
      <c r="F13" s="119">
        <v>80000</v>
      </c>
      <c r="G13" s="119">
        <v>245000</v>
      </c>
      <c r="H13" s="175"/>
      <c r="I13" s="174"/>
      <c r="J13" s="119"/>
      <c r="K13" s="119"/>
    </row>
    <row r="14" spans="1:11" ht="19" x14ac:dyDescent="0.2">
      <c r="A14" s="144">
        <v>2456000</v>
      </c>
      <c r="B14" s="145">
        <v>45810</v>
      </c>
      <c r="C14" s="151" t="s">
        <v>9</v>
      </c>
      <c r="D14" s="147" t="s">
        <v>4123</v>
      </c>
      <c r="E14" s="150">
        <v>1926000</v>
      </c>
      <c r="F14" s="139">
        <v>237000</v>
      </c>
      <c r="G14" s="139">
        <v>293000</v>
      </c>
      <c r="H14" s="152"/>
      <c r="I14" s="162"/>
      <c r="J14" s="139">
        <v>124000</v>
      </c>
      <c r="K14" s="139" t="s">
        <v>4136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28000</v>
      </c>
      <c r="K15" s="119" t="s">
        <v>1859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8000</v>
      </c>
      <c r="K16" s="139" t="s">
        <v>1557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6000</v>
      </c>
      <c r="K17" s="119" t="s">
        <v>1734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60000</v>
      </c>
      <c r="K18" s="139" t="s">
        <v>4065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88000</v>
      </c>
      <c r="K19" s="119" t="s">
        <v>1641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40000</v>
      </c>
      <c r="K20" s="139" t="s">
        <v>1493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83000</v>
      </c>
      <c r="K21" s="9" t="s">
        <v>4137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60000</v>
      </c>
      <c r="K22" s="139" t="s">
        <v>4138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9">
        <v>50000</v>
      </c>
      <c r="K23" s="9" t="s">
        <v>4139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105000</v>
      </c>
      <c r="K24" s="162" t="s">
        <v>1771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200000</v>
      </c>
      <c r="K25" s="119" t="s">
        <v>1296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105000</v>
      </c>
      <c r="K26" s="139" t="s">
        <v>1566</v>
      </c>
    </row>
    <row r="27" spans="1:11" ht="19" x14ac:dyDescent="0.2">
      <c r="A27" s="143">
        <v>1900000</v>
      </c>
      <c r="B27" s="32"/>
      <c r="C27" s="49" t="s">
        <v>10</v>
      </c>
      <c r="D27" s="13" t="s">
        <v>20</v>
      </c>
      <c r="E27" s="15">
        <v>1388000</v>
      </c>
      <c r="F27" s="9">
        <v>308000</v>
      </c>
      <c r="G27" s="9">
        <v>204000</v>
      </c>
      <c r="H27" s="9"/>
      <c r="I27" s="9"/>
      <c r="J27" s="9">
        <v>240000</v>
      </c>
      <c r="K27" s="106" t="s">
        <v>3659</v>
      </c>
    </row>
    <row r="28" spans="1:11" ht="19" x14ac:dyDescent="0.2">
      <c r="A28" s="144">
        <v>2965000</v>
      </c>
      <c r="B28" s="145">
        <v>45811</v>
      </c>
      <c r="C28" s="149" t="s">
        <v>9</v>
      </c>
      <c r="D28" s="147" t="s">
        <v>4123</v>
      </c>
      <c r="E28" s="150">
        <v>2103000</v>
      </c>
      <c r="F28" s="139">
        <v>197000</v>
      </c>
      <c r="G28" s="139">
        <v>665000</v>
      </c>
      <c r="H28" s="139">
        <v>281000</v>
      </c>
      <c r="I28" s="139" t="s">
        <v>2772</v>
      </c>
      <c r="J28" s="139">
        <v>256000</v>
      </c>
      <c r="K28" s="139" t="s">
        <v>4140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9">
        <v>15000</v>
      </c>
      <c r="K29" s="9" t="s">
        <v>1881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100000</v>
      </c>
      <c r="K30" s="139" t="s">
        <v>3248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300000</v>
      </c>
      <c r="K31" s="9" t="s">
        <v>4141</v>
      </c>
    </row>
    <row r="32" spans="1:11" ht="19" x14ac:dyDescent="0.2">
      <c r="A32" s="144">
        <v>1673000</v>
      </c>
      <c r="B32" s="145"/>
      <c r="C32" s="149" t="s">
        <v>10</v>
      </c>
      <c r="D32" s="147" t="s">
        <v>3531</v>
      </c>
      <c r="E32" s="150">
        <v>947000</v>
      </c>
      <c r="F32" s="139">
        <v>108000</v>
      </c>
      <c r="G32" s="139">
        <v>618000</v>
      </c>
      <c r="H32" s="139"/>
      <c r="I32" s="139"/>
      <c r="J32" s="139">
        <v>150000</v>
      </c>
      <c r="K32" s="139" t="s">
        <v>1710</v>
      </c>
    </row>
    <row r="33" spans="1:11" ht="19" x14ac:dyDescent="0.2">
      <c r="A33" s="143">
        <v>2507000</v>
      </c>
      <c r="B33" s="153">
        <v>45812</v>
      </c>
      <c r="C33" s="171" t="s">
        <v>9</v>
      </c>
      <c r="D33" s="155" t="s">
        <v>4123</v>
      </c>
      <c r="E33" s="164">
        <v>1446000</v>
      </c>
      <c r="F33" s="119">
        <v>272000</v>
      </c>
      <c r="G33" s="119">
        <v>789000</v>
      </c>
      <c r="H33" s="119"/>
      <c r="I33" s="119"/>
      <c r="J33" s="119">
        <v>60000</v>
      </c>
      <c r="K33" s="119" t="s">
        <v>1533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8000</v>
      </c>
      <c r="K34" s="139" t="s">
        <v>3843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50000</v>
      </c>
      <c r="K35" s="9" t="s">
        <v>3661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109000</v>
      </c>
      <c r="K36" s="139" t="s">
        <v>1856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22000</v>
      </c>
      <c r="K37" s="9" t="s">
        <v>4142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69000</v>
      </c>
      <c r="K38" s="139" t="s">
        <v>2840</v>
      </c>
    </row>
    <row r="39" spans="1:11" ht="19" x14ac:dyDescent="0.2">
      <c r="A39" s="143">
        <v>1458000</v>
      </c>
      <c r="B39" s="32"/>
      <c r="C39" s="49" t="s">
        <v>10</v>
      </c>
      <c r="D39" s="13" t="s">
        <v>20</v>
      </c>
      <c r="E39" s="15">
        <v>985000</v>
      </c>
      <c r="F39" s="9">
        <v>76000</v>
      </c>
      <c r="G39" s="9">
        <v>397000</v>
      </c>
      <c r="H39" s="9"/>
      <c r="I39" s="119"/>
      <c r="J39" s="9">
        <v>150000</v>
      </c>
      <c r="K39" s="9" t="s">
        <v>3966</v>
      </c>
    </row>
    <row r="40" spans="1:11" ht="19" x14ac:dyDescent="0.2">
      <c r="A40" s="144">
        <v>1924000</v>
      </c>
      <c r="B40" s="145">
        <v>45813</v>
      </c>
      <c r="C40" s="149" t="s">
        <v>9</v>
      </c>
      <c r="D40" s="147" t="s">
        <v>3941</v>
      </c>
      <c r="E40" s="150">
        <v>1303000</v>
      </c>
      <c r="F40" s="139">
        <v>291000</v>
      </c>
      <c r="G40" s="139">
        <v>330000</v>
      </c>
      <c r="H40" s="139"/>
      <c r="I40" s="139"/>
      <c r="J40" s="139">
        <v>176000</v>
      </c>
      <c r="K40" s="139" t="s">
        <v>4143</v>
      </c>
    </row>
    <row r="41" spans="1:11" ht="19" x14ac:dyDescent="0.2">
      <c r="A41" s="143">
        <v>1531000</v>
      </c>
      <c r="B41" s="32"/>
      <c r="C41" s="49" t="s">
        <v>10</v>
      </c>
      <c r="D41" s="13" t="s">
        <v>20</v>
      </c>
      <c r="E41" s="15">
        <v>811000</v>
      </c>
      <c r="F41" s="9">
        <v>329000</v>
      </c>
      <c r="G41" s="9">
        <v>391000</v>
      </c>
      <c r="H41" s="9"/>
      <c r="I41" s="119"/>
      <c r="J41" s="9">
        <v>48000</v>
      </c>
      <c r="K41" s="9" t="s">
        <v>1449</v>
      </c>
    </row>
    <row r="42" spans="1:11" ht="19" x14ac:dyDescent="0.2">
      <c r="A42" s="144">
        <v>2165000</v>
      </c>
      <c r="B42" s="145">
        <v>45814</v>
      </c>
      <c r="C42" s="149" t="s">
        <v>9</v>
      </c>
      <c r="D42" s="147" t="s">
        <v>3941</v>
      </c>
      <c r="E42" s="150">
        <v>1330000</v>
      </c>
      <c r="F42" s="139">
        <v>158000</v>
      </c>
      <c r="G42" s="139">
        <v>677000</v>
      </c>
      <c r="H42" s="139"/>
      <c r="I42" s="139"/>
      <c r="J42" s="139">
        <v>104000</v>
      </c>
      <c r="K42" s="139" t="s">
        <v>4144</v>
      </c>
    </row>
    <row r="43" spans="1:11" ht="19" x14ac:dyDescent="0.2">
      <c r="A43" s="143">
        <v>1414000</v>
      </c>
      <c r="B43" s="32"/>
      <c r="C43" s="49" t="s">
        <v>10</v>
      </c>
      <c r="D43" s="13" t="s">
        <v>3531</v>
      </c>
      <c r="E43" s="15">
        <v>848000</v>
      </c>
      <c r="F43" s="9">
        <v>244000</v>
      </c>
      <c r="G43" s="9">
        <v>322000</v>
      </c>
      <c r="H43" s="9"/>
      <c r="I43" s="119"/>
      <c r="J43" s="9">
        <v>18000</v>
      </c>
      <c r="K43" s="9" t="s">
        <v>3805</v>
      </c>
    </row>
    <row r="44" spans="1:11" ht="19" x14ac:dyDescent="0.2">
      <c r="A44" s="144">
        <v>1736000</v>
      </c>
      <c r="B44" s="145">
        <v>45815</v>
      </c>
      <c r="C44" s="149" t="s">
        <v>9</v>
      </c>
      <c r="D44" s="147" t="s">
        <v>4123</v>
      </c>
      <c r="E44" s="150">
        <v>1123000</v>
      </c>
      <c r="F44" s="139">
        <v>163000</v>
      </c>
      <c r="G44" s="139">
        <v>450000</v>
      </c>
      <c r="H44" s="139"/>
      <c r="I44" s="139"/>
      <c r="J44" s="139">
        <v>68000</v>
      </c>
      <c r="K44" s="139" t="s">
        <v>4145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42000</v>
      </c>
      <c r="K45" s="119" t="s">
        <v>4146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18000</v>
      </c>
      <c r="K46" s="139" t="s">
        <v>3805</v>
      </c>
    </row>
    <row r="47" spans="1:11" ht="19" x14ac:dyDescent="0.2">
      <c r="A47" s="143">
        <v>1929000</v>
      </c>
      <c r="B47" s="153"/>
      <c r="C47" s="171" t="s">
        <v>10</v>
      </c>
      <c r="D47" s="155" t="s">
        <v>20</v>
      </c>
      <c r="E47" s="164">
        <v>1357000</v>
      </c>
      <c r="F47" s="119">
        <v>132000</v>
      </c>
      <c r="G47" s="119">
        <v>440000</v>
      </c>
      <c r="H47" s="119"/>
      <c r="I47" s="119"/>
      <c r="J47" s="119">
        <v>15000</v>
      </c>
      <c r="K47" s="119" t="s">
        <v>1582</v>
      </c>
    </row>
    <row r="48" spans="1:11" ht="19" x14ac:dyDescent="0.2">
      <c r="A48" s="144">
        <v>1160000</v>
      </c>
      <c r="B48" s="145">
        <v>45816</v>
      </c>
      <c r="C48" s="149" t="s">
        <v>9</v>
      </c>
      <c r="D48" s="147" t="s">
        <v>3531</v>
      </c>
      <c r="E48" s="150">
        <v>719000</v>
      </c>
      <c r="F48" s="139">
        <v>63000</v>
      </c>
      <c r="G48" s="139">
        <v>378000</v>
      </c>
      <c r="H48" s="139"/>
      <c r="I48" s="152"/>
      <c r="J48" s="139">
        <v>50000</v>
      </c>
      <c r="K48" s="139" t="s">
        <v>123</v>
      </c>
    </row>
    <row r="49" spans="1:11" ht="19" x14ac:dyDescent="0.2">
      <c r="A49" s="143">
        <v>1354000</v>
      </c>
      <c r="B49" s="153"/>
      <c r="C49" s="171" t="s">
        <v>10</v>
      </c>
      <c r="D49" s="155" t="s">
        <v>20</v>
      </c>
      <c r="E49" s="164">
        <v>808000</v>
      </c>
      <c r="F49" s="119">
        <v>244000</v>
      </c>
      <c r="G49" s="119">
        <v>302000</v>
      </c>
      <c r="H49" s="119"/>
      <c r="I49" s="119"/>
      <c r="J49" s="119"/>
      <c r="K49" s="119"/>
    </row>
    <row r="50" spans="1:11" ht="19" x14ac:dyDescent="0.2">
      <c r="A50" s="144">
        <v>2585000</v>
      </c>
      <c r="B50" s="145">
        <v>45817</v>
      </c>
      <c r="C50" s="149" t="s">
        <v>9</v>
      </c>
      <c r="D50" s="147" t="s">
        <v>4123</v>
      </c>
      <c r="E50" s="150">
        <v>1859000</v>
      </c>
      <c r="F50" s="139">
        <v>488000</v>
      </c>
      <c r="G50" s="139">
        <v>238000</v>
      </c>
      <c r="H50" s="139"/>
      <c r="I50" s="139"/>
      <c r="J50" s="139">
        <v>44000</v>
      </c>
      <c r="K50" s="139" t="s">
        <v>4147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98000</v>
      </c>
      <c r="K51" s="119" t="s">
        <v>4148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148000</v>
      </c>
      <c r="K52" s="139" t="s">
        <v>1856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8000</v>
      </c>
      <c r="K53" s="119" t="s">
        <v>2253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16000</v>
      </c>
      <c r="K54" s="139" t="s">
        <v>2475</v>
      </c>
    </row>
    <row r="55" spans="1:11" ht="19" x14ac:dyDescent="0.2">
      <c r="A55" s="143">
        <v>2155000</v>
      </c>
      <c r="B55" s="153"/>
      <c r="C55" s="171" t="s">
        <v>10</v>
      </c>
      <c r="D55" s="155" t="s">
        <v>20</v>
      </c>
      <c r="E55" s="164">
        <v>1373000</v>
      </c>
      <c r="F55" s="119">
        <v>244000</v>
      </c>
      <c r="G55" s="119">
        <v>538000</v>
      </c>
      <c r="H55" s="119"/>
      <c r="I55" s="119"/>
      <c r="J55" s="119">
        <v>208000</v>
      </c>
      <c r="K55" s="119" t="s">
        <v>4149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585000</v>
      </c>
      <c r="K56" s="139" t="s">
        <v>4106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114000</v>
      </c>
      <c r="K57" s="119" t="s">
        <v>1668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120000</v>
      </c>
      <c r="K58" s="139" t="s">
        <v>4150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50000</v>
      </c>
      <c r="K59" s="119" t="s">
        <v>1762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284"/>
      <c r="I60" s="139"/>
      <c r="J60" s="139">
        <v>24000</v>
      </c>
      <c r="K60" s="139" t="s">
        <v>3445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41000</v>
      </c>
      <c r="K61" s="119" t="s">
        <v>3463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120000</v>
      </c>
      <c r="K62" s="139" t="s">
        <v>1553</v>
      </c>
    </row>
    <row r="63" spans="1:11" ht="19" x14ac:dyDescent="0.2">
      <c r="A63" s="143">
        <v>2125000</v>
      </c>
      <c r="B63" s="153">
        <v>45818</v>
      </c>
      <c r="C63" s="171" t="s">
        <v>9</v>
      </c>
      <c r="D63" s="155" t="s">
        <v>4123</v>
      </c>
      <c r="E63" s="164">
        <v>1607000</v>
      </c>
      <c r="F63" s="119">
        <v>229000</v>
      </c>
      <c r="G63" s="119">
        <v>289000</v>
      </c>
      <c r="H63" s="119">
        <v>7635000</v>
      </c>
      <c r="I63" s="119" t="s">
        <v>3124</v>
      </c>
      <c r="J63" s="119">
        <v>12000</v>
      </c>
      <c r="K63" s="119" t="s">
        <v>1734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100000</v>
      </c>
      <c r="K64" s="139" t="s">
        <v>2966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320000</v>
      </c>
      <c r="K65" s="119" t="s">
        <v>4151</v>
      </c>
    </row>
    <row r="66" spans="1:11" ht="19" x14ac:dyDescent="0.2">
      <c r="A66" s="144">
        <v>1130000</v>
      </c>
      <c r="B66" s="145"/>
      <c r="C66" s="149" t="s">
        <v>1787</v>
      </c>
      <c r="D66" s="147" t="s">
        <v>3531</v>
      </c>
      <c r="E66" s="150">
        <v>762000</v>
      </c>
      <c r="F66" s="139">
        <v>102000</v>
      </c>
      <c r="G66" s="139">
        <v>266000</v>
      </c>
      <c r="H66" s="152"/>
      <c r="I66" s="152"/>
      <c r="J66" s="139">
        <v>210000</v>
      </c>
      <c r="K66" s="139" t="s">
        <v>4152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200000</v>
      </c>
      <c r="K67" s="119" t="s">
        <v>3870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150000</v>
      </c>
      <c r="K68" s="139" t="s">
        <v>4153</v>
      </c>
    </row>
    <row r="69" spans="1:11" ht="19" x14ac:dyDescent="0.2">
      <c r="A69" s="206">
        <v>2589000</v>
      </c>
      <c r="B69" s="153">
        <v>45819</v>
      </c>
      <c r="C69" s="171" t="s">
        <v>9</v>
      </c>
      <c r="D69" s="155" t="s">
        <v>3941</v>
      </c>
      <c r="E69" s="210">
        <v>1611000</v>
      </c>
      <c r="F69" s="211">
        <v>495000</v>
      </c>
      <c r="G69" s="211">
        <v>483000</v>
      </c>
      <c r="H69" s="211"/>
      <c r="I69" s="119"/>
      <c r="J69" s="211">
        <v>35000</v>
      </c>
      <c r="K69" s="119" t="s">
        <v>4154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100000</v>
      </c>
      <c r="K70" s="139" t="s">
        <v>3248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19000</v>
      </c>
      <c r="K71" s="9" t="s">
        <v>3348</v>
      </c>
    </row>
    <row r="72" spans="1:11" ht="19" x14ac:dyDescent="0.2">
      <c r="A72" s="144">
        <v>1450000</v>
      </c>
      <c r="B72" s="145"/>
      <c r="C72" s="149" t="s">
        <v>10</v>
      </c>
      <c r="D72" s="147" t="s">
        <v>20</v>
      </c>
      <c r="E72" s="150">
        <v>1042000</v>
      </c>
      <c r="F72" s="139">
        <v>174000</v>
      </c>
      <c r="G72" s="139">
        <v>234000</v>
      </c>
      <c r="H72" s="139"/>
      <c r="I72" s="139"/>
      <c r="J72" s="139">
        <v>135000</v>
      </c>
      <c r="K72" s="139" t="s">
        <v>1649</v>
      </c>
    </row>
    <row r="73" spans="1:11" ht="19" x14ac:dyDescent="0.2">
      <c r="A73" s="143">
        <v>2579000</v>
      </c>
      <c r="B73" s="32">
        <v>45820</v>
      </c>
      <c r="C73" s="49" t="s">
        <v>9</v>
      </c>
      <c r="D73" s="155" t="s">
        <v>4123</v>
      </c>
      <c r="E73" s="15">
        <v>1885000</v>
      </c>
      <c r="F73" s="9">
        <v>198000</v>
      </c>
      <c r="G73" s="9">
        <v>496000</v>
      </c>
      <c r="H73" s="9"/>
      <c r="I73" s="9"/>
      <c r="J73" s="9">
        <v>550000</v>
      </c>
      <c r="K73" s="9" t="s">
        <v>4155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150000</v>
      </c>
      <c r="K74" s="139" t="s">
        <v>4156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150000</v>
      </c>
      <c r="K75" s="119" t="s">
        <v>4157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150000</v>
      </c>
      <c r="K76" s="139" t="s">
        <v>4158</v>
      </c>
    </row>
    <row r="77" spans="1:11" ht="19" x14ac:dyDescent="0.2">
      <c r="A77" s="143">
        <v>1653000</v>
      </c>
      <c r="B77" s="153"/>
      <c r="C77" s="171" t="s">
        <v>10</v>
      </c>
      <c r="D77" s="155" t="s">
        <v>3531</v>
      </c>
      <c r="E77" s="164">
        <v>1024000</v>
      </c>
      <c r="F77" s="119">
        <v>271000</v>
      </c>
      <c r="G77" s="119">
        <v>358000</v>
      </c>
      <c r="H77" s="9"/>
      <c r="I77" s="9"/>
      <c r="J77" s="9">
        <v>45000</v>
      </c>
      <c r="K77" s="9" t="s">
        <v>4159</v>
      </c>
    </row>
    <row r="78" spans="1:11" ht="19" x14ac:dyDescent="0.2">
      <c r="A78" s="144">
        <v>2765000</v>
      </c>
      <c r="B78" s="145">
        <v>45821</v>
      </c>
      <c r="C78" s="149" t="s">
        <v>9</v>
      </c>
      <c r="D78" s="147" t="s">
        <v>3941</v>
      </c>
      <c r="E78" s="150">
        <v>1800000</v>
      </c>
      <c r="F78" s="139">
        <v>237000</v>
      </c>
      <c r="G78" s="139">
        <v>728000</v>
      </c>
      <c r="H78" s="139"/>
      <c r="I78" s="139"/>
      <c r="J78" s="139">
        <v>187000</v>
      </c>
      <c r="K78" s="139" t="s">
        <v>4160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81000</v>
      </c>
      <c r="K79" s="119" t="s">
        <v>1738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51000</v>
      </c>
      <c r="K80" s="139" t="s">
        <v>3596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81000</v>
      </c>
      <c r="K81" s="119" t="s">
        <v>4161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108000</v>
      </c>
      <c r="K82" s="139" t="s">
        <v>1856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21000</v>
      </c>
      <c r="K83" s="9" t="s">
        <v>2986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85000</v>
      </c>
      <c r="K84" s="139" t="s">
        <v>4162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34000</v>
      </c>
      <c r="K85" s="119" t="s">
        <v>4163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24000</v>
      </c>
      <c r="K86" s="139" t="s">
        <v>1859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17000</v>
      </c>
      <c r="K87" s="119" t="s">
        <v>4020</v>
      </c>
    </row>
    <row r="88" spans="1:11" ht="19" x14ac:dyDescent="0.2">
      <c r="A88" s="144">
        <v>1538000</v>
      </c>
      <c r="B88" s="145"/>
      <c r="C88" s="149" t="s">
        <v>10</v>
      </c>
      <c r="D88" s="147" t="s">
        <v>20</v>
      </c>
      <c r="E88" s="150">
        <v>1115000</v>
      </c>
      <c r="F88" s="139">
        <v>160000</v>
      </c>
      <c r="G88" s="139">
        <v>263000</v>
      </c>
      <c r="H88" s="162"/>
      <c r="I88" s="162"/>
      <c r="J88" s="162">
        <v>107000</v>
      </c>
      <c r="K88" s="162" t="s">
        <v>4164</v>
      </c>
    </row>
    <row r="89" spans="1:11" ht="19" x14ac:dyDescent="0.2">
      <c r="A89" s="143">
        <v>1738000</v>
      </c>
      <c r="B89" s="153">
        <v>45822</v>
      </c>
      <c r="C89" s="171" t="s">
        <v>9</v>
      </c>
      <c r="D89" s="155" t="s">
        <v>4165</v>
      </c>
      <c r="E89" s="164">
        <v>1112000</v>
      </c>
      <c r="F89" s="119">
        <v>232000</v>
      </c>
      <c r="G89" s="119">
        <v>394000</v>
      </c>
      <c r="H89" s="106"/>
      <c r="I89" s="106"/>
      <c r="J89" s="119">
        <v>34000</v>
      </c>
      <c r="K89" s="119" t="s">
        <v>3463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80000</v>
      </c>
      <c r="K90" s="139" t="s">
        <v>4166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9">
        <v>80000</v>
      </c>
      <c r="K91" s="9" t="s">
        <v>2789</v>
      </c>
    </row>
    <row r="92" spans="1:11" ht="19" x14ac:dyDescent="0.2">
      <c r="A92" s="144">
        <v>1438000</v>
      </c>
      <c r="B92" s="145"/>
      <c r="C92" s="149" t="s">
        <v>10</v>
      </c>
      <c r="D92" s="147" t="s">
        <v>3531</v>
      </c>
      <c r="E92" s="150">
        <v>704000</v>
      </c>
      <c r="F92" s="139">
        <v>462000</v>
      </c>
      <c r="G92" s="139">
        <v>272000</v>
      </c>
      <c r="H92" s="152"/>
      <c r="I92" s="152"/>
      <c r="J92" s="139">
        <v>240000</v>
      </c>
      <c r="K92" s="139" t="s">
        <v>3659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75"/>
      <c r="I93" s="9"/>
      <c r="J93" s="119">
        <v>50000</v>
      </c>
      <c r="K93" s="9" t="s">
        <v>123</v>
      </c>
    </row>
    <row r="94" spans="1:11" ht="19" x14ac:dyDescent="0.2">
      <c r="A94" s="144">
        <v>1468000</v>
      </c>
      <c r="B94" s="145">
        <v>45823</v>
      </c>
      <c r="C94" s="149" t="s">
        <v>9</v>
      </c>
      <c r="D94" s="147" t="s">
        <v>4167</v>
      </c>
      <c r="E94" s="150">
        <v>1028000</v>
      </c>
      <c r="F94" s="139">
        <v>299000</v>
      </c>
      <c r="G94" s="139">
        <v>141000</v>
      </c>
      <c r="H94" s="139"/>
      <c r="I94" s="139"/>
      <c r="J94" s="139">
        <v>800000</v>
      </c>
      <c r="K94" s="139" t="s">
        <v>4168</v>
      </c>
    </row>
    <row r="95" spans="1:11" ht="19" x14ac:dyDescent="0.2">
      <c r="A95" s="143">
        <v>1485000</v>
      </c>
      <c r="B95" s="32"/>
      <c r="C95" s="49" t="s">
        <v>10</v>
      </c>
      <c r="D95" s="13" t="s">
        <v>3531</v>
      </c>
      <c r="E95" s="15">
        <v>975000</v>
      </c>
      <c r="F95" s="9">
        <v>184000</v>
      </c>
      <c r="G95" s="9">
        <v>326000</v>
      </c>
      <c r="H95" s="9"/>
      <c r="I95" s="9"/>
      <c r="J95" s="119">
        <v>3620000</v>
      </c>
      <c r="K95" s="119" t="s">
        <v>4213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52"/>
      <c r="I96" s="152"/>
      <c r="J96" s="139"/>
      <c r="K96" s="139"/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/>
      <c r="K97" s="9"/>
    </row>
    <row r="98" spans="1:11" ht="19" x14ac:dyDescent="0.2">
      <c r="A98" s="144">
        <v>2066000</v>
      </c>
      <c r="B98" s="145">
        <v>45824</v>
      </c>
      <c r="C98" s="159" t="s">
        <v>9</v>
      </c>
      <c r="D98" s="147" t="s">
        <v>3941</v>
      </c>
      <c r="E98" s="150">
        <v>1262000</v>
      </c>
      <c r="F98" s="139">
        <v>91000</v>
      </c>
      <c r="G98" s="139">
        <v>713000</v>
      </c>
      <c r="H98" s="139"/>
      <c r="I98" s="139"/>
      <c r="J98" s="139">
        <v>48000</v>
      </c>
      <c r="K98" s="139" t="s">
        <v>1449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>
        <v>2126000</v>
      </c>
      <c r="I99" s="119" t="s">
        <v>4169</v>
      </c>
      <c r="J99" s="119">
        <v>44000</v>
      </c>
      <c r="K99" s="119" t="s">
        <v>1641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>
        <v>1800000</v>
      </c>
      <c r="I100" s="139" t="s">
        <v>4001</v>
      </c>
      <c r="J100" s="139">
        <v>19000</v>
      </c>
      <c r="K100" s="139" t="s">
        <v>4170</v>
      </c>
    </row>
    <row r="101" spans="1:11" ht="19" x14ac:dyDescent="0.2">
      <c r="A101" s="143">
        <v>1793000</v>
      </c>
      <c r="B101" s="153"/>
      <c r="C101" s="171" t="s">
        <v>10</v>
      </c>
      <c r="D101" s="155" t="s">
        <v>20</v>
      </c>
      <c r="E101" s="15">
        <v>1521000</v>
      </c>
      <c r="F101" s="119">
        <v>0</v>
      </c>
      <c r="G101" s="119">
        <v>272000</v>
      </c>
      <c r="H101" s="119">
        <v>150000</v>
      </c>
      <c r="I101" s="119" t="s">
        <v>4171</v>
      </c>
      <c r="J101" s="119">
        <v>64000</v>
      </c>
      <c r="K101" s="119" t="s">
        <v>4172</v>
      </c>
    </row>
    <row r="102" spans="1:11" ht="32" x14ac:dyDescent="0.2">
      <c r="A102" s="144"/>
      <c r="B102" s="145"/>
      <c r="C102" s="149"/>
      <c r="D102" s="147"/>
      <c r="E102" s="150"/>
      <c r="F102" s="139"/>
      <c r="G102" s="139"/>
      <c r="H102" s="139">
        <v>1660000</v>
      </c>
      <c r="I102" s="161" t="s">
        <v>4173</v>
      </c>
      <c r="J102" s="139">
        <v>90000</v>
      </c>
      <c r="K102" s="139" t="s">
        <v>4174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263000</v>
      </c>
      <c r="K103" s="119" t="s">
        <v>4175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165000</v>
      </c>
      <c r="K104" s="139" t="s">
        <v>1869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200000</v>
      </c>
      <c r="K105" s="119" t="s">
        <v>3987</v>
      </c>
    </row>
    <row r="106" spans="1:11" ht="19" x14ac:dyDescent="0.2">
      <c r="A106" s="144">
        <v>1982000</v>
      </c>
      <c r="B106" s="145">
        <v>45825</v>
      </c>
      <c r="C106" s="149" t="s">
        <v>9</v>
      </c>
      <c r="D106" s="147" t="s">
        <v>3941</v>
      </c>
      <c r="E106" s="150">
        <v>1413000</v>
      </c>
      <c r="F106" s="139">
        <v>164000</v>
      </c>
      <c r="G106" s="139">
        <v>405000</v>
      </c>
      <c r="H106" s="139"/>
      <c r="I106" s="139"/>
      <c r="J106" s="139"/>
      <c r="K106" s="139"/>
    </row>
    <row r="107" spans="1:11" ht="19" x14ac:dyDescent="0.2">
      <c r="A107" s="143">
        <v>1510000</v>
      </c>
      <c r="B107" s="153"/>
      <c r="C107" s="171" t="s">
        <v>10</v>
      </c>
      <c r="D107" s="155" t="s">
        <v>3531</v>
      </c>
      <c r="E107" s="164">
        <v>1047000</v>
      </c>
      <c r="F107" s="119">
        <v>160000</v>
      </c>
      <c r="G107" s="119">
        <v>303000</v>
      </c>
      <c r="H107" s="119"/>
      <c r="I107" s="119"/>
      <c r="J107" s="119"/>
      <c r="K107" s="119"/>
    </row>
    <row r="108" spans="1:11" ht="19" x14ac:dyDescent="0.2">
      <c r="A108" s="148">
        <v>2880000</v>
      </c>
      <c r="B108" s="145">
        <v>45826</v>
      </c>
      <c r="C108" s="149" t="s">
        <v>9</v>
      </c>
      <c r="D108" s="160" t="s">
        <v>3941</v>
      </c>
      <c r="E108" s="150">
        <v>1627000</v>
      </c>
      <c r="F108" s="139">
        <v>368000</v>
      </c>
      <c r="G108" s="139">
        <v>885000</v>
      </c>
      <c r="H108" s="139"/>
      <c r="I108" s="139"/>
      <c r="J108" s="139">
        <v>54000</v>
      </c>
      <c r="K108" s="139" t="s">
        <v>1500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66000</v>
      </c>
      <c r="K109" s="119" t="s">
        <v>1872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50000</v>
      </c>
      <c r="K110" s="139" t="s">
        <v>3661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15000</v>
      </c>
      <c r="K111" s="119" t="s">
        <v>3162</v>
      </c>
    </row>
    <row r="112" spans="1:11" ht="19" x14ac:dyDescent="0.2">
      <c r="A112" s="144">
        <v>935000</v>
      </c>
      <c r="B112" s="145"/>
      <c r="C112" s="149" t="s">
        <v>10</v>
      </c>
      <c r="D112" s="147" t="s">
        <v>20</v>
      </c>
      <c r="E112" s="150">
        <v>565000</v>
      </c>
      <c r="F112" s="139">
        <v>287000</v>
      </c>
      <c r="G112" s="139">
        <v>83000</v>
      </c>
      <c r="H112" s="139"/>
      <c r="I112" s="139"/>
      <c r="J112" s="139">
        <v>15000</v>
      </c>
      <c r="K112" s="139" t="s">
        <v>1580</v>
      </c>
    </row>
    <row r="113" spans="1:11" ht="19" x14ac:dyDescent="0.2">
      <c r="A113" s="143">
        <v>2106000</v>
      </c>
      <c r="B113" s="153">
        <v>45827</v>
      </c>
      <c r="C113" s="171" t="s">
        <v>9</v>
      </c>
      <c r="D113" s="155" t="s">
        <v>3941</v>
      </c>
      <c r="E113" s="164">
        <v>1307000</v>
      </c>
      <c r="F113" s="119">
        <v>220000</v>
      </c>
      <c r="G113" s="119">
        <v>579000</v>
      </c>
      <c r="H113" s="119"/>
      <c r="I113" s="175"/>
      <c r="J113" s="119">
        <v>62000</v>
      </c>
      <c r="K113" s="119" t="s">
        <v>3464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88000</v>
      </c>
      <c r="K114" s="139" t="s">
        <v>4176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21000</v>
      </c>
      <c r="K115" s="119" t="s">
        <v>2986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150000</v>
      </c>
      <c r="K116" s="162" t="s">
        <v>3799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150000</v>
      </c>
      <c r="K117" s="174" t="s">
        <v>4177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105000</v>
      </c>
      <c r="K118" s="139" t="s">
        <v>1771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200000</v>
      </c>
      <c r="K119" s="119" t="s">
        <v>2796</v>
      </c>
    </row>
    <row r="120" spans="1:11" ht="19" x14ac:dyDescent="0.2">
      <c r="A120" s="144">
        <v>1983000</v>
      </c>
      <c r="B120" s="145"/>
      <c r="C120" s="149" t="s">
        <v>10</v>
      </c>
      <c r="D120" s="147" t="s">
        <v>20</v>
      </c>
      <c r="E120" s="150">
        <v>1321000</v>
      </c>
      <c r="F120" s="139">
        <v>316000</v>
      </c>
      <c r="G120" s="139">
        <v>346000</v>
      </c>
      <c r="H120" s="139"/>
      <c r="I120" s="139"/>
      <c r="J120" s="139">
        <v>150000</v>
      </c>
      <c r="K120" s="139" t="s">
        <v>1710</v>
      </c>
    </row>
    <row r="121" spans="1:11" ht="19" x14ac:dyDescent="0.2">
      <c r="A121" s="143">
        <v>2896000</v>
      </c>
      <c r="B121" s="153">
        <v>45828</v>
      </c>
      <c r="C121" s="171" t="s">
        <v>9</v>
      </c>
      <c r="D121" s="155" t="s">
        <v>3941</v>
      </c>
      <c r="E121" s="164">
        <v>1952000</v>
      </c>
      <c r="F121" s="119">
        <v>359000</v>
      </c>
      <c r="G121" s="119">
        <v>585000</v>
      </c>
      <c r="H121" s="119"/>
      <c r="I121" s="119"/>
      <c r="J121" s="119">
        <v>12000</v>
      </c>
      <c r="K121" s="119" t="s">
        <v>1734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176000</v>
      </c>
      <c r="K122" s="139" t="s">
        <v>4178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41000</v>
      </c>
      <c r="K123" s="174" t="s">
        <v>4179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147000</v>
      </c>
      <c r="K124" s="162" t="s">
        <v>1856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48000</v>
      </c>
      <c r="K125" s="106" t="s">
        <v>1449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4000</v>
      </c>
      <c r="K126" s="162" t="s">
        <v>3490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161000</v>
      </c>
      <c r="K127" s="174" t="s">
        <v>4180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80000</v>
      </c>
      <c r="K128" s="139" t="s">
        <v>4181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12000</v>
      </c>
      <c r="K129" s="174" t="s">
        <v>1530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7000</v>
      </c>
      <c r="K130" s="139" t="s">
        <v>4182</v>
      </c>
    </row>
    <row r="131" spans="1:11" ht="19" x14ac:dyDescent="0.2">
      <c r="A131" s="143">
        <v>1595000</v>
      </c>
      <c r="B131" s="153"/>
      <c r="C131" s="163" t="s">
        <v>10</v>
      </c>
      <c r="D131" s="155" t="s">
        <v>3531</v>
      </c>
      <c r="E131" s="164">
        <v>1171000</v>
      </c>
      <c r="F131" s="119">
        <v>102000</v>
      </c>
      <c r="G131" s="119">
        <v>322000</v>
      </c>
      <c r="H131" s="119"/>
      <c r="I131" s="119"/>
      <c r="J131" s="119">
        <v>27000</v>
      </c>
      <c r="K131" s="119" t="s">
        <v>1233</v>
      </c>
    </row>
    <row r="132" spans="1:11" ht="19" x14ac:dyDescent="0.2">
      <c r="A132" s="144">
        <v>2451000</v>
      </c>
      <c r="B132" s="145">
        <v>45829</v>
      </c>
      <c r="C132" s="151" t="s">
        <v>9</v>
      </c>
      <c r="D132" s="147" t="s">
        <v>3941</v>
      </c>
      <c r="E132" s="150">
        <v>1401000</v>
      </c>
      <c r="F132" s="139">
        <v>405000</v>
      </c>
      <c r="G132" s="139">
        <v>645000</v>
      </c>
      <c r="H132" s="139"/>
      <c r="I132" s="139"/>
      <c r="J132" s="139">
        <v>300000</v>
      </c>
      <c r="K132" s="139" t="s">
        <v>3558</v>
      </c>
    </row>
    <row r="133" spans="1:11" ht="19" x14ac:dyDescent="0.2">
      <c r="A133" s="143">
        <v>1599000</v>
      </c>
      <c r="B133" s="153"/>
      <c r="C133" s="163" t="s">
        <v>10</v>
      </c>
      <c r="D133" s="155" t="s">
        <v>3531</v>
      </c>
      <c r="E133" s="164">
        <v>962000</v>
      </c>
      <c r="F133" s="119">
        <v>262000</v>
      </c>
      <c r="G133" s="119">
        <v>375000</v>
      </c>
      <c r="H133" s="119"/>
      <c r="I133" s="119"/>
      <c r="J133" s="119">
        <v>50000</v>
      </c>
      <c r="K133" s="119" t="s">
        <v>123</v>
      </c>
    </row>
    <row r="134" spans="1:11" ht="19" x14ac:dyDescent="0.2">
      <c r="A134" s="144">
        <v>1738000</v>
      </c>
      <c r="B134" s="145">
        <v>45830</v>
      </c>
      <c r="C134" s="151" t="s">
        <v>9</v>
      </c>
      <c r="D134" s="147" t="s">
        <v>565</v>
      </c>
      <c r="E134" s="150">
        <v>1317000</v>
      </c>
      <c r="F134" s="139">
        <v>134000</v>
      </c>
      <c r="G134" s="139">
        <v>287000</v>
      </c>
      <c r="H134" s="139"/>
      <c r="I134" s="139"/>
      <c r="J134" s="139">
        <v>45000</v>
      </c>
      <c r="K134" s="139" t="s">
        <v>1722</v>
      </c>
    </row>
    <row r="135" spans="1:11" ht="19" x14ac:dyDescent="0.2">
      <c r="A135" s="143">
        <v>1187000</v>
      </c>
      <c r="B135" s="153"/>
      <c r="C135" s="163" t="s">
        <v>10</v>
      </c>
      <c r="D135" s="155" t="s">
        <v>3531</v>
      </c>
      <c r="E135" s="164">
        <v>848000</v>
      </c>
      <c r="F135" s="119">
        <v>119000</v>
      </c>
      <c r="G135" s="119">
        <v>220000</v>
      </c>
      <c r="H135" s="119"/>
      <c r="I135" s="119"/>
      <c r="J135" s="119"/>
      <c r="K135" s="119"/>
    </row>
    <row r="136" spans="1:11" ht="19" x14ac:dyDescent="0.2">
      <c r="A136" s="144">
        <v>2678000</v>
      </c>
      <c r="B136" s="145">
        <v>45831</v>
      </c>
      <c r="C136" s="151" t="s">
        <v>9</v>
      </c>
      <c r="D136" s="147" t="s">
        <v>3941</v>
      </c>
      <c r="E136" s="150">
        <v>1554000</v>
      </c>
      <c r="F136" s="139">
        <v>337000</v>
      </c>
      <c r="G136" s="139">
        <v>787000</v>
      </c>
      <c r="H136" s="139"/>
      <c r="I136" s="139"/>
      <c r="J136" s="139">
        <v>94000</v>
      </c>
      <c r="K136" s="139" t="s">
        <v>1641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64000</v>
      </c>
      <c r="K137" s="174" t="s">
        <v>4183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21000</v>
      </c>
      <c r="K138" s="162" t="s">
        <v>4184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12000</v>
      </c>
      <c r="K139" s="106" t="s">
        <v>1734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28000</v>
      </c>
      <c r="K140" s="162" t="s">
        <v>3354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195000</v>
      </c>
      <c r="K141" s="174" t="s">
        <v>1985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69000</v>
      </c>
      <c r="K142" s="139" t="s">
        <v>4185</v>
      </c>
    </row>
    <row r="143" spans="1:11" ht="19" x14ac:dyDescent="0.2">
      <c r="A143" s="143">
        <v>1198000</v>
      </c>
      <c r="B143" s="270"/>
      <c r="C143" s="163" t="s">
        <v>10</v>
      </c>
      <c r="D143" s="155" t="s">
        <v>3531</v>
      </c>
      <c r="E143" s="164">
        <v>971000</v>
      </c>
      <c r="F143" s="119">
        <v>88000</v>
      </c>
      <c r="G143" s="119">
        <v>139000</v>
      </c>
      <c r="H143" s="119"/>
      <c r="I143" s="119"/>
      <c r="J143" s="119">
        <v>135000</v>
      </c>
      <c r="K143" s="119" t="s">
        <v>1649</v>
      </c>
    </row>
    <row r="144" spans="1:11" ht="19" x14ac:dyDescent="0.2">
      <c r="A144" s="144">
        <v>1846000</v>
      </c>
      <c r="B144" s="145">
        <v>45832</v>
      </c>
      <c r="C144" s="159" t="s">
        <v>9</v>
      </c>
      <c r="D144" s="147" t="s">
        <v>3941</v>
      </c>
      <c r="E144" s="150">
        <v>1176000</v>
      </c>
      <c r="F144" s="139">
        <v>312000</v>
      </c>
      <c r="G144" s="139">
        <v>358000</v>
      </c>
      <c r="H144" s="139"/>
      <c r="I144" s="139"/>
      <c r="J144" s="139">
        <v>150000</v>
      </c>
      <c r="K144" s="139" t="s">
        <v>4186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150000</v>
      </c>
      <c r="K145" s="119" t="s">
        <v>2959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200000</v>
      </c>
      <c r="K146" s="162" t="s">
        <v>4187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41000</v>
      </c>
      <c r="K147" s="119" t="s">
        <v>2247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13000</v>
      </c>
      <c r="K148" s="139" t="s">
        <v>1582</v>
      </c>
    </row>
    <row r="149" spans="1:11" ht="19" x14ac:dyDescent="0.2">
      <c r="A149" s="142">
        <v>1415000</v>
      </c>
      <c r="B149" s="153"/>
      <c r="C149" s="163" t="s">
        <v>10</v>
      </c>
      <c r="D149" s="172" t="s">
        <v>3531</v>
      </c>
      <c r="E149" s="164">
        <v>959000</v>
      </c>
      <c r="F149" s="119">
        <v>154000</v>
      </c>
      <c r="G149" s="119">
        <v>302000</v>
      </c>
      <c r="H149" s="119"/>
      <c r="I149" s="119"/>
      <c r="J149" s="119">
        <v>98000</v>
      </c>
      <c r="K149" s="119" t="s">
        <v>4188</v>
      </c>
    </row>
    <row r="150" spans="1:11" ht="19" x14ac:dyDescent="0.2">
      <c r="A150" s="148">
        <v>2380000</v>
      </c>
      <c r="B150" s="145">
        <v>45833</v>
      </c>
      <c r="C150" s="151" t="s">
        <v>9</v>
      </c>
      <c r="D150" s="160" t="s">
        <v>3941</v>
      </c>
      <c r="E150" s="150">
        <v>1731000</v>
      </c>
      <c r="F150" s="139">
        <v>84000</v>
      </c>
      <c r="G150" s="139">
        <v>565000</v>
      </c>
      <c r="H150" s="139"/>
      <c r="I150" s="139"/>
      <c r="J150" s="139">
        <v>100000</v>
      </c>
      <c r="K150" s="139" t="s">
        <v>3248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400000</v>
      </c>
      <c r="K151" s="119" t="s">
        <v>4189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400000</v>
      </c>
      <c r="K152" s="139" t="s">
        <v>4190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400000</v>
      </c>
      <c r="K153" s="119" t="s">
        <v>4191</v>
      </c>
    </row>
    <row r="154" spans="1:11" ht="19" x14ac:dyDescent="0.2">
      <c r="A154" s="144">
        <v>1424000</v>
      </c>
      <c r="B154" s="145"/>
      <c r="C154" s="151" t="s">
        <v>10</v>
      </c>
      <c r="D154" s="147" t="s">
        <v>3531</v>
      </c>
      <c r="E154" s="150">
        <v>1050000</v>
      </c>
      <c r="F154" s="139">
        <v>212000</v>
      </c>
      <c r="G154" s="139">
        <v>162000</v>
      </c>
      <c r="H154" s="139"/>
      <c r="I154" s="139"/>
      <c r="J154" s="139">
        <v>400000</v>
      </c>
      <c r="K154" s="139" t="s">
        <v>4192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14000</v>
      </c>
      <c r="K155" s="119" t="s">
        <v>4193</v>
      </c>
    </row>
    <row r="156" spans="1:11" ht="19" x14ac:dyDescent="0.2">
      <c r="A156" s="144">
        <v>2469000</v>
      </c>
      <c r="B156" s="145">
        <v>45834</v>
      </c>
      <c r="C156" s="149" t="s">
        <v>9</v>
      </c>
      <c r="D156" s="160" t="s">
        <v>3941</v>
      </c>
      <c r="E156" s="150">
        <v>1628000</v>
      </c>
      <c r="F156" s="139">
        <v>290000</v>
      </c>
      <c r="G156" s="139">
        <v>551000</v>
      </c>
      <c r="H156" s="139"/>
      <c r="I156" s="139"/>
      <c r="J156" s="139">
        <v>174000</v>
      </c>
      <c r="K156" s="139" t="s">
        <v>4194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97000</v>
      </c>
      <c r="K157" s="119" t="s">
        <v>4195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18000</v>
      </c>
      <c r="K158" s="139" t="s">
        <v>4196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48000</v>
      </c>
      <c r="K159" s="119" t="s">
        <v>4197</v>
      </c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>
        <v>54000</v>
      </c>
      <c r="K160" s="139" t="s">
        <v>4139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25000</v>
      </c>
      <c r="K161" s="9" t="s">
        <v>4198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120000</v>
      </c>
      <c r="K162" s="139" t="s">
        <v>1856</v>
      </c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>
        <v>20000</v>
      </c>
      <c r="K163" s="9" t="s">
        <v>4199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120000</v>
      </c>
      <c r="K164" s="139" t="s">
        <v>2496</v>
      </c>
    </row>
    <row r="165" spans="1:11" ht="19" x14ac:dyDescent="0.2">
      <c r="A165" s="143">
        <v>1700000</v>
      </c>
      <c r="B165" s="32"/>
      <c r="C165" s="49" t="s">
        <v>10</v>
      </c>
      <c r="D165" s="13" t="s">
        <v>20</v>
      </c>
      <c r="E165" s="15">
        <v>821000</v>
      </c>
      <c r="F165" s="9">
        <v>479000</v>
      </c>
      <c r="G165" s="9">
        <v>400000</v>
      </c>
      <c r="H165" s="9"/>
      <c r="I165" s="77"/>
      <c r="J165" s="9">
        <v>105000</v>
      </c>
      <c r="K165" s="9" t="s">
        <v>4200</v>
      </c>
    </row>
    <row r="166" spans="1:11" ht="19" x14ac:dyDescent="0.2">
      <c r="A166" s="144">
        <v>2624000</v>
      </c>
      <c r="B166" s="145">
        <v>45835</v>
      </c>
      <c r="C166" s="149" t="s">
        <v>9</v>
      </c>
      <c r="D166" s="147" t="s">
        <v>3941</v>
      </c>
      <c r="E166" s="150">
        <v>871000</v>
      </c>
      <c r="F166" s="139">
        <v>349000</v>
      </c>
      <c r="G166" s="139">
        <v>1404000</v>
      </c>
      <c r="H166" s="139"/>
      <c r="I166" s="165"/>
      <c r="J166" s="139">
        <v>260000</v>
      </c>
      <c r="K166" s="139" t="s">
        <v>3839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48000</v>
      </c>
      <c r="K167" s="9" t="s">
        <v>2795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48000</v>
      </c>
      <c r="K168" s="139" t="s">
        <v>4201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114000</v>
      </c>
      <c r="K169" s="9" t="s">
        <v>1668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60000</v>
      </c>
      <c r="K170" s="139" t="s">
        <v>1490</v>
      </c>
    </row>
    <row r="171" spans="1:11" ht="19" x14ac:dyDescent="0.2">
      <c r="A171" s="143">
        <v>1621000</v>
      </c>
      <c r="B171" s="32"/>
      <c r="C171" s="49" t="s">
        <v>10</v>
      </c>
      <c r="D171" s="13" t="s">
        <v>20</v>
      </c>
      <c r="E171" s="15">
        <v>899000</v>
      </c>
      <c r="F171" s="9">
        <v>437000</v>
      </c>
      <c r="G171" s="9">
        <v>285000</v>
      </c>
      <c r="H171" s="9"/>
      <c r="I171" s="77"/>
      <c r="J171" s="9">
        <v>45000</v>
      </c>
      <c r="K171" s="9" t="s">
        <v>3463</v>
      </c>
    </row>
    <row r="172" spans="1:11" ht="19" x14ac:dyDescent="0.2">
      <c r="A172" s="144">
        <v>2614000</v>
      </c>
      <c r="B172" s="145">
        <v>45836</v>
      </c>
      <c r="C172" s="149" t="s">
        <v>9</v>
      </c>
      <c r="D172" s="147" t="s">
        <v>3941</v>
      </c>
      <c r="E172" s="150">
        <v>1738000</v>
      </c>
      <c r="F172" s="139">
        <v>352000</v>
      </c>
      <c r="G172" s="139">
        <v>524000</v>
      </c>
      <c r="H172" s="139"/>
      <c r="I172" s="165"/>
      <c r="J172" s="139">
        <v>27000</v>
      </c>
      <c r="K172" s="139" t="s">
        <v>1728</v>
      </c>
    </row>
    <row r="173" spans="1:11" ht="19" x14ac:dyDescent="0.2">
      <c r="A173" s="143">
        <v>2562000</v>
      </c>
      <c r="B173" s="32"/>
      <c r="C173" s="49" t="s">
        <v>10</v>
      </c>
      <c r="D173" s="13" t="s">
        <v>20</v>
      </c>
      <c r="E173" s="15">
        <v>783000</v>
      </c>
      <c r="F173" s="9">
        <v>126000</v>
      </c>
      <c r="G173" s="9">
        <v>1653000</v>
      </c>
      <c r="H173" s="9"/>
      <c r="I173" s="77"/>
      <c r="J173" s="9">
        <v>33000</v>
      </c>
      <c r="K173" s="9" t="s">
        <v>4202</v>
      </c>
    </row>
    <row r="174" spans="1:11" ht="19" x14ac:dyDescent="0.2">
      <c r="A174" s="144">
        <v>1604000</v>
      </c>
      <c r="B174" s="145">
        <v>45837</v>
      </c>
      <c r="C174" s="149" t="s">
        <v>9</v>
      </c>
      <c r="D174" s="147" t="s">
        <v>3531</v>
      </c>
      <c r="E174" s="150">
        <v>1114000</v>
      </c>
      <c r="F174" s="139">
        <v>157000</v>
      </c>
      <c r="G174" s="139">
        <v>333000</v>
      </c>
      <c r="H174" s="139"/>
      <c r="I174" s="165"/>
      <c r="J174" s="139">
        <v>200000</v>
      </c>
      <c r="K174" s="139" t="s">
        <v>2796</v>
      </c>
    </row>
    <row r="175" spans="1:11" ht="19" x14ac:dyDescent="0.2">
      <c r="A175" s="143">
        <v>1277000</v>
      </c>
      <c r="B175" s="32"/>
      <c r="C175" s="49" t="s">
        <v>10</v>
      </c>
      <c r="D175" s="13" t="s">
        <v>20</v>
      </c>
      <c r="E175" s="15">
        <v>891000</v>
      </c>
      <c r="F175" s="9">
        <v>210000</v>
      </c>
      <c r="G175" s="9">
        <v>176000</v>
      </c>
      <c r="H175" s="9"/>
      <c r="I175" s="77"/>
      <c r="J175" s="9">
        <v>32000</v>
      </c>
      <c r="K175" s="9" t="s">
        <v>4203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117000</v>
      </c>
      <c r="K176" s="139" t="s">
        <v>1856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12000</v>
      </c>
      <c r="K177" s="9" t="s">
        <v>1734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94000</v>
      </c>
      <c r="K178" s="139" t="s">
        <v>4204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16000</v>
      </c>
      <c r="K179" s="9" t="s">
        <v>4205</v>
      </c>
    </row>
    <row r="180" spans="1:11" ht="19" x14ac:dyDescent="0.2">
      <c r="A180" s="144">
        <v>2116000</v>
      </c>
      <c r="B180" s="145">
        <v>45838</v>
      </c>
      <c r="C180" s="149" t="s">
        <v>9</v>
      </c>
      <c r="D180" s="147" t="s">
        <v>3941</v>
      </c>
      <c r="E180" s="150">
        <v>1490000</v>
      </c>
      <c r="F180" s="139">
        <v>184000</v>
      </c>
      <c r="G180" s="139">
        <v>442000</v>
      </c>
      <c r="H180" s="139">
        <v>110000</v>
      </c>
      <c r="I180" s="165" t="s">
        <v>4206</v>
      </c>
      <c r="J180" s="139">
        <v>48000</v>
      </c>
      <c r="K180" s="139" t="s">
        <v>4207</v>
      </c>
    </row>
    <row r="181" spans="1:11" ht="19" x14ac:dyDescent="0.2">
      <c r="A181" s="143">
        <v>1270000</v>
      </c>
      <c r="B181" s="32"/>
      <c r="C181" s="49" t="s">
        <v>10</v>
      </c>
      <c r="D181" s="13" t="s">
        <v>3531</v>
      </c>
      <c r="E181" s="15">
        <v>866000</v>
      </c>
      <c r="F181" s="9">
        <v>211000</v>
      </c>
      <c r="G181" s="9">
        <v>193000</v>
      </c>
      <c r="H181" s="9">
        <v>2575000</v>
      </c>
      <c r="I181" s="77" t="s">
        <v>4208</v>
      </c>
      <c r="J181" s="9">
        <v>40000</v>
      </c>
      <c r="K181" s="9" t="s">
        <v>350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>
        <v>1550000</v>
      </c>
      <c r="I182" s="165" t="s">
        <v>4209</v>
      </c>
      <c r="J182" s="139">
        <v>100000</v>
      </c>
      <c r="K182" s="139" t="s">
        <v>3248</v>
      </c>
    </row>
    <row r="183" spans="1:11" ht="32" x14ac:dyDescent="0.2">
      <c r="A183" s="143"/>
      <c r="B183" s="32"/>
      <c r="C183" s="49"/>
      <c r="D183" s="13"/>
      <c r="E183" s="15"/>
      <c r="F183" s="9"/>
      <c r="G183" s="9"/>
      <c r="H183" s="9">
        <v>2235000</v>
      </c>
      <c r="I183" s="78" t="s">
        <v>4210</v>
      </c>
      <c r="J183" s="9">
        <v>67000</v>
      </c>
      <c r="K183" s="9" t="s">
        <v>1595</v>
      </c>
    </row>
    <row r="184" spans="1:11" ht="48" x14ac:dyDescent="0.2">
      <c r="A184" s="144"/>
      <c r="B184" s="145"/>
      <c r="C184" s="149"/>
      <c r="D184" s="147"/>
      <c r="E184" s="150"/>
      <c r="F184" s="139"/>
      <c r="G184" s="139"/>
      <c r="H184" s="139">
        <v>5438000</v>
      </c>
      <c r="I184" s="253" t="s">
        <v>4131</v>
      </c>
      <c r="J184" s="139">
        <v>56000</v>
      </c>
      <c r="K184" s="139" t="s">
        <v>1449</v>
      </c>
    </row>
    <row r="185" spans="1:11" ht="19" x14ac:dyDescent="0.2">
      <c r="A185" s="143"/>
      <c r="B185" s="32"/>
      <c r="C185" s="49"/>
      <c r="D185" s="13"/>
      <c r="E185" s="15"/>
      <c r="F185" s="9"/>
      <c r="G185" s="9"/>
      <c r="H185" s="9">
        <v>1300000</v>
      </c>
      <c r="I185" s="77" t="s">
        <v>3739</v>
      </c>
      <c r="J185" s="9">
        <v>25000</v>
      </c>
      <c r="K185" s="9" t="s">
        <v>4064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65"/>
      <c r="J186" s="139">
        <v>39000</v>
      </c>
      <c r="K186" s="139" t="s">
        <v>3685</v>
      </c>
    </row>
    <row r="187" spans="1:11" ht="19" x14ac:dyDescent="0.2">
      <c r="A187" s="143"/>
      <c r="B187" s="32"/>
      <c r="C187" s="49"/>
      <c r="D187" s="13"/>
      <c r="E187" s="15"/>
      <c r="F187" s="9"/>
      <c r="G187" s="9"/>
      <c r="H187" s="9"/>
      <c r="I187" s="77"/>
      <c r="J187" s="9">
        <v>45000</v>
      </c>
      <c r="K187" s="9" t="s">
        <v>3162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16000</v>
      </c>
      <c r="K188" s="139" t="s">
        <v>1305</v>
      </c>
    </row>
    <row r="189" spans="1:11" ht="19" x14ac:dyDescent="0.2">
      <c r="A189" s="143"/>
      <c r="B189" s="32"/>
      <c r="C189" s="49"/>
      <c r="D189" s="13"/>
      <c r="E189" s="15"/>
      <c r="F189" s="9"/>
      <c r="G189" s="9"/>
      <c r="H189" s="9"/>
      <c r="I189" s="77"/>
      <c r="J189" s="9">
        <v>54000</v>
      </c>
      <c r="K189" s="9" t="s">
        <v>1500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>
        <v>37000</v>
      </c>
      <c r="K190" s="139" t="s">
        <v>3543</v>
      </c>
    </row>
    <row r="191" spans="1:11" ht="19" x14ac:dyDescent="0.2">
      <c r="A191" s="143"/>
      <c r="B191" s="32"/>
      <c r="C191" s="49"/>
      <c r="D191" s="13"/>
      <c r="E191" s="15"/>
      <c r="F191" s="9"/>
      <c r="G191" s="9"/>
      <c r="H191" s="9"/>
      <c r="I191" s="77"/>
      <c r="J191" s="9">
        <v>73000</v>
      </c>
      <c r="K191" s="9" t="s">
        <v>4211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175000</v>
      </c>
      <c r="K192" s="139" t="s">
        <v>4212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3:K200"/>
  <sheetViews>
    <sheetView topLeftCell="A5" workbookViewId="0">
      <selection activeCell="A5" sqref="A1:A1048576"/>
    </sheetView>
  </sheetViews>
  <sheetFormatPr baseColWidth="10" defaultColWidth="11.5" defaultRowHeight="15" x14ac:dyDescent="0.2"/>
  <cols>
    <col min="1" max="1" width="26.5" customWidth="1"/>
    <col min="3" max="3" width="13.33203125" bestFit="1" customWidth="1"/>
    <col min="4" max="4" width="15.6640625" bestFit="1" customWidth="1"/>
    <col min="5" max="5" width="20.33203125" bestFit="1" customWidth="1"/>
    <col min="6" max="6" width="26.5" customWidth="1"/>
    <col min="7" max="8" width="20.33203125" bestFit="1" customWidth="1"/>
    <col min="9" max="9" width="36.1640625" customWidth="1"/>
    <col min="10" max="10" width="24.6640625" customWidth="1"/>
    <col min="11" max="11" width="28.8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15267500</v>
      </c>
      <c r="K4" s="72">
        <f>J4/10820</f>
        <v>1411.0443622920518</v>
      </c>
    </row>
    <row r="5" spans="1:11" ht="24" x14ac:dyDescent="0.3">
      <c r="B5" s="99" t="s">
        <v>4300</v>
      </c>
      <c r="H5" s="73"/>
      <c r="I5" s="71" t="s">
        <v>2315</v>
      </c>
      <c r="J5" s="71">
        <v>15267500</v>
      </c>
      <c r="K5" s="72">
        <f>J5/10820</f>
        <v>1411.0443622920518</v>
      </c>
    </row>
    <row r="6" spans="1:11" ht="24" x14ac:dyDescent="0.3">
      <c r="B6" s="99"/>
      <c r="H6" s="73"/>
      <c r="I6" s="71" t="s">
        <v>178</v>
      </c>
      <c r="J6" s="71">
        <v>1618656</v>
      </c>
      <c r="K6" s="72" t="s">
        <v>4305</v>
      </c>
    </row>
    <row r="7" spans="1:11" ht="26" x14ac:dyDescent="0.3">
      <c r="B7" s="100" t="s">
        <v>4306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SUM(A11:A485)</f>
        <v>116317000</v>
      </c>
      <c r="B10" s="65"/>
      <c r="C10" s="66" t="s">
        <v>13</v>
      </c>
      <c r="D10" s="67"/>
      <c r="E10" s="68">
        <f>SUM(E11:E485)</f>
        <v>75781000</v>
      </c>
      <c r="F10" s="69">
        <f>SUM(F11:F485)</f>
        <v>14105000</v>
      </c>
      <c r="G10" s="69">
        <f>SUM(G11:G472)</f>
        <v>26431000</v>
      </c>
      <c r="H10" s="69">
        <f>SUM(H11:H485)</f>
        <v>30062000</v>
      </c>
      <c r="I10" s="69"/>
      <c r="J10" s="69">
        <f>SUM(J11:J485)</f>
        <v>17570000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2126000</v>
      </c>
      <c r="B12" s="145">
        <v>45839</v>
      </c>
      <c r="C12" s="151" t="s">
        <v>9</v>
      </c>
      <c r="D12" s="147" t="s">
        <v>3941</v>
      </c>
      <c r="E12" s="150">
        <v>1505000</v>
      </c>
      <c r="F12" s="139">
        <v>149000</v>
      </c>
      <c r="G12" s="139">
        <v>472000</v>
      </c>
      <c r="H12" s="139">
        <v>920000</v>
      </c>
      <c r="I12" s="296" t="s">
        <v>4302</v>
      </c>
      <c r="J12" s="139">
        <v>36000</v>
      </c>
      <c r="K12" s="139" t="s">
        <v>4217</v>
      </c>
    </row>
    <row r="13" spans="1:11" ht="19" x14ac:dyDescent="0.2">
      <c r="A13" s="143">
        <v>1323000</v>
      </c>
      <c r="B13" s="153"/>
      <c r="C13" s="163" t="s">
        <v>10</v>
      </c>
      <c r="D13" s="155" t="s">
        <v>20</v>
      </c>
      <c r="E13" s="164">
        <v>909000</v>
      </c>
      <c r="F13" s="119">
        <v>199000</v>
      </c>
      <c r="G13" s="119">
        <v>215000</v>
      </c>
      <c r="H13" s="175"/>
      <c r="I13" s="174"/>
      <c r="J13" s="119">
        <v>120000</v>
      </c>
      <c r="K13" s="119" t="s">
        <v>1553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150000</v>
      </c>
      <c r="K14" s="139" t="s">
        <v>1710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45000</v>
      </c>
      <c r="K15" s="119" t="s">
        <v>1722</v>
      </c>
    </row>
    <row r="16" spans="1:11" ht="19" x14ac:dyDescent="0.2">
      <c r="A16" s="144">
        <v>2905000</v>
      </c>
      <c r="B16" s="145">
        <v>45840</v>
      </c>
      <c r="C16" s="151" t="s">
        <v>9</v>
      </c>
      <c r="D16" s="147" t="s">
        <v>3941</v>
      </c>
      <c r="E16" s="150">
        <v>1804000</v>
      </c>
      <c r="F16" s="139">
        <v>224000</v>
      </c>
      <c r="G16" s="139">
        <v>877000</v>
      </c>
      <c r="H16" s="139"/>
      <c r="I16" s="162"/>
      <c r="J16" s="139">
        <v>20000</v>
      </c>
      <c r="K16" s="139" t="s">
        <v>3463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160000</v>
      </c>
      <c r="K17" s="119" t="s">
        <v>1597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105000</v>
      </c>
      <c r="K18" s="139" t="s">
        <v>1566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78000</v>
      </c>
      <c r="K19" s="119" t="s">
        <v>1641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200000</v>
      </c>
      <c r="K20" s="139" t="s">
        <v>4218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9">
        <v>22000</v>
      </c>
      <c r="K21" s="9" t="s">
        <v>4219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39">
        <v>127000</v>
      </c>
      <c r="K22" s="139" t="s">
        <v>4220</v>
      </c>
    </row>
    <row r="23" spans="1:11" ht="19" x14ac:dyDescent="0.2">
      <c r="A23" s="142">
        <v>1933000</v>
      </c>
      <c r="B23" s="32"/>
      <c r="C23" s="49" t="s">
        <v>10</v>
      </c>
      <c r="D23" s="13" t="s">
        <v>20</v>
      </c>
      <c r="E23" s="15">
        <v>1070000</v>
      </c>
      <c r="F23" s="9">
        <v>226000</v>
      </c>
      <c r="G23" s="9">
        <v>637000</v>
      </c>
      <c r="H23" s="9"/>
      <c r="I23" s="9"/>
      <c r="J23" s="9">
        <v>56000</v>
      </c>
      <c r="K23" s="9" t="s">
        <v>4221</v>
      </c>
    </row>
    <row r="24" spans="1:11" ht="19" x14ac:dyDescent="0.2">
      <c r="A24" s="148">
        <v>1848000</v>
      </c>
      <c r="B24" s="145">
        <v>45841</v>
      </c>
      <c r="C24" s="149" t="s">
        <v>9</v>
      </c>
      <c r="D24" s="147" t="s">
        <v>4222</v>
      </c>
      <c r="E24" s="150">
        <v>1312000</v>
      </c>
      <c r="F24" s="139">
        <v>126000</v>
      </c>
      <c r="G24" s="139">
        <v>410000</v>
      </c>
      <c r="H24" s="139"/>
      <c r="I24" s="139"/>
      <c r="J24" s="162">
        <v>35000</v>
      </c>
      <c r="K24" s="162" t="s">
        <v>3354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27000</v>
      </c>
      <c r="K25" s="119" t="s">
        <v>1728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19000</v>
      </c>
      <c r="K26" s="139" t="s">
        <v>4199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150000</v>
      </c>
      <c r="K27" s="106" t="s">
        <v>4223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150000</v>
      </c>
      <c r="K28" s="139" t="s">
        <v>4224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>
        <v>150000</v>
      </c>
      <c r="K29" s="9" t="s">
        <v>4296</v>
      </c>
    </row>
    <row r="30" spans="1:11" ht="19" x14ac:dyDescent="0.2">
      <c r="A30" s="144">
        <v>2515000</v>
      </c>
      <c r="B30" s="145"/>
      <c r="C30" s="149" t="s">
        <v>10</v>
      </c>
      <c r="D30" s="147" t="s">
        <v>20</v>
      </c>
      <c r="E30" s="150">
        <v>1813000</v>
      </c>
      <c r="F30" s="139">
        <v>326000</v>
      </c>
      <c r="G30" s="139">
        <v>376000</v>
      </c>
      <c r="H30" s="139"/>
      <c r="I30" s="139"/>
      <c r="J30" s="139">
        <v>150000</v>
      </c>
      <c r="K30" s="139" t="s">
        <v>4297</v>
      </c>
    </row>
    <row r="31" spans="1:11" ht="19" x14ac:dyDescent="0.2">
      <c r="A31" s="143">
        <v>2279000</v>
      </c>
      <c r="B31" s="32">
        <v>45842</v>
      </c>
      <c r="C31" s="49" t="s">
        <v>9</v>
      </c>
      <c r="D31" s="13" t="s">
        <v>4222</v>
      </c>
      <c r="E31" s="15">
        <v>1384000</v>
      </c>
      <c r="F31" s="9">
        <v>263000</v>
      </c>
      <c r="G31" s="9">
        <v>632000</v>
      </c>
      <c r="H31" s="9"/>
      <c r="I31" s="119"/>
      <c r="J31" s="9">
        <v>32000</v>
      </c>
      <c r="K31" s="9" t="s">
        <v>3354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8000</v>
      </c>
      <c r="K32" s="139" t="s">
        <v>1667</v>
      </c>
    </row>
    <row r="33" spans="1:11" ht="19" x14ac:dyDescent="0.2">
      <c r="A33" s="143">
        <v>1269000</v>
      </c>
      <c r="B33" s="153"/>
      <c r="C33" s="171" t="s">
        <v>10</v>
      </c>
      <c r="D33" s="155" t="s">
        <v>20</v>
      </c>
      <c r="E33" s="164">
        <v>825000</v>
      </c>
      <c r="F33" s="119">
        <v>132000</v>
      </c>
      <c r="G33" s="119">
        <v>312000</v>
      </c>
      <c r="H33" s="119"/>
      <c r="I33" s="119"/>
      <c r="J33" s="119">
        <v>100000</v>
      </c>
      <c r="K33" s="119" t="s">
        <v>3248</v>
      </c>
    </row>
    <row r="34" spans="1:11" ht="19" x14ac:dyDescent="0.2">
      <c r="A34" s="144">
        <v>2439000</v>
      </c>
      <c r="B34" s="145">
        <v>45843</v>
      </c>
      <c r="C34" s="149" t="s">
        <v>9</v>
      </c>
      <c r="D34" s="147" t="s">
        <v>4222</v>
      </c>
      <c r="E34" s="150">
        <v>1525000</v>
      </c>
      <c r="F34" s="139">
        <v>244000</v>
      </c>
      <c r="G34" s="139">
        <v>670000</v>
      </c>
      <c r="H34" s="139"/>
      <c r="I34" s="139"/>
      <c r="J34" s="139">
        <v>24000</v>
      </c>
      <c r="K34" s="139" t="s">
        <v>1859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117000</v>
      </c>
      <c r="K35" s="9" t="s">
        <v>1856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37000</v>
      </c>
      <c r="K36" s="139" t="s">
        <v>4225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142000</v>
      </c>
      <c r="K37" s="9" t="s">
        <v>4226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6000</v>
      </c>
      <c r="K38" s="139" t="s">
        <v>4227</v>
      </c>
    </row>
    <row r="39" spans="1:11" ht="19" x14ac:dyDescent="0.2">
      <c r="A39" s="143">
        <v>1971000</v>
      </c>
      <c r="B39" s="32"/>
      <c r="C39" s="49" t="s">
        <v>10</v>
      </c>
      <c r="D39" s="13" t="s">
        <v>3386</v>
      </c>
      <c r="E39" s="15">
        <v>1274000</v>
      </c>
      <c r="F39" s="9">
        <v>280000</v>
      </c>
      <c r="G39" s="9">
        <v>417000</v>
      </c>
      <c r="H39" s="9"/>
      <c r="I39" s="119"/>
      <c r="J39" s="9">
        <v>50000</v>
      </c>
      <c r="K39" s="9" t="s">
        <v>123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216000</v>
      </c>
      <c r="K40" s="139" t="s">
        <v>4228</v>
      </c>
    </row>
    <row r="41" spans="1:11" ht="19" x14ac:dyDescent="0.2">
      <c r="A41" s="143">
        <v>1449000</v>
      </c>
      <c r="B41" s="32">
        <v>45844</v>
      </c>
      <c r="C41" s="49" t="s">
        <v>9</v>
      </c>
      <c r="D41" s="13" t="s">
        <v>4167</v>
      </c>
      <c r="E41" s="15">
        <v>1018000</v>
      </c>
      <c r="F41" s="9">
        <v>198000</v>
      </c>
      <c r="G41" s="9">
        <v>233000</v>
      </c>
      <c r="H41" s="9"/>
      <c r="I41" s="119"/>
      <c r="J41" s="9">
        <v>253000</v>
      </c>
      <c r="K41" s="9" t="s">
        <v>4304</v>
      </c>
    </row>
    <row r="42" spans="1:11" ht="19" x14ac:dyDescent="0.2">
      <c r="A42" s="144">
        <v>1421000</v>
      </c>
      <c r="B42" s="145"/>
      <c r="C42" s="149" t="s">
        <v>10</v>
      </c>
      <c r="D42" s="147" t="s">
        <v>20</v>
      </c>
      <c r="E42" s="150">
        <v>724000</v>
      </c>
      <c r="F42" s="139">
        <v>229000</v>
      </c>
      <c r="G42" s="139">
        <v>468000</v>
      </c>
      <c r="H42" s="139"/>
      <c r="I42" s="139"/>
      <c r="J42" s="139">
        <v>13000</v>
      </c>
      <c r="K42" s="139" t="s">
        <v>4227</v>
      </c>
    </row>
    <row r="43" spans="1:11" ht="19" x14ac:dyDescent="0.2">
      <c r="A43" s="143">
        <v>2681000</v>
      </c>
      <c r="B43" s="32">
        <v>45845</v>
      </c>
      <c r="C43" s="49" t="s">
        <v>9</v>
      </c>
      <c r="D43" s="13" t="s">
        <v>4222</v>
      </c>
      <c r="E43" s="15">
        <v>1676000</v>
      </c>
      <c r="F43" s="9">
        <v>391000</v>
      </c>
      <c r="G43" s="9">
        <v>614000</v>
      </c>
      <c r="H43" s="9"/>
      <c r="I43" s="119"/>
      <c r="J43" s="9">
        <v>108000</v>
      </c>
      <c r="K43" s="9" t="s">
        <v>2015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33000</v>
      </c>
      <c r="K44" s="139" t="s">
        <v>1857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187000</v>
      </c>
      <c r="K45" s="119" t="s">
        <v>4229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84000</v>
      </c>
      <c r="K46" s="139" t="s">
        <v>2830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20000</v>
      </c>
      <c r="K47" s="119" t="s">
        <v>4230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52"/>
      <c r="J48" s="139">
        <v>78000</v>
      </c>
      <c r="K48" s="139" t="s">
        <v>4231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272000</v>
      </c>
      <c r="K49" s="119" t="s">
        <v>4232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134000</v>
      </c>
      <c r="K50" s="139" t="s">
        <v>4233</v>
      </c>
    </row>
    <row r="51" spans="1:11" ht="19" x14ac:dyDescent="0.2">
      <c r="A51" s="143">
        <v>1246000</v>
      </c>
      <c r="B51" s="153"/>
      <c r="C51" s="171" t="s">
        <v>10</v>
      </c>
      <c r="D51" s="155" t="s">
        <v>20</v>
      </c>
      <c r="E51" s="164">
        <v>825000</v>
      </c>
      <c r="F51" s="119">
        <v>156000</v>
      </c>
      <c r="G51" s="119">
        <v>265000</v>
      </c>
      <c r="H51" s="119"/>
      <c r="I51" s="119"/>
      <c r="J51" s="119">
        <v>90000</v>
      </c>
      <c r="K51" s="119" t="s">
        <v>1310</v>
      </c>
    </row>
    <row r="52" spans="1:11" ht="19" x14ac:dyDescent="0.2">
      <c r="A52" s="144">
        <v>2377000</v>
      </c>
      <c r="B52" s="145">
        <v>45846</v>
      </c>
      <c r="C52" s="149" t="s">
        <v>9</v>
      </c>
      <c r="D52" s="147" t="s">
        <v>4222</v>
      </c>
      <c r="E52" s="150">
        <v>1550000</v>
      </c>
      <c r="F52" s="139">
        <v>228000</v>
      </c>
      <c r="G52" s="139">
        <v>599000</v>
      </c>
      <c r="H52" s="139"/>
      <c r="I52" s="139"/>
      <c r="J52" s="139">
        <v>98000</v>
      </c>
      <c r="K52" s="139" t="s">
        <v>1641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36000</v>
      </c>
      <c r="K53" s="119" t="s">
        <v>3339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82000</v>
      </c>
      <c r="K54" s="139" t="s">
        <v>3722</v>
      </c>
    </row>
    <row r="55" spans="1:11" ht="19" x14ac:dyDescent="0.2">
      <c r="A55" s="143">
        <v>1242000</v>
      </c>
      <c r="B55" s="153"/>
      <c r="C55" s="171" t="s">
        <v>10</v>
      </c>
      <c r="D55" s="155" t="s">
        <v>20</v>
      </c>
      <c r="E55" s="164">
        <v>811000</v>
      </c>
      <c r="F55" s="119">
        <v>330000</v>
      </c>
      <c r="G55" s="119">
        <v>101000</v>
      </c>
      <c r="H55" s="119"/>
      <c r="I55" s="119"/>
      <c r="J55" s="119">
        <v>72000</v>
      </c>
      <c r="K55" s="119" t="s">
        <v>4234</v>
      </c>
    </row>
    <row r="56" spans="1:11" ht="19" x14ac:dyDescent="0.2">
      <c r="A56" s="144">
        <v>2502000</v>
      </c>
      <c r="B56" s="145">
        <v>45847</v>
      </c>
      <c r="C56" s="149" t="s">
        <v>9</v>
      </c>
      <c r="D56" s="147" t="s">
        <v>4222</v>
      </c>
      <c r="E56" s="150">
        <v>1672000</v>
      </c>
      <c r="F56" s="139">
        <v>301000</v>
      </c>
      <c r="G56" s="139">
        <v>529000</v>
      </c>
      <c r="H56" s="139"/>
      <c r="I56" s="139"/>
      <c r="J56" s="139">
        <v>18000</v>
      </c>
      <c r="K56" s="139" t="s">
        <v>4235</v>
      </c>
    </row>
    <row r="57" spans="1:11" ht="19" x14ac:dyDescent="0.2">
      <c r="A57" s="143">
        <v>1123000</v>
      </c>
      <c r="B57" s="153"/>
      <c r="C57" s="171" t="s">
        <v>10</v>
      </c>
      <c r="D57" s="155" t="s">
        <v>20</v>
      </c>
      <c r="E57" s="164">
        <v>631000</v>
      </c>
      <c r="F57" s="119">
        <v>114000</v>
      </c>
      <c r="G57" s="119">
        <v>378000</v>
      </c>
      <c r="H57" s="119"/>
      <c r="I57" s="119"/>
      <c r="J57" s="119"/>
      <c r="K57" s="119"/>
    </row>
    <row r="58" spans="1:11" ht="19" x14ac:dyDescent="0.2">
      <c r="A58" s="144">
        <v>2358000</v>
      </c>
      <c r="B58" s="145">
        <v>45848</v>
      </c>
      <c r="C58" s="149" t="s">
        <v>9</v>
      </c>
      <c r="D58" s="147" t="s">
        <v>3941</v>
      </c>
      <c r="E58" s="150">
        <v>1720000</v>
      </c>
      <c r="F58" s="139">
        <v>136000</v>
      </c>
      <c r="G58" s="139">
        <v>502000</v>
      </c>
      <c r="H58" s="139">
        <v>7632000</v>
      </c>
      <c r="I58" s="139" t="s">
        <v>4303</v>
      </c>
      <c r="J58" s="139">
        <v>236000</v>
      </c>
      <c r="K58" s="139" t="s">
        <v>4236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12000</v>
      </c>
      <c r="K59" s="119" t="s">
        <v>1734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284"/>
      <c r="I60" s="139"/>
      <c r="J60" s="139">
        <v>90000</v>
      </c>
      <c r="K60" s="139" t="s">
        <v>1641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24000</v>
      </c>
      <c r="K61" s="119" t="s">
        <v>4237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14000</v>
      </c>
      <c r="K62" s="139" t="s">
        <v>4238</v>
      </c>
    </row>
    <row r="63" spans="1:11" ht="19" x14ac:dyDescent="0.2">
      <c r="A63" s="143">
        <v>1917000</v>
      </c>
      <c r="B63" s="153"/>
      <c r="C63" s="171" t="s">
        <v>10</v>
      </c>
      <c r="D63" s="155" t="s">
        <v>4239</v>
      </c>
      <c r="E63" s="164">
        <v>1212000</v>
      </c>
      <c r="F63" s="119">
        <v>349000</v>
      </c>
      <c r="G63" s="119">
        <v>356000</v>
      </c>
      <c r="H63" s="119"/>
      <c r="I63" s="119"/>
      <c r="J63" s="119">
        <v>200000</v>
      </c>
      <c r="K63" s="119" t="s">
        <v>2796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45000</v>
      </c>
      <c r="K64" s="139" t="s">
        <v>1722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150000</v>
      </c>
      <c r="K65" s="119" t="s">
        <v>1710</v>
      </c>
    </row>
    <row r="66" spans="1:11" ht="19" x14ac:dyDescent="0.2">
      <c r="A66" s="144">
        <v>2707000</v>
      </c>
      <c r="B66" s="145">
        <v>45849</v>
      </c>
      <c r="C66" s="149" t="s">
        <v>9</v>
      </c>
      <c r="D66" s="147" t="s">
        <v>3941</v>
      </c>
      <c r="E66" s="150">
        <v>1834000</v>
      </c>
      <c r="F66" s="139">
        <v>153000</v>
      </c>
      <c r="G66" s="139">
        <v>720000</v>
      </c>
      <c r="H66" s="152"/>
      <c r="I66" s="152"/>
      <c r="J66" s="139">
        <v>100000</v>
      </c>
      <c r="K66" s="139" t="s">
        <v>4240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100000</v>
      </c>
      <c r="K67" s="119" t="s">
        <v>4241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100000</v>
      </c>
      <c r="K68" s="139" t="s">
        <v>4242</v>
      </c>
    </row>
    <row r="69" spans="1:11" ht="19" x14ac:dyDescent="0.2">
      <c r="A69" s="206">
        <v>1664000</v>
      </c>
      <c r="B69" s="153"/>
      <c r="C69" s="171" t="s">
        <v>10</v>
      </c>
      <c r="D69" s="155" t="s">
        <v>4239</v>
      </c>
      <c r="E69" s="210">
        <v>1136000</v>
      </c>
      <c r="F69" s="211">
        <v>170000</v>
      </c>
      <c r="G69" s="211">
        <v>358000</v>
      </c>
      <c r="H69" s="211"/>
      <c r="I69" s="119"/>
      <c r="J69" s="211"/>
      <c r="K69" s="119"/>
    </row>
    <row r="70" spans="1:11" ht="19" x14ac:dyDescent="0.2">
      <c r="A70" s="144">
        <v>2050000</v>
      </c>
      <c r="B70" s="145">
        <v>45850</v>
      </c>
      <c r="C70" s="149" t="s">
        <v>9</v>
      </c>
      <c r="D70" s="147" t="s">
        <v>3941</v>
      </c>
      <c r="E70" s="150">
        <v>1391000</v>
      </c>
      <c r="F70" s="139">
        <v>100000</v>
      </c>
      <c r="G70" s="139">
        <v>559000</v>
      </c>
      <c r="H70" s="139"/>
      <c r="I70" s="139"/>
      <c r="J70" s="139"/>
      <c r="K70" s="139"/>
    </row>
    <row r="71" spans="1:11" ht="19" x14ac:dyDescent="0.2">
      <c r="A71" s="143">
        <v>1526000</v>
      </c>
      <c r="B71" s="32"/>
      <c r="C71" s="49" t="s">
        <v>10</v>
      </c>
      <c r="D71" s="13" t="s">
        <v>4243</v>
      </c>
      <c r="E71" s="15">
        <v>911000</v>
      </c>
      <c r="F71" s="9">
        <v>154000</v>
      </c>
      <c r="G71" s="9">
        <v>461000</v>
      </c>
      <c r="H71" s="9"/>
      <c r="I71" s="9"/>
      <c r="J71" s="9">
        <v>50000</v>
      </c>
      <c r="K71" s="9" t="s">
        <v>123</v>
      </c>
    </row>
    <row r="72" spans="1:11" ht="19" x14ac:dyDescent="0.2">
      <c r="A72" s="144">
        <v>1620000</v>
      </c>
      <c r="B72" s="145">
        <v>45851</v>
      </c>
      <c r="C72" s="149" t="s">
        <v>9</v>
      </c>
      <c r="D72" s="147" t="s">
        <v>4167</v>
      </c>
      <c r="E72" s="150">
        <v>973000</v>
      </c>
      <c r="F72" s="139">
        <v>159000</v>
      </c>
      <c r="G72" s="139">
        <v>488000</v>
      </c>
      <c r="H72" s="139"/>
      <c r="I72" s="139"/>
      <c r="J72" s="139">
        <v>45000</v>
      </c>
      <c r="K72" s="139" t="s">
        <v>1493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98000</v>
      </c>
      <c r="K73" s="9" t="s">
        <v>1641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48000</v>
      </c>
      <c r="K74" s="139" t="s">
        <v>1449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23000</v>
      </c>
      <c r="K75" s="119" t="s">
        <v>4244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8000</v>
      </c>
      <c r="K76" s="139" t="s">
        <v>1667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9">
        <v>32000</v>
      </c>
      <c r="K77" s="9" t="s">
        <v>3354</v>
      </c>
    </row>
    <row r="78" spans="1:11" ht="19" x14ac:dyDescent="0.2">
      <c r="A78" s="144">
        <v>1209000</v>
      </c>
      <c r="B78" s="145"/>
      <c r="C78" s="149" t="s">
        <v>10</v>
      </c>
      <c r="D78" s="147" t="s">
        <v>20</v>
      </c>
      <c r="E78" s="150">
        <v>836000</v>
      </c>
      <c r="F78" s="139">
        <v>149000</v>
      </c>
      <c r="G78" s="139">
        <v>224000</v>
      </c>
      <c r="H78" s="139"/>
      <c r="I78" s="139"/>
      <c r="J78" s="139">
        <v>50000</v>
      </c>
      <c r="K78" s="139" t="s">
        <v>4245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67000</v>
      </c>
      <c r="K79" s="119" t="s">
        <v>4246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150000</v>
      </c>
      <c r="K80" s="139" t="s">
        <v>1518</v>
      </c>
    </row>
    <row r="81" spans="1:11" ht="19" x14ac:dyDescent="0.2">
      <c r="A81" s="143">
        <v>2153000</v>
      </c>
      <c r="B81" s="153">
        <v>45852</v>
      </c>
      <c r="C81" s="171" t="s">
        <v>9</v>
      </c>
      <c r="D81" s="155" t="s">
        <v>3386</v>
      </c>
      <c r="E81" s="164">
        <v>1485000</v>
      </c>
      <c r="F81" s="119">
        <v>58000</v>
      </c>
      <c r="G81" s="119">
        <v>610000</v>
      </c>
      <c r="H81" s="119"/>
      <c r="I81" s="119"/>
      <c r="J81" s="119">
        <v>108000</v>
      </c>
      <c r="K81" s="119" t="s">
        <v>2015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56000</v>
      </c>
      <c r="K82" s="139" t="s">
        <v>1449</v>
      </c>
    </row>
    <row r="83" spans="1:11" ht="19" x14ac:dyDescent="0.2">
      <c r="A83" s="143"/>
      <c r="B83" s="153"/>
      <c r="C83" s="171"/>
      <c r="D83" s="155"/>
      <c r="E83" s="15"/>
      <c r="F83" s="9"/>
      <c r="G83" s="9"/>
      <c r="H83" s="9"/>
      <c r="I83" s="9"/>
      <c r="J83" s="9">
        <v>186000</v>
      </c>
      <c r="K83" s="9" t="s">
        <v>2732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520000</v>
      </c>
      <c r="K84" s="139" t="s">
        <v>1462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87000</v>
      </c>
      <c r="K85" s="119" t="s">
        <v>1490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24000</v>
      </c>
      <c r="K86" s="139" t="s">
        <v>3463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100000</v>
      </c>
      <c r="K87" s="119" t="s">
        <v>3248</v>
      </c>
    </row>
    <row r="88" spans="1:11" ht="19" x14ac:dyDescent="0.2">
      <c r="A88" s="144">
        <v>1379000</v>
      </c>
      <c r="B88" s="145"/>
      <c r="C88" s="149" t="s">
        <v>10</v>
      </c>
      <c r="D88" s="147" t="s">
        <v>4239</v>
      </c>
      <c r="E88" s="150">
        <v>900000</v>
      </c>
      <c r="F88" s="139">
        <v>66000</v>
      </c>
      <c r="G88" s="139">
        <v>413000</v>
      </c>
      <c r="H88" s="162"/>
      <c r="I88" s="162"/>
      <c r="J88" s="162"/>
      <c r="K88" s="162"/>
    </row>
    <row r="89" spans="1:11" ht="19" x14ac:dyDescent="0.2">
      <c r="A89" s="143">
        <v>1991000</v>
      </c>
      <c r="B89" s="153">
        <v>45853</v>
      </c>
      <c r="C89" s="171" t="s">
        <v>9</v>
      </c>
      <c r="D89" s="155" t="s">
        <v>3386</v>
      </c>
      <c r="E89" s="164">
        <v>1138000</v>
      </c>
      <c r="F89" s="119">
        <v>235000</v>
      </c>
      <c r="G89" s="119">
        <v>618000</v>
      </c>
      <c r="H89" s="106"/>
      <c r="I89" s="106"/>
      <c r="J89" s="119">
        <v>198000</v>
      </c>
      <c r="K89" s="119" t="s">
        <v>4247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/>
      <c r="K90" s="139"/>
    </row>
    <row r="91" spans="1:11" ht="19" x14ac:dyDescent="0.2">
      <c r="A91" s="143">
        <v>1658000</v>
      </c>
      <c r="B91" s="153"/>
      <c r="C91" s="171" t="s">
        <v>10</v>
      </c>
      <c r="D91" s="155" t="s">
        <v>4239</v>
      </c>
      <c r="E91" s="164">
        <v>955000</v>
      </c>
      <c r="F91" s="119">
        <v>490000</v>
      </c>
      <c r="G91" s="119">
        <v>213000</v>
      </c>
      <c r="H91" s="175"/>
      <c r="I91" s="175"/>
      <c r="J91" s="119">
        <v>20000</v>
      </c>
      <c r="K91" s="119" t="s">
        <v>4248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>
        <v>2200000</v>
      </c>
      <c r="I92" s="139" t="s">
        <v>4169</v>
      </c>
      <c r="J92" s="139"/>
      <c r="K92" s="139"/>
    </row>
    <row r="93" spans="1:11" ht="19" x14ac:dyDescent="0.2">
      <c r="A93" s="143"/>
      <c r="B93" s="153"/>
      <c r="C93" s="49"/>
      <c r="D93" s="13"/>
      <c r="E93" s="15"/>
      <c r="F93" s="9"/>
      <c r="G93" s="9"/>
      <c r="H93" s="119">
        <v>2650000</v>
      </c>
      <c r="I93" s="9" t="s">
        <v>4249</v>
      </c>
      <c r="J93" s="119"/>
      <c r="K93" s="9"/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>
        <v>1726000</v>
      </c>
      <c r="I94" s="139" t="s">
        <v>4250</v>
      </c>
      <c r="J94" s="152"/>
      <c r="K94" s="152"/>
    </row>
    <row r="95" spans="1:11" ht="19" x14ac:dyDescent="0.2">
      <c r="A95" s="143"/>
      <c r="B95" s="32"/>
      <c r="C95" s="49"/>
      <c r="D95" s="13"/>
      <c r="E95" s="15"/>
      <c r="F95" s="9"/>
      <c r="G95" s="9"/>
      <c r="H95" s="9">
        <v>600000</v>
      </c>
      <c r="I95" s="9" t="s">
        <v>3119</v>
      </c>
      <c r="J95" s="119"/>
      <c r="K95" s="119"/>
    </row>
    <row r="96" spans="1:11" ht="32" x14ac:dyDescent="0.2">
      <c r="A96" s="144"/>
      <c r="B96" s="145"/>
      <c r="C96" s="149"/>
      <c r="D96" s="147"/>
      <c r="E96" s="150"/>
      <c r="F96" s="139"/>
      <c r="G96" s="139"/>
      <c r="H96" s="139">
        <v>945000</v>
      </c>
      <c r="I96" s="161" t="s">
        <v>4299</v>
      </c>
      <c r="J96" s="139"/>
      <c r="K96" s="139"/>
    </row>
    <row r="97" spans="1:11" ht="19" x14ac:dyDescent="0.2">
      <c r="A97" s="143">
        <v>2120000</v>
      </c>
      <c r="B97" s="32">
        <v>45854</v>
      </c>
      <c r="C97" s="49" t="s">
        <v>9</v>
      </c>
      <c r="D97" s="13" t="s">
        <v>3386</v>
      </c>
      <c r="E97" s="15">
        <v>922000</v>
      </c>
      <c r="F97" s="9">
        <v>159000</v>
      </c>
      <c r="G97" s="9">
        <v>1039000</v>
      </c>
      <c r="H97" s="60"/>
      <c r="I97" s="175"/>
      <c r="J97" s="9">
        <v>12000</v>
      </c>
      <c r="K97" s="9" t="s">
        <v>1582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21000</v>
      </c>
      <c r="K98" s="139" t="s">
        <v>4101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78000</v>
      </c>
      <c r="K99" s="119" t="s">
        <v>4251</v>
      </c>
    </row>
    <row r="100" spans="1:11" ht="19" x14ac:dyDescent="0.2">
      <c r="A100" s="144">
        <v>1201000</v>
      </c>
      <c r="B100" s="145"/>
      <c r="C100" s="149" t="s">
        <v>10</v>
      </c>
      <c r="D100" s="147" t="s">
        <v>4243</v>
      </c>
      <c r="E100" s="150">
        <v>631000</v>
      </c>
      <c r="F100" s="139">
        <v>296000</v>
      </c>
      <c r="G100" s="139">
        <v>274000</v>
      </c>
      <c r="H100" s="139"/>
      <c r="I100" s="139"/>
      <c r="J100" s="139"/>
      <c r="K100" s="139"/>
    </row>
    <row r="101" spans="1:11" ht="19" x14ac:dyDescent="0.2">
      <c r="A101" s="143">
        <v>1829000</v>
      </c>
      <c r="B101" s="153">
        <v>45855</v>
      </c>
      <c r="C101" s="171" t="s">
        <v>9</v>
      </c>
      <c r="D101" s="155" t="s">
        <v>3386</v>
      </c>
      <c r="E101" s="15">
        <v>1251000</v>
      </c>
      <c r="F101" s="119">
        <v>51000</v>
      </c>
      <c r="G101" s="119">
        <v>527000</v>
      </c>
      <c r="H101" s="119"/>
      <c r="I101" s="119"/>
      <c r="J101" s="119">
        <v>220000</v>
      </c>
      <c r="K101" s="119" t="s">
        <v>2539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80000</v>
      </c>
      <c r="K102" s="139" t="s">
        <v>2250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54000</v>
      </c>
      <c r="K103" s="119" t="s">
        <v>4252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74000</v>
      </c>
      <c r="K104" s="139" t="s">
        <v>4253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24000</v>
      </c>
      <c r="K105" s="119" t="s">
        <v>2986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147000</v>
      </c>
      <c r="K106" s="139" t="s">
        <v>1856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105000</v>
      </c>
      <c r="K107" s="119" t="s">
        <v>1771</v>
      </c>
    </row>
    <row r="108" spans="1:11" ht="19" x14ac:dyDescent="0.2">
      <c r="A108" s="148">
        <v>1699000</v>
      </c>
      <c r="B108" s="145"/>
      <c r="C108" s="149" t="s">
        <v>10</v>
      </c>
      <c r="D108" s="160" t="s">
        <v>4243</v>
      </c>
      <c r="E108" s="150">
        <v>1451000</v>
      </c>
      <c r="F108" s="139">
        <v>94000</v>
      </c>
      <c r="G108" s="139">
        <v>154000</v>
      </c>
      <c r="H108" s="139"/>
      <c r="I108" s="139"/>
      <c r="J108" s="139">
        <v>200000</v>
      </c>
      <c r="K108" s="139" t="s">
        <v>2796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120000</v>
      </c>
      <c r="K109" s="119" t="s">
        <v>3361</v>
      </c>
    </row>
    <row r="110" spans="1:11" ht="19" x14ac:dyDescent="0.2">
      <c r="A110" s="144">
        <v>2810000</v>
      </c>
      <c r="B110" s="145">
        <v>45856</v>
      </c>
      <c r="C110" s="149" t="s">
        <v>9</v>
      </c>
      <c r="D110" s="147" t="s">
        <v>3386</v>
      </c>
      <c r="E110" s="150">
        <v>1807000</v>
      </c>
      <c r="F110" s="139">
        <v>218000</v>
      </c>
      <c r="G110" s="139">
        <v>785000</v>
      </c>
      <c r="H110" s="139"/>
      <c r="I110" s="139"/>
      <c r="J110" s="139">
        <v>185000</v>
      </c>
      <c r="K110" s="139" t="s">
        <v>4254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24000</v>
      </c>
      <c r="K111" s="119" t="s">
        <v>4255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81000</v>
      </c>
      <c r="K112" s="139" t="s">
        <v>4256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30000</v>
      </c>
      <c r="K113" s="119" t="s">
        <v>4257</v>
      </c>
    </row>
    <row r="114" spans="1:11" ht="19" x14ac:dyDescent="0.2">
      <c r="A114" s="144">
        <v>1707000</v>
      </c>
      <c r="B114" s="145"/>
      <c r="C114" s="149" t="s">
        <v>10</v>
      </c>
      <c r="D114" s="147" t="s">
        <v>4243</v>
      </c>
      <c r="E114" s="150">
        <v>952000</v>
      </c>
      <c r="F114" s="139">
        <v>211000</v>
      </c>
      <c r="G114" s="139">
        <v>544000</v>
      </c>
      <c r="H114" s="139"/>
      <c r="I114" s="139"/>
      <c r="J114" s="139">
        <v>45000</v>
      </c>
      <c r="K114" s="139" t="s">
        <v>1722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160000</v>
      </c>
      <c r="K115" s="119" t="s">
        <v>1597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105000</v>
      </c>
      <c r="K116" s="162" t="s">
        <v>1536</v>
      </c>
    </row>
    <row r="117" spans="1:11" ht="19" x14ac:dyDescent="0.2">
      <c r="A117" s="143">
        <v>2710000</v>
      </c>
      <c r="B117" s="153">
        <v>45857</v>
      </c>
      <c r="C117" s="171" t="s">
        <v>9</v>
      </c>
      <c r="D117" s="155" t="s">
        <v>3386</v>
      </c>
      <c r="E117" s="164">
        <v>1742000</v>
      </c>
      <c r="F117" s="119">
        <v>248000</v>
      </c>
      <c r="G117" s="119">
        <v>720000</v>
      </c>
      <c r="H117" s="119"/>
      <c r="I117" s="175"/>
      <c r="J117" s="174">
        <v>94000</v>
      </c>
      <c r="K117" s="174" t="s">
        <v>4258</v>
      </c>
    </row>
    <row r="118" spans="1:11" ht="19" x14ac:dyDescent="0.2">
      <c r="A118" s="144">
        <v>1686000</v>
      </c>
      <c r="B118" s="145"/>
      <c r="C118" s="149" t="s">
        <v>10</v>
      </c>
      <c r="D118" s="147" t="s">
        <v>20</v>
      </c>
      <c r="E118" s="150">
        <v>776000</v>
      </c>
      <c r="F118" s="139">
        <v>513000</v>
      </c>
      <c r="G118" s="139">
        <v>397000</v>
      </c>
      <c r="H118" s="139"/>
      <c r="I118" s="139"/>
      <c r="J118" s="139">
        <v>200000</v>
      </c>
      <c r="K118" s="139" t="s">
        <v>4259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50000</v>
      </c>
      <c r="K119" s="119" t="s">
        <v>123</v>
      </c>
    </row>
    <row r="120" spans="1:11" ht="19" x14ac:dyDescent="0.2">
      <c r="A120" s="144">
        <v>1727000</v>
      </c>
      <c r="B120" s="145">
        <v>45858</v>
      </c>
      <c r="C120" s="149" t="s">
        <v>9</v>
      </c>
      <c r="D120" s="147" t="s">
        <v>3941</v>
      </c>
      <c r="E120" s="150">
        <v>1039000</v>
      </c>
      <c r="F120" s="139">
        <v>329000</v>
      </c>
      <c r="G120" s="139">
        <v>359000</v>
      </c>
      <c r="H120" s="139"/>
      <c r="I120" s="139"/>
      <c r="J120" s="139">
        <v>100000</v>
      </c>
      <c r="K120" s="139" t="s">
        <v>3248</v>
      </c>
    </row>
    <row r="121" spans="1:11" ht="19" x14ac:dyDescent="0.2">
      <c r="A121" s="143">
        <v>1301000</v>
      </c>
      <c r="B121" s="153"/>
      <c r="C121" s="171" t="s">
        <v>10</v>
      </c>
      <c r="D121" s="155" t="s">
        <v>20</v>
      </c>
      <c r="E121" s="164">
        <v>904000</v>
      </c>
      <c r="F121" s="119">
        <v>176000</v>
      </c>
      <c r="G121" s="119">
        <v>221000</v>
      </c>
      <c r="H121" s="119"/>
      <c r="I121" s="119"/>
      <c r="J121" s="119"/>
      <c r="K121" s="119"/>
    </row>
    <row r="122" spans="1:11" ht="19" x14ac:dyDescent="0.2">
      <c r="A122" s="144">
        <v>2366000</v>
      </c>
      <c r="B122" s="145">
        <v>45859</v>
      </c>
      <c r="C122" s="149" t="s">
        <v>9</v>
      </c>
      <c r="D122" s="147" t="s">
        <v>3941</v>
      </c>
      <c r="E122" s="150">
        <v>1833000</v>
      </c>
      <c r="F122" s="139">
        <v>326000</v>
      </c>
      <c r="G122" s="139">
        <v>207000</v>
      </c>
      <c r="H122" s="139"/>
      <c r="I122" s="139"/>
      <c r="J122" s="139">
        <v>39000</v>
      </c>
      <c r="K122" s="139" t="s">
        <v>3793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1000</v>
      </c>
      <c r="K123" s="174" t="s">
        <v>4260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4000</v>
      </c>
      <c r="K124" s="162" t="s">
        <v>4261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129000</v>
      </c>
      <c r="K125" s="106" t="s">
        <v>1856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30000</v>
      </c>
      <c r="K126" s="162" t="s">
        <v>4262</v>
      </c>
    </row>
    <row r="127" spans="1:11" ht="19" x14ac:dyDescent="0.2">
      <c r="A127" s="143"/>
      <c r="B127" s="153"/>
      <c r="C127" s="163"/>
      <c r="D127" s="155"/>
      <c r="E127" s="164"/>
      <c r="F127" s="119"/>
      <c r="G127" s="119"/>
      <c r="H127" s="119"/>
      <c r="I127" s="119"/>
      <c r="J127" s="174">
        <v>16000</v>
      </c>
      <c r="K127" s="174" t="s">
        <v>1934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28000</v>
      </c>
      <c r="K128" s="139" t="s">
        <v>3703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65000</v>
      </c>
      <c r="K129" s="174" t="s">
        <v>4263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32000</v>
      </c>
      <c r="K130" s="139" t="s">
        <v>4034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40000</v>
      </c>
      <c r="K131" s="119" t="s">
        <v>3036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193000</v>
      </c>
      <c r="K132" s="139" t="s">
        <v>4264</v>
      </c>
    </row>
    <row r="133" spans="1:11" ht="19" x14ac:dyDescent="0.2">
      <c r="A133" s="143">
        <v>1984000</v>
      </c>
      <c r="B133" s="153"/>
      <c r="C133" s="163" t="s">
        <v>10</v>
      </c>
      <c r="D133" s="155" t="s">
        <v>3386</v>
      </c>
      <c r="E133" s="164">
        <v>1164000</v>
      </c>
      <c r="F133" s="119">
        <v>545000</v>
      </c>
      <c r="G133" s="119">
        <v>275000</v>
      </c>
      <c r="H133" s="119"/>
      <c r="I133" s="119"/>
      <c r="J133" s="119">
        <v>5000</v>
      </c>
      <c r="K133" s="119" t="s">
        <v>4248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216000</v>
      </c>
      <c r="K134" s="139" t="s">
        <v>4265</v>
      </c>
    </row>
    <row r="135" spans="1:11" ht="19" x14ac:dyDescent="0.2">
      <c r="A135" s="143">
        <v>2383000</v>
      </c>
      <c r="B135" s="153">
        <v>45860</v>
      </c>
      <c r="C135" s="163" t="s">
        <v>9</v>
      </c>
      <c r="D135" s="155" t="s">
        <v>3941</v>
      </c>
      <c r="E135" s="164">
        <v>1422000</v>
      </c>
      <c r="F135" s="119">
        <v>364000</v>
      </c>
      <c r="G135" s="119">
        <v>597000</v>
      </c>
      <c r="H135" s="119"/>
      <c r="I135" s="119"/>
      <c r="J135" s="119">
        <v>99000</v>
      </c>
      <c r="K135" s="119" t="s">
        <v>1929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108000</v>
      </c>
      <c r="K136" s="139" t="s">
        <v>2015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72000</v>
      </c>
      <c r="K137" s="174" t="s">
        <v>1491</v>
      </c>
    </row>
    <row r="138" spans="1:11" ht="19" x14ac:dyDescent="0.2">
      <c r="A138" s="144">
        <v>850000</v>
      </c>
      <c r="B138" s="145"/>
      <c r="C138" s="151" t="s">
        <v>10</v>
      </c>
      <c r="D138" s="147" t="s">
        <v>20</v>
      </c>
      <c r="E138" s="150">
        <v>460000</v>
      </c>
      <c r="F138" s="139">
        <v>172000</v>
      </c>
      <c r="G138" s="139">
        <v>218000</v>
      </c>
      <c r="H138" s="139"/>
      <c r="I138" s="139"/>
      <c r="J138" s="162">
        <v>28000</v>
      </c>
      <c r="K138" s="162" t="s">
        <v>4266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103000</v>
      </c>
      <c r="K139" s="106" t="s">
        <v>4267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265000</v>
      </c>
      <c r="K140" s="162" t="s">
        <v>4268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127000</v>
      </c>
      <c r="K141" s="174" t="s">
        <v>4269</v>
      </c>
    </row>
    <row r="142" spans="1:11" ht="19" x14ac:dyDescent="0.2">
      <c r="A142" s="144">
        <v>2212000</v>
      </c>
      <c r="B142" s="145">
        <v>45861</v>
      </c>
      <c r="C142" s="151" t="s">
        <v>9</v>
      </c>
      <c r="D142" s="147" t="s">
        <v>3941</v>
      </c>
      <c r="E142" s="150">
        <v>1626000</v>
      </c>
      <c r="F142" s="139">
        <v>384000</v>
      </c>
      <c r="G142" s="139">
        <v>202000</v>
      </c>
      <c r="H142" s="139"/>
      <c r="I142" s="139"/>
      <c r="J142" s="139">
        <v>128000</v>
      </c>
      <c r="K142" s="139" t="s">
        <v>4270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70000</v>
      </c>
      <c r="K143" s="119" t="s">
        <v>4271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/>
      <c r="K144" s="139"/>
    </row>
    <row r="145" spans="1:11" ht="19" x14ac:dyDescent="0.2">
      <c r="A145" s="143">
        <v>914000</v>
      </c>
      <c r="B145" s="153"/>
      <c r="C145" s="163" t="s">
        <v>10</v>
      </c>
      <c r="D145" s="155" t="s">
        <v>20</v>
      </c>
      <c r="E145" s="164">
        <v>493000</v>
      </c>
      <c r="F145" s="119">
        <v>287000</v>
      </c>
      <c r="G145" s="119">
        <v>134000</v>
      </c>
      <c r="H145" s="119"/>
      <c r="I145" s="119"/>
      <c r="J145" s="119"/>
      <c r="K145" s="119"/>
    </row>
    <row r="146" spans="1:11" ht="19" x14ac:dyDescent="0.2">
      <c r="A146" s="144">
        <v>3083000</v>
      </c>
      <c r="B146" s="145">
        <v>45862</v>
      </c>
      <c r="C146" s="151" t="s">
        <v>9</v>
      </c>
      <c r="D146" s="160" t="s">
        <v>3941</v>
      </c>
      <c r="E146" s="150">
        <v>2229000</v>
      </c>
      <c r="F146" s="139">
        <v>255000</v>
      </c>
      <c r="G146" s="139">
        <v>599000</v>
      </c>
      <c r="H146" s="139"/>
      <c r="I146" s="139"/>
      <c r="J146" s="162">
        <v>105000</v>
      </c>
      <c r="K146" s="162" t="s">
        <v>1771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15000</v>
      </c>
      <c r="K147" s="119" t="s">
        <v>4199</v>
      </c>
    </row>
    <row r="148" spans="1:11" ht="19" x14ac:dyDescent="0.2">
      <c r="A148" s="148">
        <v>1426000</v>
      </c>
      <c r="B148" s="145"/>
      <c r="C148" s="151" t="s">
        <v>4272</v>
      </c>
      <c r="D148" s="147" t="s">
        <v>3386</v>
      </c>
      <c r="E148" s="150">
        <v>778000</v>
      </c>
      <c r="F148" s="139">
        <v>318000</v>
      </c>
      <c r="G148" s="139">
        <v>330000</v>
      </c>
      <c r="H148" s="139"/>
      <c r="I148" s="139"/>
      <c r="J148" s="139">
        <v>150000</v>
      </c>
      <c r="K148" s="139" t="s">
        <v>1810</v>
      </c>
    </row>
    <row r="149" spans="1:11" ht="19" x14ac:dyDescent="0.2">
      <c r="A149" s="142">
        <v>2853000</v>
      </c>
      <c r="B149" s="153">
        <v>45863</v>
      </c>
      <c r="C149" s="163" t="s">
        <v>9</v>
      </c>
      <c r="D149" s="172" t="s">
        <v>3941</v>
      </c>
      <c r="E149" s="164">
        <v>1948000</v>
      </c>
      <c r="F149" s="119">
        <v>281000</v>
      </c>
      <c r="G149" s="119">
        <v>624000</v>
      </c>
      <c r="H149" s="119"/>
      <c r="I149" s="119"/>
      <c r="J149" s="119">
        <v>16000</v>
      </c>
      <c r="K149" s="119" t="s">
        <v>3463</v>
      </c>
    </row>
    <row r="150" spans="1:11" ht="19" x14ac:dyDescent="0.2">
      <c r="A150" s="148">
        <v>1315000</v>
      </c>
      <c r="B150" s="145"/>
      <c r="C150" s="151" t="s">
        <v>10</v>
      </c>
      <c r="D150" s="160" t="s">
        <v>20</v>
      </c>
      <c r="E150" s="150">
        <v>1111000</v>
      </c>
      <c r="F150" s="139">
        <v>126000</v>
      </c>
      <c r="G150" s="139">
        <v>78000</v>
      </c>
      <c r="H150" s="139"/>
      <c r="I150" s="139"/>
      <c r="J150" s="139"/>
      <c r="K150" s="139"/>
    </row>
    <row r="151" spans="1:11" ht="19" x14ac:dyDescent="0.2">
      <c r="A151" s="142">
        <v>1927000</v>
      </c>
      <c r="B151" s="153">
        <v>45864</v>
      </c>
      <c r="C151" s="163" t="s">
        <v>9</v>
      </c>
      <c r="D151" s="172" t="s">
        <v>3386</v>
      </c>
      <c r="E151" s="164">
        <v>1043000</v>
      </c>
      <c r="F151" s="119">
        <v>272000</v>
      </c>
      <c r="G151" s="119">
        <v>612000</v>
      </c>
      <c r="H151" s="119"/>
      <c r="I151" s="119"/>
      <c r="J151" s="119">
        <v>138000</v>
      </c>
      <c r="K151" s="119" t="s">
        <v>1856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75000</v>
      </c>
      <c r="K152" s="139" t="s">
        <v>4273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12000</v>
      </c>
      <c r="K153" s="119" t="s">
        <v>1734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40000</v>
      </c>
      <c r="K154" s="139" t="s">
        <v>4049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18000</v>
      </c>
      <c r="K155" s="119" t="s">
        <v>4274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48000</v>
      </c>
      <c r="K156" s="139" t="s">
        <v>3189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79000</v>
      </c>
      <c r="K157" s="119" t="s">
        <v>4275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13000</v>
      </c>
      <c r="K158" s="139" t="s">
        <v>1662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45000</v>
      </c>
      <c r="K159" s="119" t="s">
        <v>4276</v>
      </c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>
        <v>200000</v>
      </c>
      <c r="K160" s="139" t="s">
        <v>2796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45000</v>
      </c>
      <c r="K161" s="9" t="s">
        <v>4277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150000</v>
      </c>
      <c r="K162" s="139" t="s">
        <v>1710</v>
      </c>
    </row>
    <row r="163" spans="1:11" ht="19" x14ac:dyDescent="0.2">
      <c r="A163" s="143">
        <v>1193000</v>
      </c>
      <c r="B163" s="32"/>
      <c r="C163" s="49" t="s">
        <v>10</v>
      </c>
      <c r="D163" s="13" t="s">
        <v>20</v>
      </c>
      <c r="E163" s="15">
        <v>792000</v>
      </c>
      <c r="F163" s="9">
        <v>146000</v>
      </c>
      <c r="G163" s="9">
        <v>255000</v>
      </c>
      <c r="H163" s="9"/>
      <c r="I163" s="77"/>
      <c r="J163" s="9">
        <v>50000</v>
      </c>
      <c r="K163" s="9" t="s">
        <v>123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100000</v>
      </c>
      <c r="K164" s="139" t="s">
        <v>3248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135000</v>
      </c>
      <c r="K165" s="9" t="s">
        <v>1649</v>
      </c>
    </row>
    <row r="166" spans="1:11" ht="19" x14ac:dyDescent="0.2">
      <c r="A166" s="144">
        <v>1528000</v>
      </c>
      <c r="B166" s="145">
        <v>45865</v>
      </c>
      <c r="C166" s="149" t="s">
        <v>9</v>
      </c>
      <c r="D166" s="147" t="s">
        <v>3386</v>
      </c>
      <c r="E166" s="150">
        <v>919000</v>
      </c>
      <c r="F166" s="139">
        <v>28000</v>
      </c>
      <c r="G166" s="139">
        <v>581000</v>
      </c>
      <c r="H166" s="139"/>
      <c r="I166" s="165"/>
      <c r="J166" s="139">
        <v>827000</v>
      </c>
      <c r="K166" s="165" t="s">
        <v>4278</v>
      </c>
    </row>
    <row r="167" spans="1:11" ht="19" x14ac:dyDescent="0.2">
      <c r="A167" s="143">
        <v>1516000</v>
      </c>
      <c r="B167" s="32"/>
      <c r="C167" s="49" t="s">
        <v>10</v>
      </c>
      <c r="D167" s="13" t="s">
        <v>20</v>
      </c>
      <c r="E167" s="15">
        <v>1147000</v>
      </c>
      <c r="F167" s="9">
        <v>178000</v>
      </c>
      <c r="G167" s="9">
        <v>191000</v>
      </c>
      <c r="H167" s="9"/>
      <c r="I167" s="77"/>
      <c r="J167" s="9">
        <v>2000000</v>
      </c>
      <c r="K167" s="77" t="s">
        <v>4279</v>
      </c>
    </row>
    <row r="168" spans="1:11" ht="19" x14ac:dyDescent="0.2">
      <c r="A168" s="144">
        <v>2544000</v>
      </c>
      <c r="B168" s="145">
        <v>45866</v>
      </c>
      <c r="C168" s="149" t="s">
        <v>9</v>
      </c>
      <c r="D168" s="147" t="s">
        <v>3941</v>
      </c>
      <c r="E168" s="150">
        <v>1874000</v>
      </c>
      <c r="F168" s="139">
        <v>307000</v>
      </c>
      <c r="G168" s="139">
        <v>363000</v>
      </c>
      <c r="H168" s="139"/>
      <c r="I168" s="165"/>
      <c r="J168" s="139">
        <v>81000</v>
      </c>
      <c r="K168" s="139" t="s">
        <v>1738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38000</v>
      </c>
      <c r="K169" s="9" t="s">
        <v>4280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84000</v>
      </c>
      <c r="K170" s="139" t="s">
        <v>2830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186000</v>
      </c>
      <c r="K171" s="9" t="s">
        <v>2732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56000</v>
      </c>
      <c r="K172" s="139" t="s">
        <v>1449</v>
      </c>
    </row>
    <row r="173" spans="1:11" ht="19" x14ac:dyDescent="0.2">
      <c r="A173" s="143">
        <v>947000</v>
      </c>
      <c r="B173" s="32"/>
      <c r="C173" s="49" t="s">
        <v>10</v>
      </c>
      <c r="D173" s="13" t="s">
        <v>20</v>
      </c>
      <c r="E173" s="15">
        <v>648000</v>
      </c>
      <c r="F173" s="9">
        <v>22000</v>
      </c>
      <c r="G173" s="9">
        <v>277000</v>
      </c>
      <c r="H173" s="9"/>
      <c r="I173" s="77"/>
      <c r="J173" s="9">
        <v>75000</v>
      </c>
      <c r="K173" s="9" t="s">
        <v>1307</v>
      </c>
    </row>
    <row r="174" spans="1:11" ht="19" x14ac:dyDescent="0.2">
      <c r="A174" s="144">
        <v>2575000</v>
      </c>
      <c r="B174" s="145">
        <v>45867</v>
      </c>
      <c r="C174" s="149" t="s">
        <v>9</v>
      </c>
      <c r="D174" s="147" t="s">
        <v>4123</v>
      </c>
      <c r="E174" s="150">
        <v>1722000</v>
      </c>
      <c r="F174" s="139">
        <v>462000</v>
      </c>
      <c r="G174" s="139">
        <v>391000</v>
      </c>
      <c r="H174" s="139"/>
      <c r="I174" s="165"/>
      <c r="J174" s="139">
        <v>260000</v>
      </c>
      <c r="K174" s="139" t="s">
        <v>3839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72000</v>
      </c>
      <c r="K175" s="9" t="s">
        <v>4281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50000</v>
      </c>
      <c r="K176" s="139" t="s">
        <v>1762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60000</v>
      </c>
      <c r="K177" s="9" t="s">
        <v>4282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31000</v>
      </c>
      <c r="K178" s="139" t="s">
        <v>3463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33000</v>
      </c>
      <c r="K179" s="9" t="s">
        <v>4283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70000</v>
      </c>
      <c r="K180" s="139" t="s">
        <v>4284</v>
      </c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>
        <v>200000</v>
      </c>
      <c r="K181" s="9" t="s">
        <v>4285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>
        <v>100000</v>
      </c>
      <c r="K182" s="139" t="s">
        <v>4286</v>
      </c>
    </row>
    <row r="183" spans="1:11" ht="19" x14ac:dyDescent="0.2">
      <c r="A183" s="143"/>
      <c r="B183" s="32"/>
      <c r="C183" s="49"/>
      <c r="D183" s="13"/>
      <c r="E183" s="15"/>
      <c r="F183" s="9"/>
      <c r="G183" s="9"/>
      <c r="H183" s="9"/>
      <c r="I183" s="77"/>
      <c r="J183" s="9">
        <v>26000</v>
      </c>
      <c r="K183" s="9" t="s">
        <v>4287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82000</v>
      </c>
      <c r="K184" s="139" t="s">
        <v>4288</v>
      </c>
    </row>
    <row r="185" spans="1:11" ht="19" x14ac:dyDescent="0.2">
      <c r="A185" s="143">
        <v>1899000</v>
      </c>
      <c r="B185" s="32"/>
      <c r="C185" s="49" t="s">
        <v>10</v>
      </c>
      <c r="D185" s="13" t="s">
        <v>20</v>
      </c>
      <c r="E185" s="15">
        <v>1524000</v>
      </c>
      <c r="F185" s="9">
        <v>145000</v>
      </c>
      <c r="G185" s="9">
        <v>230000</v>
      </c>
      <c r="H185" s="9"/>
      <c r="I185" s="77"/>
      <c r="J185" s="9">
        <v>76000</v>
      </c>
      <c r="K185" s="9" t="s">
        <v>4289</v>
      </c>
    </row>
    <row r="186" spans="1:11" ht="19" x14ac:dyDescent="0.2">
      <c r="A186" s="144">
        <v>2155000</v>
      </c>
      <c r="B186" s="145">
        <v>45868</v>
      </c>
      <c r="C186" s="149" t="s">
        <v>9</v>
      </c>
      <c r="D186" s="147" t="s">
        <v>3941</v>
      </c>
      <c r="E186" s="150">
        <v>1311000</v>
      </c>
      <c r="F186" s="139">
        <v>416000</v>
      </c>
      <c r="G186" s="139">
        <v>428000</v>
      </c>
      <c r="H186" s="139"/>
      <c r="I186" s="165"/>
      <c r="J186" s="139">
        <v>205000</v>
      </c>
      <c r="K186" s="139" t="s">
        <v>4290</v>
      </c>
    </row>
    <row r="187" spans="1:11" ht="19" x14ac:dyDescent="0.2">
      <c r="A187" s="143"/>
      <c r="B187" s="32"/>
      <c r="C187" s="49"/>
      <c r="D187" s="13"/>
      <c r="E187" s="15"/>
      <c r="F187" s="9"/>
      <c r="G187" s="9"/>
      <c r="H187" s="9"/>
      <c r="I187" s="77"/>
      <c r="J187" s="119">
        <v>15000</v>
      </c>
      <c r="K187" s="9" t="s">
        <v>4199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150000</v>
      </c>
      <c r="K188" s="139" t="s">
        <v>4224</v>
      </c>
    </row>
    <row r="189" spans="1:11" ht="19" x14ac:dyDescent="0.2">
      <c r="A189" s="143">
        <v>1330000</v>
      </c>
      <c r="B189" s="32"/>
      <c r="C189" s="49" t="s">
        <v>10</v>
      </c>
      <c r="D189" s="13" t="s">
        <v>20</v>
      </c>
      <c r="E189" s="15">
        <v>873000</v>
      </c>
      <c r="F189" s="9">
        <v>60000</v>
      </c>
      <c r="G189" s="9">
        <v>397000</v>
      </c>
      <c r="H189" s="9"/>
      <c r="I189" s="77"/>
      <c r="J189" s="9">
        <v>120000</v>
      </c>
      <c r="K189" s="9" t="s">
        <v>2562</v>
      </c>
    </row>
    <row r="190" spans="1:11" ht="19" x14ac:dyDescent="0.2">
      <c r="A190" s="144">
        <v>2367000</v>
      </c>
      <c r="B190" s="145">
        <v>45869</v>
      </c>
      <c r="C190" s="149" t="s">
        <v>9</v>
      </c>
      <c r="D190" s="147" t="s">
        <v>3941</v>
      </c>
      <c r="E190" s="150">
        <v>1620000</v>
      </c>
      <c r="F190" s="139">
        <v>225000</v>
      </c>
      <c r="G190" s="139">
        <v>522000</v>
      </c>
      <c r="H190" s="139"/>
      <c r="I190" s="165"/>
      <c r="J190" s="139">
        <v>26000</v>
      </c>
      <c r="K190" s="139" t="s">
        <v>4291</v>
      </c>
    </row>
    <row r="191" spans="1:11" ht="19" x14ac:dyDescent="0.2">
      <c r="A191" s="143"/>
      <c r="B191" s="32"/>
      <c r="C191" s="49"/>
      <c r="D191" s="13"/>
      <c r="E191" s="15"/>
      <c r="F191" s="9"/>
      <c r="G191" s="9"/>
      <c r="H191" s="9"/>
      <c r="I191" s="77"/>
      <c r="J191" s="9">
        <v>29000</v>
      </c>
      <c r="K191" s="9" t="s">
        <v>2475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21000</v>
      </c>
      <c r="K192" s="139" t="s">
        <v>4292</v>
      </c>
    </row>
    <row r="193" spans="1:11" ht="19" x14ac:dyDescent="0.2">
      <c r="A193" s="143"/>
      <c r="B193" s="32"/>
      <c r="C193" s="49"/>
      <c r="D193" s="13"/>
      <c r="E193" s="15"/>
      <c r="F193" s="9"/>
      <c r="G193" s="9"/>
      <c r="H193" s="9"/>
      <c r="I193" s="77"/>
      <c r="J193" s="9">
        <v>16000</v>
      </c>
      <c r="K193" s="9" t="s">
        <v>1934</v>
      </c>
    </row>
    <row r="194" spans="1:11" ht="32" x14ac:dyDescent="0.2">
      <c r="A194" s="144">
        <v>1279000</v>
      </c>
      <c r="B194" s="145"/>
      <c r="C194" s="149" t="s">
        <v>10</v>
      </c>
      <c r="D194" s="147" t="s">
        <v>20</v>
      </c>
      <c r="E194" s="150">
        <v>950000</v>
      </c>
      <c r="F194" s="139">
        <v>156000</v>
      </c>
      <c r="G194" s="139">
        <v>173000</v>
      </c>
      <c r="H194" s="139">
        <v>1679000</v>
      </c>
      <c r="I194" s="253" t="s">
        <v>4307</v>
      </c>
      <c r="J194" s="139">
        <v>89000</v>
      </c>
      <c r="K194" s="139" t="s">
        <v>4293</v>
      </c>
    </row>
    <row r="195" spans="1:11" ht="19" x14ac:dyDescent="0.2">
      <c r="A195" s="143"/>
      <c r="B195" s="32"/>
      <c r="C195" s="49"/>
      <c r="D195" s="13"/>
      <c r="E195" s="15"/>
      <c r="F195" s="9"/>
      <c r="G195" s="9"/>
      <c r="H195" s="9">
        <v>2200000</v>
      </c>
      <c r="I195" s="77" t="s">
        <v>4294</v>
      </c>
      <c r="J195" s="9"/>
      <c r="K195" s="9"/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>
        <v>1590000</v>
      </c>
      <c r="I196" s="253" t="s">
        <v>4298</v>
      </c>
      <c r="J196" s="139"/>
      <c r="K196" s="139"/>
    </row>
    <row r="197" spans="1:11" ht="19" x14ac:dyDescent="0.2">
      <c r="A197" s="143"/>
      <c r="B197" s="32"/>
      <c r="C197" s="49"/>
      <c r="D197" s="13"/>
      <c r="E197" s="15"/>
      <c r="F197" s="9"/>
      <c r="G197" s="9"/>
      <c r="H197" s="9">
        <v>200000</v>
      </c>
      <c r="I197" s="77" t="s">
        <v>4295</v>
      </c>
      <c r="J197" s="9"/>
      <c r="K197" s="9"/>
    </row>
    <row r="198" spans="1:11" ht="32" x14ac:dyDescent="0.2">
      <c r="A198" s="144"/>
      <c r="B198" s="145"/>
      <c r="C198" s="149"/>
      <c r="D198" s="147"/>
      <c r="E198" s="150"/>
      <c r="F198" s="139"/>
      <c r="G198" s="139"/>
      <c r="H198" s="139">
        <v>5660000</v>
      </c>
      <c r="I198" s="253" t="s">
        <v>4131</v>
      </c>
      <c r="J198" s="139"/>
      <c r="K198" s="139"/>
    </row>
    <row r="199" spans="1:11" ht="19" x14ac:dyDescent="0.2">
      <c r="A199" s="143"/>
      <c r="B199" s="32"/>
      <c r="C199" s="49"/>
      <c r="D199" s="13"/>
      <c r="E199" s="15"/>
      <c r="F199" s="9"/>
      <c r="G199" s="9"/>
      <c r="H199" s="9">
        <v>1260000</v>
      </c>
      <c r="I199" s="77" t="s">
        <v>3739</v>
      </c>
      <c r="J199" s="9"/>
      <c r="K199" s="9"/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>
        <v>800000</v>
      </c>
      <c r="I200" s="165" t="s">
        <v>965</v>
      </c>
      <c r="J200" s="139"/>
      <c r="K200" s="139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3:K181"/>
  <sheetViews>
    <sheetView zoomScale="82" zoomScaleNormal="82" workbookViewId="0">
      <selection activeCell="E10" sqref="E10"/>
    </sheetView>
  </sheetViews>
  <sheetFormatPr baseColWidth="10" defaultColWidth="8.83203125" defaultRowHeight="15" x14ac:dyDescent="0.2"/>
  <cols>
    <col min="1" max="1" width="25.1640625" bestFit="1" customWidth="1"/>
    <col min="2" max="2" width="13.5" customWidth="1"/>
    <col min="3" max="3" width="15.5" bestFit="1" customWidth="1"/>
    <col min="4" max="4" width="18.1640625" bestFit="1" customWidth="1"/>
    <col min="5" max="5" width="23.5" bestFit="1" customWidth="1"/>
    <col min="6" max="6" width="23" customWidth="1"/>
    <col min="7" max="8" width="23.5" bestFit="1" customWidth="1"/>
    <col min="9" max="9" width="39.83203125" customWidth="1"/>
    <col min="10" max="10" width="23.83203125" bestFit="1" customWidth="1"/>
    <col min="11" max="11" width="32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19850000</v>
      </c>
      <c r="K4" s="72">
        <f>J4/10820</f>
        <v>1834.56561922366</v>
      </c>
    </row>
    <row r="5" spans="1:11" ht="24" x14ac:dyDescent="0.3">
      <c r="B5" s="99" t="s">
        <v>4385</v>
      </c>
      <c r="H5" s="73"/>
      <c r="I5" s="71" t="s">
        <v>2315</v>
      </c>
      <c r="J5" s="71">
        <v>19850000</v>
      </c>
      <c r="K5" s="72">
        <f>J5/10820</f>
        <v>1834.56561922366</v>
      </c>
    </row>
    <row r="6" spans="1:11" ht="24" x14ac:dyDescent="0.3">
      <c r="B6" s="99"/>
      <c r="H6" s="73"/>
      <c r="I6" s="71" t="s">
        <v>178</v>
      </c>
      <c r="J6" s="71">
        <v>6311049</v>
      </c>
      <c r="K6" s="72" t="s">
        <v>4387</v>
      </c>
    </row>
    <row r="7" spans="1:11" ht="26" x14ac:dyDescent="0.3">
      <c r="B7" s="100" t="s">
        <v>4386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SUM(A11:A485)</f>
        <v>125726000</v>
      </c>
      <c r="B10" s="65"/>
      <c r="C10" s="66" t="s">
        <v>13</v>
      </c>
      <c r="D10" s="67"/>
      <c r="E10" s="68">
        <f>SUM(E11:E485)</f>
        <v>82322000</v>
      </c>
      <c r="F10" s="69">
        <f>SUM(F11:F485)</f>
        <v>12916000</v>
      </c>
      <c r="G10" s="69">
        <f>SUM(G11:G472)</f>
        <v>30488000</v>
      </c>
      <c r="H10" s="69">
        <f>SUM(H11:H485)</f>
        <v>29382000</v>
      </c>
      <c r="I10" s="69"/>
      <c r="J10" s="69">
        <f>SUM(J11:J485)</f>
        <v>16731000</v>
      </c>
      <c r="K10" s="69"/>
    </row>
    <row r="11" spans="1:11" ht="19" x14ac:dyDescent="0.2">
      <c r="A11" s="142"/>
      <c r="B11" s="32"/>
      <c r="C11" s="49"/>
      <c r="D11" s="13"/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2280000</v>
      </c>
      <c r="B12" s="145">
        <v>45870</v>
      </c>
      <c r="C12" s="151" t="s">
        <v>9</v>
      </c>
      <c r="D12" s="147" t="s">
        <v>4308</v>
      </c>
      <c r="E12" s="150">
        <v>1419000</v>
      </c>
      <c r="F12" s="139">
        <v>290000</v>
      </c>
      <c r="G12" s="139">
        <v>571000</v>
      </c>
      <c r="H12" s="162">
        <v>911000</v>
      </c>
      <c r="I12" s="296" t="s">
        <v>4728</v>
      </c>
      <c r="J12" s="139">
        <v>200000</v>
      </c>
      <c r="K12" s="139" t="s">
        <v>3030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75"/>
      <c r="I13" s="174"/>
      <c r="J13" s="119">
        <v>45000</v>
      </c>
      <c r="K13" s="119" t="s">
        <v>4309</v>
      </c>
    </row>
    <row r="14" spans="1:11" ht="19" x14ac:dyDescent="0.2">
      <c r="A14" s="144">
        <v>1519000</v>
      </c>
      <c r="B14" s="145"/>
      <c r="C14" s="151" t="s">
        <v>10</v>
      </c>
      <c r="D14" s="147" t="s">
        <v>20</v>
      </c>
      <c r="E14" s="150">
        <v>840000</v>
      </c>
      <c r="F14" s="139">
        <v>215000</v>
      </c>
      <c r="G14" s="139">
        <v>464000</v>
      </c>
      <c r="H14" s="152"/>
      <c r="I14" s="162"/>
      <c r="J14" s="139">
        <v>150000</v>
      </c>
      <c r="K14" s="139" t="s">
        <v>827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150000</v>
      </c>
      <c r="K15" s="119" t="s">
        <v>2039</v>
      </c>
    </row>
    <row r="16" spans="1:11" ht="19" x14ac:dyDescent="0.2">
      <c r="A16" s="144">
        <v>1863000</v>
      </c>
      <c r="B16" s="145">
        <v>45871</v>
      </c>
      <c r="C16" s="151" t="s">
        <v>9</v>
      </c>
      <c r="D16" s="147" t="s">
        <v>3941</v>
      </c>
      <c r="E16" s="150">
        <v>1353000</v>
      </c>
      <c r="F16" s="139">
        <v>220000</v>
      </c>
      <c r="G16" s="139">
        <v>290000</v>
      </c>
      <c r="H16" s="139"/>
      <c r="I16" s="162"/>
      <c r="J16" s="139">
        <v>200000</v>
      </c>
      <c r="K16" s="139" t="s">
        <v>4310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40000</v>
      </c>
      <c r="K17" s="119" t="s">
        <v>802</v>
      </c>
    </row>
    <row r="18" spans="1:11" ht="19" x14ac:dyDescent="0.2">
      <c r="A18" s="144">
        <v>2108000</v>
      </c>
      <c r="B18" s="145"/>
      <c r="C18" s="151" t="s">
        <v>10</v>
      </c>
      <c r="D18" s="147" t="s">
        <v>3386</v>
      </c>
      <c r="E18" s="150">
        <v>1232000</v>
      </c>
      <c r="F18" s="139"/>
      <c r="G18" s="139">
        <v>876000</v>
      </c>
      <c r="H18" s="139"/>
      <c r="I18" s="162"/>
      <c r="J18" s="139">
        <v>50000</v>
      </c>
      <c r="K18" s="139" t="s">
        <v>206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100000</v>
      </c>
      <c r="K19" s="119" t="s">
        <v>4311</v>
      </c>
    </row>
    <row r="20" spans="1:11" ht="19" x14ac:dyDescent="0.2">
      <c r="A20" s="144">
        <v>2293000</v>
      </c>
      <c r="B20" s="145">
        <v>45872</v>
      </c>
      <c r="C20" s="149" t="s">
        <v>9</v>
      </c>
      <c r="D20" s="147" t="s">
        <v>4167</v>
      </c>
      <c r="E20" s="150">
        <v>1619000</v>
      </c>
      <c r="F20" s="139">
        <v>255000</v>
      </c>
      <c r="G20" s="139">
        <v>419000</v>
      </c>
      <c r="H20" s="139"/>
      <c r="I20" s="139"/>
      <c r="J20" s="162">
        <v>98000</v>
      </c>
      <c r="K20" s="162" t="s">
        <v>537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17500</v>
      </c>
      <c r="K21" s="106" t="s">
        <v>4312</v>
      </c>
    </row>
    <row r="22" spans="1:11" ht="19" x14ac:dyDescent="0.2">
      <c r="A22" s="144">
        <v>1131000</v>
      </c>
      <c r="B22" s="145"/>
      <c r="C22" s="149" t="s">
        <v>10</v>
      </c>
      <c r="D22" s="147" t="s">
        <v>20</v>
      </c>
      <c r="E22" s="150">
        <v>937000</v>
      </c>
      <c r="F22" s="139">
        <v>32000</v>
      </c>
      <c r="G22" s="139">
        <v>162000</v>
      </c>
      <c r="H22" s="139"/>
      <c r="I22" s="139"/>
      <c r="J22" s="162">
        <v>82500</v>
      </c>
      <c r="K22" s="162" t="s">
        <v>4313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180000</v>
      </c>
      <c r="K23" s="106" t="s">
        <v>4314</v>
      </c>
    </row>
    <row r="24" spans="1:11" ht="19" x14ac:dyDescent="0.2">
      <c r="A24" s="148">
        <v>2306000</v>
      </c>
      <c r="B24" s="145">
        <v>45873</v>
      </c>
      <c r="C24" s="149" t="s">
        <v>9</v>
      </c>
      <c r="D24" s="147" t="s">
        <v>3941</v>
      </c>
      <c r="E24" s="150">
        <v>1577000</v>
      </c>
      <c r="F24" s="139">
        <v>78000</v>
      </c>
      <c r="G24" s="139">
        <v>651000</v>
      </c>
      <c r="H24" s="139"/>
      <c r="I24" s="139"/>
      <c r="J24" s="162">
        <v>102000</v>
      </c>
      <c r="K24" s="162" t="s">
        <v>4315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19000</v>
      </c>
      <c r="K25" s="119" t="s">
        <v>4316</v>
      </c>
    </row>
    <row r="26" spans="1:11" ht="19" x14ac:dyDescent="0.2">
      <c r="A26" s="148">
        <v>1417000</v>
      </c>
      <c r="B26" s="145"/>
      <c r="C26" s="149" t="s">
        <v>10</v>
      </c>
      <c r="D26" s="147" t="s">
        <v>20</v>
      </c>
      <c r="E26" s="150">
        <v>1185000</v>
      </c>
      <c r="F26" s="139">
        <v>0</v>
      </c>
      <c r="G26" s="139">
        <v>232000</v>
      </c>
      <c r="H26" s="139"/>
      <c r="I26" s="139"/>
      <c r="J26" s="139">
        <v>192000</v>
      </c>
      <c r="K26" s="139" t="s">
        <v>1245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8000</v>
      </c>
      <c r="K27" s="106" t="s">
        <v>1854</v>
      </c>
    </row>
    <row r="28" spans="1:11" ht="19" x14ac:dyDescent="0.2">
      <c r="A28" s="144">
        <v>2316000</v>
      </c>
      <c r="B28" s="145">
        <v>45874</v>
      </c>
      <c r="C28" s="149" t="s">
        <v>9</v>
      </c>
      <c r="D28" s="147" t="s">
        <v>4317</v>
      </c>
      <c r="E28" s="150">
        <v>1502000</v>
      </c>
      <c r="F28" s="139">
        <v>324000</v>
      </c>
      <c r="G28" s="139">
        <v>490000</v>
      </c>
      <c r="H28" s="139"/>
      <c r="I28" s="139"/>
      <c r="J28" s="139">
        <v>82000</v>
      </c>
      <c r="K28" s="139" t="s">
        <v>2494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>
        <v>150000</v>
      </c>
      <c r="K29" s="9" t="s">
        <v>3556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42000</v>
      </c>
      <c r="K30" s="139" t="s">
        <v>1584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100000</v>
      </c>
      <c r="K31" s="9" t="s">
        <v>4318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22000</v>
      </c>
      <c r="K32" s="139" t="s">
        <v>4319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35000</v>
      </c>
      <c r="K33" s="119" t="s">
        <v>4320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106000</v>
      </c>
      <c r="K34" s="139" t="s">
        <v>4321</v>
      </c>
    </row>
    <row r="35" spans="1:11" ht="19" x14ac:dyDescent="0.2">
      <c r="A35" s="143">
        <v>1227000</v>
      </c>
      <c r="B35" s="32"/>
      <c r="C35" s="49" t="s">
        <v>10</v>
      </c>
      <c r="D35" s="13" t="s">
        <v>20</v>
      </c>
      <c r="E35" s="15">
        <v>828000</v>
      </c>
      <c r="F35" s="9">
        <v>180000</v>
      </c>
      <c r="G35" s="9">
        <v>219000</v>
      </c>
      <c r="H35" s="9"/>
      <c r="I35" s="119"/>
      <c r="J35" s="9">
        <v>54000</v>
      </c>
      <c r="K35" s="9" t="s">
        <v>1500</v>
      </c>
    </row>
    <row r="36" spans="1:11" ht="19" x14ac:dyDescent="0.2">
      <c r="A36" s="144">
        <v>1401000</v>
      </c>
      <c r="B36" s="145">
        <v>45875</v>
      </c>
      <c r="C36" s="149" t="s">
        <v>9</v>
      </c>
      <c r="D36" s="147" t="s">
        <v>3941</v>
      </c>
      <c r="E36" s="150">
        <v>876000</v>
      </c>
      <c r="F36" s="139">
        <v>146000</v>
      </c>
      <c r="G36" s="139">
        <v>379000</v>
      </c>
      <c r="H36" s="139"/>
      <c r="I36" s="139"/>
      <c r="J36" s="139">
        <v>10000</v>
      </c>
      <c r="K36" s="139" t="s">
        <v>3463</v>
      </c>
    </row>
    <row r="37" spans="1:11" ht="19" x14ac:dyDescent="0.2">
      <c r="A37" s="143">
        <v>1144000</v>
      </c>
      <c r="B37" s="32"/>
      <c r="C37" s="49" t="s">
        <v>10</v>
      </c>
      <c r="D37" s="13" t="s">
        <v>20</v>
      </c>
      <c r="E37" s="15">
        <v>921000</v>
      </c>
      <c r="F37" s="9">
        <v>132000</v>
      </c>
      <c r="G37" s="9">
        <v>91000</v>
      </c>
      <c r="H37" s="9"/>
      <c r="I37" s="119"/>
      <c r="J37" s="9">
        <v>30000</v>
      </c>
      <c r="K37" s="9" t="s">
        <v>3463</v>
      </c>
    </row>
    <row r="38" spans="1:11" ht="19" x14ac:dyDescent="0.2">
      <c r="A38" s="144">
        <v>2243000</v>
      </c>
      <c r="B38" s="145">
        <v>45876</v>
      </c>
      <c r="C38" s="149" t="s">
        <v>9</v>
      </c>
      <c r="D38" s="147" t="s">
        <v>3941</v>
      </c>
      <c r="E38" s="150">
        <v>1512000</v>
      </c>
      <c r="F38" s="139">
        <v>312000</v>
      </c>
      <c r="G38" s="139">
        <v>419000</v>
      </c>
      <c r="H38" s="139">
        <v>1257000</v>
      </c>
      <c r="I38" s="139" t="s">
        <v>3739</v>
      </c>
      <c r="J38" s="139">
        <v>60000</v>
      </c>
      <c r="K38" s="139" t="s">
        <v>1681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228000</v>
      </c>
      <c r="K39" s="9" t="s">
        <v>4322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108000</v>
      </c>
      <c r="K40" s="139" t="s">
        <v>4323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25000</v>
      </c>
      <c r="K41" s="9" t="s">
        <v>4324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120000</v>
      </c>
      <c r="K42" s="139" t="s">
        <v>1856</v>
      </c>
    </row>
    <row r="43" spans="1:11" ht="19" x14ac:dyDescent="0.2">
      <c r="A43" s="143">
        <v>1801000</v>
      </c>
      <c r="B43" s="32"/>
      <c r="C43" s="49" t="s">
        <v>10</v>
      </c>
      <c r="D43" s="13" t="s">
        <v>20</v>
      </c>
      <c r="E43" s="15">
        <v>1210000</v>
      </c>
      <c r="F43" s="9">
        <v>158000</v>
      </c>
      <c r="G43" s="9">
        <v>433000</v>
      </c>
      <c r="H43" s="9"/>
      <c r="I43" s="119"/>
      <c r="J43" s="9">
        <v>33000</v>
      </c>
      <c r="K43" s="9" t="s">
        <v>3628</v>
      </c>
    </row>
    <row r="44" spans="1:11" ht="19" x14ac:dyDescent="0.2">
      <c r="A44" s="144">
        <v>2603000</v>
      </c>
      <c r="B44" s="145">
        <v>45877</v>
      </c>
      <c r="C44" s="149" t="s">
        <v>9</v>
      </c>
      <c r="D44" s="147" t="s">
        <v>3386</v>
      </c>
      <c r="E44" s="150">
        <v>1682000</v>
      </c>
      <c r="F44" s="139">
        <v>222000</v>
      </c>
      <c r="G44" s="139">
        <v>699000</v>
      </c>
      <c r="H44" s="139"/>
      <c r="I44" s="139"/>
      <c r="J44" s="139">
        <v>667000</v>
      </c>
      <c r="K44" s="139" t="s">
        <v>3748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22000</v>
      </c>
      <c r="K45" s="119" t="s">
        <v>3463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520000</v>
      </c>
      <c r="K46" s="139" t="s">
        <v>1462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72000</v>
      </c>
      <c r="K47" s="119" t="s">
        <v>4325</v>
      </c>
    </row>
    <row r="48" spans="1:11" ht="19" x14ac:dyDescent="0.2">
      <c r="A48" s="144">
        <v>1750000</v>
      </c>
      <c r="B48" s="145"/>
      <c r="C48" s="149" t="s">
        <v>10</v>
      </c>
      <c r="D48" s="147" t="s">
        <v>20</v>
      </c>
      <c r="E48" s="150">
        <v>1114000</v>
      </c>
      <c r="F48" s="139">
        <v>0</v>
      </c>
      <c r="G48" s="139">
        <v>636000</v>
      </c>
      <c r="H48" s="139"/>
      <c r="I48" s="152"/>
      <c r="J48" s="139">
        <v>23000</v>
      </c>
      <c r="K48" s="139" t="s">
        <v>4326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12000</v>
      </c>
      <c r="K49" s="119" t="s">
        <v>2854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76000</v>
      </c>
      <c r="K50" s="139" t="s">
        <v>4327</v>
      </c>
    </row>
    <row r="51" spans="1:11" ht="19" x14ac:dyDescent="0.2">
      <c r="A51" s="143">
        <v>2715000</v>
      </c>
      <c r="B51" s="153">
        <v>45878</v>
      </c>
      <c r="C51" s="171" t="s">
        <v>9</v>
      </c>
      <c r="D51" s="155" t="s">
        <v>3941</v>
      </c>
      <c r="E51" s="164">
        <v>1617000</v>
      </c>
      <c r="F51" s="119">
        <v>504000</v>
      </c>
      <c r="G51" s="119">
        <v>594000</v>
      </c>
      <c r="H51" s="119"/>
      <c r="I51" s="119"/>
      <c r="J51" s="119">
        <v>700000</v>
      </c>
      <c r="K51" s="119" t="s">
        <v>4328</v>
      </c>
    </row>
    <row r="52" spans="1:11" ht="19" x14ac:dyDescent="0.2">
      <c r="A52" s="144">
        <v>1659000</v>
      </c>
      <c r="B52" s="145"/>
      <c r="C52" s="149" t="s">
        <v>10</v>
      </c>
      <c r="D52" s="147" t="s">
        <v>3386</v>
      </c>
      <c r="E52" s="150">
        <v>1270000</v>
      </c>
      <c r="F52" s="139">
        <v>58000</v>
      </c>
      <c r="G52" s="139">
        <v>331000</v>
      </c>
      <c r="H52" s="139"/>
      <c r="I52" s="139"/>
      <c r="J52" s="139">
        <v>50000</v>
      </c>
      <c r="K52" s="139" t="s">
        <v>123</v>
      </c>
    </row>
    <row r="53" spans="1:11" ht="19" x14ac:dyDescent="0.2">
      <c r="A53" s="143">
        <v>1597000</v>
      </c>
      <c r="B53" s="153">
        <v>45879</v>
      </c>
      <c r="C53" s="171" t="s">
        <v>9</v>
      </c>
      <c r="D53" s="155" t="s">
        <v>4329</v>
      </c>
      <c r="E53" s="164">
        <v>966000</v>
      </c>
      <c r="F53" s="119">
        <v>200000</v>
      </c>
      <c r="G53" s="119">
        <v>431000</v>
      </c>
      <c r="H53" s="119"/>
      <c r="I53" s="119"/>
      <c r="J53" s="119">
        <v>100000</v>
      </c>
      <c r="K53" s="119" t="s">
        <v>3248</v>
      </c>
    </row>
    <row r="54" spans="1:11" ht="19" x14ac:dyDescent="0.2">
      <c r="A54" s="144">
        <v>1284000</v>
      </c>
      <c r="B54" s="145"/>
      <c r="C54" s="149" t="s">
        <v>10</v>
      </c>
      <c r="D54" s="147" t="s">
        <v>20</v>
      </c>
      <c r="E54" s="150">
        <v>949000</v>
      </c>
      <c r="F54" s="139">
        <v>98000</v>
      </c>
      <c r="G54" s="139">
        <v>237000</v>
      </c>
      <c r="H54" s="139">
        <v>7632000</v>
      </c>
      <c r="I54" s="139" t="s">
        <v>2159</v>
      </c>
      <c r="J54" s="139">
        <v>150000</v>
      </c>
      <c r="K54" s="139" t="s">
        <v>1518</v>
      </c>
    </row>
    <row r="55" spans="1:11" ht="19" x14ac:dyDescent="0.2">
      <c r="A55" s="143">
        <v>2403000</v>
      </c>
      <c r="B55" s="153">
        <v>45880</v>
      </c>
      <c r="C55" s="171" t="s">
        <v>9</v>
      </c>
      <c r="D55" s="155" t="s">
        <v>3941</v>
      </c>
      <c r="E55" s="164">
        <v>1468000</v>
      </c>
      <c r="F55" s="119">
        <v>199000</v>
      </c>
      <c r="G55" s="119">
        <v>736000</v>
      </c>
      <c r="H55" s="119"/>
      <c r="I55" s="119"/>
      <c r="J55" s="119">
        <v>21000</v>
      </c>
      <c r="K55" s="119" t="s">
        <v>4330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104000</v>
      </c>
      <c r="K56" s="139" t="s">
        <v>4331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229000</v>
      </c>
      <c r="K57" s="119" t="s">
        <v>4332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117000</v>
      </c>
      <c r="K58" s="139" t="s">
        <v>1856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108000</v>
      </c>
      <c r="K59" s="119" t="s">
        <v>2015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300"/>
      <c r="I60" s="139"/>
      <c r="J60" s="139">
        <v>66000</v>
      </c>
      <c r="K60" s="139" t="s">
        <v>1872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36000</v>
      </c>
      <c r="K61" s="119" t="s">
        <v>4333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46000</v>
      </c>
      <c r="K62" s="139" t="s">
        <v>1195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84000</v>
      </c>
      <c r="K63" s="119" t="s">
        <v>1491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187000</v>
      </c>
      <c r="K64" s="139" t="s">
        <v>2732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20000</v>
      </c>
      <c r="K65" s="119" t="s">
        <v>3463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200000</v>
      </c>
      <c r="K66" s="139" t="s">
        <v>3030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45000</v>
      </c>
      <c r="K67" s="119" t="s">
        <v>4309</v>
      </c>
    </row>
    <row r="68" spans="1:11" ht="19" x14ac:dyDescent="0.2">
      <c r="A68" s="144">
        <v>2008000</v>
      </c>
      <c r="B68" s="145"/>
      <c r="C68" s="149" t="s">
        <v>10</v>
      </c>
      <c r="D68" s="147" t="s">
        <v>20</v>
      </c>
      <c r="E68" s="150">
        <v>1398000</v>
      </c>
      <c r="F68" s="139">
        <v>470000</v>
      </c>
      <c r="G68" s="139">
        <v>140000</v>
      </c>
      <c r="H68" s="139"/>
      <c r="I68" s="139"/>
      <c r="J68" s="139">
        <v>150000</v>
      </c>
      <c r="K68" s="139" t="s">
        <v>827</v>
      </c>
    </row>
    <row r="69" spans="1:11" ht="19" x14ac:dyDescent="0.2">
      <c r="A69" s="206">
        <v>3068000</v>
      </c>
      <c r="B69" s="153">
        <v>45881</v>
      </c>
      <c r="C69" s="171" t="s">
        <v>9</v>
      </c>
      <c r="D69" s="155" t="s">
        <v>3941</v>
      </c>
      <c r="E69" s="210">
        <v>1896000</v>
      </c>
      <c r="F69" s="211">
        <v>391000</v>
      </c>
      <c r="G69" s="211">
        <v>781000</v>
      </c>
      <c r="H69" s="211"/>
      <c r="I69" s="119"/>
      <c r="J69" s="211">
        <v>85000</v>
      </c>
      <c r="K69" s="119" t="s">
        <v>4334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104000</v>
      </c>
      <c r="K70" s="139" t="s">
        <v>4335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28000</v>
      </c>
      <c r="K71" s="9" t="s">
        <v>4336</v>
      </c>
    </row>
    <row r="72" spans="1:11" ht="19" x14ac:dyDescent="0.2">
      <c r="A72" s="144">
        <v>1732000</v>
      </c>
      <c r="B72" s="145"/>
      <c r="C72" s="149" t="s">
        <v>10</v>
      </c>
      <c r="D72" s="147" t="s">
        <v>20</v>
      </c>
      <c r="E72" s="150">
        <v>1213000</v>
      </c>
      <c r="F72" s="139">
        <v>30000</v>
      </c>
      <c r="G72" s="139">
        <v>489000</v>
      </c>
      <c r="H72" s="139"/>
      <c r="I72" s="139"/>
      <c r="J72" s="139">
        <v>224000</v>
      </c>
      <c r="K72" s="139" t="s">
        <v>4337</v>
      </c>
    </row>
    <row r="73" spans="1:11" ht="19" x14ac:dyDescent="0.2">
      <c r="A73" s="143">
        <v>2574000</v>
      </c>
      <c r="B73" s="32">
        <v>45882</v>
      </c>
      <c r="C73" s="49" t="s">
        <v>9</v>
      </c>
      <c r="D73" s="155" t="s">
        <v>3941</v>
      </c>
      <c r="E73" s="15">
        <v>1651000</v>
      </c>
      <c r="F73" s="9">
        <v>98000</v>
      </c>
      <c r="G73" s="9">
        <v>825000</v>
      </c>
      <c r="H73" s="9"/>
      <c r="I73" s="9"/>
      <c r="J73" s="9">
        <v>25000</v>
      </c>
      <c r="K73" s="9" t="s">
        <v>4338</v>
      </c>
    </row>
    <row r="74" spans="1:11" ht="19" x14ac:dyDescent="0.2">
      <c r="A74" s="148">
        <v>2043000</v>
      </c>
      <c r="B74" s="145"/>
      <c r="C74" s="151" t="s">
        <v>10</v>
      </c>
      <c r="D74" s="147" t="s">
        <v>20</v>
      </c>
      <c r="E74" s="150">
        <v>1521000</v>
      </c>
      <c r="F74" s="139">
        <v>44000</v>
      </c>
      <c r="G74" s="139">
        <v>478000</v>
      </c>
      <c r="H74" s="139">
        <v>600000</v>
      </c>
      <c r="I74" s="139" t="s">
        <v>4339</v>
      </c>
      <c r="J74" s="139">
        <v>18000</v>
      </c>
      <c r="K74" s="139" t="s">
        <v>4340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/>
      <c r="K75" s="119"/>
    </row>
    <row r="76" spans="1:11" ht="19" x14ac:dyDescent="0.2">
      <c r="A76" s="144">
        <v>3051000</v>
      </c>
      <c r="B76" s="145">
        <v>45883</v>
      </c>
      <c r="C76" s="149" t="s">
        <v>9</v>
      </c>
      <c r="D76" s="147" t="s">
        <v>3941</v>
      </c>
      <c r="E76" s="150">
        <v>2049000</v>
      </c>
      <c r="F76" s="139">
        <v>140000</v>
      </c>
      <c r="G76" s="139">
        <v>862000</v>
      </c>
      <c r="H76" s="152"/>
      <c r="I76" s="152"/>
      <c r="J76" s="139">
        <v>150000</v>
      </c>
      <c r="K76" s="139" t="s">
        <v>1518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9">
        <v>120000</v>
      </c>
      <c r="K77" s="9" t="s">
        <v>1854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105000</v>
      </c>
      <c r="K78" s="139" t="s">
        <v>1536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101000</v>
      </c>
      <c r="K79" s="119" t="s">
        <v>4341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27000</v>
      </c>
      <c r="K80" s="139" t="s">
        <v>3662</v>
      </c>
    </row>
    <row r="81" spans="1:11" ht="19" x14ac:dyDescent="0.2">
      <c r="A81" s="143">
        <v>1382000</v>
      </c>
      <c r="B81" s="153"/>
      <c r="C81" s="171" t="s">
        <v>10</v>
      </c>
      <c r="D81" s="155" t="s">
        <v>20</v>
      </c>
      <c r="E81" s="164">
        <v>679000</v>
      </c>
      <c r="F81" s="119">
        <v>182000</v>
      </c>
      <c r="G81" s="119">
        <v>521000</v>
      </c>
      <c r="H81" s="119"/>
      <c r="I81" s="119"/>
      <c r="J81" s="119">
        <v>48000</v>
      </c>
      <c r="K81" s="119" t="s">
        <v>4342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20000</v>
      </c>
      <c r="K82" s="139" t="s">
        <v>3463</v>
      </c>
    </row>
    <row r="83" spans="1:11" ht="19" x14ac:dyDescent="0.2">
      <c r="A83" s="143">
        <v>2549000</v>
      </c>
      <c r="B83" s="153">
        <v>45884</v>
      </c>
      <c r="C83" s="171" t="s">
        <v>9</v>
      </c>
      <c r="D83" s="155" t="s">
        <v>3941</v>
      </c>
      <c r="E83" s="164">
        <v>1276000</v>
      </c>
      <c r="F83" s="119">
        <v>637000</v>
      </c>
      <c r="G83" s="119">
        <v>636000</v>
      </c>
      <c r="H83" s="9">
        <v>800000</v>
      </c>
      <c r="I83" s="9" t="s">
        <v>3567</v>
      </c>
      <c r="J83" s="9">
        <v>11000</v>
      </c>
      <c r="K83" s="9" t="s">
        <v>1734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>
        <v>2600000</v>
      </c>
      <c r="I84" s="245" t="s">
        <v>4343</v>
      </c>
      <c r="J84" s="139">
        <v>29000</v>
      </c>
      <c r="K84" s="139" t="s">
        <v>4344</v>
      </c>
    </row>
    <row r="85" spans="1:11" ht="32" x14ac:dyDescent="0.2">
      <c r="A85" s="143">
        <v>1639000</v>
      </c>
      <c r="B85" s="153"/>
      <c r="C85" s="171" t="s">
        <v>10</v>
      </c>
      <c r="D85" s="155" t="s">
        <v>20</v>
      </c>
      <c r="E85" s="164">
        <v>1009000</v>
      </c>
      <c r="F85" s="119">
        <v>190000</v>
      </c>
      <c r="G85" s="119">
        <v>440000</v>
      </c>
      <c r="H85" s="174">
        <v>1145000</v>
      </c>
      <c r="I85" s="247" t="s">
        <v>4345</v>
      </c>
      <c r="J85" s="119">
        <v>16000</v>
      </c>
      <c r="K85" s="119" t="s">
        <v>4118</v>
      </c>
    </row>
    <row r="86" spans="1:11" ht="19" x14ac:dyDescent="0.2">
      <c r="A86" s="144">
        <v>3035000</v>
      </c>
      <c r="B86" s="145">
        <v>45885</v>
      </c>
      <c r="C86" s="149" t="s">
        <v>9</v>
      </c>
      <c r="D86" s="147" t="s">
        <v>3941</v>
      </c>
      <c r="E86" s="150">
        <v>1950000</v>
      </c>
      <c r="F86" s="139">
        <v>390000</v>
      </c>
      <c r="G86" s="139">
        <v>695000</v>
      </c>
      <c r="H86" s="162"/>
      <c r="I86" s="162"/>
      <c r="J86" s="139">
        <v>300000</v>
      </c>
      <c r="K86" s="139" t="s">
        <v>4346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200000</v>
      </c>
      <c r="K87" s="119" t="s">
        <v>2796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>
        <v>120000</v>
      </c>
      <c r="K88" s="162" t="s">
        <v>3361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158000</v>
      </c>
      <c r="K89" s="119" t="s">
        <v>4347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98000</v>
      </c>
      <c r="K90" s="139" t="s">
        <v>4348</v>
      </c>
    </row>
    <row r="91" spans="1:11" ht="19" x14ac:dyDescent="0.2">
      <c r="A91" s="143">
        <v>1942000</v>
      </c>
      <c r="B91" s="153"/>
      <c r="C91" s="171" t="s">
        <v>10</v>
      </c>
      <c r="D91" s="155" t="s">
        <v>3386</v>
      </c>
      <c r="E91" s="164">
        <v>1297000</v>
      </c>
      <c r="F91" s="119">
        <v>354000</v>
      </c>
      <c r="G91" s="119">
        <v>291000</v>
      </c>
      <c r="H91" s="175"/>
      <c r="I91" s="175"/>
      <c r="J91" s="119">
        <v>50000</v>
      </c>
      <c r="K91" s="119" t="s">
        <v>123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32000</v>
      </c>
      <c r="K92" s="139" t="s">
        <v>1297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>
        <v>81000</v>
      </c>
      <c r="K93" s="9" t="s">
        <v>4349</v>
      </c>
    </row>
    <row r="94" spans="1:11" ht="19" x14ac:dyDescent="0.2">
      <c r="A94" s="144">
        <v>1777000</v>
      </c>
      <c r="B94" s="145">
        <v>45886</v>
      </c>
      <c r="C94" s="149" t="s">
        <v>9</v>
      </c>
      <c r="D94" s="147" t="s">
        <v>3941</v>
      </c>
      <c r="E94" s="150">
        <v>1222000</v>
      </c>
      <c r="F94" s="139">
        <v>258000</v>
      </c>
      <c r="G94" s="139">
        <v>297000</v>
      </c>
      <c r="H94" s="139"/>
      <c r="I94" s="139"/>
      <c r="J94" s="152"/>
      <c r="K94" s="152"/>
    </row>
    <row r="95" spans="1:11" ht="19" x14ac:dyDescent="0.2">
      <c r="A95" s="143">
        <v>1562000</v>
      </c>
      <c r="B95" s="32"/>
      <c r="C95" s="49" t="s">
        <v>10</v>
      </c>
      <c r="D95" s="13" t="s">
        <v>20</v>
      </c>
      <c r="E95" s="15">
        <v>1358000</v>
      </c>
      <c r="F95" s="9">
        <v>70000</v>
      </c>
      <c r="G95" s="9">
        <v>134000</v>
      </c>
      <c r="H95" s="9"/>
      <c r="I95" s="9"/>
      <c r="J95" s="119">
        <v>105000</v>
      </c>
      <c r="K95" s="119" t="s">
        <v>1771</v>
      </c>
    </row>
    <row r="96" spans="1:11" ht="19" x14ac:dyDescent="0.2">
      <c r="A96" s="144">
        <v>3000000</v>
      </c>
      <c r="B96" s="145">
        <v>45887</v>
      </c>
      <c r="C96" s="149" t="s">
        <v>9</v>
      </c>
      <c r="D96" s="147" t="s">
        <v>3941</v>
      </c>
      <c r="E96" s="150">
        <v>2001000</v>
      </c>
      <c r="F96" s="139">
        <v>149000</v>
      </c>
      <c r="G96" s="139">
        <v>850000</v>
      </c>
      <c r="H96" s="139">
        <v>250000</v>
      </c>
      <c r="I96" s="139" t="s">
        <v>4384</v>
      </c>
      <c r="J96" s="139">
        <v>27000</v>
      </c>
      <c r="K96" s="139" t="s">
        <v>1728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33000</v>
      </c>
      <c r="K97" s="9" t="s">
        <v>1857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50000</v>
      </c>
      <c r="K98" s="139" t="s">
        <v>3661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13000</v>
      </c>
      <c r="K99" s="119" t="s">
        <v>3723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205000</v>
      </c>
      <c r="K100" s="139" t="s">
        <v>4350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86000</v>
      </c>
      <c r="K101" s="119" t="s">
        <v>4351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147000</v>
      </c>
      <c r="K102" s="139" t="s">
        <v>1856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33000</v>
      </c>
      <c r="K103" s="119" t="s">
        <v>4352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23000</v>
      </c>
      <c r="K104" s="139" t="s">
        <v>4353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/>
      <c r="K105" s="119"/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/>
      <c r="K106" s="139"/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100000</v>
      </c>
      <c r="K107" s="119" t="s">
        <v>3248</v>
      </c>
    </row>
    <row r="108" spans="1:11" ht="19" x14ac:dyDescent="0.2">
      <c r="A108" s="148">
        <v>1244000</v>
      </c>
      <c r="B108" s="145"/>
      <c r="C108" s="149" t="s">
        <v>10</v>
      </c>
      <c r="D108" s="160" t="s">
        <v>20</v>
      </c>
      <c r="E108" s="150">
        <v>1012000</v>
      </c>
      <c r="F108" s="139">
        <v>60000</v>
      </c>
      <c r="G108" s="139">
        <v>172000</v>
      </c>
      <c r="H108" s="139"/>
      <c r="I108" s="139"/>
      <c r="J108" s="139"/>
      <c r="K108" s="139"/>
    </row>
    <row r="109" spans="1:11" ht="19" x14ac:dyDescent="0.2">
      <c r="A109" s="293">
        <v>2639000</v>
      </c>
      <c r="B109" s="153">
        <v>45888</v>
      </c>
      <c r="C109" s="171" t="s">
        <v>9</v>
      </c>
      <c r="D109" s="155" t="s">
        <v>3941</v>
      </c>
      <c r="E109" s="164">
        <v>1717000</v>
      </c>
      <c r="F109" s="119">
        <v>38000</v>
      </c>
      <c r="G109" s="119">
        <v>884000</v>
      </c>
      <c r="H109" s="119"/>
      <c r="I109" s="119"/>
      <c r="J109" s="119">
        <v>72000</v>
      </c>
      <c r="K109" s="119" t="s">
        <v>1491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55000</v>
      </c>
      <c r="K110" s="139" t="s">
        <v>4013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48000</v>
      </c>
      <c r="K111" s="119" t="s">
        <v>3189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50000</v>
      </c>
      <c r="K112" s="139" t="s">
        <v>3661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150000</v>
      </c>
      <c r="K113" s="119" t="s">
        <v>3556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15000</v>
      </c>
      <c r="K114" s="139" t="s">
        <v>4354</v>
      </c>
    </row>
    <row r="115" spans="1:11" ht="19" x14ac:dyDescent="0.2">
      <c r="A115" s="143">
        <v>1406000</v>
      </c>
      <c r="B115" s="153"/>
      <c r="C115" s="171" t="s">
        <v>10</v>
      </c>
      <c r="D115" s="155" t="s">
        <v>20</v>
      </c>
      <c r="E115" s="164">
        <v>951000</v>
      </c>
      <c r="F115" s="119">
        <v>62000</v>
      </c>
      <c r="G115" s="119">
        <v>393000</v>
      </c>
      <c r="H115" s="119"/>
      <c r="I115" s="119"/>
      <c r="J115" s="119"/>
      <c r="K115" s="119"/>
    </row>
    <row r="116" spans="1:11" ht="19" x14ac:dyDescent="0.2">
      <c r="A116" s="144">
        <v>3328000</v>
      </c>
      <c r="B116" s="145">
        <v>45889</v>
      </c>
      <c r="C116" s="149" t="s">
        <v>9</v>
      </c>
      <c r="D116" s="147" t="s">
        <v>3941</v>
      </c>
      <c r="E116" s="150">
        <v>1972000</v>
      </c>
      <c r="F116" s="139">
        <v>453000</v>
      </c>
      <c r="G116" s="139">
        <v>903000</v>
      </c>
      <c r="H116" s="139"/>
      <c r="I116" s="139"/>
      <c r="J116" s="162">
        <v>89000</v>
      </c>
      <c r="K116" s="162" t="s">
        <v>3371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14000</v>
      </c>
      <c r="K117" s="174" t="s">
        <v>4355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65000</v>
      </c>
      <c r="K118" s="139" t="s">
        <v>4356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28000</v>
      </c>
      <c r="K119" s="119" t="s">
        <v>3703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150000</v>
      </c>
      <c r="K120" s="139" t="s">
        <v>4357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150000</v>
      </c>
      <c r="K121" s="119" t="s">
        <v>1547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150000</v>
      </c>
      <c r="K122" s="139" t="s">
        <v>1810</v>
      </c>
    </row>
    <row r="123" spans="1:11" ht="19" x14ac:dyDescent="0.2">
      <c r="A123" s="143">
        <v>1520000</v>
      </c>
      <c r="B123" s="153"/>
      <c r="C123" s="163" t="s">
        <v>10</v>
      </c>
      <c r="D123" s="155" t="s">
        <v>20</v>
      </c>
      <c r="E123" s="164">
        <v>1174000</v>
      </c>
      <c r="F123" s="119">
        <v>56000</v>
      </c>
      <c r="G123" s="119">
        <v>290000</v>
      </c>
      <c r="H123" s="119"/>
      <c r="I123" s="119"/>
      <c r="J123" s="174">
        <v>320000</v>
      </c>
      <c r="K123" s="174" t="s">
        <v>4358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280000</v>
      </c>
      <c r="K124" s="162" t="s">
        <v>4359</v>
      </c>
    </row>
    <row r="125" spans="1:11" ht="19" x14ac:dyDescent="0.2">
      <c r="A125" s="143">
        <v>2843000</v>
      </c>
      <c r="B125" s="32">
        <v>45890</v>
      </c>
      <c r="C125" s="171" t="s">
        <v>9</v>
      </c>
      <c r="D125" s="155" t="s">
        <v>3941</v>
      </c>
      <c r="E125" s="15">
        <v>1695000</v>
      </c>
      <c r="F125" s="9">
        <v>415000</v>
      </c>
      <c r="G125" s="9">
        <v>733000</v>
      </c>
      <c r="H125" s="9"/>
      <c r="I125" s="9"/>
      <c r="J125" s="174">
        <v>135000</v>
      </c>
      <c r="K125" s="106" t="s">
        <v>2015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50000</v>
      </c>
      <c r="K126" s="162" t="s">
        <v>4360</v>
      </c>
    </row>
    <row r="127" spans="1:11" ht="19" x14ac:dyDescent="0.2">
      <c r="A127" s="143">
        <v>2536000</v>
      </c>
      <c r="B127" s="153"/>
      <c r="C127" s="163" t="s">
        <v>10</v>
      </c>
      <c r="D127" s="155" t="s">
        <v>20</v>
      </c>
      <c r="E127" s="164">
        <v>1886000</v>
      </c>
      <c r="F127" s="119">
        <v>310000</v>
      </c>
      <c r="G127" s="119">
        <v>340000</v>
      </c>
      <c r="H127" s="119"/>
      <c r="I127" s="119"/>
      <c r="J127" s="174">
        <v>135000</v>
      </c>
      <c r="K127" s="174" t="s">
        <v>1649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200000</v>
      </c>
      <c r="K128" s="139" t="s">
        <v>2796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150000</v>
      </c>
      <c r="K129" s="174" t="s">
        <v>1805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45000</v>
      </c>
      <c r="K130" s="139" t="s">
        <v>1722</v>
      </c>
    </row>
    <row r="131" spans="1:11" ht="19" x14ac:dyDescent="0.2">
      <c r="A131" s="143">
        <v>2251000</v>
      </c>
      <c r="B131" s="153">
        <v>45891</v>
      </c>
      <c r="C131" s="163" t="s">
        <v>9</v>
      </c>
      <c r="D131" s="155" t="s">
        <v>3386</v>
      </c>
      <c r="E131" s="164">
        <v>1359000</v>
      </c>
      <c r="F131" s="119">
        <v>428000</v>
      </c>
      <c r="G131" s="119">
        <v>464000</v>
      </c>
      <c r="H131" s="119"/>
      <c r="I131" s="119"/>
      <c r="J131" s="119">
        <v>50000</v>
      </c>
      <c r="K131" s="119" t="s">
        <v>4360</v>
      </c>
    </row>
    <row r="132" spans="1:11" ht="19" x14ac:dyDescent="0.2">
      <c r="A132" s="144">
        <v>1522000</v>
      </c>
      <c r="B132" s="145"/>
      <c r="C132" s="151" t="s">
        <v>10</v>
      </c>
      <c r="D132" s="147" t="s">
        <v>20</v>
      </c>
      <c r="E132" s="150">
        <v>860000</v>
      </c>
      <c r="F132" s="139">
        <v>304000</v>
      </c>
      <c r="G132" s="139">
        <v>358000</v>
      </c>
      <c r="H132" s="139"/>
      <c r="I132" s="139"/>
      <c r="J132" s="139"/>
      <c r="K132" s="139"/>
    </row>
    <row r="133" spans="1:11" ht="19" x14ac:dyDescent="0.2">
      <c r="A133" s="143">
        <v>2536000</v>
      </c>
      <c r="B133" s="153">
        <v>45892</v>
      </c>
      <c r="C133" s="163" t="s">
        <v>9</v>
      </c>
      <c r="D133" s="155" t="s">
        <v>3941</v>
      </c>
      <c r="E133" s="164">
        <v>1234000</v>
      </c>
      <c r="F133" s="119">
        <v>570000</v>
      </c>
      <c r="G133" s="119">
        <v>732000</v>
      </c>
      <c r="H133" s="119"/>
      <c r="I133" s="119"/>
      <c r="J133" s="119">
        <v>184000</v>
      </c>
      <c r="K133" s="119" t="s">
        <v>4361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360000</v>
      </c>
      <c r="K134" s="139" t="s">
        <v>1508</v>
      </c>
    </row>
    <row r="135" spans="1:11" ht="19" x14ac:dyDescent="0.2">
      <c r="A135" s="143">
        <v>1321000</v>
      </c>
      <c r="B135" s="153"/>
      <c r="C135" s="163" t="s">
        <v>10</v>
      </c>
      <c r="D135" s="155" t="s">
        <v>3386</v>
      </c>
      <c r="E135" s="164">
        <v>782000</v>
      </c>
      <c r="F135" s="119">
        <v>270000</v>
      </c>
      <c r="G135" s="119">
        <v>269000</v>
      </c>
      <c r="H135" s="119"/>
      <c r="I135" s="119"/>
      <c r="J135" s="119">
        <v>50000</v>
      </c>
      <c r="K135" s="119" t="s">
        <v>4362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50000</v>
      </c>
      <c r="K136" s="139" t="s">
        <v>123</v>
      </c>
    </row>
    <row r="137" spans="1:11" ht="19" x14ac:dyDescent="0.2">
      <c r="A137" s="143">
        <v>2145000</v>
      </c>
      <c r="B137" s="153">
        <v>45893</v>
      </c>
      <c r="C137" s="163" t="s">
        <v>9</v>
      </c>
      <c r="D137" s="155" t="s">
        <v>3941</v>
      </c>
      <c r="E137" s="164">
        <v>1339000</v>
      </c>
      <c r="F137" s="119">
        <v>158000</v>
      </c>
      <c r="G137" s="119">
        <v>648000</v>
      </c>
      <c r="H137" s="119"/>
      <c r="I137" s="119"/>
      <c r="J137" s="174"/>
      <c r="K137" s="174"/>
    </row>
    <row r="138" spans="1:11" ht="19" x14ac:dyDescent="0.2">
      <c r="A138" s="144">
        <v>1314000</v>
      </c>
      <c r="B138" s="145"/>
      <c r="C138" s="151" t="s">
        <v>10</v>
      </c>
      <c r="D138" s="147" t="s">
        <v>20</v>
      </c>
      <c r="E138" s="150">
        <v>971000</v>
      </c>
      <c r="F138" s="139">
        <v>120000</v>
      </c>
      <c r="G138" s="139">
        <v>223000</v>
      </c>
      <c r="H138" s="139"/>
      <c r="I138" s="139"/>
      <c r="J138" s="162">
        <v>144000</v>
      </c>
      <c r="K138" s="162" t="s">
        <v>4363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100000</v>
      </c>
      <c r="K139" s="106" t="s">
        <v>3248</v>
      </c>
    </row>
    <row r="140" spans="1:11" ht="19" x14ac:dyDescent="0.2">
      <c r="A140" s="144">
        <v>2418000</v>
      </c>
      <c r="B140" s="145">
        <v>45894</v>
      </c>
      <c r="C140" s="151" t="s">
        <v>9</v>
      </c>
      <c r="D140" s="147" t="s">
        <v>3941</v>
      </c>
      <c r="E140" s="150">
        <v>1575000</v>
      </c>
      <c r="F140" s="139">
        <v>368000</v>
      </c>
      <c r="G140" s="139">
        <v>475000</v>
      </c>
      <c r="H140" s="139"/>
      <c r="I140" s="152"/>
      <c r="J140" s="162">
        <v>117000</v>
      </c>
      <c r="K140" s="162" t="s">
        <v>1856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91000</v>
      </c>
      <c r="K141" s="174" t="s">
        <v>4364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72000</v>
      </c>
      <c r="K142" s="139" t="s">
        <v>1491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56000</v>
      </c>
      <c r="K143" s="119" t="s">
        <v>4365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45000</v>
      </c>
      <c r="K144" s="139" t="s">
        <v>4366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214000</v>
      </c>
      <c r="K145" s="119" t="s">
        <v>4367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21000</v>
      </c>
      <c r="K146" s="162" t="s">
        <v>3463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520000</v>
      </c>
      <c r="K147" s="119" t="s">
        <v>1462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114000</v>
      </c>
      <c r="K148" s="139" t="s">
        <v>1668</v>
      </c>
    </row>
    <row r="149" spans="1:11" ht="19" x14ac:dyDescent="0.2">
      <c r="A149" s="142">
        <v>1246000</v>
      </c>
      <c r="B149" s="153"/>
      <c r="C149" s="163" t="s">
        <v>10</v>
      </c>
      <c r="D149" s="172" t="s">
        <v>4368</v>
      </c>
      <c r="E149" s="164">
        <v>827000</v>
      </c>
      <c r="F149" s="119">
        <v>142000</v>
      </c>
      <c r="G149" s="119">
        <v>277000</v>
      </c>
      <c r="H149" s="119"/>
      <c r="I149" s="119"/>
      <c r="J149" s="119">
        <v>60000</v>
      </c>
      <c r="K149" s="119" t="s">
        <v>4369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50000</v>
      </c>
      <c r="K150" s="139" t="s">
        <v>4360</v>
      </c>
    </row>
    <row r="151" spans="1:11" ht="19" x14ac:dyDescent="0.2">
      <c r="A151" s="142">
        <v>3033000</v>
      </c>
      <c r="B151" s="153">
        <v>45895</v>
      </c>
      <c r="C151" s="163" t="s">
        <v>9</v>
      </c>
      <c r="D151" s="172" t="s">
        <v>3941</v>
      </c>
      <c r="E151" s="164">
        <v>1893000</v>
      </c>
      <c r="F151" s="119">
        <v>218000</v>
      </c>
      <c r="G151" s="119">
        <v>922000</v>
      </c>
      <c r="H151" s="119"/>
      <c r="I151" s="119"/>
      <c r="J151" s="119">
        <v>19000</v>
      </c>
      <c r="K151" s="119" t="s">
        <v>4064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45000</v>
      </c>
      <c r="K152" s="139" t="s">
        <v>1533</v>
      </c>
    </row>
    <row r="153" spans="1:11" ht="19" x14ac:dyDescent="0.2">
      <c r="A153" s="143">
        <v>1760000</v>
      </c>
      <c r="B153" s="153"/>
      <c r="C153" s="163" t="s">
        <v>10</v>
      </c>
      <c r="D153" s="155" t="s">
        <v>4368</v>
      </c>
      <c r="E153" s="164">
        <v>1039000</v>
      </c>
      <c r="F153" s="119">
        <v>150000</v>
      </c>
      <c r="G153" s="119">
        <v>571000</v>
      </c>
      <c r="H153" s="119"/>
      <c r="I153" s="119"/>
      <c r="J153" s="119"/>
      <c r="K153" s="119"/>
    </row>
    <row r="154" spans="1:11" ht="19" x14ac:dyDescent="0.2">
      <c r="A154" s="144">
        <v>3207000</v>
      </c>
      <c r="B154" s="145">
        <v>45896</v>
      </c>
      <c r="C154" s="151" t="s">
        <v>9</v>
      </c>
      <c r="D154" s="147" t="s">
        <v>3941</v>
      </c>
      <c r="E154" s="150">
        <v>1938000</v>
      </c>
      <c r="F154" s="139">
        <v>504000</v>
      </c>
      <c r="G154" s="139">
        <v>765000</v>
      </c>
      <c r="H154" s="139"/>
      <c r="I154" s="139"/>
      <c r="J154" s="139">
        <v>23000</v>
      </c>
      <c r="K154" s="139" t="s">
        <v>4370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7000</v>
      </c>
      <c r="K155" s="119" t="s">
        <v>1667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435000</v>
      </c>
      <c r="K156" s="139" t="s">
        <v>4371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160000</v>
      </c>
      <c r="K157" s="119" t="s">
        <v>4372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140000</v>
      </c>
      <c r="K158" s="139" t="s">
        <v>1285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168000</v>
      </c>
      <c r="K159" s="119" t="s">
        <v>4373</v>
      </c>
    </row>
    <row r="160" spans="1:11" ht="19" x14ac:dyDescent="0.2">
      <c r="A160" s="144">
        <v>1143000</v>
      </c>
      <c r="B160" s="145"/>
      <c r="C160" s="146" t="s">
        <v>10</v>
      </c>
      <c r="D160" s="147" t="s">
        <v>4368</v>
      </c>
      <c r="E160" s="150">
        <v>739000</v>
      </c>
      <c r="F160" s="139">
        <v>199000</v>
      </c>
      <c r="G160" s="139">
        <v>205000</v>
      </c>
      <c r="H160" s="139"/>
      <c r="I160" s="165"/>
      <c r="J160" s="139"/>
      <c r="K160" s="139"/>
    </row>
    <row r="161" spans="1:11" ht="19" x14ac:dyDescent="0.2">
      <c r="A161" s="143">
        <v>3110000</v>
      </c>
      <c r="B161" s="32">
        <v>45897</v>
      </c>
      <c r="C161" s="3" t="s">
        <v>9</v>
      </c>
      <c r="D161" s="13" t="s">
        <v>3941</v>
      </c>
      <c r="E161" s="15">
        <v>2022000</v>
      </c>
      <c r="F161" s="9">
        <v>222000</v>
      </c>
      <c r="G161" s="9">
        <v>866000</v>
      </c>
      <c r="H161" s="9"/>
      <c r="I161" s="77"/>
      <c r="J161" s="9">
        <v>93000</v>
      </c>
      <c r="K161" s="9" t="s">
        <v>4374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99000</v>
      </c>
      <c r="K162" s="139" t="s">
        <v>4375</v>
      </c>
    </row>
    <row r="163" spans="1:11" ht="19" x14ac:dyDescent="0.2">
      <c r="A163" s="143">
        <v>1505000</v>
      </c>
      <c r="B163" s="32"/>
      <c r="C163" s="49" t="s">
        <v>10</v>
      </c>
      <c r="D163" s="13" t="s">
        <v>4368</v>
      </c>
      <c r="E163" s="15">
        <v>947000</v>
      </c>
      <c r="F163" s="9">
        <v>106000</v>
      </c>
      <c r="G163" s="9">
        <v>452000</v>
      </c>
      <c r="H163" s="9"/>
      <c r="I163" s="77"/>
      <c r="J163" s="9">
        <v>199000</v>
      </c>
      <c r="K163" s="9" t="s">
        <v>4376</v>
      </c>
    </row>
    <row r="164" spans="1:11" ht="19" x14ac:dyDescent="0.2">
      <c r="A164" s="144">
        <v>2576000</v>
      </c>
      <c r="B164" s="145">
        <v>45898</v>
      </c>
      <c r="C164" s="149" t="s">
        <v>9</v>
      </c>
      <c r="D164" s="147" t="s">
        <v>3941</v>
      </c>
      <c r="E164" s="150">
        <v>1594000</v>
      </c>
      <c r="F164" s="139">
        <v>310000</v>
      </c>
      <c r="G164" s="139">
        <v>672000</v>
      </c>
      <c r="H164" s="139"/>
      <c r="I164" s="165"/>
      <c r="J164" s="139"/>
      <c r="K164" s="139"/>
    </row>
    <row r="165" spans="1:11" ht="19" x14ac:dyDescent="0.2">
      <c r="A165" s="143">
        <v>1905000</v>
      </c>
      <c r="B165" s="32"/>
      <c r="C165" s="49" t="s">
        <v>10</v>
      </c>
      <c r="D165" s="13" t="s">
        <v>4377</v>
      </c>
      <c r="E165" s="15">
        <v>1573000</v>
      </c>
      <c r="F165" s="9">
        <v>86000</v>
      </c>
      <c r="G165" s="9">
        <v>246000</v>
      </c>
      <c r="H165" s="9"/>
      <c r="I165" s="77"/>
      <c r="J165" s="9"/>
      <c r="K165" s="9"/>
    </row>
    <row r="166" spans="1:11" ht="19" x14ac:dyDescent="0.2">
      <c r="A166" s="144">
        <v>2301000</v>
      </c>
      <c r="B166" s="145">
        <v>45899</v>
      </c>
      <c r="C166" s="149" t="s">
        <v>9</v>
      </c>
      <c r="D166" s="147" t="s">
        <v>3941</v>
      </c>
      <c r="E166" s="150">
        <v>1563000</v>
      </c>
      <c r="F166" s="139">
        <v>104000</v>
      </c>
      <c r="G166" s="139">
        <v>634000</v>
      </c>
      <c r="H166" s="139"/>
      <c r="I166" s="165"/>
      <c r="J166" s="139">
        <v>147000</v>
      </c>
      <c r="K166" s="165" t="s">
        <v>1856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14000</v>
      </c>
      <c r="K167" s="77" t="s">
        <v>4355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20000</v>
      </c>
      <c r="K168" s="139" t="s">
        <v>4378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24000</v>
      </c>
      <c r="K169" s="9" t="s">
        <v>4379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212000</v>
      </c>
      <c r="K170" s="139" t="s">
        <v>4380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33000</v>
      </c>
      <c r="K171" s="9" t="s">
        <v>4381</v>
      </c>
    </row>
    <row r="172" spans="1:11" ht="19" x14ac:dyDescent="0.2">
      <c r="A172" s="144">
        <v>1618000</v>
      </c>
      <c r="B172" s="145"/>
      <c r="C172" s="149" t="s">
        <v>10</v>
      </c>
      <c r="D172" s="147" t="s">
        <v>4377</v>
      </c>
      <c r="E172" s="150">
        <v>1082000</v>
      </c>
      <c r="F172" s="139">
        <v>86000</v>
      </c>
      <c r="G172" s="139">
        <v>450000</v>
      </c>
      <c r="H172" s="139"/>
      <c r="I172" s="165"/>
      <c r="J172" s="139">
        <v>128000</v>
      </c>
      <c r="K172" s="139" t="s">
        <v>1553</v>
      </c>
    </row>
    <row r="173" spans="1:11" ht="19" x14ac:dyDescent="0.2">
      <c r="A173" s="143">
        <v>1388000</v>
      </c>
      <c r="B173" s="32">
        <v>45900</v>
      </c>
      <c r="C173" s="49" t="s">
        <v>9</v>
      </c>
      <c r="D173" s="13" t="s">
        <v>3941</v>
      </c>
      <c r="E173" s="15">
        <v>928000</v>
      </c>
      <c r="F173" s="9">
        <v>35000</v>
      </c>
      <c r="G173" s="9">
        <v>425000</v>
      </c>
      <c r="H173" s="9"/>
      <c r="I173" s="77"/>
      <c r="J173" s="9">
        <v>50000</v>
      </c>
      <c r="K173" s="9" t="s">
        <v>123</v>
      </c>
    </row>
    <row r="174" spans="1:11" ht="19" x14ac:dyDescent="0.2">
      <c r="A174" s="144">
        <v>1489000</v>
      </c>
      <c r="B174" s="145"/>
      <c r="C174" s="149" t="s">
        <v>10</v>
      </c>
      <c r="D174" s="147" t="s">
        <v>20</v>
      </c>
      <c r="E174" s="150">
        <v>1053000</v>
      </c>
      <c r="F174" s="139">
        <v>116000</v>
      </c>
      <c r="G174" s="139">
        <v>320000</v>
      </c>
      <c r="H174" s="139">
        <v>3502000</v>
      </c>
      <c r="I174" s="165" t="s">
        <v>4382</v>
      </c>
      <c r="J174" s="139">
        <v>100000</v>
      </c>
      <c r="K174" s="139" t="s">
        <v>3248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>
        <v>2500000</v>
      </c>
      <c r="I175" s="77" t="s">
        <v>3319</v>
      </c>
      <c r="J175" s="9">
        <v>200000</v>
      </c>
      <c r="K175" s="9" t="s">
        <v>2796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>
        <v>750000</v>
      </c>
      <c r="I176" s="165" t="s">
        <v>3567</v>
      </c>
      <c r="J176" s="139">
        <v>150000</v>
      </c>
      <c r="K176" s="139" t="s">
        <v>1805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>
        <v>900000</v>
      </c>
      <c r="I177" s="77" t="s">
        <v>4383</v>
      </c>
      <c r="J177" s="9"/>
      <c r="K177" s="9"/>
    </row>
    <row r="178" spans="1:11" ht="32" x14ac:dyDescent="0.2">
      <c r="A178" s="144"/>
      <c r="B178" s="145"/>
      <c r="C178" s="149"/>
      <c r="D178" s="147"/>
      <c r="E178" s="150"/>
      <c r="F178" s="139"/>
      <c r="G178" s="139"/>
      <c r="H178" s="139">
        <v>5535000</v>
      </c>
      <c r="I178" s="253" t="s">
        <v>4131</v>
      </c>
      <c r="J178" s="139"/>
      <c r="K178" s="139"/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>
        <v>1000000</v>
      </c>
      <c r="I179" s="77" t="s">
        <v>965</v>
      </c>
      <c r="J179" s="9"/>
      <c r="K179" s="9"/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/>
      <c r="K180" s="139"/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/>
      <c r="K181" s="9"/>
    </row>
  </sheetData>
  <pageMargins left="0.7" right="0.7" top="0.75" bottom="0.75" header="0.3" footer="0.3"/>
  <pageSetup paperSize="9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BAD9-37FA-3C4F-ACD9-A462AE5C00FC}">
  <dimension ref="A3:K183"/>
  <sheetViews>
    <sheetView topLeftCell="A2" workbookViewId="0">
      <selection activeCell="E8" sqref="E8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4" bestFit="1" customWidth="1"/>
    <col min="5" max="5" width="20.33203125" bestFit="1" customWidth="1"/>
    <col min="6" max="6" width="23.33203125" customWidth="1"/>
    <col min="7" max="8" width="20.33203125" bestFit="1" customWidth="1"/>
    <col min="9" max="9" width="34.83203125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21196500</v>
      </c>
      <c r="K4" s="72">
        <f>J4/10820</f>
        <v>1959.011090573013</v>
      </c>
    </row>
    <row r="5" spans="1:11" ht="24" x14ac:dyDescent="0.3">
      <c r="B5" s="99" t="s">
        <v>4459</v>
      </c>
      <c r="H5" s="73"/>
      <c r="I5" s="71" t="s">
        <v>2315</v>
      </c>
      <c r="J5" s="71">
        <v>21196500</v>
      </c>
      <c r="K5" s="72">
        <f>J5/10820</f>
        <v>1959.011090573013</v>
      </c>
    </row>
    <row r="6" spans="1:11" ht="24" x14ac:dyDescent="0.3">
      <c r="B6" s="99"/>
      <c r="H6" s="73"/>
      <c r="I6" s="71" t="s">
        <v>178</v>
      </c>
      <c r="J6" s="71">
        <v>9014600</v>
      </c>
      <c r="K6" s="72" t="s">
        <v>4460</v>
      </c>
    </row>
    <row r="7" spans="1:11" ht="26" x14ac:dyDescent="0.3">
      <c r="B7" s="100" t="s">
        <v>4461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SUM(A11:A485)</f>
        <v>135528000</v>
      </c>
      <c r="B10" s="65"/>
      <c r="C10" s="66" t="s">
        <v>13</v>
      </c>
      <c r="D10" s="67"/>
      <c r="E10" s="68">
        <f>SUM(E11:E485)</f>
        <v>86890000</v>
      </c>
      <c r="F10" s="69">
        <f>SUM(F11:F485)</f>
        <v>16079000</v>
      </c>
      <c r="G10" s="69">
        <f>SUM(G11:G472)</f>
        <v>32559000</v>
      </c>
      <c r="H10" s="69">
        <f>SUM(H11:H485)</f>
        <v>29657000</v>
      </c>
      <c r="I10" s="69"/>
      <c r="J10" s="69">
        <f>SUM(J11:J485)</f>
        <v>16777000</v>
      </c>
      <c r="K10" s="69"/>
    </row>
    <row r="11" spans="1:11" ht="19" x14ac:dyDescent="0.2">
      <c r="A11" s="142">
        <v>1693000</v>
      </c>
      <c r="B11" s="32">
        <v>45901</v>
      </c>
      <c r="C11" s="49" t="s">
        <v>9</v>
      </c>
      <c r="D11" s="13" t="s">
        <v>3386</v>
      </c>
      <c r="E11" s="15">
        <v>797000</v>
      </c>
      <c r="F11" s="9">
        <v>325000</v>
      </c>
      <c r="G11" s="9">
        <v>571000</v>
      </c>
      <c r="H11" s="9">
        <v>905000</v>
      </c>
      <c r="I11" s="295" t="s">
        <v>4727</v>
      </c>
      <c r="J11" s="119">
        <v>144000</v>
      </c>
      <c r="K11" s="9" t="s">
        <v>1649</v>
      </c>
    </row>
    <row r="12" spans="1:11" ht="19" x14ac:dyDescent="0.2">
      <c r="A12" s="144">
        <v>2525000</v>
      </c>
      <c r="B12" s="145"/>
      <c r="C12" s="151" t="s">
        <v>10</v>
      </c>
      <c r="D12" s="147" t="s">
        <v>20</v>
      </c>
      <c r="E12" s="150">
        <v>1864000</v>
      </c>
      <c r="F12" s="139">
        <v>60000</v>
      </c>
      <c r="G12" s="139">
        <v>601000</v>
      </c>
      <c r="H12" s="152"/>
      <c r="I12" s="296"/>
      <c r="J12" s="139"/>
      <c r="K12" s="139"/>
    </row>
    <row r="13" spans="1:11" ht="19" x14ac:dyDescent="0.2">
      <c r="A13" s="143">
        <v>3009000</v>
      </c>
      <c r="B13" s="153">
        <v>45902</v>
      </c>
      <c r="C13" s="163" t="s">
        <v>9</v>
      </c>
      <c r="D13" s="155" t="s">
        <v>3941</v>
      </c>
      <c r="E13" s="164">
        <v>1907000</v>
      </c>
      <c r="F13" s="119">
        <v>78000</v>
      </c>
      <c r="G13" s="119">
        <v>1024000</v>
      </c>
      <c r="H13" s="175"/>
      <c r="I13" s="174"/>
      <c r="J13" s="119">
        <v>98000</v>
      </c>
      <c r="K13" s="119" t="s">
        <v>1641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31000</v>
      </c>
      <c r="K14" s="139" t="s">
        <v>2492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>
        <v>300000</v>
      </c>
      <c r="K15" s="119" t="s">
        <v>4388</v>
      </c>
    </row>
    <row r="16" spans="1:11" ht="19" x14ac:dyDescent="0.2">
      <c r="A16" s="144">
        <v>2536000</v>
      </c>
      <c r="B16" s="145"/>
      <c r="C16" s="151" t="s">
        <v>10</v>
      </c>
      <c r="D16" s="147" t="s">
        <v>20</v>
      </c>
      <c r="E16" s="150">
        <v>1308000</v>
      </c>
      <c r="F16" s="139">
        <v>462000</v>
      </c>
      <c r="G16" s="139">
        <v>766000</v>
      </c>
      <c r="H16" s="139"/>
      <c r="I16" s="162"/>
      <c r="J16" s="139">
        <v>10000</v>
      </c>
      <c r="K16" s="139" t="s">
        <v>4248</v>
      </c>
    </row>
    <row r="17" spans="1:11" ht="19" x14ac:dyDescent="0.2">
      <c r="A17" s="143">
        <v>3023000</v>
      </c>
      <c r="B17" s="153">
        <v>45903</v>
      </c>
      <c r="C17" s="163" t="s">
        <v>9</v>
      </c>
      <c r="D17" s="155" t="s">
        <v>3941</v>
      </c>
      <c r="E17" s="164">
        <v>1960000</v>
      </c>
      <c r="F17" s="119">
        <v>227000</v>
      </c>
      <c r="G17" s="119">
        <v>836000</v>
      </c>
      <c r="H17" s="119"/>
      <c r="I17" s="174"/>
      <c r="J17" s="119">
        <v>33000</v>
      </c>
      <c r="K17" s="119" t="s">
        <v>1857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81000</v>
      </c>
      <c r="K18" s="139" t="s">
        <v>1738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33000</v>
      </c>
      <c r="K19" s="119" t="s">
        <v>3662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62">
        <v>70000</v>
      </c>
      <c r="K20" s="162" t="s">
        <v>4389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30000</v>
      </c>
      <c r="K21" s="106" t="s">
        <v>1580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>
        <v>29000</v>
      </c>
      <c r="K22" s="162" t="s">
        <v>4390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20000</v>
      </c>
      <c r="K23" s="106" t="s">
        <v>4391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117000</v>
      </c>
      <c r="K24" s="162" t="s">
        <v>4392</v>
      </c>
    </row>
    <row r="25" spans="1:11" ht="19" x14ac:dyDescent="0.2">
      <c r="A25" s="142">
        <v>1804000</v>
      </c>
      <c r="B25" s="153"/>
      <c r="C25" s="171" t="s">
        <v>10</v>
      </c>
      <c r="D25" s="155" t="s">
        <v>20</v>
      </c>
      <c r="E25" s="164">
        <v>1387000</v>
      </c>
      <c r="F25" s="119">
        <v>163000</v>
      </c>
      <c r="G25" s="119">
        <v>254000</v>
      </c>
      <c r="H25" s="119"/>
      <c r="I25" s="119"/>
      <c r="J25" s="119">
        <v>193000</v>
      </c>
      <c r="K25" s="119" t="s">
        <v>4393</v>
      </c>
    </row>
    <row r="26" spans="1:11" ht="19" x14ac:dyDescent="0.2">
      <c r="A26" s="148">
        <v>2732000</v>
      </c>
      <c r="B26" s="145">
        <v>45904</v>
      </c>
      <c r="C26" s="149" t="s">
        <v>9</v>
      </c>
      <c r="D26" s="147" t="s">
        <v>3941</v>
      </c>
      <c r="E26" s="150">
        <v>1566000</v>
      </c>
      <c r="F26" s="139">
        <v>182000</v>
      </c>
      <c r="G26" s="139">
        <v>984000</v>
      </c>
      <c r="H26" s="139"/>
      <c r="I26" s="139"/>
      <c r="J26" s="139">
        <v>3245000</v>
      </c>
      <c r="K26" s="139" t="s">
        <v>2162</v>
      </c>
    </row>
    <row r="27" spans="1:11" ht="19" x14ac:dyDescent="0.2">
      <c r="A27" s="143">
        <v>2096000</v>
      </c>
      <c r="B27" s="32"/>
      <c r="C27" s="49" t="s">
        <v>10</v>
      </c>
      <c r="D27" s="13" t="s">
        <v>3329</v>
      </c>
      <c r="E27" s="15">
        <v>1429000</v>
      </c>
      <c r="F27" s="9">
        <v>145000</v>
      </c>
      <c r="G27" s="9">
        <v>522000</v>
      </c>
      <c r="H27" s="9"/>
      <c r="I27" s="9"/>
      <c r="J27" s="119"/>
      <c r="K27" s="106"/>
    </row>
    <row r="28" spans="1:11" ht="19" x14ac:dyDescent="0.2">
      <c r="A28" s="144">
        <v>2631000</v>
      </c>
      <c r="B28" s="145">
        <v>45905</v>
      </c>
      <c r="C28" s="149" t="s">
        <v>9</v>
      </c>
      <c r="D28" s="147" t="s">
        <v>3941</v>
      </c>
      <c r="E28" s="150">
        <v>1665000</v>
      </c>
      <c r="F28" s="139">
        <v>313000</v>
      </c>
      <c r="G28" s="139">
        <v>653000</v>
      </c>
      <c r="H28" s="139"/>
      <c r="I28" s="139"/>
      <c r="J28" s="139">
        <v>100000</v>
      </c>
      <c r="K28" s="139" t="s">
        <v>3248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>
        <v>35000</v>
      </c>
      <c r="K29" s="9" t="s">
        <v>3237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61000</v>
      </c>
      <c r="K30" s="139" t="s">
        <v>4394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54000</v>
      </c>
      <c r="K31" s="9" t="s">
        <v>4395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23000</v>
      </c>
      <c r="K32" s="139" t="s">
        <v>18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100000</v>
      </c>
      <c r="K33" s="119" t="s">
        <v>4396</v>
      </c>
    </row>
    <row r="34" spans="1:11" ht="19" x14ac:dyDescent="0.2">
      <c r="A34" s="144">
        <v>1483000</v>
      </c>
      <c r="B34" s="145"/>
      <c r="C34" s="149" t="s">
        <v>10</v>
      </c>
      <c r="D34" s="147" t="s">
        <v>20</v>
      </c>
      <c r="E34" s="150">
        <v>600000</v>
      </c>
      <c r="F34" s="139">
        <v>468000</v>
      </c>
      <c r="G34" s="139">
        <v>415000</v>
      </c>
      <c r="H34" s="139"/>
      <c r="I34" s="139"/>
      <c r="J34" s="139">
        <v>100000</v>
      </c>
      <c r="K34" s="139" t="s">
        <v>4397</v>
      </c>
    </row>
    <row r="35" spans="1:11" ht="19" x14ac:dyDescent="0.2">
      <c r="A35" s="143">
        <v>3174000</v>
      </c>
      <c r="B35" s="32">
        <v>45906</v>
      </c>
      <c r="C35" s="49" t="s">
        <v>9</v>
      </c>
      <c r="D35" s="13" t="s">
        <v>3941</v>
      </c>
      <c r="E35" s="15">
        <v>2173000</v>
      </c>
      <c r="F35" s="9">
        <v>355000</v>
      </c>
      <c r="G35" s="9">
        <v>646000</v>
      </c>
      <c r="H35" s="9"/>
      <c r="I35" s="119"/>
      <c r="J35" s="9">
        <v>49000</v>
      </c>
      <c r="K35" s="9" t="s">
        <v>1493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200000</v>
      </c>
      <c r="K36" s="139" t="s">
        <v>4398</v>
      </c>
    </row>
    <row r="37" spans="1:11" ht="19" x14ac:dyDescent="0.2">
      <c r="A37" s="143">
        <v>1349000</v>
      </c>
      <c r="B37" s="32"/>
      <c r="C37" s="49" t="s">
        <v>10</v>
      </c>
      <c r="D37" s="13" t="s">
        <v>20</v>
      </c>
      <c r="E37" s="15">
        <v>800000</v>
      </c>
      <c r="F37" s="9">
        <v>58000</v>
      </c>
      <c r="G37" s="9">
        <v>491000</v>
      </c>
      <c r="H37" s="9"/>
      <c r="I37" s="119"/>
      <c r="J37" s="9">
        <v>50000</v>
      </c>
      <c r="K37" s="9" t="s">
        <v>59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/>
      <c r="K38" s="139"/>
    </row>
    <row r="39" spans="1:11" ht="19" x14ac:dyDescent="0.2">
      <c r="A39" s="143">
        <v>1417000</v>
      </c>
      <c r="B39" s="32">
        <v>45907</v>
      </c>
      <c r="C39" s="49" t="s">
        <v>9</v>
      </c>
      <c r="D39" s="13" t="s">
        <v>3941</v>
      </c>
      <c r="E39" s="15">
        <v>866000</v>
      </c>
      <c r="F39" s="9">
        <v>119000</v>
      </c>
      <c r="G39" s="9">
        <v>432000</v>
      </c>
      <c r="H39" s="9"/>
      <c r="I39" s="119"/>
      <c r="J39" s="9"/>
      <c r="K39" s="9"/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/>
      <c r="K40" s="139"/>
    </row>
    <row r="41" spans="1:11" ht="19" x14ac:dyDescent="0.2">
      <c r="A41" s="143">
        <v>1315000</v>
      </c>
      <c r="B41" s="32"/>
      <c r="C41" s="49" t="s">
        <v>10</v>
      </c>
      <c r="D41" s="13" t="s">
        <v>3401</v>
      </c>
      <c r="E41" s="15">
        <v>963000</v>
      </c>
      <c r="F41" s="9">
        <v>174000</v>
      </c>
      <c r="G41" s="9">
        <v>178000</v>
      </c>
      <c r="H41" s="9"/>
      <c r="I41" s="119"/>
      <c r="J41" s="9">
        <v>176000</v>
      </c>
      <c r="K41" s="9" t="s">
        <v>2165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103000</v>
      </c>
      <c r="K42" s="139" t="s">
        <v>692</v>
      </c>
    </row>
    <row r="43" spans="1:11" ht="19" x14ac:dyDescent="0.2">
      <c r="A43" s="143">
        <v>3074000</v>
      </c>
      <c r="B43" s="32">
        <v>45908</v>
      </c>
      <c r="C43" s="49" t="s">
        <v>9</v>
      </c>
      <c r="D43" s="13" t="s">
        <v>3386</v>
      </c>
      <c r="E43" s="15">
        <v>1682000</v>
      </c>
      <c r="F43" s="9">
        <v>328000</v>
      </c>
      <c r="G43" s="9">
        <v>1064000</v>
      </c>
      <c r="H43" s="9">
        <v>7350000</v>
      </c>
      <c r="I43" s="119" t="s">
        <v>3482</v>
      </c>
      <c r="J43" s="9">
        <v>59000</v>
      </c>
      <c r="K43" s="9" t="s">
        <v>4399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57000</v>
      </c>
      <c r="K44" s="139" t="s">
        <v>4400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70000</v>
      </c>
      <c r="K45" s="119" t="s">
        <v>988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187000</v>
      </c>
      <c r="K46" s="139" t="s">
        <v>1472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46000</v>
      </c>
      <c r="K47" s="119" t="s">
        <v>4401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52"/>
      <c r="J48" s="139">
        <v>33000</v>
      </c>
      <c r="K48" s="139" t="s">
        <v>4402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54000</v>
      </c>
      <c r="K49" s="119" t="s">
        <v>974</v>
      </c>
    </row>
    <row r="50" spans="1:11" ht="19" x14ac:dyDescent="0.2">
      <c r="A50" s="144">
        <v>1241000</v>
      </c>
      <c r="B50" s="145"/>
      <c r="C50" s="149" t="s">
        <v>10</v>
      </c>
      <c r="D50" s="147" t="s">
        <v>3329</v>
      </c>
      <c r="E50" s="150">
        <v>879000</v>
      </c>
      <c r="F50" s="139">
        <v>81000</v>
      </c>
      <c r="G50" s="139">
        <v>281000</v>
      </c>
      <c r="H50" s="139"/>
      <c r="I50" s="139"/>
      <c r="J50" s="139">
        <v>194000</v>
      </c>
      <c r="K50" s="139" t="s">
        <v>4403</v>
      </c>
    </row>
    <row r="51" spans="1:11" ht="19" x14ac:dyDescent="0.2">
      <c r="A51" s="143">
        <v>3111000</v>
      </c>
      <c r="B51" s="153">
        <v>45909</v>
      </c>
      <c r="C51" s="171" t="s">
        <v>9</v>
      </c>
      <c r="D51" s="155" t="s">
        <v>3941</v>
      </c>
      <c r="E51" s="164">
        <v>1817000</v>
      </c>
      <c r="F51" s="119">
        <v>641000</v>
      </c>
      <c r="G51" s="119">
        <v>653000</v>
      </c>
      <c r="H51" s="119"/>
      <c r="I51" s="119"/>
      <c r="J51" s="119">
        <v>49000</v>
      </c>
      <c r="K51" s="119" t="s">
        <v>1493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14000</v>
      </c>
      <c r="K52" s="139" t="s">
        <v>4355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26000</v>
      </c>
      <c r="K53" s="119" t="s">
        <v>3463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520000</v>
      </c>
      <c r="K54" s="139" t="s">
        <v>1462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24000</v>
      </c>
      <c r="K55" s="119" t="s">
        <v>2245</v>
      </c>
    </row>
    <row r="56" spans="1:11" ht="19" x14ac:dyDescent="0.2">
      <c r="A56" s="144">
        <v>1817000</v>
      </c>
      <c r="B56" s="145"/>
      <c r="C56" s="149" t="s">
        <v>10</v>
      </c>
      <c r="D56" s="147" t="s">
        <v>3329</v>
      </c>
      <c r="E56" s="150">
        <v>1072000</v>
      </c>
      <c r="F56" s="139">
        <v>444000</v>
      </c>
      <c r="G56" s="139">
        <v>301000</v>
      </c>
      <c r="H56" s="139">
        <v>1240000</v>
      </c>
      <c r="I56" s="139" t="s">
        <v>4404</v>
      </c>
      <c r="J56" s="139">
        <v>60000</v>
      </c>
      <c r="K56" s="139" t="s">
        <v>1490</v>
      </c>
    </row>
    <row r="57" spans="1:11" ht="19" x14ac:dyDescent="0.2">
      <c r="A57" s="143">
        <v>3078000</v>
      </c>
      <c r="B57" s="153">
        <v>45910</v>
      </c>
      <c r="C57" s="171" t="s">
        <v>9</v>
      </c>
      <c r="D57" s="155" t="s">
        <v>3941</v>
      </c>
      <c r="E57" s="164">
        <v>1987000</v>
      </c>
      <c r="F57" s="119">
        <v>429000</v>
      </c>
      <c r="G57" s="119">
        <v>662000</v>
      </c>
      <c r="H57" s="119"/>
      <c r="I57" s="119"/>
      <c r="J57" s="119">
        <v>162000</v>
      </c>
      <c r="K57" s="119" t="s">
        <v>3914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32000</v>
      </c>
      <c r="K58" s="139" t="s">
        <v>4405</v>
      </c>
    </row>
    <row r="59" spans="1:11" ht="19" x14ac:dyDescent="0.2">
      <c r="A59" s="143">
        <v>1337000</v>
      </c>
      <c r="B59" s="153"/>
      <c r="C59" s="171" t="s">
        <v>10</v>
      </c>
      <c r="D59" s="155" t="s">
        <v>3329</v>
      </c>
      <c r="E59" s="164">
        <v>717000</v>
      </c>
      <c r="F59" s="119">
        <v>251000</v>
      </c>
      <c r="G59" s="119">
        <v>369000</v>
      </c>
      <c r="H59" s="173"/>
      <c r="I59" s="119"/>
      <c r="J59" s="119">
        <v>7000</v>
      </c>
      <c r="K59" s="119" t="s">
        <v>2776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300"/>
      <c r="I60" s="139"/>
      <c r="J60" s="139">
        <v>114000</v>
      </c>
      <c r="K60" s="139" t="s">
        <v>4406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32000</v>
      </c>
      <c r="K61" s="119" t="s">
        <v>4407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258000</v>
      </c>
      <c r="K62" s="139" t="s">
        <v>4408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96000</v>
      </c>
      <c r="K63" s="119" t="s">
        <v>4409</v>
      </c>
    </row>
    <row r="64" spans="1:11" ht="19" x14ac:dyDescent="0.2">
      <c r="A64" s="144">
        <v>2536000</v>
      </c>
      <c r="B64" s="145">
        <v>45911</v>
      </c>
      <c r="C64" s="149" t="s">
        <v>9</v>
      </c>
      <c r="D64" s="147" t="s">
        <v>3941</v>
      </c>
      <c r="E64" s="150">
        <v>1412000</v>
      </c>
      <c r="F64" s="150">
        <v>442000</v>
      </c>
      <c r="G64" s="139">
        <v>682000</v>
      </c>
      <c r="H64" s="139"/>
      <c r="I64" s="139"/>
      <c r="J64" s="139">
        <v>100000</v>
      </c>
      <c r="K64" s="139" t="s">
        <v>3545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68000</v>
      </c>
      <c r="K65" s="119" t="s">
        <v>4410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16000</v>
      </c>
      <c r="K66" s="139" t="s">
        <v>4411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48000</v>
      </c>
      <c r="K67" s="119" t="s">
        <v>3189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200000</v>
      </c>
      <c r="K68" s="139" t="s">
        <v>2796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150000</v>
      </c>
      <c r="K69" s="119" t="s">
        <v>4412</v>
      </c>
    </row>
    <row r="70" spans="1:11" ht="19" x14ac:dyDescent="0.2">
      <c r="A70" s="144">
        <v>1626000</v>
      </c>
      <c r="B70" s="145"/>
      <c r="C70" s="149" t="s">
        <v>10</v>
      </c>
      <c r="D70" s="147" t="s">
        <v>3329</v>
      </c>
      <c r="E70" s="150">
        <v>1161000</v>
      </c>
      <c r="F70" s="139">
        <v>313000</v>
      </c>
      <c r="G70" s="139">
        <v>152000</v>
      </c>
      <c r="H70" s="139"/>
      <c r="I70" s="139"/>
      <c r="J70" s="139">
        <v>45000</v>
      </c>
      <c r="K70" s="139" t="s">
        <v>3635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240000</v>
      </c>
      <c r="K71" s="9" t="s">
        <v>3659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160000</v>
      </c>
      <c r="K72" s="139" t="s">
        <v>1597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140000</v>
      </c>
      <c r="K73" s="9" t="s">
        <v>2299</v>
      </c>
    </row>
    <row r="74" spans="1:11" ht="19" x14ac:dyDescent="0.2">
      <c r="A74" s="148">
        <v>3730000</v>
      </c>
      <c r="B74" s="145">
        <v>45912</v>
      </c>
      <c r="C74" s="151" t="s">
        <v>9</v>
      </c>
      <c r="D74" s="147" t="s">
        <v>3386</v>
      </c>
      <c r="E74" s="150">
        <v>2580000</v>
      </c>
      <c r="F74" s="139">
        <v>294000</v>
      </c>
      <c r="G74" s="139">
        <v>856000</v>
      </c>
      <c r="H74" s="139"/>
      <c r="I74" s="139"/>
      <c r="J74" s="139"/>
      <c r="K74" s="139"/>
    </row>
    <row r="75" spans="1:11" ht="19" x14ac:dyDescent="0.2">
      <c r="A75" s="143">
        <v>1822000</v>
      </c>
      <c r="B75" s="153"/>
      <c r="C75" s="163" t="s">
        <v>10</v>
      </c>
      <c r="D75" s="155" t="s">
        <v>3329</v>
      </c>
      <c r="E75" s="164">
        <v>1144000</v>
      </c>
      <c r="F75" s="119">
        <v>334000</v>
      </c>
      <c r="G75" s="119">
        <v>344000</v>
      </c>
      <c r="H75" s="119"/>
      <c r="I75" s="119"/>
      <c r="J75" s="119"/>
      <c r="K75" s="119"/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/>
      <c r="K76" s="139"/>
    </row>
    <row r="77" spans="1:11" ht="19" x14ac:dyDescent="0.2">
      <c r="A77" s="143">
        <v>2481000</v>
      </c>
      <c r="B77" s="153">
        <v>45913</v>
      </c>
      <c r="C77" s="171" t="s">
        <v>9</v>
      </c>
      <c r="D77" s="155" t="s">
        <v>3941</v>
      </c>
      <c r="E77" s="164">
        <v>1718000</v>
      </c>
      <c r="F77" s="119">
        <v>223000</v>
      </c>
      <c r="G77" s="119">
        <v>540000</v>
      </c>
      <c r="H77" s="9"/>
      <c r="I77" s="9"/>
      <c r="J77" s="9">
        <v>35000</v>
      </c>
      <c r="K77" s="9" t="s">
        <v>3463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49000</v>
      </c>
      <c r="K78" s="139" t="s">
        <v>1493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24000</v>
      </c>
      <c r="K79" s="119" t="s">
        <v>1859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54000</v>
      </c>
      <c r="K80" s="139" t="s">
        <v>4413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204000</v>
      </c>
      <c r="K81" s="119" t="s">
        <v>4414</v>
      </c>
    </row>
    <row r="82" spans="1:11" ht="19" x14ac:dyDescent="0.2">
      <c r="A82" s="144">
        <v>2197000</v>
      </c>
      <c r="B82" s="145"/>
      <c r="C82" s="149" t="s">
        <v>10</v>
      </c>
      <c r="D82" s="147" t="s">
        <v>20</v>
      </c>
      <c r="E82" s="150">
        <v>1731000</v>
      </c>
      <c r="F82" s="139">
        <v>78000</v>
      </c>
      <c r="G82" s="139">
        <v>388000</v>
      </c>
      <c r="H82" s="152"/>
      <c r="I82" s="152"/>
      <c r="J82" s="139">
        <v>50000</v>
      </c>
      <c r="K82" s="139" t="s">
        <v>123</v>
      </c>
    </row>
    <row r="83" spans="1:11" ht="19" x14ac:dyDescent="0.2">
      <c r="A83" s="143">
        <v>1840000</v>
      </c>
      <c r="B83" s="153">
        <v>45914</v>
      </c>
      <c r="C83" s="171" t="s">
        <v>9</v>
      </c>
      <c r="D83" s="155" t="s">
        <v>3941</v>
      </c>
      <c r="E83" s="164">
        <v>1187000</v>
      </c>
      <c r="F83" s="119">
        <v>241000</v>
      </c>
      <c r="G83" s="119">
        <v>412000</v>
      </c>
      <c r="H83" s="9"/>
      <c r="I83" s="9"/>
      <c r="J83" s="9"/>
      <c r="K83" s="9"/>
    </row>
    <row r="84" spans="1:11" ht="19" x14ac:dyDescent="0.2">
      <c r="A84" s="144">
        <v>1666000</v>
      </c>
      <c r="B84" s="145"/>
      <c r="C84" s="149" t="s">
        <v>10</v>
      </c>
      <c r="D84" s="147" t="s">
        <v>3329</v>
      </c>
      <c r="E84" s="150">
        <v>1302000</v>
      </c>
      <c r="F84" s="139">
        <v>160000</v>
      </c>
      <c r="G84" s="139">
        <v>204000</v>
      </c>
      <c r="H84" s="162"/>
      <c r="I84" s="162"/>
      <c r="J84" s="139"/>
      <c r="K84" s="139"/>
    </row>
    <row r="85" spans="1:11" ht="33" customHeight="1" x14ac:dyDescent="0.2">
      <c r="A85" s="143">
        <v>3802000</v>
      </c>
      <c r="B85" s="153">
        <v>45915</v>
      </c>
      <c r="C85" s="171" t="s">
        <v>9</v>
      </c>
      <c r="D85" s="155" t="s">
        <v>3941</v>
      </c>
      <c r="E85" s="164">
        <v>2380000</v>
      </c>
      <c r="F85" s="119">
        <v>680000</v>
      </c>
      <c r="G85" s="119">
        <v>742000</v>
      </c>
      <c r="H85" s="174">
        <v>1845000</v>
      </c>
      <c r="I85" s="247" t="s">
        <v>4415</v>
      </c>
      <c r="J85" s="119">
        <v>96000</v>
      </c>
      <c r="K85" s="119" t="s">
        <v>4416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>
        <v>1400000</v>
      </c>
      <c r="I86" s="162" t="s">
        <v>3736</v>
      </c>
      <c r="J86" s="139">
        <v>16000</v>
      </c>
      <c r="K86" s="139" t="s">
        <v>3805</v>
      </c>
    </row>
    <row r="87" spans="1:11" ht="19" x14ac:dyDescent="0.2">
      <c r="A87" s="143">
        <v>1733000</v>
      </c>
      <c r="B87" s="153"/>
      <c r="C87" s="171" t="s">
        <v>10</v>
      </c>
      <c r="D87" s="155" t="s">
        <v>3329</v>
      </c>
      <c r="E87" s="164">
        <v>966000</v>
      </c>
      <c r="F87" s="119">
        <v>173000</v>
      </c>
      <c r="G87" s="119">
        <v>594000</v>
      </c>
      <c r="H87" s="119">
        <v>850000</v>
      </c>
      <c r="I87" s="174" t="s">
        <v>4417</v>
      </c>
      <c r="J87" s="119">
        <v>190000</v>
      </c>
      <c r="K87" s="119" t="s">
        <v>4418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>
        <v>1800000</v>
      </c>
      <c r="I88" s="162" t="s">
        <v>3881</v>
      </c>
      <c r="J88" s="162">
        <v>33000</v>
      </c>
      <c r="K88" s="162" t="s">
        <v>3628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10000</v>
      </c>
      <c r="K89" s="119" t="s">
        <v>1305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98000</v>
      </c>
      <c r="K90" s="139" t="s">
        <v>1641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150000</v>
      </c>
      <c r="K91" s="119" t="s">
        <v>4419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100000</v>
      </c>
      <c r="K92" s="139" t="s">
        <v>3248</v>
      </c>
    </row>
    <row r="93" spans="1:11" ht="19" x14ac:dyDescent="0.2">
      <c r="A93" s="143">
        <v>3224000</v>
      </c>
      <c r="B93" s="153">
        <v>45916</v>
      </c>
      <c r="C93" s="49" t="s">
        <v>9</v>
      </c>
      <c r="D93" s="13" t="s">
        <v>3941</v>
      </c>
      <c r="E93" s="15">
        <v>1559000</v>
      </c>
      <c r="F93" s="9">
        <v>624000</v>
      </c>
      <c r="G93" s="9">
        <v>1041000</v>
      </c>
      <c r="H93" s="119"/>
      <c r="I93" s="9"/>
      <c r="J93" s="119">
        <v>27000</v>
      </c>
      <c r="K93" s="9" t="s">
        <v>3339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62">
        <v>33000</v>
      </c>
      <c r="K94" s="162" t="s">
        <v>3662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>
        <v>72000</v>
      </c>
      <c r="K95" s="119" t="s">
        <v>1491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68000</v>
      </c>
      <c r="K96" s="139" t="s">
        <v>4420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22000</v>
      </c>
      <c r="K97" s="9" t="s">
        <v>4421</v>
      </c>
    </row>
    <row r="98" spans="1:11" ht="19" x14ac:dyDescent="0.2">
      <c r="A98" s="144">
        <v>2504000</v>
      </c>
      <c r="B98" s="145"/>
      <c r="C98" s="159" t="s">
        <v>10</v>
      </c>
      <c r="D98" s="147" t="s">
        <v>20</v>
      </c>
      <c r="E98" s="150">
        <v>1638000</v>
      </c>
      <c r="F98" s="139">
        <v>298000</v>
      </c>
      <c r="G98" s="139">
        <v>568000</v>
      </c>
      <c r="H98" s="139"/>
      <c r="I98" s="139"/>
      <c r="J98" s="139">
        <v>10000</v>
      </c>
      <c r="K98" s="139" t="s">
        <v>2695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/>
      <c r="K99" s="119"/>
    </row>
    <row r="100" spans="1:11" ht="19" x14ac:dyDescent="0.2">
      <c r="A100" s="144">
        <v>2632000</v>
      </c>
      <c r="B100" s="145">
        <v>45917</v>
      </c>
      <c r="C100" s="149" t="s">
        <v>9</v>
      </c>
      <c r="D100" s="147" t="s">
        <v>3941</v>
      </c>
      <c r="E100" s="150">
        <v>1736000</v>
      </c>
      <c r="F100" s="139">
        <v>300000</v>
      </c>
      <c r="G100" s="139">
        <v>596000</v>
      </c>
      <c r="H100" s="139"/>
      <c r="I100" s="139"/>
      <c r="J100" s="139">
        <v>81000</v>
      </c>
      <c r="K100" s="139" t="s">
        <v>1738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33000</v>
      </c>
      <c r="K101" s="119" t="s">
        <v>1857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98000</v>
      </c>
      <c r="K102" s="139" t="s">
        <v>4422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11000</v>
      </c>
      <c r="K103" s="119" t="s">
        <v>1582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52"/>
      <c r="I104" s="152"/>
      <c r="J104" s="139">
        <v>12000</v>
      </c>
      <c r="K104" s="139" t="s">
        <v>2475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193000</v>
      </c>
      <c r="K105" s="119" t="s">
        <v>4290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8000</v>
      </c>
      <c r="K106" s="139" t="s">
        <v>4423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15000</v>
      </c>
      <c r="K107" s="119" t="s">
        <v>4424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67000</v>
      </c>
      <c r="K108" s="139" t="s">
        <v>4425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25000</v>
      </c>
      <c r="K109" s="119" t="s">
        <v>4426</v>
      </c>
    </row>
    <row r="110" spans="1:11" ht="19" x14ac:dyDescent="0.2">
      <c r="A110" s="144">
        <v>1927000</v>
      </c>
      <c r="B110" s="145"/>
      <c r="C110" s="149" t="s">
        <v>10</v>
      </c>
      <c r="D110" s="147" t="s">
        <v>3329</v>
      </c>
      <c r="E110" s="150">
        <v>1484000</v>
      </c>
      <c r="F110" s="139">
        <v>73000</v>
      </c>
      <c r="G110" s="139">
        <v>370000</v>
      </c>
      <c r="H110" s="139"/>
      <c r="I110" s="139"/>
      <c r="J110" s="139">
        <v>5000</v>
      </c>
      <c r="K110" s="139" t="s">
        <v>4427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200000</v>
      </c>
      <c r="K111" s="119" t="s">
        <v>1296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105000</v>
      </c>
      <c r="K112" s="139" t="s">
        <v>1566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168000</v>
      </c>
      <c r="K113" s="119" t="s">
        <v>4373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96000</v>
      </c>
      <c r="K114" s="139" t="s">
        <v>1310</v>
      </c>
    </row>
    <row r="115" spans="1:11" ht="19" x14ac:dyDescent="0.2">
      <c r="A115" s="143">
        <v>3644000</v>
      </c>
      <c r="B115" s="153">
        <v>45918</v>
      </c>
      <c r="C115" s="171" t="s">
        <v>9</v>
      </c>
      <c r="D115" s="155" t="s">
        <v>3941</v>
      </c>
      <c r="E115" s="164">
        <v>2249000</v>
      </c>
      <c r="F115" s="119">
        <v>282000</v>
      </c>
      <c r="G115" s="119">
        <v>1113000</v>
      </c>
      <c r="H115" s="119"/>
      <c r="I115" s="119"/>
      <c r="J115" s="119"/>
      <c r="K115" s="119"/>
    </row>
    <row r="116" spans="1:11" ht="19" x14ac:dyDescent="0.2">
      <c r="A116" s="144">
        <v>1550000</v>
      </c>
      <c r="B116" s="145"/>
      <c r="C116" s="149" t="s">
        <v>10</v>
      </c>
      <c r="D116" s="147" t="s">
        <v>20</v>
      </c>
      <c r="E116" s="150">
        <v>1110000</v>
      </c>
      <c r="F116" s="139">
        <v>90000</v>
      </c>
      <c r="G116" s="139">
        <v>350000</v>
      </c>
      <c r="H116" s="139">
        <v>255000</v>
      </c>
      <c r="I116" s="139" t="s">
        <v>2055</v>
      </c>
      <c r="J116" s="162"/>
      <c r="K116" s="162"/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/>
      <c r="K117" s="174"/>
    </row>
    <row r="118" spans="1:11" ht="19" x14ac:dyDescent="0.2">
      <c r="A118" s="144">
        <v>3365000</v>
      </c>
      <c r="B118" s="145">
        <v>45919</v>
      </c>
      <c r="C118" s="149" t="s">
        <v>9</v>
      </c>
      <c r="D118" s="147" t="s">
        <v>3386</v>
      </c>
      <c r="E118" s="150">
        <v>1766000</v>
      </c>
      <c r="F118" s="139">
        <v>632000</v>
      </c>
      <c r="G118" s="139">
        <v>967000</v>
      </c>
      <c r="H118" s="139"/>
      <c r="I118" s="139"/>
      <c r="J118" s="139"/>
      <c r="K118" s="139"/>
    </row>
    <row r="119" spans="1:11" ht="19" x14ac:dyDescent="0.2">
      <c r="A119" s="143"/>
      <c r="B119" s="153"/>
      <c r="C119" s="171" t="s">
        <v>10</v>
      </c>
      <c r="D119" s="155" t="s">
        <v>1721</v>
      </c>
      <c r="E119" s="164"/>
      <c r="F119" s="119"/>
      <c r="G119" s="119"/>
      <c r="H119" s="119"/>
      <c r="I119" s="119"/>
      <c r="J119" s="119">
        <v>48000</v>
      </c>
      <c r="K119" s="119" t="s">
        <v>973</v>
      </c>
    </row>
    <row r="120" spans="1:11" ht="19" x14ac:dyDescent="0.2">
      <c r="A120" s="144">
        <v>2666000</v>
      </c>
      <c r="B120" s="145">
        <v>45920</v>
      </c>
      <c r="C120" s="149" t="s">
        <v>9</v>
      </c>
      <c r="D120" s="147" t="s">
        <v>3941</v>
      </c>
      <c r="E120" s="150">
        <v>1777000</v>
      </c>
      <c r="F120" s="139">
        <v>386000</v>
      </c>
      <c r="G120" s="139">
        <v>503000</v>
      </c>
      <c r="H120" s="139"/>
      <c r="I120" s="139"/>
      <c r="J120" s="139">
        <v>110000</v>
      </c>
      <c r="K120" s="139" t="s">
        <v>4428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200000</v>
      </c>
      <c r="K121" s="119" t="s">
        <v>3030</v>
      </c>
    </row>
    <row r="122" spans="1:11" ht="19" x14ac:dyDescent="0.2">
      <c r="A122" s="144">
        <v>1548000</v>
      </c>
      <c r="B122" s="145"/>
      <c r="C122" s="149" t="s">
        <v>10</v>
      </c>
      <c r="D122" s="147" t="s">
        <v>20</v>
      </c>
      <c r="E122" s="150">
        <v>1177000</v>
      </c>
      <c r="F122" s="139">
        <v>181000</v>
      </c>
      <c r="G122" s="139">
        <v>190000</v>
      </c>
      <c r="H122" s="139"/>
      <c r="I122" s="139"/>
      <c r="J122" s="139">
        <v>45000</v>
      </c>
      <c r="K122" s="139" t="s">
        <v>3895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150000</v>
      </c>
      <c r="K123" s="174" t="s">
        <v>3906</v>
      </c>
    </row>
    <row r="124" spans="1:11" ht="19" x14ac:dyDescent="0.2">
      <c r="A124" s="144">
        <v>1943000</v>
      </c>
      <c r="B124" s="145">
        <v>45921</v>
      </c>
      <c r="C124" s="151" t="s">
        <v>9</v>
      </c>
      <c r="D124" s="147" t="s">
        <v>4429</v>
      </c>
      <c r="E124" s="150">
        <v>1380000</v>
      </c>
      <c r="F124" s="139">
        <v>137000</v>
      </c>
      <c r="G124" s="139">
        <v>426000</v>
      </c>
      <c r="H124" s="139"/>
      <c r="I124" s="139"/>
      <c r="J124" s="162">
        <v>38000</v>
      </c>
      <c r="K124" s="162" t="s">
        <v>1043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50000</v>
      </c>
      <c r="K125" s="106" t="s">
        <v>59</v>
      </c>
    </row>
    <row r="126" spans="1:11" ht="19" x14ac:dyDescent="0.2">
      <c r="A126" s="144">
        <v>1698000</v>
      </c>
      <c r="B126" s="145"/>
      <c r="C126" s="149" t="s">
        <v>10</v>
      </c>
      <c r="D126" s="147" t="s">
        <v>3386</v>
      </c>
      <c r="E126" s="150">
        <v>1043000</v>
      </c>
      <c r="F126" s="139">
        <v>253000</v>
      </c>
      <c r="G126" s="139">
        <v>402000</v>
      </c>
      <c r="H126" s="139"/>
      <c r="I126" s="139"/>
      <c r="J126" s="162">
        <v>232000</v>
      </c>
      <c r="K126" s="162" t="s">
        <v>4430</v>
      </c>
    </row>
    <row r="127" spans="1:11" ht="19" x14ac:dyDescent="0.2">
      <c r="A127" s="143"/>
      <c r="B127" s="153"/>
      <c r="C127" s="163"/>
      <c r="D127" s="155"/>
      <c r="E127" s="164"/>
      <c r="G127" s="119"/>
      <c r="H127" s="119"/>
      <c r="I127" s="119"/>
      <c r="J127" s="174">
        <v>61000</v>
      </c>
      <c r="K127" s="174" t="s">
        <v>4431</v>
      </c>
    </row>
    <row r="128" spans="1:11" ht="19" x14ac:dyDescent="0.2">
      <c r="A128" s="148">
        <v>3164000</v>
      </c>
      <c r="B128" s="145">
        <v>45922</v>
      </c>
      <c r="C128" s="159" t="s">
        <v>9</v>
      </c>
      <c r="D128" s="147" t="s">
        <v>4429</v>
      </c>
      <c r="E128" s="150">
        <v>1893000</v>
      </c>
      <c r="F128" s="139">
        <v>326000</v>
      </c>
      <c r="G128" s="139">
        <v>945000</v>
      </c>
      <c r="H128" s="139"/>
      <c r="I128" s="139"/>
      <c r="J128" s="139">
        <v>147000</v>
      </c>
      <c r="K128" s="139" t="s">
        <v>4432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10000</v>
      </c>
      <c r="K129" s="174" t="s">
        <v>642</v>
      </c>
    </row>
    <row r="130" spans="1:11" ht="19" x14ac:dyDescent="0.2">
      <c r="A130" s="144">
        <v>1204000</v>
      </c>
      <c r="B130" s="145"/>
      <c r="C130" s="151" t="s">
        <v>10</v>
      </c>
      <c r="D130" s="147" t="s">
        <v>3386</v>
      </c>
      <c r="E130" s="139">
        <v>900000</v>
      </c>
      <c r="F130" s="139">
        <v>174000</v>
      </c>
      <c r="G130" s="139">
        <v>130000</v>
      </c>
      <c r="H130" s="139"/>
      <c r="I130" s="139"/>
      <c r="J130" s="139">
        <v>64000</v>
      </c>
      <c r="K130" s="139" t="s">
        <v>1011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100000</v>
      </c>
      <c r="K131" s="119" t="s">
        <v>4311</v>
      </c>
    </row>
    <row r="132" spans="1:11" ht="19" x14ac:dyDescent="0.2">
      <c r="A132" s="144">
        <v>2741000</v>
      </c>
      <c r="B132" s="145">
        <v>45923</v>
      </c>
      <c r="C132" s="151" t="s">
        <v>9</v>
      </c>
      <c r="D132" s="147" t="s">
        <v>4429</v>
      </c>
      <c r="E132" s="150">
        <v>1870000</v>
      </c>
      <c r="F132" s="139">
        <v>327000</v>
      </c>
      <c r="G132" s="139">
        <v>544000</v>
      </c>
      <c r="H132" s="139"/>
      <c r="I132" s="139"/>
      <c r="J132" s="139">
        <v>54000</v>
      </c>
      <c r="K132" s="139" t="s">
        <v>4433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187000</v>
      </c>
      <c r="K133" s="119" t="s">
        <v>1472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24000</v>
      </c>
      <c r="K134" s="139" t="s">
        <v>4434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127000</v>
      </c>
      <c r="K135" s="119" t="s">
        <v>4435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32000</v>
      </c>
      <c r="K136" s="139" t="s">
        <v>4436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62000</v>
      </c>
      <c r="K137" s="174" t="s">
        <v>988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200000</v>
      </c>
      <c r="K138" s="162" t="s">
        <v>3030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150000</v>
      </c>
      <c r="K139" s="106" t="s">
        <v>3906</v>
      </c>
    </row>
    <row r="140" spans="1:11" ht="19" x14ac:dyDescent="0.2">
      <c r="A140" s="144">
        <v>1265000</v>
      </c>
      <c r="B140" s="145"/>
      <c r="C140" s="151" t="s">
        <v>10</v>
      </c>
      <c r="D140" s="147" t="s">
        <v>20</v>
      </c>
      <c r="E140" s="150">
        <v>865000</v>
      </c>
      <c r="F140" s="139">
        <v>0</v>
      </c>
      <c r="G140" s="139">
        <v>400000</v>
      </c>
      <c r="H140" s="139"/>
      <c r="I140" s="152"/>
      <c r="J140" s="162"/>
      <c r="K140" s="162"/>
    </row>
    <row r="141" spans="1:11" ht="19" x14ac:dyDescent="0.2">
      <c r="A141" s="143">
        <v>3032000</v>
      </c>
      <c r="B141" s="153">
        <v>45924</v>
      </c>
      <c r="C141" s="163" t="s">
        <v>9</v>
      </c>
      <c r="D141" s="155" t="s">
        <v>3941</v>
      </c>
      <c r="E141" s="164">
        <v>1826000</v>
      </c>
      <c r="F141" s="119">
        <v>474000</v>
      </c>
      <c r="G141" s="119">
        <v>732000</v>
      </c>
      <c r="H141" s="175"/>
      <c r="I141" s="175"/>
      <c r="J141" s="174">
        <v>38000</v>
      </c>
      <c r="K141" s="174" t="s">
        <v>4437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520000</v>
      </c>
      <c r="K142" s="139" t="s">
        <v>1462</v>
      </c>
    </row>
    <row r="143" spans="1:11" ht="19" x14ac:dyDescent="0.2">
      <c r="A143" s="143"/>
      <c r="B143" s="270"/>
      <c r="C143" s="163"/>
      <c r="D143" s="155"/>
      <c r="E143" s="164"/>
      <c r="F143" s="119"/>
      <c r="G143" s="119"/>
      <c r="H143" s="119"/>
      <c r="I143" s="119"/>
      <c r="J143" s="119">
        <v>114000</v>
      </c>
      <c r="K143" s="119" t="s">
        <v>4438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50000</v>
      </c>
      <c r="K144" s="139" t="s">
        <v>3597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120000</v>
      </c>
      <c r="K145" s="119" t="s">
        <v>2199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46000</v>
      </c>
      <c r="K146" s="162" t="s">
        <v>3463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41000</v>
      </c>
      <c r="K147" s="119" t="s">
        <v>3190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50000</v>
      </c>
      <c r="K148" s="139" t="s">
        <v>4439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109000</v>
      </c>
      <c r="K149" s="119" t="s">
        <v>4440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150000</v>
      </c>
      <c r="K150" s="139" t="s">
        <v>4441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150000</v>
      </c>
      <c r="K151" s="119" t="s">
        <v>4095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150000</v>
      </c>
      <c r="K152" s="139" t="s">
        <v>4442</v>
      </c>
    </row>
    <row r="153" spans="1:11" ht="19" x14ac:dyDescent="0.2">
      <c r="A153" s="143">
        <v>1747000</v>
      </c>
      <c r="B153" s="153"/>
      <c r="C153" s="163" t="s">
        <v>10</v>
      </c>
      <c r="D153" s="155" t="s">
        <v>4443</v>
      </c>
      <c r="E153" s="164">
        <v>1355000</v>
      </c>
      <c r="F153" s="119">
        <v>91000</v>
      </c>
      <c r="G153" s="119">
        <v>301000</v>
      </c>
      <c r="H153" s="119"/>
      <c r="I153" s="119"/>
      <c r="J153" s="119"/>
      <c r="K153" s="119"/>
    </row>
    <row r="154" spans="1:11" ht="19" x14ac:dyDescent="0.2">
      <c r="A154" s="144">
        <v>2205000</v>
      </c>
      <c r="B154" s="145">
        <v>45925</v>
      </c>
      <c r="C154" s="151" t="s">
        <v>9</v>
      </c>
      <c r="D154" s="147" t="s">
        <v>3941</v>
      </c>
      <c r="E154" s="150">
        <v>1368000</v>
      </c>
      <c r="F154" s="139">
        <v>232000</v>
      </c>
      <c r="G154" s="139">
        <v>605000</v>
      </c>
      <c r="H154" s="139"/>
      <c r="I154" s="139"/>
      <c r="J154" s="139">
        <v>96000</v>
      </c>
      <c r="K154" s="139" t="s">
        <v>1310</v>
      </c>
    </row>
    <row r="155" spans="1:11" ht="19" x14ac:dyDescent="0.2">
      <c r="A155" s="143">
        <v>1717000</v>
      </c>
      <c r="B155" s="153"/>
      <c r="C155" s="154" t="s">
        <v>10</v>
      </c>
      <c r="D155" s="155" t="s">
        <v>4443</v>
      </c>
      <c r="E155" s="164">
        <v>1134000</v>
      </c>
      <c r="F155" s="119">
        <v>247000</v>
      </c>
      <c r="G155" s="119">
        <v>336000</v>
      </c>
      <c r="H155" s="119"/>
      <c r="I155" s="119"/>
      <c r="J155" s="119"/>
      <c r="K155" s="119"/>
    </row>
    <row r="156" spans="1:11" ht="19" x14ac:dyDescent="0.2">
      <c r="A156" s="144">
        <v>3371000</v>
      </c>
      <c r="B156" s="145">
        <v>45926</v>
      </c>
      <c r="C156" s="149" t="s">
        <v>9</v>
      </c>
      <c r="D156" s="160" t="s">
        <v>3941</v>
      </c>
      <c r="E156" s="150">
        <v>1897000</v>
      </c>
      <c r="F156" s="139">
        <v>661000</v>
      </c>
      <c r="G156" s="139">
        <v>813000</v>
      </c>
      <c r="H156" s="139"/>
      <c r="I156" s="139"/>
      <c r="J156" s="139">
        <v>77000</v>
      </c>
      <c r="K156" s="139" t="s">
        <v>1491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37000</v>
      </c>
      <c r="K157" s="119" t="s">
        <v>4444</v>
      </c>
    </row>
    <row r="158" spans="1:11" ht="19" x14ac:dyDescent="0.2">
      <c r="A158" s="144">
        <v>1832000</v>
      </c>
      <c r="B158" s="145"/>
      <c r="C158" s="151" t="s">
        <v>10</v>
      </c>
      <c r="D158" s="147" t="s">
        <v>4443</v>
      </c>
      <c r="E158" s="150">
        <v>1232000</v>
      </c>
      <c r="F158" s="139">
        <v>342000</v>
      </c>
      <c r="G158" s="139">
        <v>258000</v>
      </c>
      <c r="H158" s="139"/>
      <c r="I158" s="139"/>
      <c r="J158" s="139">
        <v>265000</v>
      </c>
      <c r="K158" s="139" t="s">
        <v>4445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19000</v>
      </c>
      <c r="K159" s="119" t="s">
        <v>1974</v>
      </c>
    </row>
    <row r="160" spans="1:11" ht="19" x14ac:dyDescent="0.2">
      <c r="A160" s="144">
        <v>2484000</v>
      </c>
      <c r="B160" s="145">
        <v>45927</v>
      </c>
      <c r="C160" s="146" t="s">
        <v>9</v>
      </c>
      <c r="D160" s="147" t="s">
        <v>4446</v>
      </c>
      <c r="E160" s="150">
        <v>1254000</v>
      </c>
      <c r="F160" s="139">
        <v>265000</v>
      </c>
      <c r="G160" s="139">
        <v>965000</v>
      </c>
      <c r="H160" s="139"/>
      <c r="I160" s="165"/>
      <c r="J160" s="139">
        <v>50000</v>
      </c>
      <c r="K160" s="139" t="s">
        <v>123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/>
      <c r="K161" s="9"/>
    </row>
    <row r="162" spans="1:11" ht="19" x14ac:dyDescent="0.2">
      <c r="A162" s="144">
        <v>1831000</v>
      </c>
      <c r="B162" s="145"/>
      <c r="C162" s="149" t="s">
        <v>10</v>
      </c>
      <c r="D162" s="147" t="s">
        <v>20</v>
      </c>
      <c r="E162" s="150">
        <v>1463000</v>
      </c>
      <c r="F162" s="139">
        <v>278000</v>
      </c>
      <c r="G162" s="139">
        <v>90000</v>
      </c>
      <c r="H162" s="139"/>
      <c r="I162" s="165"/>
      <c r="J162" s="139"/>
      <c r="K162" s="139"/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>
        <v>200000</v>
      </c>
      <c r="K163" s="9" t="s">
        <v>2129</v>
      </c>
    </row>
    <row r="164" spans="1:11" ht="19" x14ac:dyDescent="0.2">
      <c r="A164" s="144">
        <v>1809000</v>
      </c>
      <c r="B164" s="145">
        <v>45928</v>
      </c>
      <c r="C164" s="149" t="s">
        <v>9</v>
      </c>
      <c r="D164" s="147" t="s">
        <v>3386</v>
      </c>
      <c r="E164" s="150">
        <v>1289000</v>
      </c>
      <c r="F164" s="139">
        <v>26000</v>
      </c>
      <c r="G164" s="139">
        <v>494000</v>
      </c>
      <c r="H164" s="139"/>
      <c r="I164" s="165"/>
      <c r="J164" s="139">
        <v>105000</v>
      </c>
      <c r="K164" s="139" t="s">
        <v>617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168000</v>
      </c>
      <c r="K165" s="9" t="s">
        <v>2328</v>
      </c>
    </row>
    <row r="166" spans="1:11" ht="19" x14ac:dyDescent="0.2">
      <c r="A166" s="144">
        <v>1774000</v>
      </c>
      <c r="B166" s="145"/>
      <c r="C166" s="149" t="s">
        <v>10</v>
      </c>
      <c r="D166" s="147" t="s">
        <v>4443</v>
      </c>
      <c r="E166" s="150">
        <v>1498000</v>
      </c>
      <c r="F166" s="139">
        <v>192000</v>
      </c>
      <c r="G166" s="139">
        <v>84000</v>
      </c>
      <c r="H166" s="139"/>
      <c r="I166" s="165"/>
      <c r="J166" s="139"/>
      <c r="K166" s="165"/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19000</v>
      </c>
      <c r="K167" s="77" t="s">
        <v>4447</v>
      </c>
    </row>
    <row r="168" spans="1:11" ht="19" x14ac:dyDescent="0.2">
      <c r="A168" s="144">
        <v>3074000</v>
      </c>
      <c r="B168" s="145">
        <v>45929</v>
      </c>
      <c r="C168" s="149" t="s">
        <v>9</v>
      </c>
      <c r="D168" s="147" t="s">
        <v>4448</v>
      </c>
      <c r="E168" s="150">
        <v>2033000</v>
      </c>
      <c r="F168" s="139">
        <v>374000</v>
      </c>
      <c r="G168" s="139">
        <v>667000</v>
      </c>
      <c r="H168" s="139"/>
      <c r="I168" s="165"/>
      <c r="J168" s="139">
        <v>41000</v>
      </c>
      <c r="K168" s="139" t="s">
        <v>4449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26000</v>
      </c>
      <c r="K169" s="9" t="s">
        <v>4450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174000</v>
      </c>
      <c r="K170" s="139" t="s">
        <v>4451</v>
      </c>
    </row>
    <row r="171" spans="1:11" ht="19" x14ac:dyDescent="0.2">
      <c r="A171" s="143">
        <v>2110000</v>
      </c>
      <c r="B171" s="32"/>
      <c r="C171" s="49" t="s">
        <v>10</v>
      </c>
      <c r="D171" s="13" t="s">
        <v>4443</v>
      </c>
      <c r="E171" s="15">
        <v>1546000</v>
      </c>
      <c r="F171" s="9">
        <v>107000</v>
      </c>
      <c r="G171" s="9">
        <v>457000</v>
      </c>
      <c r="H171" s="9"/>
      <c r="I171" s="77"/>
      <c r="J171" s="9">
        <v>100000</v>
      </c>
      <c r="K171" s="9" t="s">
        <v>3248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/>
      <c r="K172" s="139"/>
    </row>
    <row r="173" spans="1:11" ht="19" x14ac:dyDescent="0.2">
      <c r="A173" s="143">
        <v>3081000</v>
      </c>
      <c r="B173" s="32">
        <v>45930</v>
      </c>
      <c r="C173" s="49" t="s">
        <v>9</v>
      </c>
      <c r="D173" s="13" t="s">
        <v>4452</v>
      </c>
      <c r="E173" s="15">
        <v>1840000</v>
      </c>
      <c r="F173" s="9">
        <v>273000</v>
      </c>
      <c r="G173" s="9">
        <v>968000</v>
      </c>
      <c r="H173" s="9"/>
      <c r="I173" s="77"/>
      <c r="J173" s="9">
        <v>28000</v>
      </c>
      <c r="K173" s="9" t="s">
        <v>4453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>
        <v>155000</v>
      </c>
      <c r="K174" s="139" t="s">
        <v>4454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>
        <v>2936000</v>
      </c>
      <c r="I175" s="77" t="s">
        <v>4455</v>
      </c>
      <c r="J175" s="9">
        <v>34000</v>
      </c>
      <c r="K175" s="9" t="s">
        <v>3628</v>
      </c>
    </row>
    <row r="176" spans="1:11" ht="19" x14ac:dyDescent="0.2">
      <c r="A176" s="144">
        <v>2508000</v>
      </c>
      <c r="B176" s="145"/>
      <c r="C176" s="149" t="s">
        <v>10</v>
      </c>
      <c r="D176" s="147" t="s">
        <v>20</v>
      </c>
      <c r="E176" s="150">
        <v>1688000</v>
      </c>
      <c r="F176" s="139">
        <v>193000</v>
      </c>
      <c r="G176" s="139">
        <v>627000</v>
      </c>
      <c r="H176" s="139">
        <v>1400000</v>
      </c>
      <c r="I176" s="165" t="s">
        <v>3736</v>
      </c>
      <c r="J176" s="139">
        <v>200000</v>
      </c>
      <c r="K176" s="139" t="s">
        <v>2796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>
        <v>1200000</v>
      </c>
      <c r="I177" s="77" t="s">
        <v>4456</v>
      </c>
      <c r="J177" s="9">
        <v>150000</v>
      </c>
      <c r="K177" s="9" t="s">
        <v>1710</v>
      </c>
    </row>
    <row r="178" spans="1:11" ht="21" customHeight="1" x14ac:dyDescent="0.2">
      <c r="A178" s="144"/>
      <c r="B178" s="145"/>
      <c r="C178" s="149"/>
      <c r="D178" s="147"/>
      <c r="E178" s="150"/>
      <c r="F178" s="139"/>
      <c r="G178" s="139"/>
      <c r="H178" s="139">
        <v>975000</v>
      </c>
      <c r="I178" s="253" t="s">
        <v>4457</v>
      </c>
      <c r="J178" s="139"/>
      <c r="K178" s="139"/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>
        <v>450000</v>
      </c>
      <c r="I179" s="77" t="s">
        <v>4458</v>
      </c>
      <c r="J179" s="9"/>
      <c r="K179" s="9"/>
    </row>
    <row r="180" spans="1:11" ht="38" customHeight="1" x14ac:dyDescent="0.2">
      <c r="A180" s="144"/>
      <c r="B180" s="145"/>
      <c r="C180" s="149"/>
      <c r="D180" s="147"/>
      <c r="E180" s="150"/>
      <c r="F180" s="139"/>
      <c r="G180" s="139"/>
      <c r="H180" s="139">
        <v>5751000</v>
      </c>
      <c r="I180" s="253" t="s">
        <v>4131</v>
      </c>
      <c r="J180" s="139"/>
      <c r="K180" s="139"/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>
        <v>1300000</v>
      </c>
      <c r="I181" s="77" t="s">
        <v>965</v>
      </c>
      <c r="J181" s="9"/>
      <c r="K181" s="9"/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/>
      <c r="K182" s="139"/>
    </row>
    <row r="183" spans="1:11" ht="19" x14ac:dyDescent="0.2">
      <c r="A183" s="143"/>
      <c r="B183" s="32"/>
      <c r="C183" s="49"/>
      <c r="D183" s="13"/>
      <c r="E183" s="15"/>
      <c r="F183" s="9"/>
      <c r="G183" s="9"/>
      <c r="H183" s="9"/>
      <c r="I183" s="77"/>
      <c r="J183" s="9"/>
      <c r="K183" s="9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B332-B622-D344-8BD2-E20BF60A66D0}">
  <dimension ref="A3:K216"/>
  <sheetViews>
    <sheetView workbookViewId="0">
      <selection activeCell="D2" sqref="D2"/>
    </sheetView>
  </sheetViews>
  <sheetFormatPr baseColWidth="10" defaultRowHeight="15" x14ac:dyDescent="0.2"/>
  <cols>
    <col min="1" max="1" width="21.83203125" bestFit="1" customWidth="1"/>
    <col min="2" max="2" width="11.83203125" customWidth="1"/>
    <col min="3" max="3" width="13.33203125" bestFit="1" customWidth="1"/>
    <col min="4" max="4" width="17.33203125" bestFit="1" customWidth="1"/>
    <col min="5" max="5" width="20.33203125" bestFit="1" customWidth="1"/>
    <col min="6" max="6" width="25.33203125" customWidth="1"/>
    <col min="7" max="8" width="20.33203125" bestFit="1" customWidth="1"/>
    <col min="9" max="9" width="35.33203125" customWidth="1"/>
    <col min="10" max="10" width="20.33203125" bestFit="1" customWidth="1"/>
    <col min="11" max="11" width="30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14536500</v>
      </c>
      <c r="K4" s="72">
        <f>J4/10820</f>
        <v>1343.4842883548984</v>
      </c>
    </row>
    <row r="5" spans="1:11" ht="24" x14ac:dyDescent="0.3">
      <c r="B5" s="99" t="s">
        <v>4562</v>
      </c>
      <c r="H5" s="73"/>
      <c r="I5" s="71" t="s">
        <v>2315</v>
      </c>
      <c r="J5" s="71">
        <v>14536500</v>
      </c>
      <c r="K5" s="72">
        <f>J5/10820</f>
        <v>1343.4842883548984</v>
      </c>
    </row>
    <row r="6" spans="1:11" ht="24" x14ac:dyDescent="0.3">
      <c r="B6" s="99"/>
      <c r="H6" s="73"/>
      <c r="I6" s="71" t="s">
        <v>178</v>
      </c>
      <c r="J6" s="71">
        <v>13965627</v>
      </c>
      <c r="K6" s="72" t="s">
        <v>4564</v>
      </c>
    </row>
    <row r="7" spans="1:11" ht="26" x14ac:dyDescent="0.3">
      <c r="B7" s="100" t="s">
        <v>4563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SUM(A11:A519)</f>
        <v>143397000</v>
      </c>
      <c r="B10" s="65"/>
      <c r="C10" s="66" t="s">
        <v>13</v>
      </c>
      <c r="D10" s="67"/>
      <c r="E10" s="68">
        <f>SUM(E11:E519)</f>
        <v>90477000</v>
      </c>
      <c r="F10" s="69">
        <f>SUM(F11:F519)</f>
        <v>16825000</v>
      </c>
      <c r="G10" s="69">
        <f>SUM(G11:G506)</f>
        <v>36095000</v>
      </c>
      <c r="H10" s="69">
        <f>SUM(H11:H519)</f>
        <v>51956000</v>
      </c>
      <c r="I10" s="69"/>
      <c r="J10" s="69">
        <f>SUM(J11:J519)</f>
        <v>16585000</v>
      </c>
      <c r="K10" s="69"/>
    </row>
    <row r="11" spans="1:11" ht="19" x14ac:dyDescent="0.2">
      <c r="A11" s="142">
        <v>2472000</v>
      </c>
      <c r="B11" s="32">
        <v>45931</v>
      </c>
      <c r="C11" s="49" t="s">
        <v>9</v>
      </c>
      <c r="D11" s="13" t="s">
        <v>3941</v>
      </c>
      <c r="E11" s="15">
        <v>1498000</v>
      </c>
      <c r="F11" s="9">
        <v>250000</v>
      </c>
      <c r="G11" s="9">
        <v>724000</v>
      </c>
      <c r="H11" s="9">
        <v>873000</v>
      </c>
      <c r="I11" s="295" t="s">
        <v>4726</v>
      </c>
      <c r="J11" s="119"/>
      <c r="K11" s="9"/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296"/>
      <c r="J12" s="139"/>
      <c r="K12" s="139"/>
    </row>
    <row r="13" spans="1:11" ht="19" x14ac:dyDescent="0.2">
      <c r="A13" s="143">
        <v>1878000</v>
      </c>
      <c r="B13" s="153"/>
      <c r="C13" s="163" t="s">
        <v>10</v>
      </c>
      <c r="D13" s="155" t="s">
        <v>4443</v>
      </c>
      <c r="E13" s="164">
        <v>1327000</v>
      </c>
      <c r="F13" s="119">
        <v>104000</v>
      </c>
      <c r="G13" s="119">
        <v>447000</v>
      </c>
      <c r="H13" s="175"/>
      <c r="I13" s="174"/>
      <c r="J13" s="119">
        <v>90000</v>
      </c>
      <c r="K13" s="119" t="s">
        <v>4462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224000</v>
      </c>
      <c r="K14" s="139" t="s">
        <v>4463</v>
      </c>
    </row>
    <row r="15" spans="1:11" ht="19" x14ac:dyDescent="0.2">
      <c r="A15" s="143">
        <v>3000000</v>
      </c>
      <c r="B15" s="153">
        <v>45932</v>
      </c>
      <c r="C15" s="163" t="s">
        <v>9</v>
      </c>
      <c r="D15" s="155" t="s">
        <v>4464</v>
      </c>
      <c r="E15" s="164">
        <v>1840000</v>
      </c>
      <c r="F15" s="119">
        <v>358000</v>
      </c>
      <c r="G15" s="119">
        <v>802000</v>
      </c>
      <c r="H15" s="119"/>
      <c r="I15" s="174"/>
      <c r="J15" s="119"/>
      <c r="K15" s="119"/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/>
      <c r="K16" s="139"/>
    </row>
    <row r="17" spans="1:11" ht="19" x14ac:dyDescent="0.2">
      <c r="A17" s="143">
        <v>1313000</v>
      </c>
      <c r="B17" s="153"/>
      <c r="C17" s="163" t="s">
        <v>10</v>
      </c>
      <c r="D17" s="155" t="s">
        <v>4465</v>
      </c>
      <c r="E17" s="164">
        <v>901000</v>
      </c>
      <c r="F17" s="119">
        <v>182000</v>
      </c>
      <c r="G17" s="119">
        <v>230000</v>
      </c>
      <c r="H17" s="119"/>
      <c r="I17" s="174"/>
      <c r="J17" s="119">
        <v>43000</v>
      </c>
      <c r="K17" s="119" t="s">
        <v>3348</v>
      </c>
    </row>
    <row r="18" spans="1:11" ht="19" x14ac:dyDescent="0.2">
      <c r="A18" s="144">
        <v>3311000</v>
      </c>
      <c r="B18" s="145">
        <v>45933</v>
      </c>
      <c r="C18" s="151" t="s">
        <v>9</v>
      </c>
      <c r="D18" s="147" t="s">
        <v>3941</v>
      </c>
      <c r="E18" s="150">
        <v>2359000</v>
      </c>
      <c r="F18" s="139">
        <v>410000</v>
      </c>
      <c r="G18" s="139">
        <v>542000</v>
      </c>
      <c r="H18" s="139"/>
      <c r="I18" s="162"/>
      <c r="J18" s="139">
        <v>108000</v>
      </c>
      <c r="K18" s="139" t="s">
        <v>2015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187000</v>
      </c>
      <c r="K19" s="119" t="s">
        <v>2732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62">
        <v>65000</v>
      </c>
      <c r="K20" s="162" t="s">
        <v>4466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280000</v>
      </c>
      <c r="K21" s="106" t="s">
        <v>4467</v>
      </c>
    </row>
    <row r="22" spans="1:11" ht="19" x14ac:dyDescent="0.2">
      <c r="A22" s="144">
        <v>2214000</v>
      </c>
      <c r="B22" s="145"/>
      <c r="C22" s="149" t="s">
        <v>10</v>
      </c>
      <c r="D22" s="147" t="s">
        <v>28</v>
      </c>
      <c r="E22" s="150">
        <v>1391000</v>
      </c>
      <c r="F22" s="139">
        <v>319000</v>
      </c>
      <c r="G22" s="139">
        <v>504000</v>
      </c>
      <c r="H22" s="139"/>
      <c r="I22" s="139"/>
      <c r="J22" s="162">
        <v>155000</v>
      </c>
      <c r="K22" s="162" t="s">
        <v>4468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155000</v>
      </c>
      <c r="K23" s="106" t="s">
        <v>4469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/>
      <c r="K24" s="162"/>
    </row>
    <row r="25" spans="1:11" ht="19" x14ac:dyDescent="0.2">
      <c r="A25" s="142">
        <v>2584000</v>
      </c>
      <c r="B25" s="153">
        <v>45934</v>
      </c>
      <c r="C25" s="171" t="s">
        <v>9</v>
      </c>
      <c r="D25" s="155" t="s">
        <v>4452</v>
      </c>
      <c r="E25" s="164">
        <v>1163000</v>
      </c>
      <c r="F25" s="119">
        <v>458000</v>
      </c>
      <c r="G25" s="119">
        <v>963000</v>
      </c>
      <c r="H25" s="119"/>
      <c r="I25" s="119"/>
      <c r="J25" s="119">
        <v>112000</v>
      </c>
      <c r="K25" s="119" t="s">
        <v>1771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100000</v>
      </c>
      <c r="K26" s="139" t="s">
        <v>3248</v>
      </c>
    </row>
    <row r="27" spans="1:11" ht="19" x14ac:dyDescent="0.2">
      <c r="A27" s="143">
        <v>1358000</v>
      </c>
      <c r="B27" s="32"/>
      <c r="C27" s="49" t="s">
        <v>10</v>
      </c>
      <c r="D27" s="13" t="s">
        <v>28</v>
      </c>
      <c r="E27" s="15">
        <v>781000</v>
      </c>
      <c r="F27" s="9">
        <v>181000</v>
      </c>
      <c r="G27" s="9">
        <v>396000</v>
      </c>
      <c r="H27" s="9"/>
      <c r="I27" s="9"/>
      <c r="J27" s="119"/>
      <c r="K27" s="106"/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/>
      <c r="K28" s="139"/>
    </row>
    <row r="29" spans="1:11" ht="19" x14ac:dyDescent="0.2">
      <c r="A29" s="143">
        <v>2330000</v>
      </c>
      <c r="B29" s="32">
        <v>45935</v>
      </c>
      <c r="C29" s="49" t="s">
        <v>9</v>
      </c>
      <c r="D29" s="13" t="s">
        <v>20</v>
      </c>
      <c r="E29" s="15">
        <v>1239000</v>
      </c>
      <c r="F29" s="174">
        <v>443000</v>
      </c>
      <c r="G29" s="174">
        <v>648000</v>
      </c>
      <c r="H29" s="9"/>
      <c r="I29" s="9"/>
      <c r="J29" s="119">
        <v>50000</v>
      </c>
      <c r="K29" s="9" t="s">
        <v>123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/>
      <c r="K30" s="139"/>
    </row>
    <row r="31" spans="1:11" ht="32" x14ac:dyDescent="0.2">
      <c r="A31" s="143">
        <v>2084000</v>
      </c>
      <c r="B31" s="32"/>
      <c r="C31" s="49" t="s">
        <v>10</v>
      </c>
      <c r="D31" s="13" t="s">
        <v>28</v>
      </c>
      <c r="E31" s="15">
        <v>1703000</v>
      </c>
      <c r="F31" s="9">
        <v>171000</v>
      </c>
      <c r="G31" s="9">
        <v>210000</v>
      </c>
      <c r="H31" s="9">
        <v>200000</v>
      </c>
      <c r="I31" s="176" t="s">
        <v>4470</v>
      </c>
      <c r="J31" s="9"/>
      <c r="K31" s="9"/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128000</v>
      </c>
      <c r="K32" s="139" t="s">
        <v>4471</v>
      </c>
    </row>
    <row r="33" spans="1:11" ht="19" x14ac:dyDescent="0.2">
      <c r="A33" s="143">
        <v>2992000</v>
      </c>
      <c r="B33" s="153">
        <v>45936</v>
      </c>
      <c r="C33" s="171" t="s">
        <v>9</v>
      </c>
      <c r="D33" s="155" t="s">
        <v>4452</v>
      </c>
      <c r="E33" s="164">
        <v>1809000</v>
      </c>
      <c r="F33" s="119">
        <v>413000</v>
      </c>
      <c r="G33" s="119">
        <v>770000</v>
      </c>
      <c r="H33" s="119"/>
      <c r="I33" s="119"/>
      <c r="J33" s="119">
        <v>58000</v>
      </c>
      <c r="K33" s="119" t="s">
        <v>4472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39000</v>
      </c>
      <c r="K34" s="139" t="s">
        <v>4473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44000</v>
      </c>
      <c r="K35" s="9" t="s">
        <v>1493</v>
      </c>
    </row>
    <row r="36" spans="1:11" ht="19" x14ac:dyDescent="0.2">
      <c r="A36" s="144">
        <v>1822000</v>
      </c>
      <c r="B36" s="145"/>
      <c r="C36" s="149" t="s">
        <v>10</v>
      </c>
      <c r="D36" s="147" t="s">
        <v>28</v>
      </c>
      <c r="E36" s="150">
        <v>1242000</v>
      </c>
      <c r="F36" s="139">
        <v>102000</v>
      </c>
      <c r="G36" s="139">
        <v>478000</v>
      </c>
      <c r="H36" s="139">
        <v>1200000</v>
      </c>
      <c r="I36" s="139" t="s">
        <v>4404</v>
      </c>
      <c r="J36" s="139"/>
      <c r="K36" s="139"/>
    </row>
    <row r="37" spans="1:11" ht="19" x14ac:dyDescent="0.2">
      <c r="A37" s="143">
        <v>3825000</v>
      </c>
      <c r="B37" s="32">
        <v>45937</v>
      </c>
      <c r="C37" s="49" t="s">
        <v>9</v>
      </c>
      <c r="D37" s="13" t="s">
        <v>4452</v>
      </c>
      <c r="E37" s="15">
        <v>2545000</v>
      </c>
      <c r="F37" s="9">
        <v>390000</v>
      </c>
      <c r="G37" s="9">
        <v>890000</v>
      </c>
      <c r="H37" s="9"/>
      <c r="I37" s="119"/>
      <c r="J37" s="9">
        <v>51000</v>
      </c>
      <c r="K37" s="9" t="s">
        <v>3488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45000</v>
      </c>
      <c r="K38" s="139" t="s">
        <v>1195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60000</v>
      </c>
      <c r="K39" s="9" t="s">
        <v>1491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25000</v>
      </c>
      <c r="K40" s="139" t="s">
        <v>4474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230000</v>
      </c>
      <c r="K41" s="9" t="s">
        <v>4475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284000</v>
      </c>
      <c r="K42" s="139" t="s">
        <v>4476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67000</v>
      </c>
      <c r="K43" s="9" t="s">
        <v>4477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16000</v>
      </c>
      <c r="K44" s="139" t="s">
        <v>4478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11000</v>
      </c>
      <c r="K45" s="119" t="s">
        <v>4479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14000</v>
      </c>
      <c r="K46" s="139" t="s">
        <v>4480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216000</v>
      </c>
      <c r="K47" s="119" t="s">
        <v>4265</v>
      </c>
    </row>
    <row r="48" spans="1:11" ht="19" x14ac:dyDescent="0.2">
      <c r="A48" s="144">
        <v>1647000</v>
      </c>
      <c r="B48" s="145"/>
      <c r="C48" s="149" t="s">
        <v>10</v>
      </c>
      <c r="D48" s="147" t="s">
        <v>20</v>
      </c>
      <c r="E48" s="150">
        <v>1270000</v>
      </c>
      <c r="F48" s="139">
        <v>263000</v>
      </c>
      <c r="G48" s="139">
        <v>114000</v>
      </c>
      <c r="H48" s="139"/>
      <c r="I48" s="152"/>
      <c r="J48" s="139">
        <v>160000</v>
      </c>
      <c r="K48" s="139" t="s">
        <v>1597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/>
      <c r="K49" s="119"/>
    </row>
    <row r="50" spans="1:11" ht="19" x14ac:dyDescent="0.2">
      <c r="A50" s="144">
        <v>3012000</v>
      </c>
      <c r="B50" s="145">
        <v>45938</v>
      </c>
      <c r="C50" s="149" t="s">
        <v>9</v>
      </c>
      <c r="D50" s="147" t="s">
        <v>3941</v>
      </c>
      <c r="E50" s="150">
        <v>1320000</v>
      </c>
      <c r="F50" s="139">
        <v>464000</v>
      </c>
      <c r="G50" s="139">
        <v>1228000</v>
      </c>
      <c r="H50" s="139"/>
      <c r="I50" s="139"/>
      <c r="J50" s="139">
        <v>135000</v>
      </c>
      <c r="K50" s="139" t="s">
        <v>4481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39000</v>
      </c>
      <c r="K51" s="119" t="s">
        <v>4482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42000</v>
      </c>
      <c r="K52" s="139" t="s">
        <v>4051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585000</v>
      </c>
      <c r="K53" s="119" t="s">
        <v>4106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114000</v>
      </c>
      <c r="K54" s="139" t="s">
        <v>1668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24000</v>
      </c>
      <c r="K55" s="119" t="s">
        <v>3840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24000</v>
      </c>
      <c r="K56" s="139" t="s">
        <v>4483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84000</v>
      </c>
      <c r="K57" s="119" t="s">
        <v>4484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48000</v>
      </c>
      <c r="K58" s="139" t="s">
        <v>4485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775000</v>
      </c>
      <c r="K59" s="119" t="s">
        <v>4486</v>
      </c>
    </row>
    <row r="60" spans="1:11" ht="19" x14ac:dyDescent="0.2">
      <c r="A60" s="144">
        <v>1661000</v>
      </c>
      <c r="B60" s="145"/>
      <c r="C60" s="149" t="s">
        <v>10</v>
      </c>
      <c r="D60" s="147" t="s">
        <v>28</v>
      </c>
      <c r="E60" s="150">
        <v>986000</v>
      </c>
      <c r="F60" s="139">
        <v>285000</v>
      </c>
      <c r="G60" s="139">
        <v>390000</v>
      </c>
      <c r="H60" s="300"/>
      <c r="I60" s="139"/>
      <c r="J60" s="139">
        <v>96000</v>
      </c>
      <c r="K60" s="139" t="s">
        <v>1310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/>
      <c r="K61" s="119"/>
    </row>
    <row r="62" spans="1:11" ht="19" x14ac:dyDescent="0.2">
      <c r="A62" s="144">
        <v>3424000</v>
      </c>
      <c r="B62" s="145">
        <v>45939</v>
      </c>
      <c r="C62" s="149" t="s">
        <v>9</v>
      </c>
      <c r="D62" s="147" t="s">
        <v>4487</v>
      </c>
      <c r="E62" s="150">
        <v>1646000</v>
      </c>
      <c r="F62" s="139">
        <v>607000</v>
      </c>
      <c r="G62" s="139">
        <v>1171000</v>
      </c>
      <c r="H62" s="157"/>
      <c r="I62" s="139"/>
      <c r="J62" s="139">
        <v>47000</v>
      </c>
      <c r="K62" s="139" t="s">
        <v>4488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/>
      <c r="K63" s="119"/>
    </row>
    <row r="64" spans="1:11" ht="19" x14ac:dyDescent="0.2">
      <c r="A64" s="144">
        <v>1679000</v>
      </c>
      <c r="B64" s="145"/>
      <c r="C64" s="149" t="s">
        <v>10</v>
      </c>
      <c r="D64" s="147" t="s">
        <v>28</v>
      </c>
      <c r="E64" s="150">
        <v>1515000</v>
      </c>
      <c r="F64" s="150">
        <v>80000</v>
      </c>
      <c r="G64" s="139">
        <v>84000</v>
      </c>
      <c r="H64" s="139">
        <v>7300000</v>
      </c>
      <c r="I64" s="139" t="s">
        <v>2310</v>
      </c>
      <c r="J64" s="139">
        <v>200000</v>
      </c>
      <c r="K64" s="139" t="s">
        <v>2796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45000</v>
      </c>
      <c r="K65" s="119" t="s">
        <v>3635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150000</v>
      </c>
      <c r="K66" s="139" t="s">
        <v>1805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/>
      <c r="K67" s="119"/>
    </row>
    <row r="68" spans="1:11" ht="19" x14ac:dyDescent="0.2">
      <c r="A68" s="144">
        <v>2950000</v>
      </c>
      <c r="B68" s="145">
        <v>45940</v>
      </c>
      <c r="C68" s="149" t="s">
        <v>9</v>
      </c>
      <c r="D68" s="147" t="s">
        <v>3386</v>
      </c>
      <c r="E68" s="150">
        <v>1444000</v>
      </c>
      <c r="F68" s="139">
        <v>529000</v>
      </c>
      <c r="G68" s="139">
        <v>977000</v>
      </c>
      <c r="H68" s="139"/>
      <c r="I68" s="139"/>
      <c r="J68" s="139">
        <v>94000</v>
      </c>
      <c r="K68" s="139" t="s">
        <v>4258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39000</v>
      </c>
      <c r="K69" s="119" t="s">
        <v>2247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81000</v>
      </c>
      <c r="K70" s="139" t="s">
        <v>4489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18000</v>
      </c>
      <c r="K71" s="9" t="s">
        <v>4490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44000</v>
      </c>
      <c r="K72" s="139" t="s">
        <v>1493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34000</v>
      </c>
      <c r="K73" s="9" t="s">
        <v>4491</v>
      </c>
    </row>
    <row r="74" spans="1:11" ht="19" x14ac:dyDescent="0.2">
      <c r="A74" s="148">
        <v>2226000</v>
      </c>
      <c r="B74" s="145"/>
      <c r="C74" s="151" t="s">
        <v>10</v>
      </c>
      <c r="D74" s="147" t="s">
        <v>28</v>
      </c>
      <c r="E74" s="150">
        <v>1825000</v>
      </c>
      <c r="F74" s="139">
        <v>18000</v>
      </c>
      <c r="G74" s="139">
        <v>383000</v>
      </c>
      <c r="H74" s="139"/>
      <c r="I74" s="139"/>
      <c r="J74" s="139">
        <v>260000</v>
      </c>
      <c r="K74" s="139" t="s">
        <v>4492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/>
      <c r="K75" s="119"/>
    </row>
    <row r="76" spans="1:11" ht="19" x14ac:dyDescent="0.2">
      <c r="A76" s="144">
        <v>2116000</v>
      </c>
      <c r="B76" s="145">
        <v>45941</v>
      </c>
      <c r="C76" s="149" t="s">
        <v>9</v>
      </c>
      <c r="D76" s="147" t="s">
        <v>3941</v>
      </c>
      <c r="E76" s="150">
        <v>1229000</v>
      </c>
      <c r="F76" s="139">
        <v>337000</v>
      </c>
      <c r="G76" s="139">
        <v>550000</v>
      </c>
      <c r="H76" s="152"/>
      <c r="I76" s="152"/>
      <c r="J76" s="139">
        <v>255000</v>
      </c>
      <c r="K76" s="139" t="s">
        <v>4493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9">
        <v>160000</v>
      </c>
      <c r="K77" s="9" t="s">
        <v>1597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70000</v>
      </c>
      <c r="K78" s="139" t="s">
        <v>4494</v>
      </c>
    </row>
    <row r="79" spans="1:11" ht="19" x14ac:dyDescent="0.2">
      <c r="A79" s="143">
        <v>2393000</v>
      </c>
      <c r="B79" s="153"/>
      <c r="C79" s="171" t="s">
        <v>10</v>
      </c>
      <c r="D79" s="155" t="s">
        <v>28</v>
      </c>
      <c r="E79" s="164">
        <v>1595000</v>
      </c>
      <c r="F79" s="119">
        <v>410000</v>
      </c>
      <c r="G79" s="119">
        <v>388000</v>
      </c>
      <c r="H79" s="119"/>
      <c r="I79" s="119"/>
      <c r="J79" s="119"/>
      <c r="K79" s="119"/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/>
      <c r="K80" s="139"/>
    </row>
    <row r="81" spans="1:11" ht="19" x14ac:dyDescent="0.2">
      <c r="A81" s="143">
        <v>2194000</v>
      </c>
      <c r="B81" s="153">
        <v>45942</v>
      </c>
      <c r="C81" s="171" t="s">
        <v>9</v>
      </c>
      <c r="D81" s="155" t="s">
        <v>4495</v>
      </c>
      <c r="E81" s="164">
        <v>1155000</v>
      </c>
      <c r="F81" s="119">
        <v>245000</v>
      </c>
      <c r="G81" s="119">
        <v>794000</v>
      </c>
      <c r="H81" s="119"/>
      <c r="I81" s="119"/>
      <c r="J81" s="119">
        <v>50000</v>
      </c>
      <c r="K81" s="119" t="s">
        <v>123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192000</v>
      </c>
      <c r="K82" s="139" t="s">
        <v>1838</v>
      </c>
    </row>
    <row r="83" spans="1:11" ht="19" x14ac:dyDescent="0.2">
      <c r="A83" s="143">
        <v>1378000</v>
      </c>
      <c r="B83" s="153"/>
      <c r="C83" s="171" t="s">
        <v>10</v>
      </c>
      <c r="D83" s="155" t="s">
        <v>28</v>
      </c>
      <c r="E83" s="164">
        <v>628000</v>
      </c>
      <c r="F83" s="119">
        <v>26000</v>
      </c>
      <c r="G83" s="119">
        <v>724000</v>
      </c>
      <c r="H83" s="9"/>
      <c r="I83" s="9"/>
      <c r="J83" s="9"/>
      <c r="K83" s="9"/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/>
      <c r="K84" s="139"/>
    </row>
    <row r="85" spans="1:11" ht="19" x14ac:dyDescent="0.2">
      <c r="A85" s="143">
        <v>3021000</v>
      </c>
      <c r="B85" s="153">
        <v>45943</v>
      </c>
      <c r="C85" s="171" t="s">
        <v>9</v>
      </c>
      <c r="D85" s="155" t="s">
        <v>4452</v>
      </c>
      <c r="E85" s="164">
        <v>1930000</v>
      </c>
      <c r="F85" s="119">
        <v>350000</v>
      </c>
      <c r="G85" s="119">
        <v>741000</v>
      </c>
      <c r="H85" s="174"/>
      <c r="I85" s="106"/>
      <c r="J85" s="119">
        <v>19000</v>
      </c>
      <c r="K85" s="119" t="s">
        <v>4496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68000</v>
      </c>
      <c r="K86" s="139" t="s">
        <v>1595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16000</v>
      </c>
      <c r="K87" s="119" t="s">
        <v>1827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>
        <v>179000</v>
      </c>
      <c r="K88" s="162" t="s">
        <v>4497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73000</v>
      </c>
      <c r="K89" s="119" t="s">
        <v>4498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29000</v>
      </c>
      <c r="K90" s="139" t="s">
        <v>4499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74000</v>
      </c>
      <c r="K91" s="119" t="s">
        <v>4500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100000</v>
      </c>
      <c r="K92" s="139" t="s">
        <v>4501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>
        <v>170000</v>
      </c>
      <c r="K93" s="9" t="s">
        <v>4502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62">
        <v>170000</v>
      </c>
      <c r="K94" s="162" t="s">
        <v>4503</v>
      </c>
    </row>
    <row r="95" spans="1:11" ht="19" x14ac:dyDescent="0.2">
      <c r="A95" s="143">
        <v>2101000</v>
      </c>
      <c r="B95" s="32"/>
      <c r="C95" s="49" t="s">
        <v>10</v>
      </c>
      <c r="D95" s="13" t="s">
        <v>28</v>
      </c>
      <c r="E95" s="15">
        <v>1604000</v>
      </c>
      <c r="F95" s="9">
        <v>204000</v>
      </c>
      <c r="G95" s="9">
        <v>293000</v>
      </c>
      <c r="H95" s="9"/>
      <c r="I95" s="9"/>
      <c r="J95" s="119">
        <v>30000</v>
      </c>
      <c r="K95" s="119" t="s">
        <v>1385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/>
      <c r="K96" s="139"/>
    </row>
    <row r="97" spans="1:11" ht="19" x14ac:dyDescent="0.2">
      <c r="A97" s="143">
        <v>3018000</v>
      </c>
      <c r="B97" s="32">
        <v>45944</v>
      </c>
      <c r="C97" s="49" t="s">
        <v>9</v>
      </c>
      <c r="D97" s="13" t="s">
        <v>3941</v>
      </c>
      <c r="E97" s="15">
        <v>1607000</v>
      </c>
      <c r="F97" s="9">
        <v>345000</v>
      </c>
      <c r="G97" s="9">
        <v>1066000</v>
      </c>
      <c r="H97" s="60"/>
      <c r="I97" s="175"/>
      <c r="J97" s="9">
        <v>108000</v>
      </c>
      <c r="K97" s="9" t="s">
        <v>2015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61000</v>
      </c>
      <c r="K98" s="139" t="s">
        <v>4504</v>
      </c>
    </row>
    <row r="99" spans="1:11" ht="19" x14ac:dyDescent="0.2">
      <c r="A99" s="143">
        <v>2215000</v>
      </c>
      <c r="B99" s="153"/>
      <c r="C99" s="171" t="s">
        <v>10</v>
      </c>
      <c r="D99" s="155" t="s">
        <v>4443</v>
      </c>
      <c r="E99" s="164">
        <v>1127000</v>
      </c>
      <c r="F99" s="164">
        <v>50000</v>
      </c>
      <c r="G99" s="119">
        <v>1038000</v>
      </c>
      <c r="H99" s="119"/>
      <c r="I99" s="119"/>
      <c r="J99" s="119">
        <v>150000</v>
      </c>
      <c r="K99" s="119" t="s">
        <v>4505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200000</v>
      </c>
      <c r="K100" s="139" t="s">
        <v>2796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45000</v>
      </c>
      <c r="K101" s="119" t="s">
        <v>3635</v>
      </c>
    </row>
    <row r="102" spans="1:11" ht="32" x14ac:dyDescent="0.2">
      <c r="A102" s="144">
        <v>3293000</v>
      </c>
      <c r="B102" s="145">
        <v>45945</v>
      </c>
      <c r="C102" s="149" t="s">
        <v>9</v>
      </c>
      <c r="D102" s="147" t="s">
        <v>3941</v>
      </c>
      <c r="E102" s="150">
        <v>1885000</v>
      </c>
      <c r="F102" s="139">
        <v>610000</v>
      </c>
      <c r="G102" s="139">
        <v>798000</v>
      </c>
      <c r="H102" s="139">
        <v>1697000</v>
      </c>
      <c r="I102" s="161" t="s">
        <v>4506</v>
      </c>
      <c r="J102" s="139">
        <v>150000</v>
      </c>
      <c r="K102" s="139" t="s">
        <v>4507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>
        <v>643000</v>
      </c>
      <c r="I103" s="119" t="s">
        <v>4508</v>
      </c>
      <c r="J103" s="119"/>
      <c r="K103" s="119"/>
    </row>
    <row r="104" spans="1:11" ht="19" x14ac:dyDescent="0.2">
      <c r="A104" s="144">
        <v>2047000</v>
      </c>
      <c r="B104" s="145"/>
      <c r="C104" s="149" t="s">
        <v>10</v>
      </c>
      <c r="D104" s="147" t="s">
        <v>4443</v>
      </c>
      <c r="E104" s="150">
        <v>1405000</v>
      </c>
      <c r="F104" s="139">
        <v>229000</v>
      </c>
      <c r="G104" s="139">
        <v>413000</v>
      </c>
      <c r="H104" s="139">
        <v>2168000</v>
      </c>
      <c r="I104" s="139" t="s">
        <v>4509</v>
      </c>
      <c r="J104" s="139">
        <v>20000</v>
      </c>
      <c r="K104" s="139" t="s">
        <v>1859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>
        <v>1445000</v>
      </c>
      <c r="I105" s="119" t="s">
        <v>4510</v>
      </c>
      <c r="J105" s="119">
        <v>192000</v>
      </c>
      <c r="K105" s="119" t="s">
        <v>1838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>
        <v>400000</v>
      </c>
      <c r="I106" s="139" t="s">
        <v>3390</v>
      </c>
      <c r="J106" s="139"/>
      <c r="K106" s="139"/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>
        <v>500000</v>
      </c>
      <c r="I107" s="119" t="s">
        <v>4511</v>
      </c>
      <c r="J107" s="119"/>
      <c r="K107" s="119"/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/>
      <c r="K108" s="139"/>
    </row>
    <row r="109" spans="1:11" ht="19" x14ac:dyDescent="0.2">
      <c r="A109" s="293">
        <v>3020000</v>
      </c>
      <c r="B109" s="153">
        <v>45946</v>
      </c>
      <c r="C109" s="171" t="s">
        <v>9</v>
      </c>
      <c r="D109" s="155" t="s">
        <v>4452</v>
      </c>
      <c r="E109" s="164">
        <v>1742000</v>
      </c>
      <c r="F109" s="119">
        <v>520000</v>
      </c>
      <c r="G109" s="119">
        <v>758000</v>
      </c>
      <c r="H109" s="119"/>
      <c r="I109" s="119"/>
      <c r="J109" s="119">
        <v>199000</v>
      </c>
      <c r="K109" s="119" t="s">
        <v>4512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69000</v>
      </c>
      <c r="K110" s="139" t="s">
        <v>4513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36000</v>
      </c>
      <c r="K111" s="119" t="s">
        <v>3189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49000</v>
      </c>
      <c r="K112" s="139" t="s">
        <v>1493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34000</v>
      </c>
      <c r="K113" s="119" t="s">
        <v>4514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14000</v>
      </c>
      <c r="K114" s="139" t="s">
        <v>4355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72000</v>
      </c>
      <c r="K115" s="119" t="s">
        <v>4515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100000</v>
      </c>
      <c r="K116" s="162" t="s">
        <v>3761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100000</v>
      </c>
      <c r="K117" s="174" t="s">
        <v>4516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100000</v>
      </c>
      <c r="K118" s="139" t="s">
        <v>4517</v>
      </c>
    </row>
    <row r="119" spans="1:11" ht="19" x14ac:dyDescent="0.2">
      <c r="A119" s="143">
        <v>1734000</v>
      </c>
      <c r="B119" s="153"/>
      <c r="C119" s="171" t="s">
        <v>10</v>
      </c>
      <c r="D119" s="155" t="s">
        <v>4443</v>
      </c>
      <c r="E119" s="164">
        <v>988000</v>
      </c>
      <c r="F119" s="119">
        <v>156000</v>
      </c>
      <c r="G119" s="119">
        <v>590000</v>
      </c>
      <c r="H119" s="119"/>
      <c r="I119" s="119"/>
      <c r="J119" s="119">
        <v>160000</v>
      </c>
      <c r="K119" s="119" t="s">
        <v>1597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/>
      <c r="K120" s="139"/>
    </row>
    <row r="121" spans="1:11" ht="19" x14ac:dyDescent="0.2">
      <c r="A121" s="143">
        <v>3005000</v>
      </c>
      <c r="B121" s="153">
        <v>45947</v>
      </c>
      <c r="C121" s="171" t="s">
        <v>9</v>
      </c>
      <c r="D121" s="155" t="s">
        <v>4452</v>
      </c>
      <c r="E121" s="164">
        <v>1840000</v>
      </c>
      <c r="F121" s="119">
        <v>354000</v>
      </c>
      <c r="G121" s="119">
        <v>811000</v>
      </c>
      <c r="H121" s="119"/>
      <c r="I121" s="119"/>
      <c r="J121" s="119">
        <v>100000</v>
      </c>
      <c r="K121" s="119" t="s">
        <v>3248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/>
      <c r="K122" s="139"/>
    </row>
    <row r="123" spans="1:11" ht="19" x14ac:dyDescent="0.2">
      <c r="A123" s="143">
        <v>1588000</v>
      </c>
      <c r="B123" s="153"/>
      <c r="C123" s="163" t="s">
        <v>10</v>
      </c>
      <c r="D123" s="155" t="s">
        <v>4443</v>
      </c>
      <c r="E123" s="164">
        <v>618000</v>
      </c>
      <c r="F123" s="119">
        <v>191000</v>
      </c>
      <c r="G123" s="119">
        <v>779000</v>
      </c>
      <c r="H123" s="119"/>
      <c r="I123" s="119"/>
      <c r="J123" s="174"/>
      <c r="K123" s="174"/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/>
      <c r="K124" s="162"/>
    </row>
    <row r="125" spans="1:11" ht="19" x14ac:dyDescent="0.2">
      <c r="A125" s="143">
        <v>2066000</v>
      </c>
      <c r="B125" s="32">
        <v>45948</v>
      </c>
      <c r="C125" s="171" t="s">
        <v>9</v>
      </c>
      <c r="D125" s="155" t="s">
        <v>3386</v>
      </c>
      <c r="E125" s="15">
        <v>1146000</v>
      </c>
      <c r="F125" s="9">
        <v>234000</v>
      </c>
      <c r="G125" s="9">
        <v>686000</v>
      </c>
      <c r="H125" s="9"/>
      <c r="I125" s="9"/>
      <c r="J125" s="174">
        <v>60000</v>
      </c>
      <c r="K125" s="106" t="s">
        <v>1491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/>
      <c r="K126" s="162"/>
    </row>
    <row r="127" spans="1:11" ht="19" x14ac:dyDescent="0.2">
      <c r="A127" s="143">
        <v>1971000</v>
      </c>
      <c r="B127" s="153"/>
      <c r="C127" s="163" t="s">
        <v>10</v>
      </c>
      <c r="D127" s="155" t="s">
        <v>28</v>
      </c>
      <c r="E127" s="164">
        <v>1465000</v>
      </c>
      <c r="F127" s="301">
        <v>163000</v>
      </c>
      <c r="G127" s="119">
        <v>343000</v>
      </c>
      <c r="H127" s="119"/>
      <c r="I127" s="119"/>
      <c r="J127" s="174">
        <v>50000</v>
      </c>
      <c r="K127" s="174" t="s">
        <v>123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/>
      <c r="K128" s="139"/>
    </row>
    <row r="129" spans="1:11" ht="19" x14ac:dyDescent="0.2">
      <c r="A129" s="143">
        <v>2378000</v>
      </c>
      <c r="B129" s="153">
        <v>45949</v>
      </c>
      <c r="C129" s="163" t="s">
        <v>9</v>
      </c>
      <c r="D129" s="155" t="s">
        <v>4495</v>
      </c>
      <c r="E129" s="164">
        <v>1593000</v>
      </c>
      <c r="F129" s="119">
        <v>303000</v>
      </c>
      <c r="G129" s="119">
        <v>482000</v>
      </c>
      <c r="H129" s="119"/>
      <c r="I129" s="119"/>
      <c r="J129" s="175">
        <v>382000</v>
      </c>
      <c r="K129" s="175" t="s">
        <v>4559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52">
        <v>484000</v>
      </c>
      <c r="K130" s="152" t="s">
        <v>4560</v>
      </c>
    </row>
    <row r="131" spans="1:11" ht="19" x14ac:dyDescent="0.2">
      <c r="A131" s="143">
        <v>2447000</v>
      </c>
      <c r="B131" s="153"/>
      <c r="C131" s="163" t="s">
        <v>10</v>
      </c>
      <c r="D131" s="155" t="s">
        <v>4443</v>
      </c>
      <c r="E131" s="164">
        <v>1985000</v>
      </c>
      <c r="F131" s="119">
        <v>82000</v>
      </c>
      <c r="G131" s="119">
        <v>380000</v>
      </c>
      <c r="H131" s="175">
        <v>10854000</v>
      </c>
      <c r="I131" s="175" t="s">
        <v>4561</v>
      </c>
      <c r="J131" s="119">
        <v>160000</v>
      </c>
      <c r="K131" s="119" t="s">
        <v>1518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52"/>
      <c r="I132" s="152"/>
      <c r="J132" s="139">
        <v>300000</v>
      </c>
      <c r="K132" s="139" t="s">
        <v>3838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75"/>
      <c r="I133" s="175"/>
      <c r="J133" s="119">
        <v>70000</v>
      </c>
      <c r="K133" s="119" t="s">
        <v>4494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52"/>
      <c r="I134" s="152"/>
      <c r="J134" s="139">
        <v>120000</v>
      </c>
      <c r="K134" s="139" t="s">
        <v>1854</v>
      </c>
    </row>
    <row r="135" spans="1:11" ht="19" x14ac:dyDescent="0.2">
      <c r="A135" s="143">
        <v>2900000</v>
      </c>
      <c r="B135" s="153">
        <v>45950</v>
      </c>
      <c r="C135" s="163" t="s">
        <v>9</v>
      </c>
      <c r="D135" s="155" t="s">
        <v>4452</v>
      </c>
      <c r="E135" s="164">
        <v>1613000</v>
      </c>
      <c r="F135" s="119">
        <v>341000</v>
      </c>
      <c r="G135" s="119">
        <v>946000</v>
      </c>
      <c r="H135" s="175">
        <v>3733000</v>
      </c>
      <c r="I135" s="175" t="s">
        <v>4557</v>
      </c>
      <c r="J135" s="119">
        <v>161000</v>
      </c>
      <c r="K135" s="119" t="s">
        <v>4518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52">
        <v>5660000</v>
      </c>
      <c r="I136" s="152" t="s">
        <v>4558</v>
      </c>
      <c r="J136" s="139">
        <v>127000</v>
      </c>
      <c r="K136" s="139" t="s">
        <v>2830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187000</v>
      </c>
      <c r="K137" s="174" t="s">
        <v>2732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19000</v>
      </c>
      <c r="K138" s="162" t="s">
        <v>4064</v>
      </c>
    </row>
    <row r="139" spans="1:11" ht="19" x14ac:dyDescent="0.2">
      <c r="A139" s="143">
        <v>2099000</v>
      </c>
      <c r="B139" s="32"/>
      <c r="C139" s="35" t="s">
        <v>10</v>
      </c>
      <c r="D139" s="13" t="s">
        <v>4443</v>
      </c>
      <c r="E139" s="15">
        <v>1660000</v>
      </c>
      <c r="F139" s="9">
        <v>439000</v>
      </c>
      <c r="G139" s="9">
        <v>0</v>
      </c>
      <c r="H139" s="9">
        <v>255000</v>
      </c>
      <c r="I139" s="9" t="s">
        <v>1800</v>
      </c>
      <c r="J139" s="106">
        <v>26000</v>
      </c>
      <c r="K139" s="106" t="s">
        <v>4519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200000</v>
      </c>
      <c r="K140" s="162" t="s">
        <v>2796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45000</v>
      </c>
      <c r="K141" s="174" t="s">
        <v>4520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150000</v>
      </c>
      <c r="K142" s="139" t="s">
        <v>1805</v>
      </c>
    </row>
    <row r="143" spans="1:11" ht="19" x14ac:dyDescent="0.2">
      <c r="A143" s="143">
        <v>3039000</v>
      </c>
      <c r="B143" s="153">
        <v>45951</v>
      </c>
      <c r="C143" s="163" t="s">
        <v>9</v>
      </c>
      <c r="D143" s="155" t="s">
        <v>3941</v>
      </c>
      <c r="E143" s="164">
        <v>2055000</v>
      </c>
      <c r="F143" s="119">
        <v>178000</v>
      </c>
      <c r="G143" s="119">
        <v>806000</v>
      </c>
      <c r="H143" s="119"/>
      <c r="I143" s="119"/>
      <c r="J143" s="119">
        <v>29000</v>
      </c>
      <c r="K143" s="119" t="s">
        <v>4521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69000</v>
      </c>
      <c r="K144" s="139" t="s">
        <v>3324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10000</v>
      </c>
      <c r="K145" s="119" t="s">
        <v>1305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7000</v>
      </c>
      <c r="K146" s="162" t="s">
        <v>1580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340000</v>
      </c>
      <c r="K147" s="119" t="s">
        <v>4522</v>
      </c>
    </row>
    <row r="148" spans="1:11" ht="19" x14ac:dyDescent="0.2">
      <c r="A148" s="148">
        <v>1289000</v>
      </c>
      <c r="B148" s="145"/>
      <c r="C148" s="151" t="s">
        <v>10</v>
      </c>
      <c r="D148" s="147" t="s">
        <v>4495</v>
      </c>
      <c r="E148" s="150">
        <v>716000</v>
      </c>
      <c r="F148" s="139">
        <v>228000</v>
      </c>
      <c r="G148" s="139">
        <v>345000</v>
      </c>
      <c r="H148" s="139"/>
      <c r="I148" s="139"/>
      <c r="J148" s="139">
        <v>22000</v>
      </c>
      <c r="K148" s="139" t="s">
        <v>4523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/>
      <c r="K149" s="119"/>
    </row>
    <row r="150" spans="1:11" ht="19" x14ac:dyDescent="0.2">
      <c r="A150" s="148">
        <v>3209000</v>
      </c>
      <c r="B150" s="145">
        <v>45952</v>
      </c>
      <c r="C150" s="151" t="s">
        <v>9</v>
      </c>
      <c r="D150" s="160" t="s">
        <v>3941</v>
      </c>
      <c r="E150" s="150">
        <v>1722000</v>
      </c>
      <c r="F150" s="139">
        <v>310000</v>
      </c>
      <c r="G150" s="139">
        <v>1177000</v>
      </c>
      <c r="H150" s="139"/>
      <c r="I150" s="139"/>
      <c r="J150" s="139">
        <v>7000</v>
      </c>
      <c r="K150" s="139" t="s">
        <v>2776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5000</v>
      </c>
      <c r="K151" s="119" t="s">
        <v>4524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81000</v>
      </c>
      <c r="K152" s="139" t="s">
        <v>4525</v>
      </c>
    </row>
    <row r="153" spans="1:11" ht="19" x14ac:dyDescent="0.2">
      <c r="A153" s="143">
        <v>1861000</v>
      </c>
      <c r="B153" s="153"/>
      <c r="C153" s="163" t="s">
        <v>10</v>
      </c>
      <c r="D153" s="155" t="s">
        <v>28</v>
      </c>
      <c r="E153" s="164">
        <v>1375000</v>
      </c>
      <c r="F153" s="119">
        <v>223000</v>
      </c>
      <c r="G153" s="119">
        <v>263000</v>
      </c>
      <c r="H153" s="119"/>
      <c r="I153" s="119"/>
      <c r="J153" s="119">
        <v>80000</v>
      </c>
      <c r="K153" s="119" t="s">
        <v>1307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/>
      <c r="K154" s="139"/>
    </row>
    <row r="155" spans="1:11" ht="19" x14ac:dyDescent="0.2">
      <c r="A155" s="143">
        <v>2240000</v>
      </c>
      <c r="B155" s="153">
        <v>45953</v>
      </c>
      <c r="C155" s="154" t="s">
        <v>9</v>
      </c>
      <c r="D155" s="155" t="s">
        <v>4526</v>
      </c>
      <c r="E155" s="164">
        <v>1483000</v>
      </c>
      <c r="F155" s="119">
        <v>185000</v>
      </c>
      <c r="G155" s="119">
        <v>572000</v>
      </c>
      <c r="H155" s="119"/>
      <c r="I155" s="119"/>
      <c r="J155" s="119">
        <v>74000</v>
      </c>
      <c r="K155" s="119" t="s">
        <v>4527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44000</v>
      </c>
      <c r="K156" s="139" t="s">
        <v>1493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160000</v>
      </c>
      <c r="K157" s="119" t="s">
        <v>1597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105000</v>
      </c>
      <c r="K158" s="139" t="s">
        <v>1566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240000</v>
      </c>
      <c r="K159" s="119" t="s">
        <v>3659</v>
      </c>
    </row>
    <row r="160" spans="1:11" ht="19" x14ac:dyDescent="0.2">
      <c r="A160" s="144">
        <v>1404000</v>
      </c>
      <c r="B160" s="145"/>
      <c r="C160" s="146" t="s">
        <v>10</v>
      </c>
      <c r="D160" s="147" t="s">
        <v>28</v>
      </c>
      <c r="E160" s="150">
        <v>828000</v>
      </c>
      <c r="F160" s="139">
        <v>296000</v>
      </c>
      <c r="G160" s="139">
        <v>280000</v>
      </c>
      <c r="H160" s="139"/>
      <c r="I160" s="165"/>
      <c r="J160" s="139"/>
      <c r="K160" s="139"/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/>
      <c r="K161" s="9"/>
    </row>
    <row r="162" spans="1:11" ht="19" x14ac:dyDescent="0.2">
      <c r="A162" s="144">
        <v>2147000</v>
      </c>
      <c r="B162" s="145">
        <v>45954</v>
      </c>
      <c r="C162" s="149" t="s">
        <v>9</v>
      </c>
      <c r="D162" s="147" t="s">
        <v>3386</v>
      </c>
      <c r="E162" s="150">
        <v>1436000</v>
      </c>
      <c r="F162" s="139">
        <v>230000</v>
      </c>
      <c r="G162" s="139">
        <v>481000</v>
      </c>
      <c r="H162" s="139"/>
      <c r="I162" s="165"/>
      <c r="J162" s="139"/>
      <c r="K162" s="139"/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/>
      <c r="K163" s="9"/>
    </row>
    <row r="164" spans="1:11" ht="19" x14ac:dyDescent="0.2">
      <c r="A164" s="144">
        <v>1167000</v>
      </c>
      <c r="B164" s="145"/>
      <c r="C164" s="149" t="s">
        <v>10</v>
      </c>
      <c r="D164" s="147" t="s">
        <v>28</v>
      </c>
      <c r="E164" s="150">
        <v>741000</v>
      </c>
      <c r="F164" s="139">
        <v>108000</v>
      </c>
      <c r="G164" s="139">
        <v>318000</v>
      </c>
      <c r="H164" s="139"/>
      <c r="I164" s="165"/>
      <c r="J164" s="139"/>
      <c r="K164" s="139"/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/>
      <c r="K165" s="9"/>
    </row>
    <row r="166" spans="1:11" ht="19" x14ac:dyDescent="0.2">
      <c r="A166" s="144">
        <v>3011000</v>
      </c>
      <c r="B166" s="145">
        <v>45955</v>
      </c>
      <c r="C166" s="149" t="s">
        <v>9</v>
      </c>
      <c r="D166" s="147" t="s">
        <v>3386</v>
      </c>
      <c r="E166" s="150">
        <v>1921000</v>
      </c>
      <c r="F166" s="139">
        <v>236000</v>
      </c>
      <c r="G166" s="139">
        <v>854000</v>
      </c>
      <c r="H166" s="139"/>
      <c r="I166" s="165"/>
      <c r="J166" s="139">
        <v>60000</v>
      </c>
      <c r="K166" s="165" t="s">
        <v>1491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12000</v>
      </c>
      <c r="K167" s="77" t="s">
        <v>1582</v>
      </c>
    </row>
    <row r="168" spans="1:11" ht="19" x14ac:dyDescent="0.2">
      <c r="A168" s="144">
        <v>1918000</v>
      </c>
      <c r="B168" s="145"/>
      <c r="C168" s="149" t="s">
        <v>10</v>
      </c>
      <c r="D168" s="147" t="s">
        <v>28</v>
      </c>
      <c r="E168" s="150">
        <v>1158000</v>
      </c>
      <c r="F168" s="139">
        <v>185000</v>
      </c>
      <c r="G168" s="139">
        <v>575000</v>
      </c>
      <c r="H168" s="139"/>
      <c r="I168" s="165"/>
      <c r="J168" s="139">
        <v>22000</v>
      </c>
      <c r="K168" s="139" t="s">
        <v>4528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50000</v>
      </c>
      <c r="K169" s="9" t="s">
        <v>123</v>
      </c>
    </row>
    <row r="170" spans="1:11" ht="19" x14ac:dyDescent="0.2">
      <c r="A170" s="144">
        <v>2117000</v>
      </c>
      <c r="B170" s="145">
        <v>45956</v>
      </c>
      <c r="C170" s="149" t="s">
        <v>9</v>
      </c>
      <c r="D170" s="147" t="s">
        <v>3941</v>
      </c>
      <c r="E170" s="150">
        <v>1193000</v>
      </c>
      <c r="F170" s="139">
        <v>306000</v>
      </c>
      <c r="G170" s="139">
        <v>618000</v>
      </c>
      <c r="H170" s="139"/>
      <c r="I170" s="165"/>
      <c r="J170" s="139"/>
      <c r="K170" s="139"/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/>
      <c r="K171" s="9"/>
    </row>
    <row r="172" spans="1:11" ht="19" x14ac:dyDescent="0.2">
      <c r="A172" s="144">
        <v>1627000</v>
      </c>
      <c r="B172" s="145"/>
      <c r="C172" s="149" t="s">
        <v>10</v>
      </c>
      <c r="D172" s="147" t="s">
        <v>4443</v>
      </c>
      <c r="E172" s="150">
        <v>1163000</v>
      </c>
      <c r="F172" s="139">
        <v>356000</v>
      </c>
      <c r="G172" s="139">
        <v>108000</v>
      </c>
      <c r="H172" s="139"/>
      <c r="I172" s="165"/>
      <c r="J172" s="139">
        <v>144000</v>
      </c>
      <c r="K172" s="139" t="s">
        <v>1649</v>
      </c>
    </row>
    <row r="173" spans="1:11" ht="19" x14ac:dyDescent="0.2">
      <c r="A173" s="143"/>
      <c r="B173" s="32"/>
      <c r="C173" s="49"/>
      <c r="D173" s="13"/>
      <c r="E173" s="15"/>
      <c r="F173" s="9"/>
      <c r="G173" s="9"/>
      <c r="H173" s="9"/>
      <c r="I173" s="77"/>
      <c r="J173" s="9"/>
      <c r="K173" s="9"/>
    </row>
    <row r="174" spans="1:11" ht="19" x14ac:dyDescent="0.2">
      <c r="A174" s="144">
        <v>2416000</v>
      </c>
      <c r="B174" s="145">
        <v>45957</v>
      </c>
      <c r="C174" s="149" t="s">
        <v>9</v>
      </c>
      <c r="D174" s="147" t="s">
        <v>3941</v>
      </c>
      <c r="E174" s="150">
        <v>1505000</v>
      </c>
      <c r="F174" s="139">
        <v>185000</v>
      </c>
      <c r="G174" s="139">
        <v>726000</v>
      </c>
      <c r="H174" s="139"/>
      <c r="I174" s="165"/>
      <c r="J174" s="139">
        <v>174000</v>
      </c>
      <c r="K174" s="139" t="s">
        <v>4236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56000</v>
      </c>
      <c r="K175" s="9" t="s">
        <v>4529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10000</v>
      </c>
      <c r="K176" s="139" t="s">
        <v>4530</v>
      </c>
    </row>
    <row r="177" spans="1:11" ht="19" x14ac:dyDescent="0.2">
      <c r="A177" s="143">
        <v>1678000</v>
      </c>
      <c r="B177" s="32"/>
      <c r="C177" s="49" t="s">
        <v>10</v>
      </c>
      <c r="D177" s="13" t="s">
        <v>4443</v>
      </c>
      <c r="E177" s="15">
        <v>1114000</v>
      </c>
      <c r="F177" s="9">
        <v>90000</v>
      </c>
      <c r="G177" s="9">
        <v>474000</v>
      </c>
      <c r="H177" s="9"/>
      <c r="I177" s="77"/>
      <c r="J177" s="9">
        <v>32000</v>
      </c>
      <c r="K177" s="9" t="s">
        <v>4531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36000</v>
      </c>
      <c r="K178" s="139" t="s">
        <v>4532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30000</v>
      </c>
      <c r="K179" s="9" t="s">
        <v>4533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30000</v>
      </c>
      <c r="K180" s="139" t="s">
        <v>4534</v>
      </c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>
        <v>24000</v>
      </c>
      <c r="K181" s="9" t="s">
        <v>4535</v>
      </c>
    </row>
    <row r="182" spans="1:11" ht="19" x14ac:dyDescent="0.2">
      <c r="A182" s="144">
        <v>3135000</v>
      </c>
      <c r="B182" s="145">
        <v>45958</v>
      </c>
      <c r="C182" s="149" t="s">
        <v>9</v>
      </c>
      <c r="D182" s="147" t="s">
        <v>3941</v>
      </c>
      <c r="E182" s="150">
        <v>2407000</v>
      </c>
      <c r="F182" s="139">
        <v>204000</v>
      </c>
      <c r="G182" s="139">
        <v>524000</v>
      </c>
      <c r="H182" s="139"/>
      <c r="I182" s="165"/>
      <c r="J182" s="139">
        <v>83000</v>
      </c>
      <c r="K182" s="139" t="s">
        <v>4536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/>
      <c r="K183" s="119"/>
    </row>
    <row r="184" spans="1:11" ht="19" x14ac:dyDescent="0.2">
      <c r="A184" s="144">
        <v>2504000</v>
      </c>
      <c r="B184" s="145"/>
      <c r="C184" s="149" t="s">
        <v>10</v>
      </c>
      <c r="D184" s="147" t="s">
        <v>28</v>
      </c>
      <c r="E184" s="150">
        <v>1815000</v>
      </c>
      <c r="F184" s="139">
        <v>333000</v>
      </c>
      <c r="G184" s="139">
        <v>356000</v>
      </c>
      <c r="H184" s="139"/>
      <c r="I184" s="165"/>
      <c r="J184" s="139"/>
      <c r="K184" s="139"/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/>
      <c r="K185" s="119"/>
    </row>
    <row r="186" spans="1:11" ht="19" x14ac:dyDescent="0.2">
      <c r="A186" s="144">
        <v>2588000</v>
      </c>
      <c r="B186" s="145">
        <v>45959</v>
      </c>
      <c r="C186" s="149" t="s">
        <v>9</v>
      </c>
      <c r="D186" s="147" t="s">
        <v>3941</v>
      </c>
      <c r="E186" s="150">
        <v>1908000</v>
      </c>
      <c r="F186" s="139">
        <v>285000</v>
      </c>
      <c r="G186" s="139">
        <v>395000</v>
      </c>
      <c r="H186" s="139"/>
      <c r="I186" s="165"/>
      <c r="J186" s="139">
        <v>44000</v>
      </c>
      <c r="K186" s="139" t="s">
        <v>3662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>
        <v>36000</v>
      </c>
      <c r="K187" s="119" t="s">
        <v>4537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27000</v>
      </c>
      <c r="K188" s="139" t="s">
        <v>4538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>
        <v>27000</v>
      </c>
      <c r="K189" s="119" t="s">
        <v>4539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>
        <v>24000</v>
      </c>
      <c r="K190" s="139" t="s">
        <v>4540</v>
      </c>
    </row>
    <row r="191" spans="1:11" ht="19" x14ac:dyDescent="0.2">
      <c r="A191" s="143">
        <v>1742000</v>
      </c>
      <c r="B191" s="153"/>
      <c r="C191" s="171" t="s">
        <v>10</v>
      </c>
      <c r="D191" s="155" t="s">
        <v>4443</v>
      </c>
      <c r="E191" s="164">
        <v>1275000</v>
      </c>
      <c r="F191" s="119">
        <v>209000</v>
      </c>
      <c r="G191" s="119">
        <v>258000</v>
      </c>
      <c r="H191" s="119"/>
      <c r="I191" s="168"/>
      <c r="J191" s="119">
        <v>30000</v>
      </c>
      <c r="K191" s="119" t="s">
        <v>4533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9000</v>
      </c>
      <c r="K192" s="139" t="s">
        <v>4541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162000</v>
      </c>
      <c r="K193" s="119" t="s">
        <v>4542</v>
      </c>
    </row>
    <row r="194" spans="1:11" ht="19" x14ac:dyDescent="0.2">
      <c r="A194" s="144">
        <v>3017000</v>
      </c>
      <c r="B194" s="145">
        <v>45960</v>
      </c>
      <c r="C194" s="149" t="s">
        <v>9</v>
      </c>
      <c r="D194" s="147" t="s">
        <v>3941</v>
      </c>
      <c r="E194" s="150">
        <v>1690000</v>
      </c>
      <c r="F194" s="139">
        <v>428000</v>
      </c>
      <c r="G194" s="139">
        <v>899000</v>
      </c>
      <c r="H194" s="139"/>
      <c r="I194" s="165"/>
      <c r="J194" s="139">
        <v>162000</v>
      </c>
      <c r="K194" s="139" t="s">
        <v>3622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>
        <v>100000</v>
      </c>
      <c r="K195" s="119" t="s">
        <v>4543</v>
      </c>
    </row>
    <row r="196" spans="1:11" ht="19" x14ac:dyDescent="0.2">
      <c r="A196" s="144">
        <v>1573000</v>
      </c>
      <c r="B196" s="145"/>
      <c r="C196" s="149" t="s">
        <v>10</v>
      </c>
      <c r="D196" s="147" t="s">
        <v>4443</v>
      </c>
      <c r="E196" s="150">
        <v>975000</v>
      </c>
      <c r="F196" s="139">
        <v>128000</v>
      </c>
      <c r="G196" s="139">
        <v>470000</v>
      </c>
      <c r="H196" s="139"/>
      <c r="I196" s="165"/>
      <c r="J196" s="139">
        <v>100000</v>
      </c>
      <c r="K196" s="139" t="s">
        <v>3248</v>
      </c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68"/>
      <c r="J197" s="119"/>
      <c r="K197" s="119"/>
    </row>
    <row r="198" spans="1:11" ht="32" x14ac:dyDescent="0.2">
      <c r="A198" s="144">
        <v>2238000</v>
      </c>
      <c r="B198" s="145">
        <v>45961</v>
      </c>
      <c r="C198" s="149" t="s">
        <v>9</v>
      </c>
      <c r="D198" s="147" t="s">
        <v>3941</v>
      </c>
      <c r="E198" s="150">
        <v>1270000</v>
      </c>
      <c r="F198" s="139">
        <v>335000</v>
      </c>
      <c r="G198" s="139">
        <v>633000</v>
      </c>
      <c r="H198" s="139">
        <v>1300000</v>
      </c>
      <c r="I198" s="253" t="s">
        <v>4544</v>
      </c>
      <c r="J198" s="139">
        <v>49000</v>
      </c>
      <c r="K198" s="139" t="s">
        <v>1493</v>
      </c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/>
      <c r="I199" s="168"/>
      <c r="J199" s="119">
        <v>23000</v>
      </c>
      <c r="K199" s="119" t="s">
        <v>4545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>
        <v>28000</v>
      </c>
      <c r="K200" s="139" t="s">
        <v>4546</v>
      </c>
    </row>
    <row r="201" spans="1:11" ht="19" x14ac:dyDescent="0.2">
      <c r="A201" s="143">
        <v>2711000</v>
      </c>
      <c r="B201" s="153"/>
      <c r="C201" s="171" t="s">
        <v>10</v>
      </c>
      <c r="D201" s="155" t="s">
        <v>4443</v>
      </c>
      <c r="E201" s="164">
        <v>2108000</v>
      </c>
      <c r="F201" s="119">
        <v>171000</v>
      </c>
      <c r="G201" s="119">
        <v>432000</v>
      </c>
      <c r="H201" s="119">
        <v>2800000</v>
      </c>
      <c r="I201" s="168" t="s">
        <v>4084</v>
      </c>
      <c r="J201" s="119">
        <v>28000</v>
      </c>
      <c r="K201" s="119" t="s">
        <v>4547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>
        <v>1850000</v>
      </c>
      <c r="I202" s="165" t="s">
        <v>4548</v>
      </c>
      <c r="J202" s="139">
        <v>52000</v>
      </c>
      <c r="K202" s="139" t="s">
        <v>4549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>
        <v>1330000</v>
      </c>
      <c r="I203" s="168" t="s">
        <v>4550</v>
      </c>
      <c r="J203" s="119">
        <v>24000</v>
      </c>
      <c r="K203" s="119" t="s">
        <v>4551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>
        <v>672000</v>
      </c>
      <c r="I204" s="165" t="s">
        <v>3119</v>
      </c>
      <c r="J204" s="139">
        <v>18000</v>
      </c>
      <c r="K204" s="139" t="s">
        <v>4552</v>
      </c>
    </row>
    <row r="205" spans="1:11" ht="32" x14ac:dyDescent="0.2">
      <c r="A205" s="143"/>
      <c r="B205" s="153"/>
      <c r="C205" s="171"/>
      <c r="D205" s="155"/>
      <c r="E205" s="164"/>
      <c r="F205" s="119"/>
      <c r="G205" s="119"/>
      <c r="H205" s="119">
        <v>5776000</v>
      </c>
      <c r="I205" s="258" t="s">
        <v>4131</v>
      </c>
      <c r="J205" s="119">
        <v>30000</v>
      </c>
      <c r="K205" s="119" t="s">
        <v>4533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>
        <v>1300000</v>
      </c>
      <c r="I206" s="165" t="s">
        <v>965</v>
      </c>
      <c r="J206" s="139">
        <v>48000</v>
      </c>
      <c r="K206" s="139" t="s">
        <v>1507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420000</v>
      </c>
      <c r="K207" s="119" t="s">
        <v>2866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/>
      <c r="J208" s="139">
        <v>200000</v>
      </c>
      <c r="K208" s="139" t="s">
        <v>2796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>
        <v>36000</v>
      </c>
      <c r="K209" s="119" t="s">
        <v>4553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65"/>
      <c r="J210" s="139">
        <v>150000</v>
      </c>
      <c r="K210" s="139" t="s">
        <v>1805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>
        <v>252000</v>
      </c>
      <c r="K211" s="119" t="s">
        <v>4554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65"/>
      <c r="J212" s="139">
        <v>160000</v>
      </c>
      <c r="K212" s="139" t="s">
        <v>4372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>
        <v>72000</v>
      </c>
      <c r="K213" s="119" t="s">
        <v>1491</v>
      </c>
    </row>
    <row r="214" spans="1:11" ht="19" x14ac:dyDescent="0.2">
      <c r="A214" s="144"/>
      <c r="B214" s="145"/>
      <c r="C214" s="149"/>
      <c r="D214" s="147"/>
      <c r="E214" s="150"/>
      <c r="F214" s="139"/>
      <c r="G214" s="139"/>
      <c r="H214" s="139"/>
      <c r="I214" s="165"/>
      <c r="J214" s="139">
        <v>45000</v>
      </c>
      <c r="K214" s="139" t="s">
        <v>4555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>
        <v>33000</v>
      </c>
      <c r="K215" s="119" t="s">
        <v>4556</v>
      </c>
    </row>
    <row r="216" spans="1:11" ht="19" x14ac:dyDescent="0.2">
      <c r="A216" s="144"/>
      <c r="B216" s="145"/>
      <c r="C216" s="149"/>
      <c r="D216" s="147"/>
      <c r="E216" s="150"/>
      <c r="F216" s="139"/>
      <c r="G216" s="139"/>
      <c r="H216" s="139"/>
      <c r="I216" s="165"/>
      <c r="J216" s="139">
        <v>10000</v>
      </c>
      <c r="K216" s="139" t="s">
        <v>1375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16CA-49BC-A444-BB15-0585D0B9269D}">
  <dimension ref="A3:K222"/>
  <sheetViews>
    <sheetView workbookViewId="0">
      <selection activeCell="K14" sqref="K14"/>
    </sheetView>
  </sheetViews>
  <sheetFormatPr baseColWidth="10" defaultRowHeight="15" x14ac:dyDescent="0.2"/>
  <cols>
    <col min="1" max="1" width="21.83203125" bestFit="1" customWidth="1"/>
    <col min="2" max="2" width="14.83203125" customWidth="1"/>
    <col min="3" max="3" width="13.33203125" bestFit="1" customWidth="1"/>
    <col min="4" max="4" width="17.6640625" bestFit="1" customWidth="1"/>
    <col min="5" max="5" width="20.33203125" bestFit="1" customWidth="1"/>
    <col min="6" max="6" width="25.33203125" customWidth="1"/>
    <col min="7" max="7" width="23" customWidth="1"/>
    <col min="8" max="8" width="20.33203125" bestFit="1" customWidth="1"/>
    <col min="9" max="9" width="36.33203125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/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23522000</v>
      </c>
      <c r="K4" s="72">
        <f>J4/10820</f>
        <v>2173.9371534195934</v>
      </c>
    </row>
    <row r="5" spans="1:11" ht="24" x14ac:dyDescent="0.3">
      <c r="B5" s="99" t="s">
        <v>4635</v>
      </c>
      <c r="H5" s="73"/>
      <c r="I5" s="71" t="s">
        <v>2315</v>
      </c>
      <c r="J5" s="71">
        <v>23522000</v>
      </c>
      <c r="K5" s="72">
        <f>J5/10820</f>
        <v>2173.9371534195934</v>
      </c>
    </row>
    <row r="6" spans="1:11" ht="24" x14ac:dyDescent="0.3">
      <c r="B6" s="99"/>
      <c r="H6" s="73"/>
      <c r="I6" s="71" t="s">
        <v>178</v>
      </c>
      <c r="J6" s="71">
        <v>8959487</v>
      </c>
      <c r="K6" s="72" t="s">
        <v>4634</v>
      </c>
    </row>
    <row r="7" spans="1:11" ht="26" x14ac:dyDescent="0.3">
      <c r="B7" s="100" t="s">
        <v>4636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SUM(A11:A527)</f>
        <v>138241000</v>
      </c>
      <c r="B10" s="65"/>
      <c r="C10" s="66" t="s">
        <v>13</v>
      </c>
      <c r="D10" s="67"/>
      <c r="E10" s="68">
        <f>SUM(E11:E527)</f>
        <v>87932000</v>
      </c>
      <c r="F10" s="69">
        <f>SUM(F11:F527)</f>
        <v>16925000</v>
      </c>
      <c r="G10" s="69">
        <f>SUM(G11:G514)</f>
        <v>33384000</v>
      </c>
      <c r="H10" s="69">
        <f>SUM(H11:H527)</f>
        <v>29304000</v>
      </c>
      <c r="I10" s="69"/>
      <c r="J10" s="69">
        <f>SUM(J11:J527)</f>
        <v>18941500</v>
      </c>
      <c r="K10" s="69"/>
    </row>
    <row r="11" spans="1:11" ht="19" x14ac:dyDescent="0.2">
      <c r="A11" s="142">
        <v>2179000</v>
      </c>
      <c r="B11" s="32">
        <v>45962</v>
      </c>
      <c r="C11" s="49" t="s">
        <v>9</v>
      </c>
      <c r="D11" s="13" t="s">
        <v>3941</v>
      </c>
      <c r="E11" s="15">
        <v>1335000</v>
      </c>
      <c r="F11" s="9">
        <v>473000</v>
      </c>
      <c r="G11" s="9">
        <v>371000</v>
      </c>
      <c r="H11" s="9">
        <v>870000</v>
      </c>
      <c r="I11" s="295" t="s">
        <v>4725</v>
      </c>
      <c r="J11" s="119">
        <v>29000</v>
      </c>
      <c r="K11" s="9" t="s">
        <v>4565</v>
      </c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296"/>
      <c r="J12" s="139">
        <v>24000</v>
      </c>
      <c r="K12" s="139" t="s">
        <v>1279</v>
      </c>
    </row>
    <row r="13" spans="1:11" ht="19" x14ac:dyDescent="0.2">
      <c r="A13" s="143">
        <v>2622000</v>
      </c>
      <c r="B13" s="153"/>
      <c r="C13" s="163" t="s">
        <v>10</v>
      </c>
      <c r="D13" s="155" t="s">
        <v>4443</v>
      </c>
      <c r="E13" s="164">
        <v>1921000</v>
      </c>
      <c r="F13" s="119">
        <v>246000</v>
      </c>
      <c r="G13" s="119">
        <v>455000</v>
      </c>
      <c r="H13" s="175"/>
      <c r="I13" s="174"/>
      <c r="J13" s="119">
        <v>20000</v>
      </c>
      <c r="K13" s="119" t="s">
        <v>3601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50000</v>
      </c>
      <c r="K14" s="139" t="s">
        <v>123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/>
      <c r="K15" s="119"/>
    </row>
    <row r="16" spans="1:11" ht="19" x14ac:dyDescent="0.2">
      <c r="A16" s="144">
        <v>2487000</v>
      </c>
      <c r="B16" s="145">
        <v>45963</v>
      </c>
      <c r="C16" s="151" t="s">
        <v>9</v>
      </c>
      <c r="D16" s="147" t="s">
        <v>3941</v>
      </c>
      <c r="E16" s="150">
        <v>1521000</v>
      </c>
      <c r="F16" s="139">
        <v>222000</v>
      </c>
      <c r="G16" s="139">
        <v>744000</v>
      </c>
      <c r="H16" s="139"/>
      <c r="I16" s="162"/>
      <c r="J16" s="139"/>
      <c r="K16" s="139"/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/>
      <c r="K17" s="119"/>
    </row>
    <row r="18" spans="1:11" ht="19" x14ac:dyDescent="0.2">
      <c r="A18" s="144">
        <v>1443000</v>
      </c>
      <c r="B18" s="145"/>
      <c r="C18" s="151" t="s">
        <v>10</v>
      </c>
      <c r="D18" s="147" t="s">
        <v>4443</v>
      </c>
      <c r="E18" s="150">
        <v>983000</v>
      </c>
      <c r="F18" s="139">
        <v>70000</v>
      </c>
      <c r="G18" s="139">
        <v>390000</v>
      </c>
      <c r="H18" s="139"/>
      <c r="I18" s="162"/>
      <c r="J18" s="139">
        <v>160000</v>
      </c>
      <c r="K18" s="139" t="s">
        <v>1518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/>
      <c r="K19" s="119"/>
    </row>
    <row r="20" spans="1:11" ht="19" x14ac:dyDescent="0.2">
      <c r="A20" s="144">
        <v>2439000</v>
      </c>
      <c r="B20" s="145">
        <v>45964</v>
      </c>
      <c r="C20" s="149" t="s">
        <v>9</v>
      </c>
      <c r="D20" s="147" t="s">
        <v>3941</v>
      </c>
      <c r="E20" s="150">
        <v>1556000</v>
      </c>
      <c r="F20" s="139">
        <v>286000</v>
      </c>
      <c r="G20" s="139">
        <v>597000</v>
      </c>
      <c r="H20" s="139"/>
      <c r="I20" s="139"/>
      <c r="J20" s="162">
        <v>49000</v>
      </c>
      <c r="K20" s="162" t="s">
        <v>4566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144000</v>
      </c>
      <c r="K21" s="106" t="s">
        <v>4567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>
        <v>47000</v>
      </c>
      <c r="K22" s="162" t="s">
        <v>4568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118000</v>
      </c>
      <c r="K23" s="106" t="s">
        <v>4569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17000</v>
      </c>
      <c r="K24" s="162" t="s">
        <v>4570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59000</v>
      </c>
      <c r="K25" s="119" t="s">
        <v>4571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79000</v>
      </c>
      <c r="K26" s="139" t="s">
        <v>1641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40000</v>
      </c>
      <c r="K27" s="106" t="s">
        <v>1449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17000</v>
      </c>
      <c r="K28" s="139" t="s">
        <v>2695</v>
      </c>
    </row>
    <row r="29" spans="1:11" ht="19" x14ac:dyDescent="0.2">
      <c r="A29" s="143">
        <v>2121000</v>
      </c>
      <c r="B29" s="32"/>
      <c r="C29" s="49" t="s">
        <v>10</v>
      </c>
      <c r="D29" s="13" t="s">
        <v>4443</v>
      </c>
      <c r="E29" s="15">
        <v>1427000</v>
      </c>
      <c r="F29" s="174">
        <v>239000</v>
      </c>
      <c r="G29" s="174">
        <v>455000</v>
      </c>
      <c r="H29" s="9"/>
      <c r="I29" s="9"/>
      <c r="J29" s="119">
        <v>1783000</v>
      </c>
      <c r="K29" s="9" t="s">
        <v>4632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/>
      <c r="K30" s="139"/>
    </row>
    <row r="31" spans="1:11" ht="19" x14ac:dyDescent="0.2">
      <c r="A31" s="143">
        <v>4073000</v>
      </c>
      <c r="B31" s="32">
        <v>45965</v>
      </c>
      <c r="C31" s="49" t="s">
        <v>9</v>
      </c>
      <c r="D31" s="13" t="s">
        <v>3941</v>
      </c>
      <c r="E31" s="15">
        <v>2986000</v>
      </c>
      <c r="F31" s="9">
        <v>412000</v>
      </c>
      <c r="G31" s="9">
        <v>675000</v>
      </c>
      <c r="H31" s="9"/>
      <c r="I31" s="119"/>
      <c r="J31" s="9">
        <v>27000</v>
      </c>
      <c r="K31" s="9" t="s">
        <v>4572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27000</v>
      </c>
      <c r="K32" s="139" t="s">
        <v>4533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27000</v>
      </c>
      <c r="K33" s="119" t="s">
        <v>4573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25000</v>
      </c>
      <c r="K34" s="139" t="s">
        <v>4547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38000</v>
      </c>
      <c r="K35" s="9" t="s">
        <v>4574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>
        <v>32000</v>
      </c>
      <c r="K36" s="139" t="s">
        <v>4537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33000</v>
      </c>
      <c r="K37" s="9" t="s">
        <v>4575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92000</v>
      </c>
      <c r="K38" s="139" t="s">
        <v>3152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41000</v>
      </c>
      <c r="K39" s="9" t="s">
        <v>4576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/>
      <c r="K40" s="139"/>
    </row>
    <row r="41" spans="1:11" ht="19" x14ac:dyDescent="0.2">
      <c r="A41" s="143">
        <v>2565000</v>
      </c>
      <c r="B41" s="32"/>
      <c r="C41" s="49" t="s">
        <v>10</v>
      </c>
      <c r="D41" s="13" t="s">
        <v>4443</v>
      </c>
      <c r="E41" s="15">
        <v>1491000</v>
      </c>
      <c r="F41" s="9">
        <v>467000</v>
      </c>
      <c r="G41" s="9">
        <v>607000</v>
      </c>
      <c r="H41" s="9"/>
      <c r="I41" s="119"/>
      <c r="J41" s="9">
        <v>160000</v>
      </c>
      <c r="K41" s="9" t="s">
        <v>1597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105000</v>
      </c>
      <c r="K42" s="139" t="s">
        <v>1566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/>
      <c r="K43" s="9"/>
    </row>
    <row r="44" spans="1:11" ht="19" x14ac:dyDescent="0.2">
      <c r="A44" s="144">
        <v>3774000</v>
      </c>
      <c r="B44" s="145">
        <v>45966</v>
      </c>
      <c r="C44" s="149" t="s">
        <v>9</v>
      </c>
      <c r="D44" s="147" t="s">
        <v>3941</v>
      </c>
      <c r="E44" s="150">
        <v>2302000</v>
      </c>
      <c r="F44" s="139">
        <v>306000</v>
      </c>
      <c r="G44" s="139">
        <v>1166000</v>
      </c>
      <c r="H44" s="139"/>
      <c r="I44" s="139"/>
      <c r="J44" s="139"/>
      <c r="K44" s="139"/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/>
      <c r="K45" s="119"/>
    </row>
    <row r="46" spans="1:11" ht="19" x14ac:dyDescent="0.2">
      <c r="A46" s="144">
        <v>1990000</v>
      </c>
      <c r="B46" s="145"/>
      <c r="C46" s="149" t="s">
        <v>10</v>
      </c>
      <c r="D46" s="147" t="s">
        <v>4443</v>
      </c>
      <c r="E46" s="150">
        <v>1327000</v>
      </c>
      <c r="F46" s="139">
        <v>183000</v>
      </c>
      <c r="G46" s="139">
        <v>480000</v>
      </c>
      <c r="H46" s="139"/>
      <c r="I46" s="139"/>
      <c r="J46" s="139"/>
      <c r="K46" s="139"/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/>
      <c r="K47" s="119"/>
    </row>
    <row r="48" spans="1:11" ht="19" x14ac:dyDescent="0.2">
      <c r="A48" s="144">
        <v>3532000</v>
      </c>
      <c r="B48" s="145">
        <v>45967</v>
      </c>
      <c r="C48" s="149" t="s">
        <v>9</v>
      </c>
      <c r="D48" s="147" t="s">
        <v>3941</v>
      </c>
      <c r="E48" s="150">
        <v>1967000</v>
      </c>
      <c r="F48" s="139">
        <v>579000</v>
      </c>
      <c r="G48" s="139">
        <v>986000</v>
      </c>
      <c r="H48" s="139"/>
      <c r="I48" s="152"/>
      <c r="J48" s="139">
        <v>100000</v>
      </c>
      <c r="K48" s="139" t="s">
        <v>3248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34000</v>
      </c>
      <c r="K49" s="119" t="s">
        <v>3628</v>
      </c>
    </row>
    <row r="50" spans="1:11" ht="19" x14ac:dyDescent="0.2">
      <c r="A50" s="144">
        <v>2063000</v>
      </c>
      <c r="B50" s="145"/>
      <c r="C50" s="149" t="s">
        <v>10</v>
      </c>
      <c r="D50" s="147" t="s">
        <v>4443</v>
      </c>
      <c r="E50" s="150">
        <v>1496000</v>
      </c>
      <c r="F50" s="139">
        <v>158000</v>
      </c>
      <c r="G50" s="139">
        <v>409000</v>
      </c>
      <c r="H50" s="139"/>
      <c r="I50" s="139"/>
      <c r="J50" s="139"/>
      <c r="K50" s="139"/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/>
      <c r="K51" s="119"/>
    </row>
    <row r="52" spans="1:11" ht="19" x14ac:dyDescent="0.2">
      <c r="A52" s="144">
        <v>3522000</v>
      </c>
      <c r="B52" s="145">
        <v>45968</v>
      </c>
      <c r="C52" s="149" t="s">
        <v>9</v>
      </c>
      <c r="D52" s="147" t="s">
        <v>3941</v>
      </c>
      <c r="E52" s="150">
        <v>1986000</v>
      </c>
      <c r="F52" s="139">
        <v>292000</v>
      </c>
      <c r="G52" s="139">
        <v>1244000</v>
      </c>
      <c r="H52" s="139"/>
      <c r="I52" s="139"/>
      <c r="J52" s="139">
        <v>26000</v>
      </c>
      <c r="K52" s="139" t="s">
        <v>4577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170000</v>
      </c>
      <c r="K53" s="119" t="s">
        <v>4578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100000</v>
      </c>
      <c r="K54" s="139" t="s">
        <v>4579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100000</v>
      </c>
      <c r="K55" s="119" t="s">
        <v>4580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100000</v>
      </c>
      <c r="K56" s="139" t="s">
        <v>3988</v>
      </c>
    </row>
    <row r="57" spans="1:11" ht="19" x14ac:dyDescent="0.2">
      <c r="A57" s="143">
        <v>1838000</v>
      </c>
      <c r="B57" s="153"/>
      <c r="C57" s="171" t="s">
        <v>10</v>
      </c>
      <c r="D57" s="155" t="s">
        <v>4443</v>
      </c>
      <c r="E57" s="164">
        <v>1237000</v>
      </c>
      <c r="F57" s="119">
        <v>146000</v>
      </c>
      <c r="G57" s="119">
        <v>455000</v>
      </c>
      <c r="H57" s="119"/>
      <c r="I57" s="119"/>
      <c r="J57" s="119">
        <v>150000</v>
      </c>
      <c r="K57" s="119" t="s">
        <v>4581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150000</v>
      </c>
      <c r="K58" s="139" t="s">
        <v>3904</v>
      </c>
    </row>
    <row r="59" spans="1:11" ht="19" x14ac:dyDescent="0.2">
      <c r="A59" s="143">
        <v>3529000</v>
      </c>
      <c r="B59" s="153">
        <v>45969</v>
      </c>
      <c r="C59" s="171" t="s">
        <v>9</v>
      </c>
      <c r="D59" s="155" t="s">
        <v>3941</v>
      </c>
      <c r="E59" s="164">
        <v>2254000</v>
      </c>
      <c r="F59" s="119">
        <v>600000</v>
      </c>
      <c r="G59" s="119">
        <v>675000</v>
      </c>
      <c r="H59" s="173"/>
      <c r="I59" s="119"/>
      <c r="J59" s="119">
        <v>150000</v>
      </c>
      <c r="K59" s="119" t="s">
        <v>4582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300"/>
      <c r="I60" s="139"/>
      <c r="J60" s="139">
        <v>34000</v>
      </c>
      <c r="K60" s="139" t="s">
        <v>3628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/>
      <c r="K61" s="119"/>
    </row>
    <row r="62" spans="1:11" ht="19" x14ac:dyDescent="0.2">
      <c r="A62" s="144">
        <v>2545000</v>
      </c>
      <c r="B62" s="145"/>
      <c r="C62" s="149" t="s">
        <v>10</v>
      </c>
      <c r="D62" s="147" t="s">
        <v>3386</v>
      </c>
      <c r="E62" s="150">
        <v>1862000</v>
      </c>
      <c r="F62" s="139">
        <v>213000</v>
      </c>
      <c r="G62" s="139">
        <v>470000</v>
      </c>
      <c r="H62" s="157"/>
      <c r="I62" s="139"/>
      <c r="J62" s="139">
        <v>120000</v>
      </c>
      <c r="K62" s="139" t="s">
        <v>1854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240000</v>
      </c>
      <c r="K63" s="119" t="s">
        <v>4583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55000</v>
      </c>
      <c r="K64" s="139" t="s">
        <v>4584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40000</v>
      </c>
      <c r="K65" s="119" t="s">
        <v>1449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50000</v>
      </c>
      <c r="K66" s="139" t="s">
        <v>123</v>
      </c>
    </row>
    <row r="67" spans="1:11" ht="19" x14ac:dyDescent="0.2">
      <c r="A67" s="143">
        <v>1956000</v>
      </c>
      <c r="B67" s="153">
        <v>45970</v>
      </c>
      <c r="C67" s="171" t="s">
        <v>9</v>
      </c>
      <c r="D67" s="155" t="s">
        <v>2105</v>
      </c>
      <c r="E67" s="164">
        <v>1318000</v>
      </c>
      <c r="F67" s="119">
        <v>216000</v>
      </c>
      <c r="G67" s="119">
        <v>422000</v>
      </c>
      <c r="H67" s="119">
        <v>1250000</v>
      </c>
      <c r="I67" s="119" t="s">
        <v>4404</v>
      </c>
      <c r="J67" s="119">
        <v>145000</v>
      </c>
      <c r="K67" s="119" t="s">
        <v>4585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25000</v>
      </c>
      <c r="K68" s="139" t="s">
        <v>4586</v>
      </c>
    </row>
    <row r="69" spans="1:11" ht="19" x14ac:dyDescent="0.2">
      <c r="A69" s="206">
        <v>2500000</v>
      </c>
      <c r="B69" s="153"/>
      <c r="C69" s="171" t="s">
        <v>10</v>
      </c>
      <c r="D69" s="155" t="s">
        <v>4443</v>
      </c>
      <c r="E69" s="210">
        <v>1366000</v>
      </c>
      <c r="F69" s="211">
        <v>505000</v>
      </c>
      <c r="G69" s="211">
        <v>629000</v>
      </c>
      <c r="H69" s="211"/>
      <c r="I69" s="119"/>
      <c r="J69" s="211">
        <v>20000</v>
      </c>
      <c r="K69" s="119" t="s">
        <v>4587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96000</v>
      </c>
      <c r="K70" s="139" t="s">
        <v>1310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200000</v>
      </c>
      <c r="K71" s="9" t="s">
        <v>2796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45000</v>
      </c>
      <c r="K72" s="139" t="s">
        <v>3635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150000</v>
      </c>
      <c r="K73" s="9" t="s">
        <v>1805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34000</v>
      </c>
      <c r="K74" s="139" t="s">
        <v>3628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/>
      <c r="K75" s="119"/>
    </row>
    <row r="76" spans="1:11" ht="19" x14ac:dyDescent="0.2">
      <c r="A76" s="144">
        <v>3234000</v>
      </c>
      <c r="B76" s="145">
        <v>45971</v>
      </c>
      <c r="C76" s="149" t="s">
        <v>9</v>
      </c>
      <c r="D76" s="147" t="s">
        <v>3941</v>
      </c>
      <c r="E76" s="150">
        <v>1923000</v>
      </c>
      <c r="F76" s="139">
        <v>558000</v>
      </c>
      <c r="G76" s="139">
        <v>753000</v>
      </c>
      <c r="H76" s="152"/>
      <c r="I76" s="152"/>
      <c r="J76" s="139">
        <v>13000</v>
      </c>
      <c r="K76" s="139" t="s">
        <v>4588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119">
        <v>114000</v>
      </c>
      <c r="K77" s="9" t="s">
        <v>1852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24000</v>
      </c>
      <c r="K78" s="139" t="s">
        <v>2245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75000</v>
      </c>
      <c r="K79" s="119" t="s">
        <v>4589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20000</v>
      </c>
      <c r="K80" s="139" t="s">
        <v>4590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180000</v>
      </c>
      <c r="K81" s="119" t="s">
        <v>1764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73000</v>
      </c>
      <c r="K82" s="139" t="s">
        <v>4591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9"/>
      <c r="I83" s="9"/>
      <c r="J83" s="119">
        <v>28000</v>
      </c>
      <c r="K83" s="9" t="s">
        <v>4592</v>
      </c>
    </row>
    <row r="84" spans="1:11" ht="19" x14ac:dyDescent="0.2">
      <c r="A84" s="144">
        <v>1037000</v>
      </c>
      <c r="B84" s="145"/>
      <c r="C84" s="149" t="s">
        <v>10</v>
      </c>
      <c r="D84" s="147" t="s">
        <v>4443</v>
      </c>
      <c r="E84" s="150">
        <v>880000</v>
      </c>
      <c r="F84" s="139">
        <v>99000</v>
      </c>
      <c r="G84" s="139">
        <v>58000</v>
      </c>
      <c r="H84" s="162"/>
      <c r="I84" s="162"/>
      <c r="J84" s="139"/>
      <c r="K84" s="139"/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/>
      <c r="K85" s="119"/>
    </row>
    <row r="86" spans="1:11" ht="19" x14ac:dyDescent="0.2">
      <c r="A86" s="144">
        <v>3344000</v>
      </c>
      <c r="B86" s="145">
        <v>45972</v>
      </c>
      <c r="C86" s="149" t="s">
        <v>9</v>
      </c>
      <c r="D86" s="147" t="s">
        <v>3941</v>
      </c>
      <c r="E86" s="150">
        <v>1836000</v>
      </c>
      <c r="F86" s="139">
        <v>346000</v>
      </c>
      <c r="G86" s="139">
        <v>1162000</v>
      </c>
      <c r="H86" s="162"/>
      <c r="I86" s="162"/>
      <c r="J86" s="139">
        <v>132000</v>
      </c>
      <c r="K86" s="139" t="s">
        <v>4593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40000</v>
      </c>
      <c r="K87" s="119" t="s">
        <v>1449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>
        <v>51000</v>
      </c>
      <c r="K88" s="162" t="s">
        <v>4594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/>
      <c r="K89" s="119"/>
    </row>
    <row r="90" spans="1:11" ht="19" x14ac:dyDescent="0.2">
      <c r="A90" s="144">
        <v>1815000</v>
      </c>
      <c r="B90" s="145"/>
      <c r="C90" s="149" t="s">
        <v>10</v>
      </c>
      <c r="D90" s="147" t="s">
        <v>28</v>
      </c>
      <c r="E90" s="150">
        <v>1357000</v>
      </c>
      <c r="F90" s="139">
        <v>186000</v>
      </c>
      <c r="G90" s="139">
        <v>272000</v>
      </c>
      <c r="H90" s="152"/>
      <c r="I90" s="152"/>
      <c r="J90" s="139"/>
      <c r="K90" s="139"/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/>
      <c r="K91" s="119"/>
    </row>
    <row r="92" spans="1:11" ht="19" x14ac:dyDescent="0.2">
      <c r="A92" s="144">
        <v>2719000</v>
      </c>
      <c r="B92" s="145">
        <v>45973</v>
      </c>
      <c r="C92" s="149" t="s">
        <v>9</v>
      </c>
      <c r="D92" s="147" t="s">
        <v>3941</v>
      </c>
      <c r="E92" s="150">
        <v>1515000</v>
      </c>
      <c r="F92" s="139">
        <v>394000</v>
      </c>
      <c r="G92" s="139">
        <v>810000</v>
      </c>
      <c r="H92" s="139"/>
      <c r="I92" s="139"/>
      <c r="J92" s="139"/>
      <c r="K92" s="139"/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/>
      <c r="K93" s="9"/>
    </row>
    <row r="94" spans="1:11" ht="19" x14ac:dyDescent="0.2">
      <c r="A94" s="144">
        <v>1673000</v>
      </c>
      <c r="B94" s="145"/>
      <c r="C94" s="149" t="s">
        <v>10</v>
      </c>
      <c r="D94" s="147" t="s">
        <v>4443</v>
      </c>
      <c r="E94" s="150">
        <v>838000</v>
      </c>
      <c r="F94" s="139">
        <v>152000</v>
      </c>
      <c r="G94" s="139">
        <v>683000</v>
      </c>
      <c r="H94" s="139"/>
      <c r="I94" s="139"/>
      <c r="J94" s="162"/>
      <c r="K94" s="162"/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/>
      <c r="K95" s="119"/>
    </row>
    <row r="96" spans="1:11" ht="19" x14ac:dyDescent="0.2">
      <c r="A96" s="144">
        <v>3395000</v>
      </c>
      <c r="B96" s="145">
        <v>45974</v>
      </c>
      <c r="C96" s="149" t="s">
        <v>9</v>
      </c>
      <c r="D96" s="147" t="s">
        <v>3941</v>
      </c>
      <c r="E96" s="150">
        <v>1897000</v>
      </c>
      <c r="F96" s="139">
        <v>348000</v>
      </c>
      <c r="G96" s="139">
        <v>1150000</v>
      </c>
      <c r="H96" s="139"/>
      <c r="I96" s="139"/>
      <c r="J96" s="139">
        <v>100000</v>
      </c>
      <c r="K96" s="139" t="s">
        <v>3248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/>
      <c r="K97" s="9"/>
    </row>
    <row r="98" spans="1:11" ht="19" x14ac:dyDescent="0.2">
      <c r="A98" s="144">
        <v>1530000</v>
      </c>
      <c r="B98" s="145"/>
      <c r="C98" s="159" t="s">
        <v>10</v>
      </c>
      <c r="D98" s="147" t="s">
        <v>4443</v>
      </c>
      <c r="E98" s="150">
        <v>1006000</v>
      </c>
      <c r="F98" s="139">
        <v>109000</v>
      </c>
      <c r="G98" s="139">
        <v>415000</v>
      </c>
      <c r="H98" s="139"/>
      <c r="I98" s="139"/>
      <c r="J98" s="139">
        <v>34000</v>
      </c>
      <c r="K98" s="139" t="s">
        <v>3628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>
        <v>7200000</v>
      </c>
      <c r="I99" s="119" t="s">
        <v>4631</v>
      </c>
      <c r="J99" s="119"/>
      <c r="K99" s="119"/>
    </row>
    <row r="100" spans="1:11" ht="19" x14ac:dyDescent="0.2">
      <c r="A100" s="144">
        <v>1865000</v>
      </c>
      <c r="B100" s="145">
        <v>45975</v>
      </c>
      <c r="C100" s="149" t="s">
        <v>9</v>
      </c>
      <c r="D100" s="147" t="s">
        <v>3941</v>
      </c>
      <c r="E100" s="150">
        <v>1098000</v>
      </c>
      <c r="F100" s="139">
        <v>310000</v>
      </c>
      <c r="G100" s="139">
        <v>457000</v>
      </c>
      <c r="H100" s="139"/>
      <c r="I100" s="139"/>
      <c r="J100" s="139">
        <v>100000</v>
      </c>
      <c r="K100" s="139" t="s">
        <v>4595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340000</v>
      </c>
      <c r="K101" s="119" t="s">
        <v>4596</v>
      </c>
    </row>
    <row r="102" spans="1:11" ht="19" x14ac:dyDescent="0.2">
      <c r="A102" s="144">
        <v>880000</v>
      </c>
      <c r="B102" s="145"/>
      <c r="C102" s="149" t="s">
        <v>10</v>
      </c>
      <c r="D102" s="147" t="s">
        <v>4443</v>
      </c>
      <c r="E102" s="150">
        <v>512000</v>
      </c>
      <c r="F102" s="139">
        <v>63000</v>
      </c>
      <c r="G102" s="139">
        <v>305000</v>
      </c>
      <c r="H102" s="139"/>
      <c r="I102" s="139"/>
      <c r="J102" s="139">
        <v>28000</v>
      </c>
      <c r="K102" s="139" t="s">
        <v>4597</v>
      </c>
    </row>
    <row r="103" spans="1:11" ht="32" x14ac:dyDescent="0.2">
      <c r="A103" s="143"/>
      <c r="B103" s="153"/>
      <c r="C103" s="171"/>
      <c r="D103" s="155"/>
      <c r="E103" s="164"/>
      <c r="F103" s="119"/>
      <c r="G103" s="119"/>
      <c r="H103" s="119">
        <v>2330000</v>
      </c>
      <c r="I103" s="176" t="s">
        <v>4598</v>
      </c>
      <c r="J103" s="119">
        <v>47000</v>
      </c>
      <c r="K103" s="119" t="s">
        <v>4276</v>
      </c>
    </row>
    <row r="104" spans="1:11" ht="19" x14ac:dyDescent="0.2">
      <c r="A104" s="144">
        <v>1050000</v>
      </c>
      <c r="B104" s="145">
        <v>45976</v>
      </c>
      <c r="C104" s="149" t="s">
        <v>9</v>
      </c>
      <c r="D104" s="147" t="s">
        <v>28</v>
      </c>
      <c r="E104" s="150">
        <v>525000</v>
      </c>
      <c r="F104" s="139">
        <v>93000</v>
      </c>
      <c r="G104" s="139">
        <v>432000</v>
      </c>
      <c r="H104" s="139">
        <v>2900000</v>
      </c>
      <c r="I104" s="139" t="s">
        <v>4599</v>
      </c>
      <c r="J104" s="139">
        <v>46000</v>
      </c>
      <c r="K104" s="139" t="s">
        <v>4600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>
        <v>300000</v>
      </c>
      <c r="I105" s="119" t="s">
        <v>3468</v>
      </c>
      <c r="J105" s="119">
        <v>49000</v>
      </c>
      <c r="K105" s="119" t="s">
        <v>1493</v>
      </c>
    </row>
    <row r="106" spans="1:11" ht="19" x14ac:dyDescent="0.2">
      <c r="A106" s="144">
        <v>1536000</v>
      </c>
      <c r="B106" s="145"/>
      <c r="C106" s="149" t="s">
        <v>10</v>
      </c>
      <c r="D106" s="147" t="s">
        <v>4443</v>
      </c>
      <c r="E106" s="150">
        <v>1108000</v>
      </c>
      <c r="F106" s="139">
        <v>67000</v>
      </c>
      <c r="G106" s="139">
        <v>361000</v>
      </c>
      <c r="H106" s="139">
        <v>200000</v>
      </c>
      <c r="I106" s="139" t="s">
        <v>4601</v>
      </c>
      <c r="J106" s="139">
        <v>120000</v>
      </c>
      <c r="K106" s="139" t="s">
        <v>1854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>
        <v>400000</v>
      </c>
      <c r="I107" s="119" t="s">
        <v>3943</v>
      </c>
      <c r="J107" s="119">
        <v>105000</v>
      </c>
      <c r="K107" s="119" t="s">
        <v>1566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180000</v>
      </c>
      <c r="K108" s="139" t="s">
        <v>2496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50000</v>
      </c>
      <c r="K109" s="119" t="s">
        <v>123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200000</v>
      </c>
      <c r="K110" s="139" t="s">
        <v>2796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45000</v>
      </c>
      <c r="K111" s="119" t="s">
        <v>3635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150000</v>
      </c>
      <c r="K112" s="139" t="s">
        <v>1805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500000</v>
      </c>
      <c r="K113" s="119" t="s">
        <v>4630</v>
      </c>
    </row>
    <row r="114" spans="1:11" ht="19" x14ac:dyDescent="0.2">
      <c r="A114" s="144">
        <v>1864000</v>
      </c>
      <c r="B114" s="145">
        <v>45977</v>
      </c>
      <c r="C114" s="149" t="s">
        <v>9</v>
      </c>
      <c r="D114" s="147" t="s">
        <v>3941</v>
      </c>
      <c r="E114" s="150">
        <v>906000</v>
      </c>
      <c r="F114" s="139">
        <v>427000</v>
      </c>
      <c r="G114" s="139">
        <v>531000</v>
      </c>
      <c r="H114" s="139"/>
      <c r="I114" s="139"/>
      <c r="J114" s="139"/>
      <c r="K114" s="139"/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/>
      <c r="K115" s="119"/>
    </row>
    <row r="116" spans="1:11" ht="19" x14ac:dyDescent="0.2">
      <c r="A116" s="144">
        <v>1750000</v>
      </c>
      <c r="B116" s="145"/>
      <c r="C116" s="149" t="s">
        <v>10</v>
      </c>
      <c r="D116" s="147" t="s">
        <v>4443</v>
      </c>
      <c r="E116" s="150">
        <v>1376000</v>
      </c>
      <c r="F116" s="139">
        <v>104000</v>
      </c>
      <c r="G116" s="139">
        <v>270000</v>
      </c>
      <c r="H116" s="139">
        <v>250000</v>
      </c>
      <c r="I116" s="139" t="s">
        <v>4629</v>
      </c>
      <c r="J116" s="162">
        <v>128000</v>
      </c>
      <c r="K116" s="162" t="s">
        <v>1553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/>
      <c r="K117" s="174"/>
    </row>
    <row r="118" spans="1:11" ht="19" x14ac:dyDescent="0.2">
      <c r="A118" s="144">
        <v>2123000</v>
      </c>
      <c r="B118" s="145">
        <v>45978</v>
      </c>
      <c r="C118" s="149" t="s">
        <v>4602</v>
      </c>
      <c r="D118" s="147" t="s">
        <v>3941</v>
      </c>
      <c r="E118" s="150">
        <v>1480000</v>
      </c>
      <c r="F118" s="139">
        <v>231000</v>
      </c>
      <c r="G118" s="139">
        <v>412000</v>
      </c>
      <c r="H118" s="139"/>
      <c r="I118" s="139"/>
      <c r="J118" s="139">
        <v>155000</v>
      </c>
      <c r="K118" s="139" t="s">
        <v>4469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140000</v>
      </c>
      <c r="K119" s="119" t="s">
        <v>4603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155000</v>
      </c>
      <c r="K120" s="139" t="s">
        <v>4604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100000</v>
      </c>
      <c r="K121" s="119" t="s">
        <v>3248</v>
      </c>
    </row>
    <row r="122" spans="1:11" ht="19" x14ac:dyDescent="0.2">
      <c r="A122" s="144">
        <v>1516000</v>
      </c>
      <c r="B122" s="145"/>
      <c r="C122" s="149" t="s">
        <v>10</v>
      </c>
      <c r="D122" s="147" t="s">
        <v>28</v>
      </c>
      <c r="E122" s="150">
        <v>653000</v>
      </c>
      <c r="F122" s="139">
        <v>137000</v>
      </c>
      <c r="G122" s="139">
        <v>726000</v>
      </c>
      <c r="H122" s="139"/>
      <c r="I122" s="139"/>
      <c r="J122" s="139"/>
      <c r="K122" s="139"/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/>
      <c r="K123" s="174"/>
    </row>
    <row r="124" spans="1:11" ht="19" x14ac:dyDescent="0.2">
      <c r="A124" s="144">
        <v>3837000</v>
      </c>
      <c r="B124" s="145">
        <v>45979</v>
      </c>
      <c r="C124" s="151" t="s">
        <v>9</v>
      </c>
      <c r="D124" s="147" t="s">
        <v>3941</v>
      </c>
      <c r="E124" s="150">
        <v>2192000</v>
      </c>
      <c r="F124" s="139">
        <v>418000</v>
      </c>
      <c r="G124" s="139">
        <v>1227000</v>
      </c>
      <c r="H124" s="139"/>
      <c r="I124" s="139"/>
      <c r="J124" s="162">
        <v>20000</v>
      </c>
      <c r="K124" s="162" t="s">
        <v>3662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7000</v>
      </c>
      <c r="K125" s="106" t="s">
        <v>1580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24000</v>
      </c>
      <c r="K126" s="162" t="s">
        <v>1279</v>
      </c>
    </row>
    <row r="127" spans="1:11" ht="19" x14ac:dyDescent="0.2">
      <c r="A127" s="143"/>
      <c r="B127" s="153"/>
      <c r="C127" s="163"/>
      <c r="D127" s="155"/>
      <c r="E127" s="164"/>
      <c r="F127" s="301"/>
      <c r="G127" s="119"/>
      <c r="H127" s="119"/>
      <c r="I127" s="119"/>
      <c r="J127" s="174">
        <v>44000</v>
      </c>
      <c r="K127" s="174" t="s">
        <v>2804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45000</v>
      </c>
      <c r="K128" s="139" t="s">
        <v>4605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10000</v>
      </c>
      <c r="K129" s="174" t="s">
        <v>492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34000</v>
      </c>
      <c r="K130" s="139" t="s">
        <v>4606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45000</v>
      </c>
      <c r="K131" s="119" t="s">
        <v>3635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200000</v>
      </c>
      <c r="K132" s="139" t="s">
        <v>2796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39">
        <v>150000</v>
      </c>
      <c r="K133" s="139" t="s">
        <v>1805</v>
      </c>
    </row>
    <row r="134" spans="1:11" ht="19" x14ac:dyDescent="0.2">
      <c r="A134" s="144">
        <v>1334000</v>
      </c>
      <c r="B134" s="145"/>
      <c r="C134" s="151" t="s">
        <v>10</v>
      </c>
      <c r="D134" s="147" t="s">
        <v>28</v>
      </c>
      <c r="E134" s="150">
        <v>816000</v>
      </c>
      <c r="F134" s="139">
        <v>126000</v>
      </c>
      <c r="G134" s="139">
        <v>392000</v>
      </c>
      <c r="H134" s="139"/>
      <c r="I134" s="139"/>
      <c r="J134" s="139"/>
      <c r="K134" s="139"/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/>
      <c r="K135" s="119"/>
    </row>
    <row r="136" spans="1:11" ht="19" x14ac:dyDescent="0.2">
      <c r="A136" s="144">
        <v>3318000</v>
      </c>
      <c r="B136" s="145">
        <v>45980</v>
      </c>
      <c r="C136" s="151" t="s">
        <v>9</v>
      </c>
      <c r="D136" s="147" t="s">
        <v>3941</v>
      </c>
      <c r="E136" s="150">
        <v>2155000</v>
      </c>
      <c r="F136" s="139">
        <v>563000</v>
      </c>
      <c r="G136" s="139">
        <v>600000</v>
      </c>
      <c r="H136" s="139"/>
      <c r="I136" s="139"/>
      <c r="J136" s="139">
        <v>72000</v>
      </c>
      <c r="K136" s="139" t="s">
        <v>4515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98000</v>
      </c>
      <c r="K137" s="174" t="s">
        <v>4607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40000</v>
      </c>
      <c r="K138" s="162" t="s">
        <v>1449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54000</v>
      </c>
      <c r="K139" s="106" t="s">
        <v>4608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74000</v>
      </c>
      <c r="K140" s="162" t="s">
        <v>4609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/>
      <c r="K141" s="174"/>
    </row>
    <row r="142" spans="1:11" ht="19" x14ac:dyDescent="0.2">
      <c r="A142" s="144">
        <v>1352000</v>
      </c>
      <c r="B142" s="145"/>
      <c r="C142" s="151" t="s">
        <v>10</v>
      </c>
      <c r="D142" s="147" t="s">
        <v>4443</v>
      </c>
      <c r="E142" s="150">
        <v>824000</v>
      </c>
      <c r="F142" s="139">
        <v>196000</v>
      </c>
      <c r="G142" s="139">
        <v>332000</v>
      </c>
      <c r="H142" s="139"/>
      <c r="I142" s="139"/>
      <c r="J142" s="139"/>
      <c r="K142" s="139"/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/>
      <c r="K143" s="119"/>
    </row>
    <row r="144" spans="1:11" ht="19" x14ac:dyDescent="0.2">
      <c r="A144" s="144">
        <v>2530000</v>
      </c>
      <c r="B144" s="145">
        <v>45981</v>
      </c>
      <c r="C144" s="159" t="s">
        <v>9</v>
      </c>
      <c r="D144" s="147" t="s">
        <v>3941</v>
      </c>
      <c r="E144" s="150">
        <v>1407000</v>
      </c>
      <c r="F144" s="139">
        <v>334000</v>
      </c>
      <c r="G144" s="139">
        <v>789000</v>
      </c>
      <c r="H144" s="139"/>
      <c r="I144" s="139"/>
      <c r="J144" s="139">
        <v>150000</v>
      </c>
      <c r="K144" s="139" t="s">
        <v>4610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68000</v>
      </c>
      <c r="K145" s="119" t="s">
        <v>3395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108000</v>
      </c>
      <c r="K146" s="162" t="s">
        <v>2015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33000</v>
      </c>
      <c r="K147" s="119" t="s">
        <v>4611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32000</v>
      </c>
      <c r="K148" s="139" t="s">
        <v>4612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27000</v>
      </c>
      <c r="K149" s="119" t="s">
        <v>4533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27000</v>
      </c>
      <c r="K150" s="139" t="s">
        <v>4572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25000</v>
      </c>
      <c r="K151" s="119" t="s">
        <v>4613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112000</v>
      </c>
      <c r="K152" s="139" t="s">
        <v>1771</v>
      </c>
    </row>
    <row r="153" spans="1:11" ht="19" x14ac:dyDescent="0.2">
      <c r="A153" s="143">
        <v>1709000</v>
      </c>
      <c r="B153" s="153"/>
      <c r="C153" s="163" t="s">
        <v>10</v>
      </c>
      <c r="D153" s="155" t="s">
        <v>4443</v>
      </c>
      <c r="E153" s="164">
        <v>994000</v>
      </c>
      <c r="F153" s="119">
        <v>223000</v>
      </c>
      <c r="G153" s="119">
        <v>492000</v>
      </c>
      <c r="H153" s="119"/>
      <c r="I153" s="119"/>
      <c r="J153" s="119">
        <v>160000</v>
      </c>
      <c r="K153" s="119" t="s">
        <v>1597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105000</v>
      </c>
      <c r="K154" s="139" t="s">
        <v>1566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240000</v>
      </c>
      <c r="K155" s="119" t="s">
        <v>3659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/>
      <c r="K156" s="139"/>
    </row>
    <row r="157" spans="1:11" ht="19" x14ac:dyDescent="0.2">
      <c r="A157" s="143">
        <v>3327000</v>
      </c>
      <c r="B157" s="153">
        <v>45982</v>
      </c>
      <c r="C157" s="171" t="s">
        <v>9</v>
      </c>
      <c r="D157" s="155" t="s">
        <v>28</v>
      </c>
      <c r="E157" s="164">
        <v>1390000</v>
      </c>
      <c r="F157" s="119">
        <v>794000</v>
      </c>
      <c r="G157" s="119">
        <v>1143000</v>
      </c>
      <c r="H157" s="119"/>
      <c r="I157" s="119"/>
      <c r="J157" s="119">
        <v>100000</v>
      </c>
      <c r="K157" s="119" t="s">
        <v>3248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/>
      <c r="K158" s="139"/>
    </row>
    <row r="159" spans="1:11" ht="19" x14ac:dyDescent="0.2">
      <c r="A159" s="143">
        <v>2917000</v>
      </c>
      <c r="B159" s="153"/>
      <c r="C159" s="154" t="s">
        <v>10</v>
      </c>
      <c r="D159" s="155" t="s">
        <v>4443</v>
      </c>
      <c r="E159" s="164">
        <v>2258000</v>
      </c>
      <c r="F159" s="119">
        <v>160000</v>
      </c>
      <c r="G159" s="119">
        <v>499000</v>
      </c>
      <c r="H159" s="119"/>
      <c r="I159" s="168"/>
      <c r="J159" s="119"/>
      <c r="K159" s="119"/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/>
      <c r="K160" s="139"/>
    </row>
    <row r="161" spans="1:11" ht="19" x14ac:dyDescent="0.2">
      <c r="A161" s="143">
        <v>2762000</v>
      </c>
      <c r="B161" s="32">
        <v>45983</v>
      </c>
      <c r="C161" s="3" t="s">
        <v>9</v>
      </c>
      <c r="D161" s="13" t="s">
        <v>28</v>
      </c>
      <c r="E161" s="15">
        <v>1852000</v>
      </c>
      <c r="F161" s="9">
        <v>417000</v>
      </c>
      <c r="G161" s="9">
        <v>493000</v>
      </c>
      <c r="H161" s="9"/>
      <c r="I161" s="77"/>
      <c r="J161" s="9">
        <v>53000</v>
      </c>
      <c r="K161" s="9" t="s">
        <v>4019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73000</v>
      </c>
      <c r="K162" s="139" t="s">
        <v>4614</v>
      </c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>
        <v>10000</v>
      </c>
      <c r="K163" s="9" t="s">
        <v>4615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24000</v>
      </c>
      <c r="K164" s="139" t="s">
        <v>1279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40000</v>
      </c>
      <c r="K165" s="9" t="s">
        <v>1449</v>
      </c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/>
      <c r="K166" s="165"/>
    </row>
    <row r="167" spans="1:11" ht="19" x14ac:dyDescent="0.2">
      <c r="A167" s="143">
        <v>1894000</v>
      </c>
      <c r="B167" s="32"/>
      <c r="C167" s="49" t="s">
        <v>10</v>
      </c>
      <c r="D167" s="13" t="s">
        <v>4443</v>
      </c>
      <c r="E167" s="15">
        <v>1426000</v>
      </c>
      <c r="F167" s="9">
        <v>158000</v>
      </c>
      <c r="G167" s="9">
        <v>310000</v>
      </c>
      <c r="H167" s="9"/>
      <c r="I167" s="77"/>
      <c r="J167" s="9"/>
      <c r="K167" s="77"/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/>
      <c r="K168" s="139"/>
    </row>
    <row r="169" spans="1:11" ht="19" x14ac:dyDescent="0.2">
      <c r="A169" s="143">
        <v>1593000</v>
      </c>
      <c r="B169" s="32">
        <v>45984</v>
      </c>
      <c r="C169" s="49" t="s">
        <v>9</v>
      </c>
      <c r="D169" s="13" t="s">
        <v>28</v>
      </c>
      <c r="E169" s="15">
        <v>1103000</v>
      </c>
      <c r="F169" s="9">
        <v>81000</v>
      </c>
      <c r="G169" s="9">
        <v>409000</v>
      </c>
      <c r="H169" s="9"/>
      <c r="I169" s="77"/>
      <c r="J169" s="9">
        <v>50000</v>
      </c>
      <c r="K169" s="9" t="s">
        <v>123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/>
      <c r="K170" s="139"/>
    </row>
    <row r="171" spans="1:11" ht="19" x14ac:dyDescent="0.2">
      <c r="A171" s="143">
        <v>2556000</v>
      </c>
      <c r="B171" s="32"/>
      <c r="C171" s="49" t="s">
        <v>10</v>
      </c>
      <c r="D171" s="13" t="s">
        <v>4443</v>
      </c>
      <c r="E171" s="15">
        <v>1581000</v>
      </c>
      <c r="F171" s="9">
        <v>427000</v>
      </c>
      <c r="G171" s="9">
        <v>548000</v>
      </c>
      <c r="H171" s="9"/>
      <c r="I171" s="77"/>
      <c r="J171" s="9">
        <v>200000</v>
      </c>
      <c r="K171" s="9" t="s">
        <v>2796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150000</v>
      </c>
      <c r="K172" s="139" t="s">
        <v>1805</v>
      </c>
    </row>
    <row r="173" spans="1:11" ht="19" x14ac:dyDescent="0.2">
      <c r="A173" s="143"/>
      <c r="B173" s="32"/>
      <c r="C173" s="49"/>
      <c r="D173" s="13"/>
      <c r="E173" s="15"/>
      <c r="F173" s="9"/>
      <c r="G173" s="9"/>
      <c r="H173" s="9"/>
      <c r="I173" s="77"/>
      <c r="J173" s="9">
        <v>96000</v>
      </c>
      <c r="K173" s="9" t="s">
        <v>1310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/>
      <c r="K174" s="139"/>
    </row>
    <row r="175" spans="1:11" ht="19" x14ac:dyDescent="0.2">
      <c r="A175" s="143">
        <v>2767000</v>
      </c>
      <c r="B175" s="32">
        <v>45985</v>
      </c>
      <c r="C175" s="49" t="s">
        <v>9</v>
      </c>
      <c r="D175" s="13" t="s">
        <v>3941</v>
      </c>
      <c r="E175" s="15">
        <v>1747000</v>
      </c>
      <c r="F175" s="9">
        <v>332000</v>
      </c>
      <c r="G175" s="9">
        <v>688000</v>
      </c>
      <c r="H175" s="9"/>
      <c r="I175" s="77"/>
      <c r="J175" s="9">
        <v>200000</v>
      </c>
      <c r="K175" s="9" t="s">
        <v>4616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100000</v>
      </c>
      <c r="K176" s="139" t="s">
        <v>4580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49000</v>
      </c>
      <c r="K177" s="9" t="s">
        <v>1493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43000</v>
      </c>
      <c r="K178" s="139" t="s">
        <v>4207</v>
      </c>
    </row>
    <row r="179" spans="1:11" ht="19" x14ac:dyDescent="0.2">
      <c r="A179" s="143">
        <v>1353000</v>
      </c>
      <c r="B179" s="32"/>
      <c r="C179" s="49" t="s">
        <v>10</v>
      </c>
      <c r="D179" s="13" t="s">
        <v>28</v>
      </c>
      <c r="E179" s="15">
        <v>883000</v>
      </c>
      <c r="F179" s="9">
        <v>149000</v>
      </c>
      <c r="G179" s="9">
        <v>321000</v>
      </c>
      <c r="H179" s="9"/>
      <c r="I179" s="77"/>
      <c r="J179" s="9">
        <v>7000</v>
      </c>
      <c r="K179" s="9" t="s">
        <v>4617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/>
      <c r="K180" s="139"/>
    </row>
    <row r="181" spans="1:11" ht="19" x14ac:dyDescent="0.2">
      <c r="A181" s="143">
        <v>3176000</v>
      </c>
      <c r="B181" s="32">
        <v>45986</v>
      </c>
      <c r="C181" s="49" t="s">
        <v>9</v>
      </c>
      <c r="D181" s="13" t="s">
        <v>3941</v>
      </c>
      <c r="E181" s="15">
        <v>2053000</v>
      </c>
      <c r="F181" s="9">
        <v>398000</v>
      </c>
      <c r="G181" s="9">
        <v>725000</v>
      </c>
      <c r="H181" s="9"/>
      <c r="I181" s="77"/>
      <c r="J181" s="9">
        <v>150000</v>
      </c>
      <c r="K181" s="9" t="s">
        <v>4618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>
        <v>150000</v>
      </c>
      <c r="K182" s="139" t="s">
        <v>4619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>
        <v>100000</v>
      </c>
      <c r="K183" s="119" t="s">
        <v>3248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/>
      <c r="K184" s="139"/>
    </row>
    <row r="185" spans="1:11" ht="19" x14ac:dyDescent="0.2">
      <c r="A185" s="143">
        <v>1438000</v>
      </c>
      <c r="B185" s="153"/>
      <c r="C185" s="171" t="s">
        <v>10</v>
      </c>
      <c r="D185" s="155" t="s">
        <v>28</v>
      </c>
      <c r="E185" s="164">
        <v>1128000</v>
      </c>
      <c r="F185" s="119">
        <v>151000</v>
      </c>
      <c r="G185" s="119">
        <v>159000</v>
      </c>
      <c r="H185" s="119"/>
      <c r="I185" s="168"/>
      <c r="J185" s="119"/>
      <c r="K185" s="119"/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65"/>
      <c r="J186" s="139"/>
      <c r="K186" s="139"/>
    </row>
    <row r="187" spans="1:11" ht="19" x14ac:dyDescent="0.2">
      <c r="A187" s="143">
        <v>2476000</v>
      </c>
      <c r="B187" s="153">
        <v>45987</v>
      </c>
      <c r="C187" s="171" t="s">
        <v>9</v>
      </c>
      <c r="D187" s="155" t="s">
        <v>3941</v>
      </c>
      <c r="E187" s="164">
        <v>1495000</v>
      </c>
      <c r="F187" s="119">
        <v>371000</v>
      </c>
      <c r="G187" s="119">
        <v>610000</v>
      </c>
      <c r="H187" s="119"/>
      <c r="I187" s="168"/>
      <c r="J187" s="119">
        <v>36000</v>
      </c>
      <c r="K187" s="119" t="s">
        <v>4620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43000</v>
      </c>
      <c r="K188" s="139" t="s">
        <v>4621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>
        <v>29000</v>
      </c>
      <c r="K189" s="119" t="s">
        <v>4622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>
        <v>32000</v>
      </c>
      <c r="K190" s="139" t="s">
        <v>4623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/>
      <c r="J191" s="119">
        <v>40000</v>
      </c>
      <c r="K191" s="119" t="s">
        <v>1449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24000</v>
      </c>
      <c r="K192" s="139" t="s">
        <v>1279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120000</v>
      </c>
      <c r="K193" s="119" t="s">
        <v>4624</v>
      </c>
    </row>
    <row r="194" spans="1:11" ht="19" x14ac:dyDescent="0.2">
      <c r="A194" s="144">
        <v>1616000</v>
      </c>
      <c r="B194" s="145"/>
      <c r="C194" s="149" t="s">
        <v>10</v>
      </c>
      <c r="D194" s="147" t="s">
        <v>4443</v>
      </c>
      <c r="E194" s="150">
        <v>1113000</v>
      </c>
      <c r="F194" s="139">
        <v>393000</v>
      </c>
      <c r="G194" s="139">
        <v>110000</v>
      </c>
      <c r="H194" s="139"/>
      <c r="I194" s="165"/>
      <c r="J194" s="139">
        <v>57000</v>
      </c>
      <c r="K194" s="139" t="s">
        <v>4012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/>
      <c r="K195" s="119"/>
    </row>
    <row r="196" spans="1:11" ht="19" x14ac:dyDescent="0.2">
      <c r="A196" s="144">
        <v>2406000</v>
      </c>
      <c r="B196" s="145">
        <v>45988</v>
      </c>
      <c r="C196" s="149" t="s">
        <v>9</v>
      </c>
      <c r="D196" s="147" t="s">
        <v>3941</v>
      </c>
      <c r="E196" s="150">
        <v>1459000</v>
      </c>
      <c r="F196" s="139">
        <v>326000</v>
      </c>
      <c r="G196" s="139">
        <v>621000</v>
      </c>
      <c r="H196" s="139"/>
      <c r="I196" s="165"/>
      <c r="J196" s="139">
        <v>22000</v>
      </c>
      <c r="K196" s="139" t="s">
        <v>2522</v>
      </c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68"/>
      <c r="J197" s="119"/>
      <c r="K197" s="119"/>
    </row>
    <row r="198" spans="1:11" ht="19" x14ac:dyDescent="0.2">
      <c r="A198" s="144">
        <v>1209000</v>
      </c>
      <c r="B198" s="145"/>
      <c r="C198" s="149" t="s">
        <v>10</v>
      </c>
      <c r="D198" s="147" t="s">
        <v>4443</v>
      </c>
      <c r="E198" s="150">
        <v>870000</v>
      </c>
      <c r="F198" s="139">
        <v>279000</v>
      </c>
      <c r="G198" s="139">
        <v>60000</v>
      </c>
      <c r="H198" s="139"/>
      <c r="I198" s="165"/>
      <c r="J198" s="139">
        <v>200000</v>
      </c>
      <c r="K198" s="139" t="s">
        <v>2796</v>
      </c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/>
      <c r="I199" s="168"/>
      <c r="J199" s="119">
        <v>45000</v>
      </c>
      <c r="K199" s="119" t="s">
        <v>3635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>
        <v>150000</v>
      </c>
      <c r="K200" s="139" t="s">
        <v>1805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/>
      <c r="J201" s="119"/>
      <c r="K201" s="119"/>
    </row>
    <row r="202" spans="1:11" ht="19" x14ac:dyDescent="0.2">
      <c r="A202" s="144">
        <v>2608000</v>
      </c>
      <c r="B202" s="145">
        <v>45989</v>
      </c>
      <c r="C202" s="149" t="s">
        <v>9</v>
      </c>
      <c r="D202" s="147" t="s">
        <v>4625</v>
      </c>
      <c r="E202" s="150">
        <v>1771000</v>
      </c>
      <c r="F202" s="139">
        <v>140000</v>
      </c>
      <c r="G202" s="139">
        <v>697000</v>
      </c>
      <c r="H202" s="139"/>
      <c r="I202" s="165"/>
      <c r="J202" s="139">
        <v>243000</v>
      </c>
      <c r="K202" s="139" t="s">
        <v>4626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32000</v>
      </c>
      <c r="K203" s="119" t="s">
        <v>1253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65"/>
      <c r="J204" s="139">
        <v>32000</v>
      </c>
      <c r="K204" s="139" t="s">
        <v>4537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68"/>
      <c r="J205" s="119">
        <v>33000</v>
      </c>
      <c r="K205" s="119" t="s">
        <v>4623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65"/>
      <c r="J206" s="139">
        <v>38000</v>
      </c>
      <c r="K206" s="139" t="s">
        <v>4574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27000</v>
      </c>
      <c r="K207" s="119" t="s">
        <v>4572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/>
      <c r="J208" s="139">
        <v>18000</v>
      </c>
      <c r="K208" s="139" t="s">
        <v>4627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75">
        <v>4537500</v>
      </c>
      <c r="K209" s="175" t="s">
        <v>4633</v>
      </c>
    </row>
    <row r="210" spans="1:11" ht="19" x14ac:dyDescent="0.2">
      <c r="A210" s="144">
        <v>2509000</v>
      </c>
      <c r="B210" s="145"/>
      <c r="C210" s="149" t="s">
        <v>10</v>
      </c>
      <c r="D210" s="147" t="s">
        <v>4443</v>
      </c>
      <c r="E210" s="150">
        <v>1933000</v>
      </c>
      <c r="F210" s="139">
        <v>230000</v>
      </c>
      <c r="G210" s="139">
        <v>346000</v>
      </c>
      <c r="H210" s="139"/>
      <c r="I210" s="165"/>
      <c r="J210" s="139"/>
      <c r="K210" s="139"/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/>
      <c r="K211" s="119"/>
    </row>
    <row r="212" spans="1:11" ht="19" x14ac:dyDescent="0.2">
      <c r="A212" s="144">
        <v>2587000</v>
      </c>
      <c r="B212" s="145">
        <v>45990</v>
      </c>
      <c r="C212" s="149" t="s">
        <v>9</v>
      </c>
      <c r="D212" s="147" t="s">
        <v>28</v>
      </c>
      <c r="E212" s="150">
        <v>1377000</v>
      </c>
      <c r="F212" s="139">
        <v>415000</v>
      </c>
      <c r="G212" s="139">
        <v>795000</v>
      </c>
      <c r="H212" s="139"/>
      <c r="I212" s="165"/>
      <c r="J212" s="139">
        <v>25000</v>
      </c>
      <c r="K212" s="139" t="s">
        <v>3630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/>
      <c r="K213" s="119"/>
    </row>
    <row r="214" spans="1:11" ht="19" x14ac:dyDescent="0.2">
      <c r="A214" s="144">
        <v>2206000</v>
      </c>
      <c r="B214" s="145"/>
      <c r="C214" s="149" t="s">
        <v>10</v>
      </c>
      <c r="D214" s="147" t="s">
        <v>4443</v>
      </c>
      <c r="E214" s="150">
        <v>1581000</v>
      </c>
      <c r="F214" s="139">
        <v>299000</v>
      </c>
      <c r="G214" s="139">
        <v>326000</v>
      </c>
      <c r="H214" s="139"/>
      <c r="I214" s="165"/>
      <c r="J214" s="139">
        <v>160000</v>
      </c>
      <c r="K214" s="139" t="s">
        <v>1597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>
        <v>140000</v>
      </c>
      <c r="K215" s="119" t="s">
        <v>1285</v>
      </c>
    </row>
    <row r="216" spans="1:11" ht="19" x14ac:dyDescent="0.2">
      <c r="A216" s="144">
        <v>2466000</v>
      </c>
      <c r="B216" s="145">
        <v>45991</v>
      </c>
      <c r="C216" s="149" t="s">
        <v>9</v>
      </c>
      <c r="D216" s="147" t="s">
        <v>28</v>
      </c>
      <c r="E216" s="150">
        <v>1818000</v>
      </c>
      <c r="F216" s="139">
        <v>248000</v>
      </c>
      <c r="G216" s="139">
        <v>400000</v>
      </c>
      <c r="H216" s="139"/>
      <c r="I216" s="165"/>
      <c r="J216" s="139"/>
      <c r="K216" s="139"/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>
        <v>1300000</v>
      </c>
      <c r="I217" s="168" t="s">
        <v>717</v>
      </c>
      <c r="J217" s="119"/>
      <c r="K217" s="119"/>
    </row>
    <row r="218" spans="1:11" ht="19" x14ac:dyDescent="0.2">
      <c r="A218" s="144">
        <v>1786000</v>
      </c>
      <c r="B218" s="145"/>
      <c r="C218" s="149" t="s">
        <v>10</v>
      </c>
      <c r="D218" s="147" t="s">
        <v>4443</v>
      </c>
      <c r="E218" s="150">
        <v>1461000</v>
      </c>
      <c r="F218" s="139">
        <v>60000</v>
      </c>
      <c r="G218" s="139">
        <v>265000</v>
      </c>
      <c r="H218" s="139">
        <v>2230000</v>
      </c>
      <c r="I218" s="165" t="s">
        <v>4127</v>
      </c>
      <c r="J218" s="139">
        <v>160000</v>
      </c>
      <c r="K218" s="139" t="s">
        <v>1518</v>
      </c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>
        <v>2462000</v>
      </c>
      <c r="I219" s="168" t="s">
        <v>4628</v>
      </c>
      <c r="J219" s="119"/>
      <c r="K219" s="119"/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>
        <v>2082000</v>
      </c>
      <c r="I220" s="165" t="s">
        <v>4028</v>
      </c>
      <c r="J220" s="139"/>
      <c r="K220" s="139"/>
    </row>
    <row r="221" spans="1:11" ht="32" x14ac:dyDescent="0.2">
      <c r="A221" s="143"/>
      <c r="B221" s="153"/>
      <c r="C221" s="171"/>
      <c r="D221" s="155"/>
      <c r="E221" s="164"/>
      <c r="F221" s="119"/>
      <c r="G221" s="119"/>
      <c r="H221" s="119">
        <v>5530000</v>
      </c>
      <c r="I221" s="258" t="s">
        <v>4131</v>
      </c>
      <c r="J221" s="119"/>
      <c r="K221" s="119"/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/>
      <c r="J222" s="139"/>
      <c r="K222" s="139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E4D6-8B78-A446-93A0-E72A194D9898}">
  <dimension ref="A3:K249"/>
  <sheetViews>
    <sheetView topLeftCell="A7" workbookViewId="0">
      <selection activeCell="L30" sqref="L30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7.6640625" bestFit="1" customWidth="1"/>
    <col min="5" max="5" width="20.33203125" bestFit="1" customWidth="1"/>
    <col min="6" max="6" width="28.6640625" customWidth="1"/>
    <col min="7" max="8" width="20.33203125" bestFit="1" customWidth="1"/>
    <col min="9" max="9" width="35.83203125" customWidth="1"/>
    <col min="10" max="10" width="20.33203125" bestFit="1" customWidth="1"/>
    <col min="11" max="11" width="30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13151000</v>
      </c>
      <c r="K4" s="72">
        <f>J4/10820</f>
        <v>1215.43438077634</v>
      </c>
    </row>
    <row r="5" spans="1:11" ht="24" x14ac:dyDescent="0.3">
      <c r="B5" s="99" t="s">
        <v>4730</v>
      </c>
      <c r="H5" s="73"/>
      <c r="I5" s="71" t="s">
        <v>2315</v>
      </c>
      <c r="J5" s="71">
        <v>13151000</v>
      </c>
      <c r="K5" s="72">
        <f>J5/10820</f>
        <v>1215.43438077634</v>
      </c>
    </row>
    <row r="6" spans="1:11" ht="24" x14ac:dyDescent="0.3">
      <c r="B6" s="99"/>
      <c r="H6" s="73"/>
      <c r="I6" s="71" t="s">
        <v>178</v>
      </c>
      <c r="J6" s="71">
        <v>10655520</v>
      </c>
      <c r="K6" s="72" t="s">
        <v>4733</v>
      </c>
    </row>
    <row r="7" spans="1:11" ht="26" x14ac:dyDescent="0.3">
      <c r="B7" s="100" t="s">
        <v>4732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SUM(A11:A563)</f>
        <v>143549000</v>
      </c>
      <c r="B10" s="65"/>
      <c r="C10" s="66" t="s">
        <v>13</v>
      </c>
      <c r="D10" s="67"/>
      <c r="E10" s="68">
        <f>SUM(E11:E563)</f>
        <v>88130000</v>
      </c>
      <c r="F10" s="69">
        <f>SUM(F11:F563)</f>
        <v>16300000</v>
      </c>
      <c r="G10" s="69">
        <f>SUM(G11:G550)</f>
        <v>39119000</v>
      </c>
      <c r="H10" s="69">
        <f>SUM(H11:H563)</f>
        <v>38259000</v>
      </c>
      <c r="I10" s="69"/>
      <c r="J10" s="69">
        <f>SUM(J11:J563)</f>
        <v>27336000</v>
      </c>
      <c r="K10" s="69"/>
    </row>
    <row r="11" spans="1:11" ht="19" x14ac:dyDescent="0.2">
      <c r="A11" s="142">
        <v>3010000</v>
      </c>
      <c r="B11" s="32">
        <v>45992</v>
      </c>
      <c r="C11" s="49" t="s">
        <v>9</v>
      </c>
      <c r="D11" s="13" t="s">
        <v>3941</v>
      </c>
      <c r="E11" s="15">
        <v>1997000</v>
      </c>
      <c r="F11" s="9">
        <v>294000</v>
      </c>
      <c r="G11" s="9">
        <v>719000</v>
      </c>
      <c r="H11" s="9"/>
      <c r="I11" s="295"/>
      <c r="J11" s="119">
        <v>100000</v>
      </c>
      <c r="K11" s="9" t="s">
        <v>3248</v>
      </c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296"/>
      <c r="J12" s="139"/>
      <c r="K12" s="139"/>
    </row>
    <row r="13" spans="1:11" ht="19" x14ac:dyDescent="0.2">
      <c r="A13" s="143">
        <v>1684000</v>
      </c>
      <c r="B13" s="153"/>
      <c r="C13" s="163" t="s">
        <v>10</v>
      </c>
      <c r="D13" s="155" t="s">
        <v>28</v>
      </c>
      <c r="E13" s="164">
        <v>1170000</v>
      </c>
      <c r="F13" s="119">
        <v>160000</v>
      </c>
      <c r="G13" s="119">
        <v>354000</v>
      </c>
      <c r="H13" s="119">
        <v>870000</v>
      </c>
      <c r="I13" s="174" t="s">
        <v>4724</v>
      </c>
      <c r="J13" s="119"/>
      <c r="K13" s="119"/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/>
      <c r="K14" s="139"/>
    </row>
    <row r="15" spans="1:11" ht="19" x14ac:dyDescent="0.2">
      <c r="A15" s="143">
        <v>3032000</v>
      </c>
      <c r="B15" s="153">
        <v>45993</v>
      </c>
      <c r="C15" s="163" t="s">
        <v>9</v>
      </c>
      <c r="D15" s="155" t="s">
        <v>3941</v>
      </c>
      <c r="E15" s="164">
        <v>2115000</v>
      </c>
      <c r="F15" s="119">
        <v>268000</v>
      </c>
      <c r="G15" s="119">
        <v>649000</v>
      </c>
      <c r="H15" s="119"/>
      <c r="I15" s="174"/>
      <c r="J15" s="119">
        <v>160000</v>
      </c>
      <c r="K15" s="119" t="s">
        <v>1597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140000</v>
      </c>
      <c r="K16" s="139" t="s">
        <v>2299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215000</v>
      </c>
      <c r="K17" s="119" t="s">
        <v>4265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60000</v>
      </c>
      <c r="K18" s="139" t="s">
        <v>1491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48000</v>
      </c>
      <c r="K19" s="119" t="s">
        <v>1533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62">
        <v>115000</v>
      </c>
      <c r="K20" s="162" t="s">
        <v>4637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34000</v>
      </c>
      <c r="K21" s="106" t="s">
        <v>4638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/>
      <c r="K22" s="162"/>
    </row>
    <row r="23" spans="1:11" ht="19" x14ac:dyDescent="0.2">
      <c r="A23" s="142">
        <v>1581000</v>
      </c>
      <c r="B23" s="32"/>
      <c r="C23" s="49" t="s">
        <v>10</v>
      </c>
      <c r="D23" s="13" t="s">
        <v>28</v>
      </c>
      <c r="E23" s="15">
        <v>1371000</v>
      </c>
      <c r="F23" s="9">
        <v>70000</v>
      </c>
      <c r="G23" s="9">
        <v>140000</v>
      </c>
      <c r="H23" s="9"/>
      <c r="I23" s="9"/>
      <c r="J23" s="175">
        <v>3025000</v>
      </c>
      <c r="K23" s="60" t="s">
        <v>2162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52">
        <v>8000000</v>
      </c>
      <c r="K24" s="152" t="s">
        <v>4957</v>
      </c>
    </row>
    <row r="25" spans="1:11" ht="19" x14ac:dyDescent="0.2">
      <c r="A25" s="142">
        <v>3440000</v>
      </c>
      <c r="B25" s="153">
        <v>45994</v>
      </c>
      <c r="C25" s="171" t="s">
        <v>9</v>
      </c>
      <c r="D25" s="155" t="s">
        <v>3941</v>
      </c>
      <c r="E25" s="164">
        <v>1772000</v>
      </c>
      <c r="F25" s="119">
        <v>694000</v>
      </c>
      <c r="G25" s="119">
        <v>974000</v>
      </c>
      <c r="H25" s="119"/>
      <c r="I25" s="119"/>
      <c r="J25" s="119">
        <v>43000</v>
      </c>
      <c r="K25" s="119" t="s">
        <v>4621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33000</v>
      </c>
      <c r="K26" s="139" t="s">
        <v>4623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22000</v>
      </c>
      <c r="K27" s="106" t="s">
        <v>4639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25000</v>
      </c>
      <c r="K28" s="139" t="s">
        <v>4640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>
        <v>36000</v>
      </c>
      <c r="K29" s="9" t="s">
        <v>4620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200000</v>
      </c>
      <c r="K30" s="139" t="s">
        <v>2796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45000</v>
      </c>
      <c r="K31" s="9" t="s">
        <v>3635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150000</v>
      </c>
      <c r="K32" s="139" t="s">
        <v>1805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78000</v>
      </c>
      <c r="K33" s="119" t="s">
        <v>4641</v>
      </c>
    </row>
    <row r="34" spans="1:11" ht="19" x14ac:dyDescent="0.2">
      <c r="A34" s="144">
        <v>2068000</v>
      </c>
      <c r="B34" s="145"/>
      <c r="C34" s="149" t="s">
        <v>10</v>
      </c>
      <c r="D34" s="147" t="s">
        <v>4443</v>
      </c>
      <c r="E34" s="150">
        <v>1360000</v>
      </c>
      <c r="F34" s="139">
        <v>352000</v>
      </c>
      <c r="G34" s="139">
        <v>356000</v>
      </c>
      <c r="H34" s="139"/>
      <c r="I34" s="139"/>
      <c r="J34" s="139">
        <v>160000</v>
      </c>
      <c r="K34" s="139" t="s">
        <v>1518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104000</v>
      </c>
      <c r="K35" s="9" t="s">
        <v>4642</v>
      </c>
    </row>
    <row r="36" spans="1:11" ht="19" x14ac:dyDescent="0.2">
      <c r="A36" s="144">
        <v>2854000</v>
      </c>
      <c r="B36" s="145">
        <v>45995</v>
      </c>
      <c r="C36" s="149" t="s">
        <v>9</v>
      </c>
      <c r="D36" s="147" t="s">
        <v>3941</v>
      </c>
      <c r="E36" s="150">
        <v>1660000</v>
      </c>
      <c r="F36" s="139">
        <v>283000</v>
      </c>
      <c r="G36" s="139">
        <v>911000</v>
      </c>
      <c r="H36" s="139"/>
      <c r="I36" s="139"/>
      <c r="J36" s="139">
        <v>162000</v>
      </c>
      <c r="K36" s="139" t="s">
        <v>3622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25000</v>
      </c>
      <c r="K37" s="9" t="s">
        <v>4051</v>
      </c>
    </row>
    <row r="38" spans="1:11" ht="19" x14ac:dyDescent="0.2">
      <c r="A38" s="144">
        <v>1217000</v>
      </c>
      <c r="B38" s="145"/>
      <c r="C38" s="149" t="s">
        <v>10</v>
      </c>
      <c r="D38" s="147" t="s">
        <v>4443</v>
      </c>
      <c r="E38" s="150">
        <v>1014000</v>
      </c>
      <c r="F38" s="139">
        <v>0</v>
      </c>
      <c r="G38" s="139">
        <v>203000</v>
      </c>
      <c r="H38" s="139"/>
      <c r="I38" s="139"/>
      <c r="J38" s="139"/>
      <c r="K38" s="139"/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/>
      <c r="K39" s="9"/>
    </row>
    <row r="40" spans="1:11" ht="19" x14ac:dyDescent="0.2">
      <c r="A40" s="144">
        <v>2880000</v>
      </c>
      <c r="B40" s="145">
        <v>45996</v>
      </c>
      <c r="C40" s="149" t="s">
        <v>9</v>
      </c>
      <c r="D40" s="147" t="s">
        <v>4625</v>
      </c>
      <c r="E40" s="150">
        <v>1858000</v>
      </c>
      <c r="F40" s="139">
        <v>192000</v>
      </c>
      <c r="G40" s="139">
        <v>830000</v>
      </c>
      <c r="H40" s="139">
        <v>2100000</v>
      </c>
      <c r="I40" s="139" t="s">
        <v>4729</v>
      </c>
      <c r="J40" s="139">
        <v>43000</v>
      </c>
      <c r="K40" s="139" t="s">
        <v>4621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44000</v>
      </c>
      <c r="K41" s="9" t="s">
        <v>4643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34000</v>
      </c>
      <c r="K42" s="139" t="s">
        <v>4644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45000</v>
      </c>
      <c r="K43" s="9" t="s">
        <v>4645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300000</v>
      </c>
      <c r="K44" s="139" t="s">
        <v>4646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92000</v>
      </c>
      <c r="K45" s="119" t="s">
        <v>4647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100000</v>
      </c>
      <c r="K46" s="139" t="s">
        <v>4648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500000</v>
      </c>
      <c r="K47" s="119" t="s">
        <v>4649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52"/>
      <c r="J48" s="139">
        <v>300000</v>
      </c>
      <c r="K48" s="139" t="s">
        <v>4650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10000</v>
      </c>
      <c r="K49" s="119" t="s">
        <v>4651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77000</v>
      </c>
      <c r="K50" s="139" t="s">
        <v>3923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20000</v>
      </c>
      <c r="K51" s="119" t="s">
        <v>3662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10000</v>
      </c>
      <c r="K52" s="139" t="s">
        <v>1305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7000</v>
      </c>
      <c r="K53" s="119" t="s">
        <v>1580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12000</v>
      </c>
      <c r="K54" s="139" t="s">
        <v>1582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/>
      <c r="K55" s="119"/>
    </row>
    <row r="56" spans="1:11" ht="19" x14ac:dyDescent="0.2">
      <c r="A56" s="144">
        <v>1188000</v>
      </c>
      <c r="B56" s="145"/>
      <c r="C56" s="149" t="s">
        <v>10</v>
      </c>
      <c r="D56" s="147" t="s">
        <v>4443</v>
      </c>
      <c r="E56" s="150">
        <v>718000</v>
      </c>
      <c r="F56" s="139">
        <v>205000</v>
      </c>
      <c r="G56" s="139">
        <v>265000</v>
      </c>
      <c r="H56" s="139"/>
      <c r="I56" s="139"/>
      <c r="J56" s="139"/>
      <c r="K56" s="139"/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/>
      <c r="K57" s="119"/>
    </row>
    <row r="58" spans="1:11" ht="19" x14ac:dyDescent="0.2">
      <c r="A58" s="144">
        <v>2677000</v>
      </c>
      <c r="B58" s="145">
        <v>45997</v>
      </c>
      <c r="C58" s="149" t="s">
        <v>9</v>
      </c>
      <c r="D58" s="147" t="s">
        <v>28</v>
      </c>
      <c r="E58" s="150">
        <v>1512000</v>
      </c>
      <c r="F58" s="139">
        <v>428000</v>
      </c>
      <c r="G58" s="139">
        <v>737000</v>
      </c>
      <c r="H58" s="139"/>
      <c r="I58" s="139"/>
      <c r="J58" s="139">
        <v>34000</v>
      </c>
      <c r="K58" s="139" t="s">
        <v>3628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/>
      <c r="K59" s="119"/>
    </row>
    <row r="60" spans="1:11" ht="19" x14ac:dyDescent="0.2">
      <c r="A60" s="144">
        <v>2387000</v>
      </c>
      <c r="B60" s="145"/>
      <c r="C60" s="149" t="s">
        <v>10</v>
      </c>
      <c r="D60" s="147" t="s">
        <v>4443</v>
      </c>
      <c r="E60" s="150">
        <v>1184000</v>
      </c>
      <c r="F60" s="139">
        <v>468000</v>
      </c>
      <c r="G60" s="139">
        <v>735000</v>
      </c>
      <c r="H60" s="300"/>
      <c r="I60" s="139"/>
      <c r="J60" s="139">
        <v>100000</v>
      </c>
      <c r="K60" s="139" t="s">
        <v>3248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105000</v>
      </c>
      <c r="K61" s="119" t="s">
        <v>4652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105000</v>
      </c>
      <c r="K62" s="139" t="s">
        <v>4653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105000</v>
      </c>
      <c r="K63" s="119" t="s">
        <v>1878</v>
      </c>
    </row>
    <row r="64" spans="1:11" ht="19" x14ac:dyDescent="0.2">
      <c r="A64" s="144">
        <v>2107000</v>
      </c>
      <c r="B64" s="145">
        <v>45998</v>
      </c>
      <c r="C64" s="149" t="s">
        <v>9</v>
      </c>
      <c r="D64" s="147" t="s">
        <v>28</v>
      </c>
      <c r="E64" s="150">
        <v>1407000</v>
      </c>
      <c r="F64" s="150">
        <v>380000</v>
      </c>
      <c r="G64" s="139">
        <v>320000</v>
      </c>
      <c r="H64" s="139"/>
      <c r="I64" s="139"/>
      <c r="J64" s="139"/>
      <c r="K64" s="139"/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/>
      <c r="K65" s="119"/>
    </row>
    <row r="66" spans="1:11" ht="19" x14ac:dyDescent="0.2">
      <c r="A66" s="144">
        <v>1720000</v>
      </c>
      <c r="B66" s="145"/>
      <c r="C66" s="149" t="s">
        <v>10</v>
      </c>
      <c r="D66" s="147" t="s">
        <v>4443</v>
      </c>
      <c r="E66" s="150">
        <v>1000000</v>
      </c>
      <c r="F66" s="139">
        <v>163000</v>
      </c>
      <c r="G66" s="139">
        <v>557000</v>
      </c>
      <c r="H66" s="152"/>
      <c r="I66" s="152"/>
      <c r="J66" s="139">
        <v>160000</v>
      </c>
      <c r="K66" s="139" t="s">
        <v>1518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50000</v>
      </c>
      <c r="K67" s="119" t="s">
        <v>123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200000</v>
      </c>
      <c r="K68" s="139" t="s">
        <v>2796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150000</v>
      </c>
      <c r="K69" s="119" t="s">
        <v>1805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/>
      <c r="K70" s="139"/>
    </row>
    <row r="71" spans="1:11" ht="19" x14ac:dyDescent="0.2">
      <c r="A71" s="143">
        <v>2757000</v>
      </c>
      <c r="B71" s="32">
        <v>45999</v>
      </c>
      <c r="C71" s="49" t="s">
        <v>9</v>
      </c>
      <c r="D71" s="13" t="s">
        <v>3941</v>
      </c>
      <c r="E71" s="15">
        <v>1893000</v>
      </c>
      <c r="F71" s="9">
        <v>224000</v>
      </c>
      <c r="G71" s="9">
        <v>640000</v>
      </c>
      <c r="H71" s="9"/>
      <c r="I71" s="9"/>
      <c r="J71" s="9">
        <v>118000</v>
      </c>
      <c r="K71" s="9" t="s">
        <v>4654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15000</v>
      </c>
      <c r="K72" s="139" t="s">
        <v>4655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86000</v>
      </c>
      <c r="K73" s="9" t="s">
        <v>4656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26000</v>
      </c>
      <c r="K74" s="139" t="s">
        <v>3169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98000</v>
      </c>
      <c r="K75" s="119" t="s">
        <v>4657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50000</v>
      </c>
      <c r="K76" s="139" t="s">
        <v>3661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119">
        <v>187000</v>
      </c>
      <c r="K77" s="9" t="s">
        <v>2732</v>
      </c>
    </row>
    <row r="78" spans="1:11" ht="19" x14ac:dyDescent="0.2">
      <c r="A78" s="144">
        <v>1285000</v>
      </c>
      <c r="B78" s="145"/>
      <c r="C78" s="149" t="s">
        <v>10</v>
      </c>
      <c r="D78" s="147" t="s">
        <v>28</v>
      </c>
      <c r="E78" s="150">
        <v>842000</v>
      </c>
      <c r="F78" s="139">
        <v>270000</v>
      </c>
      <c r="G78" s="139">
        <v>173000</v>
      </c>
      <c r="H78" s="139"/>
      <c r="I78" s="139"/>
      <c r="J78" s="139">
        <v>18000</v>
      </c>
      <c r="K78" s="139" t="s">
        <v>3348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/>
      <c r="K79" s="119"/>
    </row>
    <row r="80" spans="1:11" ht="19" x14ac:dyDescent="0.2">
      <c r="A80" s="144">
        <v>3365000</v>
      </c>
      <c r="B80" s="145">
        <v>46000</v>
      </c>
      <c r="C80" s="149" t="s">
        <v>9</v>
      </c>
      <c r="D80" s="147" t="s">
        <v>3941</v>
      </c>
      <c r="E80" s="150">
        <v>2028000</v>
      </c>
      <c r="F80" s="139">
        <v>441000</v>
      </c>
      <c r="G80" s="139">
        <v>896000</v>
      </c>
      <c r="H80" s="139"/>
      <c r="I80" s="139"/>
      <c r="J80" s="139">
        <v>160000</v>
      </c>
      <c r="K80" s="139" t="s">
        <v>1597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105000</v>
      </c>
      <c r="K81" s="119" t="s">
        <v>1566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100000</v>
      </c>
      <c r="K82" s="139" t="s">
        <v>3248</v>
      </c>
    </row>
    <row r="83" spans="1:11" ht="19" x14ac:dyDescent="0.2">
      <c r="A83" s="143">
        <v>2136000</v>
      </c>
      <c r="B83" s="153"/>
      <c r="C83" s="171" t="s">
        <v>10</v>
      </c>
      <c r="D83" s="155" t="s">
        <v>28</v>
      </c>
      <c r="E83" s="164">
        <v>1545000</v>
      </c>
      <c r="F83" s="119">
        <v>323000</v>
      </c>
      <c r="G83" s="119">
        <v>268000</v>
      </c>
      <c r="H83" s="9"/>
      <c r="I83" s="9"/>
      <c r="J83" s="119"/>
      <c r="K83" s="9"/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/>
      <c r="K84" s="139"/>
    </row>
    <row r="85" spans="1:11" ht="19" x14ac:dyDescent="0.2">
      <c r="A85" s="143">
        <v>2735000</v>
      </c>
      <c r="B85" s="153">
        <v>46001</v>
      </c>
      <c r="C85" s="171" t="s">
        <v>9</v>
      </c>
      <c r="D85" s="155" t="s">
        <v>3941</v>
      </c>
      <c r="E85" s="164">
        <v>1615000</v>
      </c>
      <c r="F85" s="119">
        <v>354000</v>
      </c>
      <c r="G85" s="119">
        <v>766000</v>
      </c>
      <c r="H85" s="174"/>
      <c r="I85" s="106"/>
      <c r="J85" s="119">
        <v>72000</v>
      </c>
      <c r="K85" s="119" t="s">
        <v>4658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40000</v>
      </c>
      <c r="K86" s="139" t="s">
        <v>4659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17000</v>
      </c>
      <c r="K87" s="119" t="s">
        <v>2475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>
        <v>128000</v>
      </c>
      <c r="K88" s="162" t="s">
        <v>4660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78000</v>
      </c>
      <c r="K89" s="119" t="s">
        <v>4661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65000</v>
      </c>
      <c r="K90" s="139" t="s">
        <v>3772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25000</v>
      </c>
      <c r="K91" s="119" t="s">
        <v>4546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22000</v>
      </c>
      <c r="K92" s="139" t="s">
        <v>4639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>
        <v>22000</v>
      </c>
      <c r="K93" s="9" t="s">
        <v>4662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62">
        <v>21000</v>
      </c>
      <c r="K94" s="162" t="s">
        <v>4663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>
        <v>32000</v>
      </c>
      <c r="K95" s="119" t="s">
        <v>4537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27000</v>
      </c>
      <c r="K96" s="139" t="s">
        <v>4533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18000</v>
      </c>
      <c r="K97" s="9" t="s">
        <v>4664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18000</v>
      </c>
      <c r="K98" s="139" t="s">
        <v>4665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20000</v>
      </c>
      <c r="K99" s="119" t="s">
        <v>4666</v>
      </c>
    </row>
    <row r="100" spans="1:11" ht="19" x14ac:dyDescent="0.2">
      <c r="A100" s="144">
        <v>1486000</v>
      </c>
      <c r="B100" s="145"/>
      <c r="C100" s="149" t="s">
        <v>10</v>
      </c>
      <c r="D100" s="147" t="s">
        <v>4443</v>
      </c>
      <c r="E100" s="150">
        <v>856000</v>
      </c>
      <c r="F100" s="139">
        <v>211000</v>
      </c>
      <c r="G100" s="139">
        <v>419000</v>
      </c>
      <c r="H100" s="139">
        <v>1200000</v>
      </c>
      <c r="I100" s="139" t="s">
        <v>4404</v>
      </c>
      <c r="J100" s="139">
        <v>150000</v>
      </c>
      <c r="K100" s="139" t="s">
        <v>4667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150000</v>
      </c>
      <c r="K101" s="119" t="s">
        <v>4668</v>
      </c>
    </row>
    <row r="102" spans="1:11" ht="19" x14ac:dyDescent="0.2">
      <c r="A102" s="144">
        <v>4004000</v>
      </c>
      <c r="B102" s="145">
        <v>46002</v>
      </c>
      <c r="C102" s="149" t="s">
        <v>9</v>
      </c>
      <c r="D102" s="147" t="s">
        <v>4625</v>
      </c>
      <c r="E102" s="150">
        <v>2291000</v>
      </c>
      <c r="F102" s="139">
        <v>601000</v>
      </c>
      <c r="G102" s="139">
        <v>1112000</v>
      </c>
      <c r="H102" s="139"/>
      <c r="I102" s="139"/>
      <c r="J102" s="139">
        <v>150000</v>
      </c>
      <c r="K102" s="139" t="s">
        <v>4669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128000</v>
      </c>
      <c r="K103" s="119" t="s">
        <v>1553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39"/>
      <c r="I104" s="139"/>
      <c r="J104" s="139"/>
      <c r="K104" s="139"/>
    </row>
    <row r="105" spans="1:11" ht="19" x14ac:dyDescent="0.2">
      <c r="A105" s="143">
        <v>1054000</v>
      </c>
      <c r="B105" s="153"/>
      <c r="C105" s="171" t="s">
        <v>10</v>
      </c>
      <c r="D105" s="155" t="s">
        <v>4443</v>
      </c>
      <c r="E105" s="164">
        <v>555000</v>
      </c>
      <c r="F105" s="119">
        <v>97000</v>
      </c>
      <c r="G105" s="119">
        <v>402000</v>
      </c>
      <c r="H105" s="119"/>
      <c r="I105" s="119"/>
      <c r="J105" s="119">
        <v>50000</v>
      </c>
      <c r="K105" s="119" t="s">
        <v>123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/>
      <c r="K106" s="139"/>
    </row>
    <row r="107" spans="1:11" ht="19" x14ac:dyDescent="0.2">
      <c r="A107" s="143">
        <v>2630000</v>
      </c>
      <c r="B107" s="153">
        <v>46003</v>
      </c>
      <c r="C107" s="171" t="s">
        <v>9</v>
      </c>
      <c r="D107" s="155" t="s">
        <v>3941</v>
      </c>
      <c r="E107" s="164">
        <v>1511000</v>
      </c>
      <c r="F107" s="119">
        <v>245000</v>
      </c>
      <c r="G107" s="119">
        <v>874000</v>
      </c>
      <c r="H107" s="119">
        <v>7284000</v>
      </c>
      <c r="I107" s="119" t="s">
        <v>3742</v>
      </c>
      <c r="J107" s="119"/>
      <c r="K107" s="119"/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/>
      <c r="K108" s="139"/>
    </row>
    <row r="109" spans="1:11" ht="19" x14ac:dyDescent="0.2">
      <c r="A109" s="293">
        <v>1808000</v>
      </c>
      <c r="B109" s="153"/>
      <c r="C109" s="171" t="s">
        <v>10</v>
      </c>
      <c r="D109" s="155" t="s">
        <v>4443</v>
      </c>
      <c r="E109" s="164">
        <v>1480000</v>
      </c>
      <c r="F109" s="119">
        <v>132000</v>
      </c>
      <c r="G109" s="119">
        <v>196000</v>
      </c>
      <c r="H109" s="119"/>
      <c r="I109" s="119"/>
      <c r="J109" s="119">
        <v>240000</v>
      </c>
      <c r="K109" s="119" t="s">
        <v>3659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40000</v>
      </c>
      <c r="K110" s="139" t="s">
        <v>1859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/>
      <c r="K111" s="119"/>
    </row>
    <row r="112" spans="1:11" ht="19" x14ac:dyDescent="0.2">
      <c r="A112" s="144">
        <v>1405000</v>
      </c>
      <c r="B112" s="145">
        <v>46004</v>
      </c>
      <c r="C112" s="149" t="s">
        <v>9</v>
      </c>
      <c r="D112" s="147" t="s">
        <v>28</v>
      </c>
      <c r="E112" s="150">
        <v>1070000</v>
      </c>
      <c r="F112" s="139">
        <v>52000</v>
      </c>
      <c r="G112" s="139">
        <v>283000</v>
      </c>
      <c r="H112" s="139"/>
      <c r="I112" s="139"/>
      <c r="J112" s="139">
        <v>28000</v>
      </c>
      <c r="K112" s="139" t="s">
        <v>4670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48000</v>
      </c>
      <c r="K113" s="119" t="s">
        <v>4621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42000</v>
      </c>
      <c r="K114" s="139" t="s">
        <v>4671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48000</v>
      </c>
      <c r="K115" s="119" t="s">
        <v>4672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42000</v>
      </c>
      <c r="K116" s="162" t="s">
        <v>4673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40000</v>
      </c>
      <c r="K117" s="174" t="s">
        <v>4620</v>
      </c>
    </row>
    <row r="118" spans="1:11" ht="19" x14ac:dyDescent="0.2">
      <c r="A118" s="144">
        <v>2539000</v>
      </c>
      <c r="B118" s="145"/>
      <c r="C118" s="149" t="s">
        <v>10</v>
      </c>
      <c r="D118" s="147" t="s">
        <v>4443</v>
      </c>
      <c r="E118" s="150">
        <v>1511000</v>
      </c>
      <c r="F118" s="139">
        <v>287000</v>
      </c>
      <c r="G118" s="139">
        <v>741000</v>
      </c>
      <c r="H118" s="139"/>
      <c r="I118" s="139"/>
      <c r="J118" s="139"/>
      <c r="K118" s="139"/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/>
      <c r="K119" s="119"/>
    </row>
    <row r="120" spans="1:11" ht="19" x14ac:dyDescent="0.2">
      <c r="A120" s="144">
        <v>2013000</v>
      </c>
      <c r="B120" s="145">
        <v>46005</v>
      </c>
      <c r="C120" s="149" t="s">
        <v>9</v>
      </c>
      <c r="D120" s="147" t="s">
        <v>28</v>
      </c>
      <c r="E120" s="150">
        <v>1108000</v>
      </c>
      <c r="F120" s="139">
        <v>270000</v>
      </c>
      <c r="G120" s="139">
        <v>635000</v>
      </c>
      <c r="H120" s="139"/>
      <c r="I120" s="139"/>
      <c r="J120" s="139"/>
      <c r="K120" s="139"/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/>
      <c r="K121" s="119"/>
    </row>
    <row r="122" spans="1:11" ht="19" x14ac:dyDescent="0.2">
      <c r="A122" s="144">
        <v>2152000</v>
      </c>
      <c r="B122" s="145"/>
      <c r="C122" s="149" t="s">
        <v>10</v>
      </c>
      <c r="D122" s="147" t="s">
        <v>4443</v>
      </c>
      <c r="E122" s="150">
        <v>1408000</v>
      </c>
      <c r="F122" s="139">
        <v>293000</v>
      </c>
      <c r="G122" s="139">
        <v>451000</v>
      </c>
      <c r="H122" s="139"/>
      <c r="I122" s="139"/>
      <c r="J122" s="139">
        <v>112000</v>
      </c>
      <c r="K122" s="139" t="s">
        <v>1771</v>
      </c>
    </row>
    <row r="123" spans="1:11" ht="32" x14ac:dyDescent="0.2">
      <c r="A123" s="143"/>
      <c r="B123" s="153"/>
      <c r="C123" s="163"/>
      <c r="D123" s="155"/>
      <c r="E123" s="164"/>
      <c r="F123" s="119"/>
      <c r="G123" s="119"/>
      <c r="H123" s="119">
        <v>1406000</v>
      </c>
      <c r="I123" s="176" t="s">
        <v>4674</v>
      </c>
      <c r="J123" s="174"/>
      <c r="K123" s="174"/>
    </row>
    <row r="124" spans="1:11" ht="19" x14ac:dyDescent="0.2">
      <c r="A124" s="144">
        <v>3051000</v>
      </c>
      <c r="B124" s="145">
        <v>46006</v>
      </c>
      <c r="C124" s="151" t="s">
        <v>9</v>
      </c>
      <c r="D124" s="147" t="s">
        <v>3941</v>
      </c>
      <c r="E124" s="150">
        <v>1660000</v>
      </c>
      <c r="F124" s="139">
        <v>355000</v>
      </c>
      <c r="G124" s="139">
        <v>1036000</v>
      </c>
      <c r="H124" s="139">
        <v>2271000</v>
      </c>
      <c r="I124" s="139" t="s">
        <v>4509</v>
      </c>
      <c r="J124" s="162">
        <v>80000</v>
      </c>
      <c r="K124" s="162" t="s">
        <v>4675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>
        <v>2100000</v>
      </c>
      <c r="I125" s="9" t="s">
        <v>4676</v>
      </c>
      <c r="J125" s="174">
        <v>35000</v>
      </c>
      <c r="K125" s="106" t="s">
        <v>4677</v>
      </c>
    </row>
    <row r="126" spans="1:11" ht="19" x14ac:dyDescent="0.2">
      <c r="A126" s="144">
        <v>1699000</v>
      </c>
      <c r="B126" s="145"/>
      <c r="C126" s="149" t="s">
        <v>10</v>
      </c>
      <c r="D126" s="147" t="s">
        <v>28</v>
      </c>
      <c r="E126" s="150">
        <v>924000</v>
      </c>
      <c r="F126" s="139">
        <v>636000</v>
      </c>
      <c r="G126" s="139">
        <v>139000</v>
      </c>
      <c r="H126" s="139"/>
      <c r="I126" s="139"/>
      <c r="J126" s="162">
        <v>13000</v>
      </c>
      <c r="K126" s="162" t="s">
        <v>4678</v>
      </c>
    </row>
    <row r="127" spans="1:11" ht="19" x14ac:dyDescent="0.2">
      <c r="A127" s="143"/>
      <c r="B127" s="153"/>
      <c r="C127" s="163"/>
      <c r="D127" s="155"/>
      <c r="E127" s="164"/>
      <c r="F127" s="301"/>
      <c r="G127" s="119"/>
      <c r="H127" s="119">
        <v>250000</v>
      </c>
      <c r="I127" s="119" t="s">
        <v>1800</v>
      </c>
      <c r="J127" s="174">
        <v>34000</v>
      </c>
      <c r="K127" s="174" t="s">
        <v>3628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20000</v>
      </c>
      <c r="K128" s="139" t="s">
        <v>4504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17000</v>
      </c>
      <c r="K129" s="174" t="s">
        <v>3237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240000</v>
      </c>
      <c r="K130" s="139" t="s">
        <v>4679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66000</v>
      </c>
      <c r="K131" s="119" t="s">
        <v>1762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114000</v>
      </c>
      <c r="K132" s="139" t="s">
        <v>1668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39">
        <v>137000</v>
      </c>
      <c r="K133" s="139" t="s">
        <v>4680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136000</v>
      </c>
      <c r="K134" s="139" t="s">
        <v>4681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160000</v>
      </c>
      <c r="K135" s="119" t="s">
        <v>1597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>
        <v>105000</v>
      </c>
      <c r="K136" s="139" t="s">
        <v>4682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240000</v>
      </c>
      <c r="K137" s="174" t="s">
        <v>3659</v>
      </c>
    </row>
    <row r="138" spans="1:11" ht="19" x14ac:dyDescent="0.2">
      <c r="A138" s="144">
        <v>3125000</v>
      </c>
      <c r="B138" s="145">
        <v>46007</v>
      </c>
      <c r="C138" s="151" t="s">
        <v>9</v>
      </c>
      <c r="D138" s="147" t="s">
        <v>3941</v>
      </c>
      <c r="E138" s="150">
        <v>1932000</v>
      </c>
      <c r="F138" s="139">
        <v>309000</v>
      </c>
      <c r="G138" s="139">
        <v>884000</v>
      </c>
      <c r="H138" s="139"/>
      <c r="I138" s="139"/>
      <c r="J138" s="162">
        <v>110000</v>
      </c>
      <c r="K138" s="162" t="s">
        <v>4683</v>
      </c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>
        <v>16000</v>
      </c>
      <c r="K139" s="106" t="s">
        <v>3720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147000</v>
      </c>
      <c r="K140" s="162" t="s">
        <v>4684</v>
      </c>
    </row>
    <row r="141" spans="1:11" ht="19" x14ac:dyDescent="0.2">
      <c r="A141" s="143">
        <v>1356000</v>
      </c>
      <c r="B141" s="153"/>
      <c r="C141" s="163" t="s">
        <v>10</v>
      </c>
      <c r="D141" s="155" t="s">
        <v>28</v>
      </c>
      <c r="E141" s="164">
        <v>941000</v>
      </c>
      <c r="F141" s="119">
        <v>121000</v>
      </c>
      <c r="G141" s="119">
        <v>294000</v>
      </c>
      <c r="H141" s="175"/>
      <c r="I141" s="175"/>
      <c r="J141" s="174"/>
      <c r="K141" s="174"/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/>
      <c r="K142" s="139"/>
    </row>
    <row r="143" spans="1:11" ht="19" x14ac:dyDescent="0.2">
      <c r="A143" s="143">
        <v>3087000</v>
      </c>
      <c r="B143" s="153">
        <v>46008</v>
      </c>
      <c r="C143" s="163" t="s">
        <v>9</v>
      </c>
      <c r="D143" s="155" t="s">
        <v>3941</v>
      </c>
      <c r="E143" s="164">
        <v>2015000</v>
      </c>
      <c r="F143" s="119">
        <v>237000</v>
      </c>
      <c r="G143" s="119">
        <v>835000</v>
      </c>
      <c r="H143" s="119"/>
      <c r="I143" s="119"/>
      <c r="J143" s="119">
        <v>38000</v>
      </c>
      <c r="K143" s="119" t="s">
        <v>4685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22000</v>
      </c>
      <c r="K144" s="139" t="s">
        <v>4686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21000</v>
      </c>
      <c r="K145" s="119" t="s">
        <v>4687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32000</v>
      </c>
      <c r="K146" s="162" t="s">
        <v>4537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16000</v>
      </c>
      <c r="K147" s="119" t="s">
        <v>4688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18000</v>
      </c>
      <c r="K148" s="139" t="s">
        <v>4665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27000</v>
      </c>
      <c r="K149" s="119" t="s">
        <v>4533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14000</v>
      </c>
      <c r="K150" s="139" t="s">
        <v>4689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200000</v>
      </c>
      <c r="K151" s="119" t="s">
        <v>4690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150000</v>
      </c>
      <c r="K152" s="139" t="s">
        <v>1805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60000</v>
      </c>
      <c r="K153" s="119" t="s">
        <v>1491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72000</v>
      </c>
      <c r="K154" s="139" t="s">
        <v>4691</v>
      </c>
    </row>
    <row r="155" spans="1:11" ht="19" x14ac:dyDescent="0.2">
      <c r="A155" s="143">
        <v>2213000</v>
      </c>
      <c r="B155" s="153"/>
      <c r="C155" s="154" t="s">
        <v>10</v>
      </c>
      <c r="D155" s="155" t="s">
        <v>4443</v>
      </c>
      <c r="E155" s="164">
        <v>1562000</v>
      </c>
      <c r="F155" s="119">
        <v>172000</v>
      </c>
      <c r="G155" s="119">
        <v>479000</v>
      </c>
      <c r="H155" s="119"/>
      <c r="I155" s="119"/>
      <c r="J155" s="119">
        <v>144000</v>
      </c>
      <c r="K155" s="119" t="s">
        <v>1649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/>
      <c r="K156" s="139"/>
    </row>
    <row r="157" spans="1:11" ht="19" x14ac:dyDescent="0.2">
      <c r="A157" s="143">
        <v>3506000</v>
      </c>
      <c r="B157" s="153">
        <v>46009</v>
      </c>
      <c r="C157" s="171" t="s">
        <v>9</v>
      </c>
      <c r="D157" s="155" t="s">
        <v>4625</v>
      </c>
      <c r="E157" s="164">
        <v>1861000</v>
      </c>
      <c r="F157" s="119">
        <v>549000</v>
      </c>
      <c r="G157" s="119">
        <v>1096000</v>
      </c>
      <c r="H157" s="119"/>
      <c r="I157" s="119"/>
      <c r="J157" s="119">
        <v>150000</v>
      </c>
      <c r="K157" s="119" t="s">
        <v>4692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150000</v>
      </c>
      <c r="K158" s="139" t="s">
        <v>4693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36000</v>
      </c>
      <c r="K159" s="119" t="s">
        <v>4694</v>
      </c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/>
      <c r="K160" s="139"/>
    </row>
    <row r="161" spans="1:11" ht="19" x14ac:dyDescent="0.2">
      <c r="A161" s="143">
        <v>1652000</v>
      </c>
      <c r="B161" s="32"/>
      <c r="C161" s="3" t="s">
        <v>10</v>
      </c>
      <c r="D161" s="13" t="s">
        <v>4443</v>
      </c>
      <c r="E161" s="15">
        <v>1165000</v>
      </c>
      <c r="F161" s="9">
        <v>265000</v>
      </c>
      <c r="G161" s="9">
        <v>222000</v>
      </c>
      <c r="H161" s="9"/>
      <c r="I161" s="77"/>
      <c r="J161" s="9">
        <v>50000</v>
      </c>
      <c r="K161" s="9" t="s">
        <v>123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/>
      <c r="K162" s="139"/>
    </row>
    <row r="163" spans="1:11" ht="19" x14ac:dyDescent="0.2">
      <c r="A163" s="143">
        <v>2597000</v>
      </c>
      <c r="B163" s="32">
        <v>46010</v>
      </c>
      <c r="C163" s="49" t="s">
        <v>9</v>
      </c>
      <c r="D163" s="13" t="s">
        <v>3941</v>
      </c>
      <c r="E163" s="15">
        <v>1312000</v>
      </c>
      <c r="F163" s="9">
        <v>230000</v>
      </c>
      <c r="G163" s="9">
        <v>1055000</v>
      </c>
      <c r="H163" s="9"/>
      <c r="I163" s="77"/>
      <c r="J163" s="9">
        <v>86000</v>
      </c>
      <c r="K163" s="9" t="s">
        <v>4695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130000</v>
      </c>
      <c r="K164" s="139" t="s">
        <v>2830</v>
      </c>
    </row>
    <row r="165" spans="1:11" ht="19" x14ac:dyDescent="0.2">
      <c r="A165" s="143">
        <v>2180000</v>
      </c>
      <c r="B165" s="32"/>
      <c r="C165" s="49" t="s">
        <v>10</v>
      </c>
      <c r="D165" s="13" t="s">
        <v>4443</v>
      </c>
      <c r="E165" s="15">
        <v>1374000</v>
      </c>
      <c r="F165" s="9">
        <v>246000</v>
      </c>
      <c r="G165" s="9">
        <v>560000</v>
      </c>
      <c r="H165" s="9"/>
      <c r="I165" s="77"/>
      <c r="J165" s="9"/>
      <c r="K165" s="9"/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/>
      <c r="K166" s="165"/>
    </row>
    <row r="167" spans="1:11" ht="19" x14ac:dyDescent="0.2">
      <c r="A167" s="143">
        <v>3151000</v>
      </c>
      <c r="B167" s="32">
        <v>46011</v>
      </c>
      <c r="C167" s="49" t="s">
        <v>9</v>
      </c>
      <c r="D167" s="13" t="s">
        <v>28</v>
      </c>
      <c r="E167" s="15">
        <v>1919000</v>
      </c>
      <c r="F167" s="9">
        <v>299000</v>
      </c>
      <c r="G167" s="9">
        <v>933000</v>
      </c>
      <c r="H167" s="9"/>
      <c r="I167" s="77"/>
      <c r="J167" s="9">
        <v>30000</v>
      </c>
      <c r="K167" s="77" t="s">
        <v>4696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/>
      <c r="K168" s="139"/>
    </row>
    <row r="169" spans="1:11" ht="19" x14ac:dyDescent="0.2">
      <c r="A169" s="143">
        <v>2663000</v>
      </c>
      <c r="B169" s="32"/>
      <c r="C169" s="49" t="s">
        <v>10</v>
      </c>
      <c r="D169" s="13" t="s">
        <v>4443</v>
      </c>
      <c r="E169" s="15">
        <v>1634000</v>
      </c>
      <c r="F169" s="9">
        <v>568000</v>
      </c>
      <c r="G169" s="9">
        <v>461000</v>
      </c>
      <c r="H169" s="9"/>
      <c r="I169" s="77"/>
      <c r="J169" s="9">
        <v>50000</v>
      </c>
      <c r="K169" s="9" t="s">
        <v>123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/>
      <c r="K170" s="139"/>
    </row>
    <row r="171" spans="1:11" ht="19" x14ac:dyDescent="0.2">
      <c r="A171" s="143">
        <v>2209000</v>
      </c>
      <c r="B171" s="32">
        <v>46012</v>
      </c>
      <c r="C171" s="49" t="s">
        <v>9</v>
      </c>
      <c r="D171" s="13" t="s">
        <v>28</v>
      </c>
      <c r="E171" s="15">
        <v>1457000</v>
      </c>
      <c r="F171" s="9">
        <v>144000</v>
      </c>
      <c r="G171" s="9">
        <v>608000</v>
      </c>
      <c r="H171" s="9"/>
      <c r="I171" s="77"/>
      <c r="J171" s="9"/>
      <c r="K171" s="9"/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/>
      <c r="K172" s="139"/>
    </row>
    <row r="173" spans="1:11" ht="19" x14ac:dyDescent="0.2">
      <c r="A173" s="143">
        <v>1388000</v>
      </c>
      <c r="B173" s="32"/>
      <c r="C173" s="49" t="s">
        <v>10</v>
      </c>
      <c r="D173" s="13" t="s">
        <v>4443</v>
      </c>
      <c r="E173" s="15">
        <v>988000</v>
      </c>
      <c r="F173" s="9">
        <v>84000</v>
      </c>
      <c r="G173" s="9">
        <v>316000</v>
      </c>
      <c r="H173" s="9"/>
      <c r="I173" s="77"/>
      <c r="J173" s="9"/>
      <c r="K173" s="9"/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/>
      <c r="K174" s="139"/>
    </row>
    <row r="175" spans="1:11" ht="19" x14ac:dyDescent="0.2">
      <c r="A175" s="143">
        <v>3005000</v>
      </c>
      <c r="B175" s="32">
        <v>46013</v>
      </c>
      <c r="C175" s="49" t="s">
        <v>9</v>
      </c>
      <c r="D175" s="13" t="s">
        <v>3941</v>
      </c>
      <c r="E175" s="15">
        <v>1842000</v>
      </c>
      <c r="F175" s="9">
        <v>304000</v>
      </c>
      <c r="G175" s="9">
        <v>859000</v>
      </c>
      <c r="H175" s="9"/>
      <c r="I175" s="77"/>
      <c r="J175" s="9">
        <v>49000</v>
      </c>
      <c r="K175" s="9" t="s">
        <v>1493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153000</v>
      </c>
      <c r="K176" s="139" t="s">
        <v>4697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27000</v>
      </c>
      <c r="K177" s="9" t="s">
        <v>4698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18000</v>
      </c>
      <c r="K178" s="139" t="s">
        <v>1934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420000</v>
      </c>
      <c r="K179" s="9" t="s">
        <v>2866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64000</v>
      </c>
      <c r="K180" s="139" t="s">
        <v>4699</v>
      </c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>
        <v>100000</v>
      </c>
      <c r="K181" s="9" t="s">
        <v>4700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>
        <v>200000</v>
      </c>
      <c r="K182" s="139" t="s">
        <v>2796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>
        <v>150000</v>
      </c>
      <c r="K183" s="119" t="s">
        <v>1805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60000</v>
      </c>
      <c r="K184" s="139" t="s">
        <v>1491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>
        <v>70000</v>
      </c>
      <c r="K185" s="119" t="s">
        <v>4466</v>
      </c>
    </row>
    <row r="186" spans="1:11" ht="19" x14ac:dyDescent="0.2">
      <c r="A186" s="144">
        <v>2028000</v>
      </c>
      <c r="B186" s="145"/>
      <c r="C186" s="149" t="s">
        <v>10</v>
      </c>
      <c r="D186" s="147" t="s">
        <v>28</v>
      </c>
      <c r="E186" s="150">
        <v>1221000</v>
      </c>
      <c r="F186" s="139">
        <v>256000</v>
      </c>
      <c r="G186" s="139">
        <v>551000</v>
      </c>
      <c r="H186" s="139"/>
      <c r="I186" s="165"/>
      <c r="J186" s="139"/>
      <c r="K186" s="139"/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/>
      <c r="K187" s="119"/>
    </row>
    <row r="188" spans="1:11" ht="19" x14ac:dyDescent="0.2">
      <c r="A188" s="144">
        <v>3090000</v>
      </c>
      <c r="B188" s="145">
        <v>46014</v>
      </c>
      <c r="C188" s="149" t="s">
        <v>9</v>
      </c>
      <c r="D188" s="147" t="s">
        <v>3941</v>
      </c>
      <c r="E188" s="150">
        <v>1554000</v>
      </c>
      <c r="F188" s="139">
        <v>383000</v>
      </c>
      <c r="G188" s="139">
        <v>1153000</v>
      </c>
      <c r="H188" s="139"/>
      <c r="I188" s="165"/>
      <c r="J188" s="139"/>
      <c r="K188" s="139"/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/>
      <c r="K189" s="119"/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/>
      <c r="K190" s="139"/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/>
      <c r="J191" s="119">
        <v>100000</v>
      </c>
      <c r="K191" s="119" t="s">
        <v>3248</v>
      </c>
    </row>
    <row r="192" spans="1:11" ht="19" x14ac:dyDescent="0.2">
      <c r="A192" s="144">
        <v>2502000</v>
      </c>
      <c r="B192" s="145"/>
      <c r="C192" s="149" t="s">
        <v>10</v>
      </c>
      <c r="D192" s="147" t="s">
        <v>28</v>
      </c>
      <c r="E192" s="150">
        <v>1783000</v>
      </c>
      <c r="F192" s="139">
        <v>0</v>
      </c>
      <c r="G192" s="139">
        <v>719000</v>
      </c>
      <c r="H192" s="139"/>
      <c r="I192" s="165"/>
      <c r="J192" s="139">
        <v>150000</v>
      </c>
      <c r="K192" s="139" t="s">
        <v>4701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150000</v>
      </c>
      <c r="K193" s="119" t="s">
        <v>4702</v>
      </c>
    </row>
    <row r="194" spans="1:11" ht="19" x14ac:dyDescent="0.2">
      <c r="A194" s="144">
        <v>3062000</v>
      </c>
      <c r="B194" s="145">
        <v>46015</v>
      </c>
      <c r="C194" s="149" t="s">
        <v>9</v>
      </c>
      <c r="D194" s="147" t="s">
        <v>3941</v>
      </c>
      <c r="E194" s="150">
        <v>1915000</v>
      </c>
      <c r="F194" s="139">
        <v>277000</v>
      </c>
      <c r="G194" s="139">
        <v>870000</v>
      </c>
      <c r="H194" s="139"/>
      <c r="I194" s="165"/>
      <c r="J194" s="139">
        <v>720000</v>
      </c>
      <c r="K194" s="139" t="s">
        <v>4703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>
        <v>342000</v>
      </c>
      <c r="K195" s="119" t="s">
        <v>4704</v>
      </c>
    </row>
    <row r="196" spans="1:11" ht="19" x14ac:dyDescent="0.2">
      <c r="A196" s="144">
        <v>1884000</v>
      </c>
      <c r="B196" s="145"/>
      <c r="C196" s="149" t="s">
        <v>10</v>
      </c>
      <c r="D196" s="147" t="s">
        <v>4443</v>
      </c>
      <c r="E196" s="150">
        <v>1198000</v>
      </c>
      <c r="F196" s="139">
        <v>164000</v>
      </c>
      <c r="G196" s="139">
        <v>522000</v>
      </c>
      <c r="H196" s="139"/>
      <c r="I196" s="165"/>
      <c r="J196" s="139"/>
      <c r="K196" s="139"/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68"/>
      <c r="J197" s="119"/>
      <c r="K197" s="119"/>
    </row>
    <row r="198" spans="1:11" ht="19" x14ac:dyDescent="0.2">
      <c r="A198" s="144">
        <v>3182000</v>
      </c>
      <c r="B198" s="145">
        <v>46016</v>
      </c>
      <c r="C198" s="149" t="s">
        <v>9</v>
      </c>
      <c r="D198" s="147" t="s">
        <v>4625</v>
      </c>
      <c r="E198" s="150">
        <v>2257000</v>
      </c>
      <c r="F198" s="139">
        <v>210000</v>
      </c>
      <c r="G198" s="139">
        <v>715000</v>
      </c>
      <c r="H198" s="139"/>
      <c r="I198" s="165"/>
      <c r="J198" s="139">
        <v>25000</v>
      </c>
      <c r="K198" s="139" t="s">
        <v>4546</v>
      </c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/>
      <c r="I199" s="168"/>
      <c r="J199" s="119">
        <v>25000</v>
      </c>
      <c r="K199" s="119" t="s">
        <v>4547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>
        <v>22000</v>
      </c>
      <c r="K200" s="139" t="s">
        <v>4687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/>
      <c r="J201" s="119">
        <v>43000</v>
      </c>
      <c r="K201" s="119" t="s">
        <v>4621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/>
      <c r="J202" s="139">
        <v>20000</v>
      </c>
      <c r="K202" s="139" t="s">
        <v>4705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36000</v>
      </c>
      <c r="K203" s="119" t="s">
        <v>4620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65"/>
      <c r="J204" s="139">
        <v>18000</v>
      </c>
      <c r="K204" s="139" t="s">
        <v>4664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68"/>
      <c r="J205" s="119">
        <v>13000</v>
      </c>
      <c r="K205" s="119" t="s">
        <v>4706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65"/>
      <c r="J206" s="139">
        <v>67000</v>
      </c>
      <c r="K206" s="139" t="s">
        <v>4707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66000</v>
      </c>
      <c r="K207" s="119" t="s">
        <v>4708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/>
      <c r="J208" s="139">
        <v>18000</v>
      </c>
      <c r="K208" s="139" t="s">
        <v>3322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/>
      <c r="K209" s="119"/>
    </row>
    <row r="210" spans="1:11" ht="19" x14ac:dyDescent="0.2">
      <c r="A210" s="144">
        <v>2319000</v>
      </c>
      <c r="B210" s="145"/>
      <c r="C210" s="149" t="s">
        <v>10</v>
      </c>
      <c r="D210" s="147" t="s">
        <v>4443</v>
      </c>
      <c r="E210" s="150">
        <v>1368000</v>
      </c>
      <c r="F210" s="139">
        <v>324000</v>
      </c>
      <c r="G210" s="139">
        <v>627000</v>
      </c>
      <c r="H210" s="139"/>
      <c r="I210" s="165"/>
      <c r="J210" s="139">
        <v>30000</v>
      </c>
      <c r="K210" s="139" t="s">
        <v>4101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/>
      <c r="K211" s="119"/>
    </row>
    <row r="212" spans="1:11" ht="19" x14ac:dyDescent="0.2">
      <c r="A212" s="144">
        <v>3123000</v>
      </c>
      <c r="B212" s="145">
        <v>46017</v>
      </c>
      <c r="C212" s="149" t="s">
        <v>9</v>
      </c>
      <c r="D212" s="147" t="s">
        <v>3941</v>
      </c>
      <c r="E212" s="150">
        <v>1719000</v>
      </c>
      <c r="F212" s="139">
        <v>428000</v>
      </c>
      <c r="G212" s="139">
        <v>976000</v>
      </c>
      <c r="H212" s="139"/>
      <c r="I212" s="165"/>
      <c r="J212" s="139">
        <v>19000</v>
      </c>
      <c r="K212" s="139" t="s">
        <v>3601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>
        <v>160000</v>
      </c>
      <c r="K213" s="119" t="s">
        <v>1518</v>
      </c>
    </row>
    <row r="214" spans="1:11" ht="19" x14ac:dyDescent="0.2">
      <c r="A214" s="144">
        <v>1914000</v>
      </c>
      <c r="B214" s="145"/>
      <c r="C214" s="149" t="s">
        <v>10</v>
      </c>
      <c r="D214" s="147" t="s">
        <v>4443</v>
      </c>
      <c r="E214" s="150">
        <v>1108000</v>
      </c>
      <c r="F214" s="139">
        <v>200000</v>
      </c>
      <c r="G214" s="139">
        <v>606000</v>
      </c>
      <c r="H214" s="139"/>
      <c r="I214" s="165"/>
      <c r="J214" s="139"/>
      <c r="K214" s="139"/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/>
      <c r="K215" s="119"/>
    </row>
    <row r="216" spans="1:11" ht="19" x14ac:dyDescent="0.2">
      <c r="A216" s="144">
        <v>2284000</v>
      </c>
      <c r="B216" s="145">
        <v>46018</v>
      </c>
      <c r="C216" s="149" t="s">
        <v>9</v>
      </c>
      <c r="D216" s="147" t="s">
        <v>28</v>
      </c>
      <c r="E216" s="150">
        <v>1340000</v>
      </c>
      <c r="F216" s="139">
        <v>174000</v>
      </c>
      <c r="G216" s="139">
        <v>770000</v>
      </c>
      <c r="H216" s="139"/>
      <c r="I216" s="165"/>
      <c r="J216" s="139">
        <v>72000</v>
      </c>
      <c r="K216" s="139" t="s">
        <v>4515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68"/>
      <c r="J217" s="119">
        <v>123000</v>
      </c>
      <c r="K217" s="119" t="s">
        <v>4709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/>
      <c r="J218" s="139">
        <v>33000</v>
      </c>
      <c r="K218" s="139" t="s">
        <v>3662</v>
      </c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68"/>
      <c r="J219" s="119">
        <v>20000</v>
      </c>
      <c r="K219" s="119" t="s">
        <v>4710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65"/>
      <c r="J220" s="139">
        <v>31000</v>
      </c>
      <c r="K220" s="139" t="s">
        <v>4711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/>
      <c r="J221" s="119">
        <v>50000</v>
      </c>
      <c r="K221" s="119" t="s">
        <v>123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/>
      <c r="J222" s="139">
        <v>80000</v>
      </c>
      <c r="K222" s="139" t="s">
        <v>4712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68"/>
      <c r="J223" s="119">
        <v>480000</v>
      </c>
      <c r="K223" s="119" t="s">
        <v>4713</v>
      </c>
    </row>
    <row r="224" spans="1:11" ht="19" x14ac:dyDescent="0.2">
      <c r="A224" s="144"/>
      <c r="B224" s="145"/>
      <c r="C224" s="149"/>
      <c r="D224" s="147"/>
      <c r="E224" s="150"/>
      <c r="F224" s="139"/>
      <c r="G224" s="139"/>
      <c r="H224" s="139"/>
      <c r="I224" s="165"/>
      <c r="J224" s="139">
        <v>320000</v>
      </c>
      <c r="K224" s="139" t="s">
        <v>4358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/>
      <c r="I225" s="168"/>
      <c r="J225" s="119">
        <v>210000</v>
      </c>
      <c r="K225" s="119" t="s">
        <v>4152</v>
      </c>
    </row>
    <row r="226" spans="1:11" ht="19" x14ac:dyDescent="0.2">
      <c r="A226" s="144">
        <v>1992000</v>
      </c>
      <c r="B226" s="145"/>
      <c r="C226" s="149" t="s">
        <v>10</v>
      </c>
      <c r="D226" s="147" t="s">
        <v>4443</v>
      </c>
      <c r="E226" s="150">
        <v>1247000</v>
      </c>
      <c r="F226" s="139">
        <v>175000</v>
      </c>
      <c r="G226" s="139">
        <v>570000</v>
      </c>
      <c r="H226" s="139"/>
      <c r="I226" s="165"/>
      <c r="J226" s="139">
        <v>150000</v>
      </c>
      <c r="K226" s="139" t="s">
        <v>1805</v>
      </c>
    </row>
    <row r="227" spans="1:11" ht="19" x14ac:dyDescent="0.2">
      <c r="A227" s="143"/>
      <c r="B227" s="153"/>
      <c r="C227" s="171"/>
      <c r="D227" s="155"/>
      <c r="E227" s="164"/>
      <c r="F227" s="119"/>
      <c r="G227" s="119"/>
      <c r="H227" s="119"/>
      <c r="I227" s="168"/>
      <c r="J227" s="119">
        <v>45000</v>
      </c>
      <c r="K227" s="119" t="s">
        <v>4714</v>
      </c>
    </row>
    <row r="228" spans="1:11" ht="19" x14ac:dyDescent="0.2">
      <c r="A228" s="144"/>
      <c r="B228" s="145"/>
      <c r="C228" s="149"/>
      <c r="D228" s="147"/>
      <c r="E228" s="150"/>
      <c r="F228" s="139"/>
      <c r="G228" s="139"/>
      <c r="H228" s="139"/>
      <c r="I228" s="165"/>
      <c r="J228" s="139">
        <v>200000</v>
      </c>
      <c r="K228" s="139" t="s">
        <v>2796</v>
      </c>
    </row>
    <row r="229" spans="1:11" ht="19" x14ac:dyDescent="0.2">
      <c r="A229" s="143"/>
      <c r="B229" s="153"/>
      <c r="C229" s="171"/>
      <c r="D229" s="155"/>
      <c r="E229" s="164"/>
      <c r="F229" s="119"/>
      <c r="G229" s="119"/>
      <c r="H229" s="119"/>
      <c r="I229" s="168"/>
      <c r="J229" s="119"/>
      <c r="K229" s="119"/>
    </row>
    <row r="230" spans="1:11" ht="19" x14ac:dyDescent="0.2">
      <c r="A230" s="144">
        <v>1896000</v>
      </c>
      <c r="B230" s="145">
        <v>46019</v>
      </c>
      <c r="C230" s="149" t="s">
        <v>9</v>
      </c>
      <c r="D230" s="147" t="s">
        <v>28</v>
      </c>
      <c r="E230" s="150">
        <v>999000</v>
      </c>
      <c r="F230" s="139">
        <v>195000</v>
      </c>
      <c r="G230" s="139">
        <v>702000</v>
      </c>
      <c r="H230" s="139"/>
      <c r="I230" s="165"/>
      <c r="J230" s="139"/>
      <c r="K230" s="139"/>
    </row>
    <row r="231" spans="1:11" ht="19" x14ac:dyDescent="0.2">
      <c r="A231" s="143"/>
      <c r="B231" s="153"/>
      <c r="C231" s="171"/>
      <c r="D231" s="155"/>
      <c r="E231" s="164"/>
      <c r="F231" s="119"/>
      <c r="G231" s="119"/>
      <c r="H231" s="119"/>
      <c r="I231" s="168"/>
      <c r="J231" s="119"/>
      <c r="K231" s="119"/>
    </row>
    <row r="232" spans="1:11" ht="19" x14ac:dyDescent="0.2">
      <c r="A232" s="144">
        <v>1837000</v>
      </c>
      <c r="B232" s="145"/>
      <c r="C232" s="149" t="s">
        <v>10</v>
      </c>
      <c r="D232" s="147" t="s">
        <v>4443</v>
      </c>
      <c r="E232" s="150">
        <v>1356000</v>
      </c>
      <c r="F232" s="139">
        <v>126000</v>
      </c>
      <c r="G232" s="139">
        <v>355000</v>
      </c>
      <c r="H232" s="139"/>
      <c r="I232" s="165"/>
      <c r="J232" s="139"/>
      <c r="K232" s="139"/>
    </row>
    <row r="233" spans="1:11" ht="19" x14ac:dyDescent="0.2">
      <c r="A233" s="143"/>
      <c r="B233" s="153"/>
      <c r="C233" s="171"/>
      <c r="D233" s="155"/>
      <c r="E233" s="164"/>
      <c r="F233" s="119"/>
      <c r="G233" s="119"/>
      <c r="H233" s="119"/>
      <c r="I233" s="168"/>
      <c r="J233" s="119"/>
      <c r="K233" s="119"/>
    </row>
    <row r="234" spans="1:11" ht="19" x14ac:dyDescent="0.2">
      <c r="A234" s="144">
        <v>3211000</v>
      </c>
      <c r="B234" s="145">
        <v>46020</v>
      </c>
      <c r="C234" s="149" t="s">
        <v>9</v>
      </c>
      <c r="D234" s="147" t="s">
        <v>28</v>
      </c>
      <c r="E234" s="150">
        <v>1732000</v>
      </c>
      <c r="F234" s="139">
        <v>235000</v>
      </c>
      <c r="G234" s="139">
        <v>1244000</v>
      </c>
      <c r="H234" s="139"/>
      <c r="I234" s="165"/>
      <c r="J234" s="139">
        <v>30000</v>
      </c>
      <c r="K234" s="139" t="s">
        <v>4715</v>
      </c>
    </row>
    <row r="235" spans="1:11" ht="19" x14ac:dyDescent="0.2">
      <c r="A235" s="143"/>
      <c r="B235" s="153"/>
      <c r="C235" s="171"/>
      <c r="D235" s="155"/>
      <c r="E235" s="164"/>
      <c r="F235" s="119"/>
      <c r="G235" s="119"/>
      <c r="H235" s="119"/>
      <c r="I235" s="168"/>
      <c r="J235" s="119">
        <v>204000</v>
      </c>
      <c r="K235" s="119" t="s">
        <v>4716</v>
      </c>
    </row>
    <row r="236" spans="1:11" ht="19" x14ac:dyDescent="0.2">
      <c r="A236" s="144"/>
      <c r="B236" s="145"/>
      <c r="C236" s="149"/>
      <c r="D236" s="147"/>
      <c r="E236" s="150"/>
      <c r="F236" s="139"/>
      <c r="G236" s="139"/>
      <c r="H236" s="139"/>
      <c r="I236" s="165"/>
      <c r="J236" s="139">
        <v>60000</v>
      </c>
      <c r="K236" s="139" t="s">
        <v>1491</v>
      </c>
    </row>
    <row r="237" spans="1:11" ht="19" x14ac:dyDescent="0.2">
      <c r="A237" s="143"/>
      <c r="B237" s="153"/>
      <c r="C237" s="171"/>
      <c r="D237" s="155"/>
      <c r="E237" s="164"/>
      <c r="F237" s="119"/>
      <c r="G237" s="119"/>
      <c r="H237" s="119"/>
      <c r="I237" s="168"/>
      <c r="J237" s="119">
        <v>57000</v>
      </c>
      <c r="K237" s="119" t="s">
        <v>4717</v>
      </c>
    </row>
    <row r="238" spans="1:11" ht="19" x14ac:dyDescent="0.2">
      <c r="A238" s="144"/>
      <c r="B238" s="145"/>
      <c r="C238" s="149"/>
      <c r="D238" s="147"/>
      <c r="E238" s="150"/>
      <c r="F238" s="139"/>
      <c r="G238" s="139"/>
      <c r="H238" s="139"/>
      <c r="I238" s="165"/>
      <c r="J238" s="139">
        <v>114000</v>
      </c>
      <c r="K238" s="139" t="s">
        <v>4718</v>
      </c>
    </row>
    <row r="239" spans="1:11" ht="19" x14ac:dyDescent="0.2">
      <c r="A239" s="143"/>
      <c r="B239" s="153"/>
      <c r="C239" s="171"/>
      <c r="D239" s="155"/>
      <c r="E239" s="164"/>
      <c r="F239" s="119"/>
      <c r="G239" s="119"/>
      <c r="H239" s="119"/>
      <c r="I239" s="168"/>
      <c r="J239" s="119"/>
      <c r="K239" s="119"/>
    </row>
    <row r="240" spans="1:11" ht="19" x14ac:dyDescent="0.2">
      <c r="A240" s="144">
        <v>2239000</v>
      </c>
      <c r="B240" s="145"/>
      <c r="C240" s="149" t="s">
        <v>10</v>
      </c>
      <c r="D240" s="147" t="s">
        <v>4443</v>
      </c>
      <c r="E240" s="150">
        <v>1002000</v>
      </c>
      <c r="F240" s="139">
        <v>221000</v>
      </c>
      <c r="G240" s="139">
        <v>1016000</v>
      </c>
      <c r="H240" s="139"/>
      <c r="I240" s="165"/>
      <c r="J240" s="139"/>
      <c r="K240" s="139"/>
    </row>
    <row r="241" spans="1:11" ht="19" x14ac:dyDescent="0.2">
      <c r="A241" s="143"/>
      <c r="B241" s="153"/>
      <c r="C241" s="171"/>
      <c r="D241" s="155"/>
      <c r="E241" s="164"/>
      <c r="F241" s="119"/>
      <c r="G241" s="119"/>
      <c r="H241" s="119"/>
      <c r="I241" s="168"/>
      <c r="J241" s="119"/>
      <c r="K241" s="119"/>
    </row>
    <row r="242" spans="1:11" ht="19" x14ac:dyDescent="0.2">
      <c r="A242" s="144">
        <v>2711000</v>
      </c>
      <c r="B242" s="145">
        <v>46021</v>
      </c>
      <c r="C242" s="149" t="s">
        <v>9</v>
      </c>
      <c r="D242" s="147" t="s">
        <v>28</v>
      </c>
      <c r="E242" s="150">
        <v>1664000</v>
      </c>
      <c r="F242" s="139">
        <v>229000</v>
      </c>
      <c r="G242" s="139">
        <v>818000</v>
      </c>
      <c r="H242" s="152">
        <v>6000000</v>
      </c>
      <c r="I242" s="152" t="s">
        <v>4731</v>
      </c>
      <c r="J242" s="139"/>
      <c r="K242" s="139"/>
    </row>
    <row r="243" spans="1:11" ht="19" x14ac:dyDescent="0.2">
      <c r="A243" s="143"/>
      <c r="B243" s="153"/>
      <c r="C243" s="171"/>
      <c r="D243" s="155"/>
      <c r="E243" s="164"/>
      <c r="F243" s="119"/>
      <c r="G243" s="119"/>
      <c r="H243" s="119"/>
      <c r="I243" s="168"/>
      <c r="J243" s="119">
        <v>74000</v>
      </c>
      <c r="K243" s="119" t="s">
        <v>4719</v>
      </c>
    </row>
    <row r="244" spans="1:11" ht="19" x14ac:dyDescent="0.2">
      <c r="A244" s="144">
        <v>1247000</v>
      </c>
      <c r="B244" s="145"/>
      <c r="C244" s="149" t="s">
        <v>10</v>
      </c>
      <c r="D244" s="147" t="s">
        <v>4443</v>
      </c>
      <c r="E244" s="150">
        <v>574000</v>
      </c>
      <c r="F244" s="139">
        <v>200000</v>
      </c>
      <c r="G244" s="139">
        <v>473000</v>
      </c>
      <c r="H244" s="139">
        <v>1300000</v>
      </c>
      <c r="I244" s="165" t="s">
        <v>717</v>
      </c>
      <c r="J244" s="139">
        <v>63000</v>
      </c>
      <c r="K244" s="139" t="s">
        <v>2942</v>
      </c>
    </row>
    <row r="245" spans="1:11" ht="19" x14ac:dyDescent="0.2">
      <c r="A245" s="143"/>
      <c r="B245" s="153"/>
      <c r="C245" s="171"/>
      <c r="D245" s="155"/>
      <c r="E245" s="164"/>
      <c r="F245" s="119"/>
      <c r="G245" s="119"/>
      <c r="H245" s="119">
        <v>2900000</v>
      </c>
      <c r="I245" s="168" t="s">
        <v>4720</v>
      </c>
      <c r="J245" s="119"/>
      <c r="K245" s="119"/>
    </row>
    <row r="246" spans="1:11" ht="19" x14ac:dyDescent="0.2">
      <c r="A246" s="144">
        <v>2932000</v>
      </c>
      <c r="B246" s="145">
        <v>46022</v>
      </c>
      <c r="C246" s="149" t="s">
        <v>9</v>
      </c>
      <c r="D246" s="147" t="s">
        <v>28</v>
      </c>
      <c r="E246" s="150">
        <v>1656000</v>
      </c>
      <c r="F246" s="139">
        <v>227000</v>
      </c>
      <c r="G246" s="139">
        <v>1049000</v>
      </c>
      <c r="H246" s="139">
        <v>2600000</v>
      </c>
      <c r="I246" s="165" t="s">
        <v>4721</v>
      </c>
      <c r="J246" s="139"/>
      <c r="K246" s="139"/>
    </row>
    <row r="247" spans="1:11" ht="19" x14ac:dyDescent="0.2">
      <c r="A247" s="143"/>
      <c r="B247" s="153"/>
      <c r="C247" s="171" t="s">
        <v>1787</v>
      </c>
      <c r="D247" s="155" t="s">
        <v>1721</v>
      </c>
      <c r="E247" s="164"/>
      <c r="F247" s="119"/>
      <c r="G247" s="119"/>
      <c r="H247" s="119">
        <v>2500000</v>
      </c>
      <c r="I247" s="168" t="s">
        <v>4722</v>
      </c>
      <c r="J247" s="119"/>
      <c r="K247" s="119"/>
    </row>
    <row r="248" spans="1:11" ht="32" x14ac:dyDescent="0.2">
      <c r="A248" s="144"/>
      <c r="B248" s="145"/>
      <c r="C248" s="149"/>
      <c r="D248" s="147"/>
      <c r="E248" s="150"/>
      <c r="F248" s="139"/>
      <c r="G248" s="139"/>
      <c r="H248" s="139">
        <v>5478000</v>
      </c>
      <c r="I248" s="253" t="s">
        <v>4723</v>
      </c>
      <c r="J248" s="139"/>
      <c r="K248" s="139"/>
    </row>
    <row r="249" spans="1:11" ht="19" x14ac:dyDescent="0.2">
      <c r="A249" s="143"/>
      <c r="B249" s="153"/>
      <c r="C249" s="171"/>
      <c r="D249" s="155"/>
      <c r="E249" s="164"/>
      <c r="F249" s="119"/>
      <c r="G249" s="119"/>
      <c r="H249" s="119"/>
      <c r="I249" s="168"/>
      <c r="J249" s="119"/>
      <c r="K249" s="119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157E-6773-5A4C-A371-CF0069278EFD}">
  <dimension ref="A3:K247"/>
  <sheetViews>
    <sheetView topLeftCell="A151" workbookViewId="0">
      <selection activeCell="K169" sqref="K169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7.6640625" bestFit="1" customWidth="1"/>
    <col min="5" max="5" width="20.33203125" bestFit="1" customWidth="1"/>
    <col min="6" max="6" width="24.33203125" customWidth="1"/>
    <col min="7" max="8" width="20.33203125" bestFit="1" customWidth="1"/>
    <col min="9" max="9" width="37.33203125" customWidth="1"/>
    <col min="10" max="10" width="20.33203125" bestFit="1" customWidth="1"/>
    <col min="11" max="11" width="28.83203125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23933500</v>
      </c>
      <c r="K4" s="72">
        <f>J4/10820</f>
        <v>2211.9685767097967</v>
      </c>
    </row>
    <row r="5" spans="1:11" ht="24" x14ac:dyDescent="0.3">
      <c r="B5" s="99" t="s">
        <v>4812</v>
      </c>
      <c r="H5" s="73"/>
      <c r="I5" s="71" t="s">
        <v>2315</v>
      </c>
      <c r="J5" s="71">
        <v>23933500</v>
      </c>
      <c r="K5" s="72">
        <f>J5/10820</f>
        <v>2211.9685767097967</v>
      </c>
    </row>
    <row r="6" spans="1:11" ht="24" x14ac:dyDescent="0.3">
      <c r="B6" s="99"/>
      <c r="H6" s="73"/>
      <c r="I6" s="71" t="s">
        <v>178</v>
      </c>
      <c r="J6" s="71">
        <v>11629661</v>
      </c>
      <c r="K6" s="72" t="s">
        <v>4813</v>
      </c>
    </row>
    <row r="7" spans="1:11" ht="26" x14ac:dyDescent="0.3">
      <c r="B7" s="100" t="s">
        <v>4814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SUM(A11:A563)</f>
        <v>138315000</v>
      </c>
      <c r="B10" s="65"/>
      <c r="C10" s="66" t="s">
        <v>13</v>
      </c>
      <c r="D10" s="67"/>
      <c r="E10" s="68">
        <f>SUM(E11:E563)</f>
        <v>85976000</v>
      </c>
      <c r="F10" s="69">
        <f>SUM(F11:F563)</f>
        <v>16085000</v>
      </c>
      <c r="G10" s="69">
        <f>SUM(G11:G550)</f>
        <v>36254000</v>
      </c>
      <c r="H10" s="69">
        <f>SUM(H11:H563)</f>
        <v>29391000</v>
      </c>
      <c r="I10" s="69"/>
      <c r="J10" s="69">
        <f>SUM(J11:J563)</f>
        <v>19529000</v>
      </c>
      <c r="K10" s="69"/>
    </row>
    <row r="11" spans="1:11" ht="19" x14ac:dyDescent="0.2">
      <c r="A11" s="142"/>
      <c r="B11" s="32">
        <v>46023</v>
      </c>
      <c r="C11" s="49" t="s">
        <v>9</v>
      </c>
      <c r="D11" s="13" t="s">
        <v>1721</v>
      </c>
      <c r="E11" s="15"/>
      <c r="F11" s="9"/>
      <c r="G11" s="9"/>
      <c r="H11" s="9"/>
      <c r="I11" s="295"/>
      <c r="J11" s="119"/>
      <c r="K11" s="9"/>
    </row>
    <row r="12" spans="1:11" ht="19" x14ac:dyDescent="0.2">
      <c r="A12" s="144">
        <v>1014000</v>
      </c>
      <c r="B12" s="145"/>
      <c r="C12" s="151" t="s">
        <v>10</v>
      </c>
      <c r="D12" s="147" t="s">
        <v>4443</v>
      </c>
      <c r="E12" s="150">
        <v>896000</v>
      </c>
      <c r="F12" s="139">
        <v>54000</v>
      </c>
      <c r="G12" s="139">
        <v>64000</v>
      </c>
      <c r="H12" s="152"/>
      <c r="I12" s="296"/>
      <c r="J12" s="139">
        <v>400000</v>
      </c>
      <c r="K12" s="139" t="s">
        <v>4808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19">
        <v>890000</v>
      </c>
      <c r="I13" s="174" t="s">
        <v>4724</v>
      </c>
      <c r="J13" s="119">
        <v>120000</v>
      </c>
      <c r="K13" s="119" t="s">
        <v>4809</v>
      </c>
    </row>
    <row r="14" spans="1:11" ht="19" x14ac:dyDescent="0.2">
      <c r="A14" s="144">
        <v>2124000</v>
      </c>
      <c r="B14" s="145">
        <v>46024</v>
      </c>
      <c r="C14" s="151" t="s">
        <v>9</v>
      </c>
      <c r="D14" s="147" t="s">
        <v>28</v>
      </c>
      <c r="E14" s="150">
        <v>1344000</v>
      </c>
      <c r="F14" s="139">
        <v>434000</v>
      </c>
      <c r="G14" s="139">
        <v>346000</v>
      </c>
      <c r="H14" s="152"/>
      <c r="I14" s="162"/>
      <c r="J14" s="139">
        <v>60000</v>
      </c>
      <c r="K14" s="139" t="s">
        <v>4810</v>
      </c>
    </row>
    <row r="15" spans="1:11" ht="19" x14ac:dyDescent="0.2">
      <c r="A15" s="143"/>
      <c r="B15" s="153"/>
      <c r="C15" s="163"/>
      <c r="D15" s="155"/>
      <c r="E15" s="164"/>
      <c r="F15" s="119"/>
      <c r="G15" s="119"/>
      <c r="H15" s="119"/>
      <c r="I15" s="174"/>
      <c r="J15" s="119"/>
      <c r="K15" s="119"/>
    </row>
    <row r="16" spans="1:11" ht="19" x14ac:dyDescent="0.2">
      <c r="A16" s="144">
        <v>2205000</v>
      </c>
      <c r="B16" s="145"/>
      <c r="C16" s="151" t="s">
        <v>10</v>
      </c>
      <c r="D16" s="147" t="s">
        <v>4443</v>
      </c>
      <c r="E16" s="150">
        <v>1587000</v>
      </c>
      <c r="F16" s="139">
        <v>252000</v>
      </c>
      <c r="G16" s="139">
        <v>366000</v>
      </c>
      <c r="H16" s="139"/>
      <c r="I16" s="162"/>
      <c r="J16" s="139"/>
      <c r="K16" s="139"/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/>
      <c r="K17" s="119"/>
    </row>
    <row r="18" spans="1:11" ht="19" x14ac:dyDescent="0.2">
      <c r="A18" s="144">
        <v>2407000</v>
      </c>
      <c r="B18" s="145">
        <v>46025</v>
      </c>
      <c r="C18" s="151" t="s">
        <v>9</v>
      </c>
      <c r="D18" s="147" t="s">
        <v>28</v>
      </c>
      <c r="E18" s="150">
        <v>1736000</v>
      </c>
      <c r="F18" s="139">
        <v>326000</v>
      </c>
      <c r="G18" s="139">
        <v>345000</v>
      </c>
      <c r="H18" s="139"/>
      <c r="I18" s="162"/>
      <c r="J18" s="139">
        <v>100000</v>
      </c>
      <c r="K18" s="139" t="s">
        <v>3248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150000</v>
      </c>
      <c r="K19" s="119" t="s">
        <v>4734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62">
        <v>200000</v>
      </c>
      <c r="K20" s="162" t="s">
        <v>2796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150000</v>
      </c>
      <c r="K21" s="106" t="s">
        <v>1805</v>
      </c>
    </row>
    <row r="22" spans="1:11" ht="19" x14ac:dyDescent="0.2">
      <c r="A22" s="144">
        <v>2066000</v>
      </c>
      <c r="B22" s="145"/>
      <c r="C22" s="149" t="s">
        <v>10</v>
      </c>
      <c r="D22" s="147" t="s">
        <v>4443</v>
      </c>
      <c r="E22" s="150">
        <v>1562000</v>
      </c>
      <c r="F22" s="139">
        <v>306000</v>
      </c>
      <c r="G22" s="139">
        <v>198000</v>
      </c>
      <c r="H22" s="139"/>
      <c r="I22" s="139"/>
      <c r="J22" s="162">
        <v>40000</v>
      </c>
      <c r="K22" s="162" t="s">
        <v>3945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50000</v>
      </c>
      <c r="K23" s="106" t="s">
        <v>123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/>
      <c r="K24" s="162"/>
    </row>
    <row r="25" spans="1:11" ht="19" x14ac:dyDescent="0.2">
      <c r="A25" s="142">
        <v>1596000</v>
      </c>
      <c r="B25" s="153">
        <v>46026</v>
      </c>
      <c r="C25" s="171" t="s">
        <v>9</v>
      </c>
      <c r="D25" s="155" t="s">
        <v>28</v>
      </c>
      <c r="E25" s="164">
        <v>877000</v>
      </c>
      <c r="F25" s="119">
        <v>179000</v>
      </c>
      <c r="G25" s="119">
        <v>540000</v>
      </c>
      <c r="H25" s="119">
        <v>1200000</v>
      </c>
      <c r="I25" s="119" t="s">
        <v>4404</v>
      </c>
      <c r="J25" s="119"/>
      <c r="K25" s="119"/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/>
      <c r="K26" s="139"/>
    </row>
    <row r="27" spans="1:11" ht="19" x14ac:dyDescent="0.2">
      <c r="A27" s="143">
        <v>1898000</v>
      </c>
      <c r="B27" s="32"/>
      <c r="C27" s="49" t="s">
        <v>10</v>
      </c>
      <c r="D27" s="13" t="s">
        <v>4443</v>
      </c>
      <c r="E27" s="15">
        <v>1382000</v>
      </c>
      <c r="F27" s="9">
        <v>237000</v>
      </c>
      <c r="G27" s="9">
        <v>279000</v>
      </c>
      <c r="H27" s="9"/>
      <c r="I27" s="9"/>
      <c r="J27" s="119">
        <v>45000</v>
      </c>
      <c r="K27" s="106" t="s">
        <v>3635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/>
      <c r="K28" s="139"/>
    </row>
    <row r="29" spans="1:11" ht="19" x14ac:dyDescent="0.2">
      <c r="A29" s="143">
        <v>3169000</v>
      </c>
      <c r="B29" s="32">
        <v>46027</v>
      </c>
      <c r="C29" s="49" t="s">
        <v>9</v>
      </c>
      <c r="D29" s="13" t="s">
        <v>28</v>
      </c>
      <c r="E29" s="15">
        <v>1863000</v>
      </c>
      <c r="F29" s="174">
        <v>278000</v>
      </c>
      <c r="G29" s="174">
        <v>1028000</v>
      </c>
      <c r="H29" s="9"/>
      <c r="I29" s="9"/>
      <c r="J29" s="119">
        <v>86000</v>
      </c>
      <c r="K29" s="9" t="s">
        <v>2740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11000</v>
      </c>
      <c r="K30" s="139" t="s">
        <v>4735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60000</v>
      </c>
      <c r="K31" s="9" t="s">
        <v>4736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115000</v>
      </c>
      <c r="K32" s="139" t="s">
        <v>4737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37000</v>
      </c>
      <c r="K33" s="119" t="s">
        <v>3540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34000</v>
      </c>
      <c r="K34" s="139" t="s">
        <v>4638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/>
      <c r="K35" s="9"/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/>
      <c r="K36" s="139"/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/>
      <c r="K37" s="9"/>
    </row>
    <row r="38" spans="1:11" ht="19" x14ac:dyDescent="0.2">
      <c r="A38" s="144">
        <v>1690000</v>
      </c>
      <c r="B38" s="145"/>
      <c r="C38" s="149" t="s">
        <v>10</v>
      </c>
      <c r="D38" s="147" t="s">
        <v>4443</v>
      </c>
      <c r="E38" s="150">
        <v>1126000</v>
      </c>
      <c r="F38" s="139">
        <v>94000</v>
      </c>
      <c r="G38" s="139">
        <v>470000</v>
      </c>
      <c r="H38" s="139"/>
      <c r="I38" s="139"/>
      <c r="J38" s="139"/>
      <c r="K38" s="139"/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228000</v>
      </c>
      <c r="K39" s="9" t="s">
        <v>1559</v>
      </c>
    </row>
    <row r="40" spans="1:11" ht="19" x14ac:dyDescent="0.2">
      <c r="A40" s="144">
        <v>3099000</v>
      </c>
      <c r="B40" s="145">
        <v>46028</v>
      </c>
      <c r="C40" s="149" t="s">
        <v>9</v>
      </c>
      <c r="D40" s="147" t="s">
        <v>28</v>
      </c>
      <c r="E40" s="150">
        <v>1601000</v>
      </c>
      <c r="F40" s="139">
        <v>801000</v>
      </c>
      <c r="G40" s="139">
        <v>697000</v>
      </c>
      <c r="H40" s="139"/>
      <c r="I40" s="139"/>
      <c r="J40" s="139">
        <v>10000</v>
      </c>
      <c r="K40" s="139" t="s">
        <v>3463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160000</v>
      </c>
      <c r="K41" s="9" t="s">
        <v>1597</v>
      </c>
    </row>
    <row r="42" spans="1:11" ht="19" x14ac:dyDescent="0.2">
      <c r="A42" s="144">
        <v>2285000</v>
      </c>
      <c r="B42" s="145"/>
      <c r="C42" s="149" t="s">
        <v>10</v>
      </c>
      <c r="D42" s="147" t="s">
        <v>4443</v>
      </c>
      <c r="E42" s="150">
        <v>1672000</v>
      </c>
      <c r="F42" s="139">
        <v>231000</v>
      </c>
      <c r="G42" s="139">
        <v>382000</v>
      </c>
      <c r="H42" s="139"/>
      <c r="I42" s="139"/>
      <c r="J42" s="139">
        <v>105000</v>
      </c>
      <c r="K42" s="139" t="s">
        <v>4738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240000</v>
      </c>
      <c r="K43" s="9" t="s">
        <v>3659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36000</v>
      </c>
      <c r="K44" s="139" t="s">
        <v>4620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28000</v>
      </c>
      <c r="K45" s="119" t="s">
        <v>4546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21000</v>
      </c>
      <c r="K46" s="139" t="s">
        <v>4687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42000</v>
      </c>
      <c r="K47" s="119" t="s">
        <v>4621</v>
      </c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52"/>
      <c r="J48" s="139">
        <v>14000</v>
      </c>
      <c r="K48" s="139" t="s">
        <v>4689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17000</v>
      </c>
      <c r="K49" s="119" t="s">
        <v>4739</v>
      </c>
    </row>
    <row r="50" spans="1:11" ht="19" x14ac:dyDescent="0.2">
      <c r="A50" s="144">
        <v>3082000</v>
      </c>
      <c r="B50" s="145">
        <v>46029</v>
      </c>
      <c r="C50" s="149" t="s">
        <v>9</v>
      </c>
      <c r="D50" s="147" t="s">
        <v>3941</v>
      </c>
      <c r="E50" s="150">
        <v>1838000</v>
      </c>
      <c r="F50" s="139">
        <v>404000</v>
      </c>
      <c r="G50" s="139">
        <v>840000</v>
      </c>
      <c r="H50" s="139"/>
      <c r="I50" s="139"/>
      <c r="J50" s="139">
        <v>100000</v>
      </c>
      <c r="K50" s="139" t="s">
        <v>3248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137000</v>
      </c>
      <c r="K51" s="119" t="s">
        <v>4740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68000</v>
      </c>
      <c r="K52" s="139" t="s">
        <v>4741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18000</v>
      </c>
      <c r="K53" s="119" t="s">
        <v>4742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114000</v>
      </c>
      <c r="K54" s="139" t="s">
        <v>4743</v>
      </c>
    </row>
    <row r="55" spans="1:11" ht="19" x14ac:dyDescent="0.2">
      <c r="A55" s="143">
        <v>1826000</v>
      </c>
      <c r="B55" s="153"/>
      <c r="C55" s="171" t="s">
        <v>10</v>
      </c>
      <c r="D55" s="155" t="s">
        <v>4443</v>
      </c>
      <c r="E55" s="164">
        <v>954000</v>
      </c>
      <c r="F55" s="119">
        <v>308000</v>
      </c>
      <c r="G55" s="119">
        <v>564000</v>
      </c>
      <c r="H55" s="119"/>
      <c r="I55" s="119"/>
      <c r="J55" s="119"/>
      <c r="K55" s="119"/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/>
      <c r="K56" s="139"/>
    </row>
    <row r="57" spans="1:11" ht="19" x14ac:dyDescent="0.2">
      <c r="A57" s="143">
        <v>2731000</v>
      </c>
      <c r="B57" s="153">
        <v>46030</v>
      </c>
      <c r="C57" s="171" t="s">
        <v>9</v>
      </c>
      <c r="D57" s="155" t="s">
        <v>3941</v>
      </c>
      <c r="E57" s="164">
        <v>1711000</v>
      </c>
      <c r="F57" s="119">
        <v>427000</v>
      </c>
      <c r="G57" s="119">
        <v>593000</v>
      </c>
      <c r="H57" s="119"/>
      <c r="I57" s="119"/>
      <c r="J57" s="119">
        <v>128000</v>
      </c>
      <c r="K57" s="119" t="s">
        <v>1553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14000</v>
      </c>
      <c r="K58" s="139" t="s">
        <v>1195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36000</v>
      </c>
      <c r="K59" s="119" t="s">
        <v>4065</v>
      </c>
    </row>
    <row r="60" spans="1:11" ht="19" x14ac:dyDescent="0.2">
      <c r="A60" s="144"/>
      <c r="B60" s="145"/>
      <c r="C60" s="149"/>
      <c r="D60" s="147"/>
      <c r="E60" s="150"/>
      <c r="F60" s="139"/>
      <c r="G60" s="139"/>
      <c r="H60" s="300"/>
      <c r="I60" s="139"/>
      <c r="J60" s="139">
        <v>50000</v>
      </c>
      <c r="K60" s="139" t="s">
        <v>3590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34000</v>
      </c>
      <c r="K61" s="119" t="s">
        <v>3662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90000</v>
      </c>
      <c r="K62" s="139" t="s">
        <v>4744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33000</v>
      </c>
      <c r="K63" s="119" t="s">
        <v>3601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150000</v>
      </c>
      <c r="K64" s="139" t="s">
        <v>4745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150000</v>
      </c>
      <c r="K65" s="119" t="s">
        <v>4746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22000</v>
      </c>
      <c r="K66" s="139" t="s">
        <v>4747</v>
      </c>
    </row>
    <row r="67" spans="1:11" ht="19" x14ac:dyDescent="0.2">
      <c r="A67" s="143">
        <v>1168000</v>
      </c>
      <c r="B67" s="153"/>
      <c r="C67" s="171" t="s">
        <v>10</v>
      </c>
      <c r="D67" s="155" t="s">
        <v>28</v>
      </c>
      <c r="E67" s="164">
        <v>618000</v>
      </c>
      <c r="F67" s="119">
        <v>180000</v>
      </c>
      <c r="G67" s="119">
        <v>370000</v>
      </c>
      <c r="H67" s="119"/>
      <c r="I67" s="119"/>
      <c r="J67" s="119"/>
      <c r="K67" s="119"/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/>
      <c r="K68" s="139"/>
    </row>
    <row r="69" spans="1:11" ht="19" x14ac:dyDescent="0.2">
      <c r="A69" s="206">
        <v>3529000</v>
      </c>
      <c r="B69" s="153">
        <v>46031</v>
      </c>
      <c r="C69" s="171" t="s">
        <v>9</v>
      </c>
      <c r="D69" s="155" t="s">
        <v>3941</v>
      </c>
      <c r="E69" s="210">
        <v>1911000</v>
      </c>
      <c r="F69" s="211">
        <v>496000</v>
      </c>
      <c r="G69" s="211">
        <v>1122000</v>
      </c>
      <c r="H69" s="211"/>
      <c r="I69" s="119"/>
      <c r="J69" s="211">
        <v>150000</v>
      </c>
      <c r="K69" s="119" t="s">
        <v>1812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150000</v>
      </c>
      <c r="K70" s="139" t="s">
        <v>1811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50000</v>
      </c>
      <c r="K71" s="9" t="s">
        <v>123</v>
      </c>
    </row>
    <row r="72" spans="1:11" ht="19" x14ac:dyDescent="0.2">
      <c r="A72" s="144">
        <v>1628000</v>
      </c>
      <c r="B72" s="145"/>
      <c r="C72" s="149" t="s">
        <v>10</v>
      </c>
      <c r="D72" s="147" t="s">
        <v>4443</v>
      </c>
      <c r="E72" s="150">
        <v>962000</v>
      </c>
      <c r="F72" s="139">
        <v>162000</v>
      </c>
      <c r="G72" s="139">
        <v>504000</v>
      </c>
      <c r="H72" s="139"/>
      <c r="I72" s="139"/>
      <c r="J72" s="139"/>
      <c r="K72" s="139"/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/>
      <c r="K73" s="9"/>
    </row>
    <row r="74" spans="1:11" ht="19" x14ac:dyDescent="0.2">
      <c r="A74" s="148">
        <v>2907000</v>
      </c>
      <c r="B74" s="145">
        <v>46032</v>
      </c>
      <c r="C74" s="151" t="s">
        <v>9</v>
      </c>
      <c r="D74" s="147" t="s">
        <v>3941</v>
      </c>
      <c r="E74" s="150">
        <v>1602000</v>
      </c>
      <c r="F74" s="139">
        <v>478000</v>
      </c>
      <c r="G74" s="139">
        <v>827000</v>
      </c>
      <c r="H74" s="139"/>
      <c r="I74" s="139"/>
      <c r="J74" s="139">
        <v>44000</v>
      </c>
      <c r="K74" s="139" t="s">
        <v>1449</v>
      </c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>
        <v>14000</v>
      </c>
      <c r="K75" s="119" t="s">
        <v>2475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119000</v>
      </c>
      <c r="K76" s="139" t="s">
        <v>4748</v>
      </c>
    </row>
    <row r="77" spans="1:11" ht="19" x14ac:dyDescent="0.2">
      <c r="A77" s="143">
        <v>2215000</v>
      </c>
      <c r="B77" s="153"/>
      <c r="C77" s="171" t="s">
        <v>10</v>
      </c>
      <c r="D77" s="155" t="s">
        <v>4443</v>
      </c>
      <c r="E77" s="164">
        <v>1290000</v>
      </c>
      <c r="F77" s="119">
        <v>278000</v>
      </c>
      <c r="G77" s="119">
        <v>647000</v>
      </c>
      <c r="H77" s="9"/>
      <c r="I77" s="9"/>
      <c r="J77" s="119"/>
      <c r="K77" s="9"/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/>
      <c r="K78" s="139"/>
    </row>
    <row r="79" spans="1:11" ht="19" x14ac:dyDescent="0.2">
      <c r="A79" s="143">
        <v>2229000</v>
      </c>
      <c r="B79" s="153">
        <v>46033</v>
      </c>
      <c r="C79" s="171" t="s">
        <v>9</v>
      </c>
      <c r="D79" s="155" t="s">
        <v>28</v>
      </c>
      <c r="E79" s="164">
        <v>1554000</v>
      </c>
      <c r="F79" s="119">
        <v>170000</v>
      </c>
      <c r="G79" s="119">
        <v>505000</v>
      </c>
      <c r="H79" s="119"/>
      <c r="I79" s="119"/>
      <c r="J79" s="119"/>
      <c r="K79" s="119"/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/>
      <c r="K80" s="139"/>
    </row>
    <row r="81" spans="1:11" ht="19" x14ac:dyDescent="0.2">
      <c r="A81" s="143">
        <v>1427000</v>
      </c>
      <c r="B81" s="153"/>
      <c r="C81" s="171" t="s">
        <v>10</v>
      </c>
      <c r="D81" s="155" t="s">
        <v>4443</v>
      </c>
      <c r="E81" s="164">
        <v>936000</v>
      </c>
      <c r="F81" s="119">
        <v>182000</v>
      </c>
      <c r="G81" s="119">
        <v>309000</v>
      </c>
      <c r="H81" s="119"/>
      <c r="I81" s="119"/>
      <c r="J81" s="119"/>
      <c r="K81" s="119"/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/>
      <c r="K82" s="139"/>
    </row>
    <row r="83" spans="1:11" ht="19" x14ac:dyDescent="0.2">
      <c r="A83" s="143">
        <v>2625000</v>
      </c>
      <c r="B83" s="153">
        <v>46034</v>
      </c>
      <c r="C83" s="171" t="s">
        <v>9</v>
      </c>
      <c r="D83" s="155" t="s">
        <v>3941</v>
      </c>
      <c r="E83" s="164">
        <v>1786000</v>
      </c>
      <c r="F83" s="119">
        <v>248000</v>
      </c>
      <c r="G83" s="119">
        <v>591000</v>
      </c>
      <c r="H83" s="9"/>
      <c r="I83" s="9"/>
      <c r="J83" s="119">
        <v>250000</v>
      </c>
      <c r="K83" s="9" t="s">
        <v>2796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50000</v>
      </c>
      <c r="K84" s="139" t="s">
        <v>3635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160000</v>
      </c>
      <c r="K85" s="119" t="s">
        <v>2748</v>
      </c>
    </row>
    <row r="86" spans="1:11" ht="19" x14ac:dyDescent="0.2">
      <c r="A86" s="144">
        <v>1090000</v>
      </c>
      <c r="B86" s="145"/>
      <c r="C86" s="149" t="s">
        <v>10</v>
      </c>
      <c r="D86" s="147" t="s">
        <v>28</v>
      </c>
      <c r="E86" s="150">
        <v>505000</v>
      </c>
      <c r="F86" s="139">
        <v>251000</v>
      </c>
      <c r="G86" s="139">
        <v>334000</v>
      </c>
      <c r="H86" s="162"/>
      <c r="I86" s="162"/>
      <c r="J86" s="139"/>
      <c r="K86" s="139"/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/>
      <c r="K87" s="119"/>
    </row>
    <row r="88" spans="1:11" ht="19" x14ac:dyDescent="0.2">
      <c r="A88" s="144">
        <v>3138000</v>
      </c>
      <c r="B88" s="145">
        <v>46035</v>
      </c>
      <c r="C88" s="149" t="s">
        <v>9</v>
      </c>
      <c r="D88" s="147" t="s">
        <v>3941</v>
      </c>
      <c r="E88" s="150">
        <v>2122000</v>
      </c>
      <c r="F88" s="139">
        <v>351000</v>
      </c>
      <c r="G88" s="139">
        <v>665000</v>
      </c>
      <c r="H88" s="162">
        <v>7300000</v>
      </c>
      <c r="I88" s="162" t="s">
        <v>1405</v>
      </c>
      <c r="J88" s="162">
        <v>23000</v>
      </c>
      <c r="K88" s="162" t="s">
        <v>4639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22000</v>
      </c>
      <c r="K89" s="119" t="s">
        <v>4749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26000</v>
      </c>
      <c r="K90" s="139" t="s">
        <v>4546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33000</v>
      </c>
      <c r="K91" s="119" t="s">
        <v>4750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30000</v>
      </c>
      <c r="K92" s="139" t="s">
        <v>4751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>
        <v>27000</v>
      </c>
      <c r="K93" s="9" t="s">
        <v>4533</v>
      </c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62">
        <v>18000</v>
      </c>
      <c r="K94" s="162" t="s">
        <v>4552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>
        <v>108000</v>
      </c>
      <c r="K95" s="119" t="s">
        <v>2015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100000</v>
      </c>
      <c r="K96" s="139" t="s">
        <v>2830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72000</v>
      </c>
      <c r="K97" s="9" t="s">
        <v>4515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86000</v>
      </c>
      <c r="K98" s="139" t="s">
        <v>4656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100000</v>
      </c>
      <c r="K99" s="119" t="s">
        <v>3248</v>
      </c>
    </row>
    <row r="100" spans="1:11" ht="19" x14ac:dyDescent="0.2">
      <c r="A100" s="144">
        <v>1018000</v>
      </c>
      <c r="B100" s="145"/>
      <c r="C100" s="149" t="s">
        <v>10</v>
      </c>
      <c r="D100" s="147" t="s">
        <v>28</v>
      </c>
      <c r="E100" s="150">
        <v>868000</v>
      </c>
      <c r="F100" s="139">
        <v>0</v>
      </c>
      <c r="G100" s="139">
        <v>150000</v>
      </c>
      <c r="H100" s="139"/>
      <c r="I100" s="139"/>
      <c r="J100" s="139"/>
      <c r="K100" s="139"/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/>
      <c r="K101" s="119"/>
    </row>
    <row r="102" spans="1:11" ht="19" x14ac:dyDescent="0.2">
      <c r="A102" s="144">
        <v>3020000</v>
      </c>
      <c r="B102" s="145">
        <v>46036</v>
      </c>
      <c r="C102" s="149" t="s">
        <v>9</v>
      </c>
      <c r="D102" s="147" t="s">
        <v>3941</v>
      </c>
      <c r="E102" s="150">
        <v>1694000</v>
      </c>
      <c r="F102" s="139">
        <v>605000</v>
      </c>
      <c r="G102" s="139">
        <v>721000</v>
      </c>
      <c r="H102" s="139"/>
      <c r="I102" s="139"/>
      <c r="J102" s="139">
        <v>31000</v>
      </c>
      <c r="K102" s="139" t="s">
        <v>4752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14000</v>
      </c>
      <c r="K103" s="119" t="s">
        <v>4355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39"/>
      <c r="I104" s="139"/>
      <c r="J104" s="139">
        <v>27000</v>
      </c>
      <c r="K104" s="139" t="s">
        <v>4753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70000</v>
      </c>
      <c r="K105" s="119" t="s">
        <v>4754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109000</v>
      </c>
      <c r="K106" s="139" t="s">
        <v>4755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/>
      <c r="K107" s="119"/>
    </row>
    <row r="108" spans="1:11" ht="19" x14ac:dyDescent="0.2">
      <c r="A108" s="148">
        <v>2115000</v>
      </c>
      <c r="B108" s="145"/>
      <c r="C108" s="149" t="s">
        <v>10</v>
      </c>
      <c r="D108" s="160" t="s">
        <v>4443</v>
      </c>
      <c r="E108" s="150">
        <v>1528000</v>
      </c>
      <c r="F108" s="139">
        <v>264000</v>
      </c>
      <c r="G108" s="139">
        <v>323000</v>
      </c>
      <c r="H108" s="139"/>
      <c r="I108" s="139"/>
      <c r="J108" s="139"/>
      <c r="K108" s="139"/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/>
      <c r="K109" s="119"/>
    </row>
    <row r="110" spans="1:11" ht="19" x14ac:dyDescent="0.2">
      <c r="A110" s="144">
        <v>2681000</v>
      </c>
      <c r="B110" s="145">
        <v>46037</v>
      </c>
      <c r="C110" s="149" t="s">
        <v>9</v>
      </c>
      <c r="D110" s="147" t="s">
        <v>3941</v>
      </c>
      <c r="E110" s="150">
        <v>1568000</v>
      </c>
      <c r="F110" s="139">
        <v>427000</v>
      </c>
      <c r="G110" s="139">
        <v>686000</v>
      </c>
      <c r="H110" s="139">
        <v>2340000</v>
      </c>
      <c r="I110" s="139" t="s">
        <v>4722</v>
      </c>
      <c r="J110" s="139">
        <v>90000</v>
      </c>
      <c r="K110" s="139" t="s">
        <v>1491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>
        <v>2000000</v>
      </c>
      <c r="I111" s="119" t="s">
        <v>4756</v>
      </c>
      <c r="J111" s="119">
        <v>136000</v>
      </c>
      <c r="K111" s="119" t="s">
        <v>4757</v>
      </c>
    </row>
    <row r="112" spans="1:11" ht="32" x14ac:dyDescent="0.2">
      <c r="A112" s="144">
        <v>1523000</v>
      </c>
      <c r="B112" s="145"/>
      <c r="C112" s="149" t="s">
        <v>10</v>
      </c>
      <c r="D112" s="147" t="s">
        <v>4443</v>
      </c>
      <c r="E112" s="150">
        <v>1160000</v>
      </c>
      <c r="F112" s="139">
        <v>25000</v>
      </c>
      <c r="G112" s="139">
        <v>338000</v>
      </c>
      <c r="H112" s="139">
        <v>705000</v>
      </c>
      <c r="I112" s="161" t="s">
        <v>4758</v>
      </c>
      <c r="J112" s="139">
        <v>136000</v>
      </c>
      <c r="K112" s="139" t="s">
        <v>4759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100000</v>
      </c>
      <c r="K113" s="119" t="s">
        <v>3828</v>
      </c>
    </row>
    <row r="114" spans="1:11" ht="19" x14ac:dyDescent="0.2">
      <c r="A114" s="144">
        <v>3012000</v>
      </c>
      <c r="B114" s="145">
        <v>46038</v>
      </c>
      <c r="C114" s="149" t="s">
        <v>9</v>
      </c>
      <c r="D114" s="147" t="s">
        <v>4625</v>
      </c>
      <c r="E114" s="150">
        <v>1673000</v>
      </c>
      <c r="F114" s="139">
        <v>119000</v>
      </c>
      <c r="G114" s="139">
        <v>1220000</v>
      </c>
      <c r="H114" s="139"/>
      <c r="I114" s="139"/>
      <c r="J114" s="139">
        <v>25000</v>
      </c>
      <c r="K114" s="139" t="s">
        <v>4760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33000</v>
      </c>
      <c r="K115" s="119" t="s">
        <v>4537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19000</v>
      </c>
      <c r="K116" s="162" t="s">
        <v>4705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27000</v>
      </c>
      <c r="K117" s="174" t="s">
        <v>4533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24000</v>
      </c>
      <c r="K118" s="139" t="s">
        <v>4761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65000</v>
      </c>
      <c r="K119" s="119" t="s">
        <v>4762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150000</v>
      </c>
      <c r="K120" s="139" t="s">
        <v>4763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150000</v>
      </c>
      <c r="K121" s="119" t="s">
        <v>4764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150000</v>
      </c>
      <c r="K122" s="139" t="s">
        <v>4765</v>
      </c>
    </row>
    <row r="123" spans="1:11" ht="19" x14ac:dyDescent="0.2">
      <c r="A123" s="143">
        <v>1961000</v>
      </c>
      <c r="B123" s="153"/>
      <c r="C123" s="163" t="s">
        <v>10</v>
      </c>
      <c r="D123" s="155" t="s">
        <v>4443</v>
      </c>
      <c r="E123" s="164">
        <v>1602000</v>
      </c>
      <c r="F123" s="119">
        <v>60000</v>
      </c>
      <c r="G123" s="119">
        <v>299000</v>
      </c>
      <c r="H123" s="119"/>
      <c r="I123" s="119"/>
      <c r="J123" s="174">
        <v>250000</v>
      </c>
      <c r="K123" s="174" t="s">
        <v>2796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50000</v>
      </c>
      <c r="K124" s="162" t="s">
        <v>4766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160000</v>
      </c>
      <c r="K125" s="106" t="s">
        <v>1805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160000</v>
      </c>
      <c r="K126" s="162" t="s">
        <v>4767</v>
      </c>
    </row>
    <row r="127" spans="1:11" ht="19" x14ac:dyDescent="0.2">
      <c r="A127" s="143"/>
      <c r="B127" s="153"/>
      <c r="C127" s="163"/>
      <c r="D127" s="155"/>
      <c r="E127" s="164"/>
      <c r="F127" s="301"/>
      <c r="G127" s="119"/>
      <c r="H127" s="119"/>
      <c r="I127" s="119"/>
      <c r="J127" s="174">
        <v>105000</v>
      </c>
      <c r="K127" s="174" t="s">
        <v>1566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240000</v>
      </c>
      <c r="K128" s="139" t="s">
        <v>3659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41000</v>
      </c>
      <c r="K129" s="174" t="s">
        <v>4768</v>
      </c>
    </row>
    <row r="130" spans="1:11" ht="19" x14ac:dyDescent="0.2">
      <c r="A130" s="144">
        <v>3237000</v>
      </c>
      <c r="B130" s="145">
        <v>46039</v>
      </c>
      <c r="C130" s="151" t="s">
        <v>9</v>
      </c>
      <c r="D130" s="147" t="s">
        <v>28</v>
      </c>
      <c r="E130" s="139">
        <v>1757000</v>
      </c>
      <c r="F130" s="139">
        <v>447000</v>
      </c>
      <c r="G130" s="139">
        <v>1033000</v>
      </c>
      <c r="H130" s="139"/>
      <c r="I130" s="139"/>
      <c r="J130" s="139">
        <v>72000</v>
      </c>
      <c r="K130" s="139" t="s">
        <v>4769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>
        <v>185000</v>
      </c>
      <c r="K131" s="119" t="s">
        <v>3825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50000</v>
      </c>
      <c r="K132" s="139" t="s">
        <v>123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39">
        <v>44000</v>
      </c>
      <c r="K133" s="139" t="s">
        <v>1493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>
        <v>10000</v>
      </c>
      <c r="K134" s="139" t="s">
        <v>4770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7000</v>
      </c>
      <c r="K135" s="119" t="s">
        <v>1580</v>
      </c>
    </row>
    <row r="136" spans="1:11" ht="19" x14ac:dyDescent="0.2">
      <c r="A136" s="144">
        <v>1766000</v>
      </c>
      <c r="B136" s="145"/>
      <c r="C136" s="151" t="s">
        <v>10</v>
      </c>
      <c r="D136" s="147" t="s">
        <v>4443</v>
      </c>
      <c r="E136" s="150">
        <v>1303000</v>
      </c>
      <c r="F136" s="139">
        <v>120000</v>
      </c>
      <c r="G136" s="139">
        <v>343000</v>
      </c>
      <c r="H136" s="139"/>
      <c r="I136" s="139"/>
      <c r="J136" s="139"/>
      <c r="K136" s="139"/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/>
      <c r="K137" s="174"/>
    </row>
    <row r="138" spans="1:11" ht="19" x14ac:dyDescent="0.2">
      <c r="A138" s="144">
        <v>2354000</v>
      </c>
      <c r="B138" s="145">
        <v>46040</v>
      </c>
      <c r="C138" s="151" t="s">
        <v>9</v>
      </c>
      <c r="D138" s="147" t="s">
        <v>28</v>
      </c>
      <c r="E138" s="150">
        <v>1426000</v>
      </c>
      <c r="F138" s="139">
        <v>293000</v>
      </c>
      <c r="G138" s="139">
        <v>635000</v>
      </c>
      <c r="H138" s="139"/>
      <c r="I138" s="139"/>
      <c r="J138" s="162"/>
      <c r="K138" s="162"/>
    </row>
    <row r="139" spans="1:11" ht="19" x14ac:dyDescent="0.2">
      <c r="A139" s="143"/>
      <c r="B139" s="32"/>
      <c r="C139" s="35"/>
      <c r="D139" s="13"/>
      <c r="E139" s="15"/>
      <c r="F139" s="9"/>
      <c r="G139" s="9"/>
      <c r="H139" s="9"/>
      <c r="I139" s="9"/>
      <c r="J139" s="106"/>
      <c r="K139" s="106"/>
    </row>
    <row r="140" spans="1:11" ht="19" x14ac:dyDescent="0.2">
      <c r="A140" s="144">
        <v>2012000</v>
      </c>
      <c r="B140" s="145"/>
      <c r="C140" s="151" t="s">
        <v>10</v>
      </c>
      <c r="D140" s="147" t="s">
        <v>4443</v>
      </c>
      <c r="E140" s="150">
        <v>1145000</v>
      </c>
      <c r="F140" s="139">
        <v>250000</v>
      </c>
      <c r="G140" s="139">
        <v>617000</v>
      </c>
      <c r="H140" s="139"/>
      <c r="I140" s="152"/>
      <c r="J140" s="162">
        <v>16000</v>
      </c>
      <c r="K140" s="162" t="s">
        <v>4771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/>
      <c r="K141" s="174"/>
    </row>
    <row r="142" spans="1:11" ht="19" x14ac:dyDescent="0.2">
      <c r="A142" s="144">
        <v>2565000</v>
      </c>
      <c r="B142" s="145">
        <v>46041</v>
      </c>
      <c r="C142" s="151" t="s">
        <v>9</v>
      </c>
      <c r="D142" s="147" t="s">
        <v>3941</v>
      </c>
      <c r="E142" s="150">
        <v>1440000</v>
      </c>
      <c r="F142" s="139">
        <v>245000</v>
      </c>
      <c r="G142" s="139">
        <v>880000</v>
      </c>
      <c r="H142" s="139"/>
      <c r="I142" s="139"/>
      <c r="J142" s="139">
        <v>35000</v>
      </c>
      <c r="K142" s="139" t="s">
        <v>1657</v>
      </c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>
        <v>187000</v>
      </c>
      <c r="K143" s="119" t="s">
        <v>2732</v>
      </c>
    </row>
    <row r="144" spans="1:11" ht="19" x14ac:dyDescent="0.2">
      <c r="A144" s="144">
        <v>1179000</v>
      </c>
      <c r="B144" s="145"/>
      <c r="C144" s="159" t="s">
        <v>10</v>
      </c>
      <c r="D144" s="147" t="s">
        <v>28</v>
      </c>
      <c r="E144" s="150">
        <v>805000</v>
      </c>
      <c r="F144" s="139">
        <v>158000</v>
      </c>
      <c r="G144" s="139">
        <v>216000</v>
      </c>
      <c r="H144" s="139"/>
      <c r="I144" s="139"/>
      <c r="J144" s="139">
        <v>76000</v>
      </c>
      <c r="K144" s="139" t="s">
        <v>4772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32000</v>
      </c>
      <c r="K145" s="119" t="s">
        <v>4773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30000</v>
      </c>
      <c r="K146" s="162" t="s">
        <v>4696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104000</v>
      </c>
      <c r="K147" s="119" t="s">
        <v>4774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102000</v>
      </c>
      <c r="K148" s="139" t="s">
        <v>4775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100000</v>
      </c>
      <c r="K149" s="119" t="s">
        <v>4311</v>
      </c>
    </row>
    <row r="150" spans="1:11" ht="19" x14ac:dyDescent="0.2">
      <c r="A150" s="148">
        <v>3048000</v>
      </c>
      <c r="B150" s="145">
        <v>46042</v>
      </c>
      <c r="C150" s="151" t="s">
        <v>9</v>
      </c>
      <c r="D150" s="160" t="s">
        <v>3941</v>
      </c>
      <c r="E150" s="150">
        <v>1792000</v>
      </c>
      <c r="F150" s="139">
        <v>192000</v>
      </c>
      <c r="G150" s="139">
        <v>1064000</v>
      </c>
      <c r="H150" s="139"/>
      <c r="I150" s="139"/>
      <c r="J150" s="139">
        <v>160000</v>
      </c>
      <c r="K150" s="139" t="s">
        <v>4776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850000</v>
      </c>
      <c r="K151" s="119" t="s">
        <v>1191</v>
      </c>
    </row>
    <row r="152" spans="1:11" ht="19" x14ac:dyDescent="0.2">
      <c r="A152" s="148">
        <v>1797000</v>
      </c>
      <c r="B152" s="145"/>
      <c r="C152" s="151" t="s">
        <v>10</v>
      </c>
      <c r="D152" s="160" t="s">
        <v>4443</v>
      </c>
      <c r="E152" s="150">
        <v>1027000</v>
      </c>
      <c r="F152" s="139">
        <v>329000</v>
      </c>
      <c r="G152" s="139">
        <v>441000</v>
      </c>
      <c r="H152" s="139"/>
      <c r="I152" s="139"/>
      <c r="J152" s="139"/>
      <c r="K152" s="139"/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/>
      <c r="K153" s="119"/>
    </row>
    <row r="154" spans="1:11" ht="19" x14ac:dyDescent="0.2">
      <c r="A154" s="144">
        <v>2920000</v>
      </c>
      <c r="B154" s="145">
        <v>46043</v>
      </c>
      <c r="C154" s="151" t="s">
        <v>9</v>
      </c>
      <c r="D154" s="147" t="s">
        <v>3941</v>
      </c>
      <c r="E154" s="150">
        <v>1615000</v>
      </c>
      <c r="F154" s="139">
        <v>261000</v>
      </c>
      <c r="G154" s="139">
        <v>1044000</v>
      </c>
      <c r="H154" s="139"/>
      <c r="I154" s="139"/>
      <c r="J154" s="139">
        <v>22000</v>
      </c>
      <c r="K154" s="139" t="s">
        <v>4639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25000</v>
      </c>
      <c r="K155" s="119" t="s">
        <v>4546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43000</v>
      </c>
      <c r="K156" s="139" t="s">
        <v>4621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22000</v>
      </c>
      <c r="K157" s="119" t="s">
        <v>4663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35000</v>
      </c>
      <c r="K158" s="139" t="s">
        <v>4777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27000</v>
      </c>
      <c r="K159" s="119" t="s">
        <v>4533</v>
      </c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>
        <v>18000</v>
      </c>
      <c r="K160" s="139" t="s">
        <v>4665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20000</v>
      </c>
      <c r="K161" s="9" t="s">
        <v>4705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62000</v>
      </c>
      <c r="K162" s="139" t="s">
        <v>4778</v>
      </c>
    </row>
    <row r="163" spans="1:11" ht="19" x14ac:dyDescent="0.2">
      <c r="A163" s="143"/>
      <c r="B163" s="32"/>
      <c r="C163" s="49"/>
      <c r="D163" s="13"/>
      <c r="E163" s="15"/>
      <c r="F163" s="9"/>
      <c r="G163" s="9"/>
      <c r="H163" s="9"/>
      <c r="I163" s="77"/>
      <c r="J163" s="9">
        <v>15000</v>
      </c>
      <c r="K163" s="9" t="s">
        <v>1582</v>
      </c>
    </row>
    <row r="164" spans="1:11" ht="19" x14ac:dyDescent="0.2">
      <c r="A164" s="144">
        <v>1890000</v>
      </c>
      <c r="B164" s="145"/>
      <c r="C164" s="149" t="s">
        <v>10</v>
      </c>
      <c r="D164" s="147" t="s">
        <v>4443</v>
      </c>
      <c r="E164" s="150">
        <v>947000</v>
      </c>
      <c r="F164" s="139">
        <v>242000</v>
      </c>
      <c r="G164" s="139">
        <v>701000</v>
      </c>
      <c r="H164" s="139"/>
      <c r="I164" s="165"/>
      <c r="J164" s="139">
        <v>68000</v>
      </c>
      <c r="K164" s="139" t="s">
        <v>4779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137000</v>
      </c>
      <c r="K165" s="9" t="s">
        <v>4780</v>
      </c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>
        <v>136000</v>
      </c>
      <c r="K166" s="165" t="s">
        <v>4781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137000</v>
      </c>
      <c r="K167" s="77" t="s">
        <v>4782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/>
      <c r="K168" s="139"/>
    </row>
    <row r="169" spans="1:11" ht="19" x14ac:dyDescent="0.2">
      <c r="A169" s="143">
        <v>3110000</v>
      </c>
      <c r="B169" s="32">
        <v>46044</v>
      </c>
      <c r="C169" s="49" t="s">
        <v>9</v>
      </c>
      <c r="D169" s="13" t="s">
        <v>3941</v>
      </c>
      <c r="E169" s="15">
        <v>1841000</v>
      </c>
      <c r="F169" s="9">
        <v>266000</v>
      </c>
      <c r="G169" s="9">
        <v>1003000</v>
      </c>
      <c r="H169" s="9"/>
      <c r="I169" s="77"/>
      <c r="J169" s="9">
        <v>25000</v>
      </c>
      <c r="K169" s="9" t="s">
        <v>3601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240000</v>
      </c>
      <c r="K170" s="139" t="s">
        <v>3659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105000</v>
      </c>
      <c r="K171" s="9" t="s">
        <v>1566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160000</v>
      </c>
      <c r="K172" s="139" t="s">
        <v>1597</v>
      </c>
    </row>
    <row r="173" spans="1:11" ht="19" x14ac:dyDescent="0.2">
      <c r="A173" s="143"/>
      <c r="B173" s="32"/>
      <c r="C173" s="49"/>
      <c r="D173" s="13"/>
      <c r="E173" s="15"/>
      <c r="F173" s="9"/>
      <c r="G173" s="9"/>
      <c r="H173" s="9"/>
      <c r="I173" s="77"/>
      <c r="J173" s="9">
        <v>44000</v>
      </c>
      <c r="K173" s="9" t="s">
        <v>1449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>
        <v>129000</v>
      </c>
      <c r="K174" s="139" t="s">
        <v>4783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10000</v>
      </c>
      <c r="K175" s="9" t="s">
        <v>4784</v>
      </c>
    </row>
    <row r="176" spans="1:11" ht="19" x14ac:dyDescent="0.2">
      <c r="A176" s="144">
        <v>2817000</v>
      </c>
      <c r="B176" s="145"/>
      <c r="C176" s="149" t="s">
        <v>10</v>
      </c>
      <c r="D176" s="147" t="s">
        <v>4443</v>
      </c>
      <c r="E176" s="150">
        <v>1884000</v>
      </c>
      <c r="F176" s="139">
        <v>292000</v>
      </c>
      <c r="G176" s="139">
        <v>641000</v>
      </c>
      <c r="H176" s="139"/>
      <c r="I176" s="165"/>
      <c r="J176" s="139"/>
      <c r="K176" s="139"/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/>
      <c r="K177" s="9"/>
    </row>
    <row r="178" spans="1:11" ht="19" x14ac:dyDescent="0.2">
      <c r="A178" s="144">
        <v>2829000</v>
      </c>
      <c r="B178" s="145">
        <v>46045</v>
      </c>
      <c r="C178" s="149" t="s">
        <v>9</v>
      </c>
      <c r="D178" s="147" t="s">
        <v>4625</v>
      </c>
      <c r="E178" s="150">
        <v>1602000</v>
      </c>
      <c r="F178" s="139">
        <v>437000</v>
      </c>
      <c r="G178" s="139">
        <v>790000</v>
      </c>
      <c r="H178" s="139"/>
      <c r="I178" s="165"/>
      <c r="J178" s="139">
        <v>250000</v>
      </c>
      <c r="K178" s="139" t="s">
        <v>2796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160000</v>
      </c>
      <c r="K179" s="9" t="s">
        <v>1805</v>
      </c>
    </row>
    <row r="180" spans="1:11" ht="19" x14ac:dyDescent="0.2">
      <c r="A180" s="144">
        <v>1253000</v>
      </c>
      <c r="B180" s="145"/>
      <c r="C180" s="149" t="s">
        <v>10</v>
      </c>
      <c r="D180" s="147" t="s">
        <v>4443</v>
      </c>
      <c r="E180" s="150">
        <v>872000</v>
      </c>
      <c r="F180" s="139">
        <v>60000</v>
      </c>
      <c r="G180" s="139">
        <v>321000</v>
      </c>
      <c r="H180" s="139"/>
      <c r="I180" s="165"/>
      <c r="J180" s="139"/>
      <c r="K180" s="139"/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/>
      <c r="K181" s="9"/>
    </row>
    <row r="182" spans="1:11" ht="19" x14ac:dyDescent="0.2">
      <c r="A182" s="144">
        <v>2817000</v>
      </c>
      <c r="B182" s="145">
        <v>46046</v>
      </c>
      <c r="C182" s="149" t="s">
        <v>9</v>
      </c>
      <c r="D182" s="147" t="s">
        <v>28</v>
      </c>
      <c r="E182" s="150">
        <v>2103000</v>
      </c>
      <c r="F182" s="139">
        <v>110000</v>
      </c>
      <c r="G182" s="139">
        <v>604000</v>
      </c>
      <c r="H182" s="139"/>
      <c r="I182" s="165"/>
      <c r="J182" s="139">
        <v>150000</v>
      </c>
      <c r="K182" s="139" t="s">
        <v>4785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>
        <v>750000</v>
      </c>
      <c r="K183" s="119" t="s">
        <v>3816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50000</v>
      </c>
      <c r="K184" s="139" t="s">
        <v>123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>
        <v>24000</v>
      </c>
      <c r="K185" s="119" t="s">
        <v>4786</v>
      </c>
    </row>
    <row r="186" spans="1:11" ht="19" x14ac:dyDescent="0.2">
      <c r="A186" s="144">
        <v>2502000</v>
      </c>
      <c r="B186" s="145"/>
      <c r="C186" s="149" t="s">
        <v>10</v>
      </c>
      <c r="D186" s="147" t="s">
        <v>4443</v>
      </c>
      <c r="E186" s="150">
        <v>1481000</v>
      </c>
      <c r="F186" s="139">
        <v>471000</v>
      </c>
      <c r="G186" s="139">
        <v>550000</v>
      </c>
      <c r="H186" s="139"/>
      <c r="I186" s="165"/>
      <c r="J186" s="139">
        <v>2850000</v>
      </c>
      <c r="K186" s="139" t="s">
        <v>4787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/>
      <c r="K187" s="119"/>
    </row>
    <row r="188" spans="1:11" ht="19" x14ac:dyDescent="0.2">
      <c r="A188" s="144">
        <v>3172000</v>
      </c>
      <c r="B188" s="145">
        <v>46047</v>
      </c>
      <c r="C188" s="149" t="s">
        <v>9</v>
      </c>
      <c r="D188" s="147" t="s">
        <v>28</v>
      </c>
      <c r="E188" s="150">
        <v>2288000</v>
      </c>
      <c r="F188" s="139">
        <v>344000</v>
      </c>
      <c r="G188" s="139">
        <v>540000</v>
      </c>
      <c r="H188" s="139"/>
      <c r="I188" s="165"/>
      <c r="J188" s="139"/>
      <c r="K188" s="139"/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/>
      <c r="K189" s="119"/>
    </row>
    <row r="190" spans="1:11" ht="19" x14ac:dyDescent="0.2">
      <c r="A190" s="144">
        <v>694000</v>
      </c>
      <c r="B190" s="145"/>
      <c r="C190" s="149" t="s">
        <v>10</v>
      </c>
      <c r="D190" s="147" t="s">
        <v>4443</v>
      </c>
      <c r="E190" s="150">
        <v>579000</v>
      </c>
      <c r="F190" s="139">
        <v>90000</v>
      </c>
      <c r="G190" s="139">
        <v>25000</v>
      </c>
      <c r="H190" s="139"/>
      <c r="I190" s="165"/>
      <c r="J190" s="139"/>
      <c r="K190" s="139"/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/>
      <c r="J191" s="119"/>
      <c r="K191" s="119"/>
    </row>
    <row r="192" spans="1:11" ht="19" x14ac:dyDescent="0.2">
      <c r="A192" s="144">
        <v>2661000</v>
      </c>
      <c r="B192" s="145">
        <v>46048</v>
      </c>
      <c r="C192" s="149" t="s">
        <v>9</v>
      </c>
      <c r="D192" s="147" t="s">
        <v>3941</v>
      </c>
      <c r="E192" s="150">
        <v>1523000</v>
      </c>
      <c r="F192" s="139">
        <v>177000</v>
      </c>
      <c r="G192" s="139">
        <v>961000</v>
      </c>
      <c r="H192" s="139"/>
      <c r="I192" s="165"/>
      <c r="J192" s="139">
        <v>108000</v>
      </c>
      <c r="K192" s="139" t="s">
        <v>2015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72000</v>
      </c>
      <c r="K193" s="119" t="s">
        <v>4515</v>
      </c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/>
      <c r="J194" s="139">
        <v>88000</v>
      </c>
      <c r="K194" s="139" t="s">
        <v>4744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>
        <v>19000</v>
      </c>
      <c r="K195" s="119" t="s">
        <v>4788</v>
      </c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/>
      <c r="I196" s="165"/>
      <c r="J196" s="139">
        <v>120000</v>
      </c>
      <c r="K196" s="139" t="s">
        <v>3801</v>
      </c>
    </row>
    <row r="197" spans="1:11" ht="19" x14ac:dyDescent="0.2">
      <c r="A197" s="143">
        <v>1195000</v>
      </c>
      <c r="B197" s="153"/>
      <c r="C197" s="171" t="s">
        <v>10</v>
      </c>
      <c r="D197" s="155" t="s">
        <v>28</v>
      </c>
      <c r="E197" s="164">
        <v>707000</v>
      </c>
      <c r="F197" s="119">
        <v>168000</v>
      </c>
      <c r="G197" s="119">
        <v>320000</v>
      </c>
      <c r="H197" s="119"/>
      <c r="I197" s="168"/>
      <c r="J197" s="119">
        <v>52000</v>
      </c>
      <c r="K197" s="119" t="s">
        <v>4789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65"/>
      <c r="J198" s="139"/>
      <c r="K198" s="139"/>
    </row>
    <row r="199" spans="1:11" ht="19" x14ac:dyDescent="0.2">
      <c r="A199" s="143">
        <v>3081000</v>
      </c>
      <c r="B199" s="153">
        <v>46049</v>
      </c>
      <c r="C199" s="171" t="s">
        <v>9</v>
      </c>
      <c r="D199" s="155" t="s">
        <v>3941</v>
      </c>
      <c r="E199" s="164">
        <v>1883000</v>
      </c>
      <c r="F199" s="119">
        <v>265000</v>
      </c>
      <c r="G199" s="119">
        <v>933000</v>
      </c>
      <c r="H199" s="119"/>
      <c r="I199" s="168"/>
      <c r="J199" s="119">
        <v>166000</v>
      </c>
      <c r="K199" s="119" t="s">
        <v>4790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>
        <v>187000</v>
      </c>
      <c r="K200" s="139" t="s">
        <v>4791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/>
      <c r="J201" s="119">
        <v>14000</v>
      </c>
      <c r="K201" s="119" t="s">
        <v>4792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/>
      <c r="J202" s="139">
        <v>35000</v>
      </c>
      <c r="K202" s="139" t="s">
        <v>4793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100000</v>
      </c>
      <c r="K203" s="119" t="s">
        <v>3248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65"/>
      <c r="J204" s="139">
        <v>160000</v>
      </c>
      <c r="K204" s="139" t="s">
        <v>1597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68"/>
      <c r="J205" s="119">
        <v>70000</v>
      </c>
      <c r="K205" s="119" t="s">
        <v>4794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65"/>
      <c r="J206" s="139">
        <v>240000</v>
      </c>
      <c r="K206" s="139" t="s">
        <v>3659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78000</v>
      </c>
      <c r="K207" s="119" t="s">
        <v>4795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/>
      <c r="J208" s="139">
        <v>78000</v>
      </c>
      <c r="K208" s="139" t="s">
        <v>4796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>
        <v>78000</v>
      </c>
      <c r="K209" s="119" t="s">
        <v>4797</v>
      </c>
    </row>
    <row r="210" spans="1:11" ht="19" x14ac:dyDescent="0.2">
      <c r="A210" s="144">
        <v>1474000</v>
      </c>
      <c r="B210" s="145"/>
      <c r="C210" s="149" t="s">
        <v>10</v>
      </c>
      <c r="D210" s="147" t="s">
        <v>28</v>
      </c>
      <c r="E210" s="150">
        <v>997000</v>
      </c>
      <c r="F210" s="139">
        <v>202000</v>
      </c>
      <c r="G210" s="139">
        <v>275000</v>
      </c>
      <c r="H210" s="139"/>
      <c r="I210" s="165"/>
      <c r="J210" s="139"/>
      <c r="K210" s="139"/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/>
      <c r="K211" s="119"/>
    </row>
    <row r="212" spans="1:11" ht="19" x14ac:dyDescent="0.2">
      <c r="A212" s="144">
        <v>3081000</v>
      </c>
      <c r="B212" s="145">
        <v>46050</v>
      </c>
      <c r="C212" s="149" t="s">
        <v>9</v>
      </c>
      <c r="D212" s="147" t="s">
        <v>3941</v>
      </c>
      <c r="E212" s="150">
        <v>1508000</v>
      </c>
      <c r="F212" s="139">
        <v>472000</v>
      </c>
      <c r="G212" s="139">
        <v>1101000</v>
      </c>
      <c r="H212" s="139"/>
      <c r="I212" s="165"/>
      <c r="J212" s="139">
        <v>94000</v>
      </c>
      <c r="K212" s="139" t="s">
        <v>4798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/>
      <c r="K213" s="119"/>
    </row>
    <row r="214" spans="1:11" ht="19" x14ac:dyDescent="0.2">
      <c r="A214" s="144">
        <v>1697000</v>
      </c>
      <c r="B214" s="145"/>
      <c r="C214" s="149" t="s">
        <v>10</v>
      </c>
      <c r="D214" s="147" t="s">
        <v>4443</v>
      </c>
      <c r="E214" s="150">
        <v>1078000</v>
      </c>
      <c r="F214" s="139">
        <v>100000</v>
      </c>
      <c r="G214" s="139">
        <v>519000</v>
      </c>
      <c r="H214" s="139"/>
      <c r="I214" s="165"/>
      <c r="J214" s="139"/>
      <c r="K214" s="139"/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/>
      <c r="K215" s="119"/>
    </row>
    <row r="216" spans="1:11" ht="19" x14ac:dyDescent="0.2">
      <c r="A216" s="144">
        <v>3004000</v>
      </c>
      <c r="B216" s="145">
        <v>46051</v>
      </c>
      <c r="C216" s="149" t="s">
        <v>9</v>
      </c>
      <c r="D216" s="147" t="s">
        <v>3941</v>
      </c>
      <c r="E216" s="150">
        <v>1749000</v>
      </c>
      <c r="F216" s="139">
        <v>313000</v>
      </c>
      <c r="G216" s="139">
        <v>942000</v>
      </c>
      <c r="H216" s="139"/>
      <c r="I216" s="165"/>
      <c r="J216" s="139">
        <v>30000</v>
      </c>
      <c r="K216" s="139" t="s">
        <v>4799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68"/>
      <c r="J217" s="119">
        <v>64000</v>
      </c>
      <c r="K217" s="119" t="s">
        <v>3791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/>
      <c r="J218" s="139">
        <v>162000</v>
      </c>
      <c r="K218" s="139" t="s">
        <v>4800</v>
      </c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68"/>
      <c r="J219" s="119">
        <v>38000</v>
      </c>
      <c r="K219" s="119" t="s">
        <v>3794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65"/>
      <c r="J220" s="139">
        <v>96000</v>
      </c>
      <c r="K220" s="139" t="s">
        <v>1303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/>
      <c r="J221" s="119">
        <v>47000</v>
      </c>
      <c r="K221" s="119" t="s">
        <v>3662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/>
      <c r="J222" s="139">
        <v>26000</v>
      </c>
      <c r="K222" s="139" t="s">
        <v>4801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68"/>
      <c r="J223" s="119">
        <v>50000</v>
      </c>
      <c r="K223" s="119" t="s">
        <v>4802</v>
      </c>
    </row>
    <row r="224" spans="1:11" ht="19" x14ac:dyDescent="0.2">
      <c r="A224" s="144">
        <v>1252000</v>
      </c>
      <c r="B224" s="145"/>
      <c r="C224" s="149" t="s">
        <v>10</v>
      </c>
      <c r="D224" s="147" t="s">
        <v>4443</v>
      </c>
      <c r="E224" s="150">
        <v>914000</v>
      </c>
      <c r="F224" s="139">
        <v>50000</v>
      </c>
      <c r="G224" s="139">
        <v>288000</v>
      </c>
      <c r="H224" s="139"/>
      <c r="I224" s="165"/>
      <c r="J224" s="139">
        <v>250000</v>
      </c>
      <c r="K224" s="139" t="s">
        <v>2796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/>
      <c r="I225" s="168"/>
      <c r="J225" s="119">
        <v>50000</v>
      </c>
      <c r="K225" s="119" t="s">
        <v>3635</v>
      </c>
    </row>
    <row r="226" spans="1:11" ht="19" x14ac:dyDescent="0.2">
      <c r="A226" s="144"/>
      <c r="B226" s="145"/>
      <c r="C226" s="149"/>
      <c r="D226" s="147"/>
      <c r="E226" s="150"/>
      <c r="F226" s="139"/>
      <c r="G226" s="139"/>
      <c r="H226" s="139"/>
      <c r="I226" s="165"/>
      <c r="J226" s="139">
        <v>160000</v>
      </c>
      <c r="K226" s="139" t="s">
        <v>1805</v>
      </c>
    </row>
    <row r="227" spans="1:11" ht="19" x14ac:dyDescent="0.2">
      <c r="A227" s="143"/>
      <c r="B227" s="153"/>
      <c r="C227" s="171"/>
      <c r="D227" s="155"/>
      <c r="E227" s="164"/>
      <c r="F227" s="119"/>
      <c r="G227" s="119"/>
      <c r="H227" s="119"/>
      <c r="I227" s="168"/>
      <c r="J227" s="119"/>
      <c r="K227" s="119"/>
    </row>
    <row r="228" spans="1:11" ht="19" x14ac:dyDescent="0.2">
      <c r="A228" s="144">
        <v>3509000</v>
      </c>
      <c r="B228" s="145">
        <v>46052</v>
      </c>
      <c r="C228" s="149" t="s">
        <v>9</v>
      </c>
      <c r="D228" s="147" t="s">
        <v>4625</v>
      </c>
      <c r="E228" s="150">
        <v>1927000</v>
      </c>
      <c r="F228" s="139">
        <v>273000</v>
      </c>
      <c r="G228" s="139">
        <v>1309000</v>
      </c>
      <c r="H228" s="139"/>
      <c r="I228" s="165"/>
      <c r="J228" s="139">
        <v>38000</v>
      </c>
      <c r="K228" s="139" t="s">
        <v>4574</v>
      </c>
    </row>
    <row r="229" spans="1:11" ht="19" x14ac:dyDescent="0.2">
      <c r="A229" s="143"/>
      <c r="B229" s="153"/>
      <c r="C229" s="171"/>
      <c r="D229" s="155"/>
      <c r="E229" s="164"/>
      <c r="F229" s="119"/>
      <c r="G229" s="119"/>
      <c r="H229" s="119"/>
      <c r="I229" s="168"/>
      <c r="J229" s="119">
        <v>32000</v>
      </c>
      <c r="K229" s="119" t="s">
        <v>4803</v>
      </c>
    </row>
    <row r="230" spans="1:11" ht="19" x14ac:dyDescent="0.2">
      <c r="A230" s="144"/>
      <c r="B230" s="145"/>
      <c r="C230" s="149"/>
      <c r="D230" s="147"/>
      <c r="E230" s="150"/>
      <c r="F230" s="139"/>
      <c r="G230" s="139"/>
      <c r="H230" s="139"/>
      <c r="I230" s="165"/>
      <c r="J230" s="139">
        <v>43000</v>
      </c>
      <c r="K230" s="139" t="s">
        <v>4621</v>
      </c>
    </row>
    <row r="231" spans="1:11" ht="19" x14ac:dyDescent="0.2">
      <c r="A231" s="143"/>
      <c r="B231" s="153"/>
      <c r="C231" s="171"/>
      <c r="D231" s="155"/>
      <c r="E231" s="164"/>
      <c r="F231" s="119"/>
      <c r="G231" s="119"/>
      <c r="H231" s="119"/>
      <c r="I231" s="168"/>
      <c r="J231" s="119">
        <v>19000</v>
      </c>
      <c r="K231" s="119" t="s">
        <v>4804</v>
      </c>
    </row>
    <row r="232" spans="1:11" ht="19" x14ac:dyDescent="0.2">
      <c r="A232" s="144"/>
      <c r="B232" s="145"/>
      <c r="C232" s="149"/>
      <c r="D232" s="147"/>
      <c r="E232" s="150"/>
      <c r="F232" s="139"/>
      <c r="G232" s="139"/>
      <c r="H232" s="139"/>
      <c r="I232" s="165"/>
      <c r="J232" s="139">
        <v>30000</v>
      </c>
      <c r="K232" s="139" t="s">
        <v>4751</v>
      </c>
    </row>
    <row r="233" spans="1:11" ht="19" x14ac:dyDescent="0.2">
      <c r="A233" s="143"/>
      <c r="B233" s="153"/>
      <c r="C233" s="171"/>
      <c r="D233" s="155"/>
      <c r="E233" s="164"/>
      <c r="F233" s="119"/>
      <c r="G233" s="119"/>
      <c r="H233" s="119"/>
      <c r="I233" s="168"/>
      <c r="J233" s="119">
        <v>23000</v>
      </c>
      <c r="K233" s="119" t="s">
        <v>4761</v>
      </c>
    </row>
    <row r="234" spans="1:11" ht="19" x14ac:dyDescent="0.2">
      <c r="A234" s="144"/>
      <c r="B234" s="145"/>
      <c r="C234" s="149"/>
      <c r="D234" s="147"/>
      <c r="E234" s="150"/>
      <c r="F234" s="139"/>
      <c r="G234" s="139"/>
      <c r="H234" s="139"/>
      <c r="I234" s="165"/>
      <c r="J234" s="139">
        <v>36000</v>
      </c>
      <c r="K234" s="139" t="s">
        <v>4620</v>
      </c>
    </row>
    <row r="235" spans="1:11" ht="19" x14ac:dyDescent="0.2">
      <c r="A235" s="143"/>
      <c r="B235" s="153"/>
      <c r="C235" s="171"/>
      <c r="D235" s="155"/>
      <c r="E235" s="164"/>
      <c r="F235" s="119"/>
      <c r="G235" s="119"/>
      <c r="H235" s="119"/>
      <c r="I235" s="168"/>
      <c r="J235" s="119">
        <v>450000</v>
      </c>
      <c r="K235" s="119" t="s">
        <v>4805</v>
      </c>
    </row>
    <row r="236" spans="1:11" ht="19" x14ac:dyDescent="0.2">
      <c r="A236" s="144">
        <v>2152000</v>
      </c>
      <c r="B236" s="145"/>
      <c r="C236" s="149" t="s">
        <v>10</v>
      </c>
      <c r="D236" s="147" t="s">
        <v>4443</v>
      </c>
      <c r="E236" s="150">
        <v>1450000</v>
      </c>
      <c r="F236" s="139">
        <v>231000</v>
      </c>
      <c r="G236" s="139">
        <v>471000</v>
      </c>
      <c r="H236" s="139"/>
      <c r="I236" s="165"/>
      <c r="J236" s="139">
        <v>50000</v>
      </c>
      <c r="K236" s="139" t="s">
        <v>4806</v>
      </c>
    </row>
    <row r="237" spans="1:11" ht="19" x14ac:dyDescent="0.2">
      <c r="A237" s="143"/>
      <c r="B237" s="153"/>
      <c r="C237" s="171"/>
      <c r="D237" s="155"/>
      <c r="E237" s="164"/>
      <c r="F237" s="119"/>
      <c r="G237" s="119"/>
      <c r="H237" s="119"/>
      <c r="I237" s="168"/>
      <c r="J237" s="119">
        <v>160000</v>
      </c>
      <c r="K237" s="119" t="s">
        <v>1597</v>
      </c>
    </row>
    <row r="238" spans="1:11" ht="19" x14ac:dyDescent="0.2">
      <c r="A238" s="144"/>
      <c r="B238" s="145"/>
      <c r="C238" s="149"/>
      <c r="D238" s="147"/>
      <c r="E238" s="150"/>
      <c r="F238" s="139"/>
      <c r="G238" s="139"/>
      <c r="H238" s="139"/>
      <c r="I238" s="165"/>
      <c r="J238" s="139">
        <v>105000</v>
      </c>
      <c r="K238" s="139" t="s">
        <v>1566</v>
      </c>
    </row>
    <row r="239" spans="1:11" ht="19" x14ac:dyDescent="0.2">
      <c r="A239" s="143"/>
      <c r="B239" s="153"/>
      <c r="C239" s="171"/>
      <c r="D239" s="155"/>
      <c r="E239" s="164"/>
      <c r="F239" s="119"/>
      <c r="G239" s="119"/>
      <c r="H239" s="119"/>
      <c r="I239" s="168"/>
      <c r="J239" s="119">
        <v>240000</v>
      </c>
      <c r="K239" s="119" t="s">
        <v>3659</v>
      </c>
    </row>
    <row r="240" spans="1:11" ht="19" x14ac:dyDescent="0.2">
      <c r="A240" s="144"/>
      <c r="B240" s="145"/>
      <c r="C240" s="149"/>
      <c r="D240" s="147"/>
      <c r="E240" s="150"/>
      <c r="F240" s="139"/>
      <c r="G240" s="139"/>
      <c r="H240" s="139"/>
      <c r="I240" s="165"/>
      <c r="J240" s="139"/>
      <c r="K240" s="139"/>
    </row>
    <row r="241" spans="1:11" ht="19" x14ac:dyDescent="0.2">
      <c r="A241" s="143">
        <v>3235000</v>
      </c>
      <c r="B241" s="153">
        <v>46053</v>
      </c>
      <c r="C241" s="171" t="s">
        <v>9</v>
      </c>
      <c r="D241" s="155" t="s">
        <v>28</v>
      </c>
      <c r="E241" s="164">
        <v>1671000</v>
      </c>
      <c r="F241" s="119">
        <v>483000</v>
      </c>
      <c r="G241" s="119">
        <v>1081000</v>
      </c>
      <c r="H241" s="119">
        <v>2533000</v>
      </c>
      <c r="I241" s="168" t="s">
        <v>4807</v>
      </c>
      <c r="J241" s="119">
        <v>50000</v>
      </c>
      <c r="K241" s="119" t="s">
        <v>4806</v>
      </c>
    </row>
    <row r="242" spans="1:11" ht="19" x14ac:dyDescent="0.2">
      <c r="A242" s="144"/>
      <c r="B242" s="145"/>
      <c r="C242" s="149"/>
      <c r="D242" s="147"/>
      <c r="E242" s="150"/>
      <c r="F242" s="139"/>
      <c r="G242" s="139"/>
      <c r="H242" s="139">
        <v>2848000</v>
      </c>
      <c r="I242" s="165" t="s">
        <v>4169</v>
      </c>
      <c r="J242" s="139">
        <v>50000</v>
      </c>
      <c r="K242" s="139" t="s">
        <v>123</v>
      </c>
    </row>
    <row r="243" spans="1:11" ht="19" x14ac:dyDescent="0.2">
      <c r="A243" s="143">
        <v>1534000</v>
      </c>
      <c r="B243" s="153"/>
      <c r="C243" s="171" t="s">
        <v>10</v>
      </c>
      <c r="D243" s="155" t="s">
        <v>4443</v>
      </c>
      <c r="E243" s="164">
        <v>1134000</v>
      </c>
      <c r="F243" s="119">
        <v>117000</v>
      </c>
      <c r="G243" s="119">
        <v>283000</v>
      </c>
      <c r="H243" s="119">
        <v>2702000</v>
      </c>
      <c r="I243" s="168" t="s">
        <v>4599</v>
      </c>
      <c r="J243" s="119"/>
      <c r="K243" s="119"/>
    </row>
    <row r="244" spans="1:11" ht="32" x14ac:dyDescent="0.2">
      <c r="A244" s="144"/>
      <c r="B244" s="145"/>
      <c r="C244" s="149"/>
      <c r="D244" s="147"/>
      <c r="E244" s="150"/>
      <c r="F244" s="139"/>
      <c r="G244" s="139"/>
      <c r="H244" s="139">
        <v>5573000</v>
      </c>
      <c r="I244" s="253" t="s">
        <v>4723</v>
      </c>
      <c r="J244" s="139"/>
      <c r="K244" s="139"/>
    </row>
    <row r="245" spans="1:11" ht="19" x14ac:dyDescent="0.2">
      <c r="A245" s="143"/>
      <c r="B245" s="153"/>
      <c r="C245" s="171"/>
      <c r="D245" s="155"/>
      <c r="E245" s="164"/>
      <c r="F245" s="119"/>
      <c r="G245" s="119"/>
      <c r="H245" s="119">
        <v>1300000</v>
      </c>
      <c r="I245" s="168" t="s">
        <v>4811</v>
      </c>
      <c r="J245" s="119"/>
      <c r="K245" s="119"/>
    </row>
    <row r="246" spans="1:11" ht="19" x14ac:dyDescent="0.2">
      <c r="A246" s="144"/>
      <c r="B246" s="145"/>
      <c r="C246" s="149"/>
      <c r="D246" s="147"/>
      <c r="E246" s="150"/>
      <c r="F246" s="139"/>
      <c r="G246" s="139"/>
      <c r="H246" s="139"/>
      <c r="I246" s="165"/>
      <c r="J246" s="139"/>
      <c r="K246" s="139"/>
    </row>
    <row r="247" spans="1:11" ht="19" x14ac:dyDescent="0.2">
      <c r="A247" s="143"/>
      <c r="B247" s="153"/>
      <c r="C247" s="171"/>
      <c r="D247" s="155"/>
      <c r="E247" s="164"/>
      <c r="F247" s="119"/>
      <c r="G247" s="119"/>
      <c r="H247" s="119"/>
      <c r="I247" s="168"/>
      <c r="J247" s="119"/>
      <c r="K247" s="11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B5A0-7721-444C-82F8-77529C36F5C6}">
  <dimension ref="A3:K229"/>
  <sheetViews>
    <sheetView workbookViewId="0">
      <selection activeCell="I12" sqref="I12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9" customWidth="1"/>
    <col min="5" max="5" width="20.33203125" bestFit="1" customWidth="1"/>
    <col min="6" max="6" width="22" customWidth="1"/>
    <col min="7" max="8" width="20.33203125" bestFit="1" customWidth="1"/>
    <col min="9" max="9" width="34.33203125" customWidth="1"/>
    <col min="10" max="10" width="20.33203125" bestFit="1" customWidth="1"/>
    <col min="11" max="11" width="30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175</v>
      </c>
      <c r="J4" s="71">
        <v>15331500</v>
      </c>
      <c r="K4" s="72">
        <f>J4/10820</f>
        <v>1416.9593345656192</v>
      </c>
    </row>
    <row r="5" spans="1:11" ht="24" x14ac:dyDescent="0.3">
      <c r="B5" s="99" t="s">
        <v>4883</v>
      </c>
      <c r="H5" s="73"/>
      <c r="I5" s="71" t="s">
        <v>176</v>
      </c>
      <c r="J5" s="71">
        <v>15331500</v>
      </c>
      <c r="K5" s="72">
        <f>J5/10820</f>
        <v>1416.9593345656192</v>
      </c>
    </row>
    <row r="6" spans="1:11" ht="24" x14ac:dyDescent="0.3">
      <c r="B6" s="99"/>
      <c r="H6" s="73"/>
      <c r="I6" s="71" t="s">
        <v>178</v>
      </c>
      <c r="J6" s="71">
        <v>12034530</v>
      </c>
      <c r="K6" s="72" t="s">
        <v>4882</v>
      </c>
    </row>
    <row r="7" spans="1:11" ht="26" x14ac:dyDescent="0.3">
      <c r="B7" s="100" t="s">
        <v>4884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SUM(A11:A563)</f>
        <v>115932000</v>
      </c>
      <c r="B10" s="65"/>
      <c r="C10" s="66" t="s">
        <v>13</v>
      </c>
      <c r="D10" s="67"/>
      <c r="E10" s="68">
        <f>SUM(E11:E563)</f>
        <v>66974000</v>
      </c>
      <c r="F10" s="69">
        <f>SUM(F11:F563)</f>
        <v>13411000</v>
      </c>
      <c r="G10" s="69">
        <f>SUM(G11:G550)</f>
        <v>35547000</v>
      </c>
      <c r="H10" s="69">
        <f>SUM(H11:H563)</f>
        <v>28492000</v>
      </c>
      <c r="I10" s="69"/>
      <c r="J10" s="69">
        <f>SUM(J11:J563)</f>
        <v>13244000</v>
      </c>
      <c r="K10" s="69"/>
    </row>
    <row r="11" spans="1:11" ht="19" x14ac:dyDescent="0.2">
      <c r="A11" s="142">
        <v>1748000</v>
      </c>
      <c r="B11" s="32">
        <v>46054</v>
      </c>
      <c r="C11" s="49" t="s">
        <v>440</v>
      </c>
      <c r="D11" s="13" t="s">
        <v>28</v>
      </c>
      <c r="E11" s="15">
        <v>938000</v>
      </c>
      <c r="F11" s="9">
        <v>164000</v>
      </c>
      <c r="G11" s="9">
        <v>646000</v>
      </c>
      <c r="H11" s="9"/>
      <c r="I11" s="295"/>
      <c r="J11" s="119">
        <v>23000</v>
      </c>
      <c r="K11" s="9" t="s">
        <v>3348</v>
      </c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39">
        <v>880000</v>
      </c>
      <c r="I12" s="296" t="s">
        <v>4724</v>
      </c>
      <c r="J12" s="139"/>
      <c r="K12" s="139"/>
    </row>
    <row r="13" spans="1:11" ht="19" x14ac:dyDescent="0.2">
      <c r="A13" s="143">
        <v>1208000</v>
      </c>
      <c r="B13" s="153"/>
      <c r="C13" s="163" t="s">
        <v>10</v>
      </c>
      <c r="D13" s="155" t="s">
        <v>4443</v>
      </c>
      <c r="E13" s="164">
        <v>464000</v>
      </c>
      <c r="F13" s="119">
        <v>177000</v>
      </c>
      <c r="G13" s="119">
        <v>567000</v>
      </c>
      <c r="H13" s="175"/>
      <c r="I13" s="174"/>
      <c r="J13" s="119"/>
      <c r="K13" s="119"/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/>
      <c r="K14" s="139"/>
    </row>
    <row r="15" spans="1:11" ht="19" x14ac:dyDescent="0.2">
      <c r="A15" s="143">
        <v>3005000</v>
      </c>
      <c r="B15" s="153">
        <v>46055</v>
      </c>
      <c r="C15" s="163" t="s">
        <v>9</v>
      </c>
      <c r="D15" s="155" t="s">
        <v>3941</v>
      </c>
      <c r="E15" s="164">
        <v>2011000</v>
      </c>
      <c r="F15" s="119">
        <v>215000</v>
      </c>
      <c r="G15" s="119">
        <v>779000</v>
      </c>
      <c r="H15" s="119"/>
      <c r="I15" s="174"/>
      <c r="J15" s="119">
        <v>44000</v>
      </c>
      <c r="K15" s="119" t="s">
        <v>1493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92000</v>
      </c>
      <c r="K16" s="139" t="s">
        <v>4815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80000</v>
      </c>
      <c r="K17" s="119" t="s">
        <v>4816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8000</v>
      </c>
      <c r="K18" s="139" t="s">
        <v>4817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119">
        <v>38000</v>
      </c>
      <c r="K19" s="119" t="s">
        <v>4574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27000</v>
      </c>
      <c r="K20" s="139" t="s">
        <v>4533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43000</v>
      </c>
      <c r="K21" s="106" t="s">
        <v>4621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>
        <v>16000</v>
      </c>
      <c r="K22" s="162" t="s">
        <v>4818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30000</v>
      </c>
      <c r="K23" s="106" t="s">
        <v>4751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23000</v>
      </c>
      <c r="K24" s="162" t="s">
        <v>4761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50000</v>
      </c>
      <c r="K25" s="119" t="s">
        <v>4819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23000</v>
      </c>
      <c r="K26" s="139" t="s">
        <v>3601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/>
      <c r="K27" s="106"/>
    </row>
    <row r="28" spans="1:11" ht="19" x14ac:dyDescent="0.2">
      <c r="A28" s="144">
        <v>1674000</v>
      </c>
      <c r="B28" s="145"/>
      <c r="C28" s="149" t="s">
        <v>10</v>
      </c>
      <c r="D28" s="147" t="s">
        <v>28</v>
      </c>
      <c r="E28" s="150">
        <v>925000</v>
      </c>
      <c r="F28" s="139">
        <v>391000</v>
      </c>
      <c r="G28" s="139">
        <v>358000</v>
      </c>
      <c r="H28" s="139"/>
      <c r="I28" s="139"/>
      <c r="J28" s="139"/>
      <c r="K28" s="139"/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/>
      <c r="K29" s="9"/>
    </row>
    <row r="30" spans="1:11" ht="19" x14ac:dyDescent="0.2">
      <c r="A30" s="144">
        <v>2801000</v>
      </c>
      <c r="B30" s="145">
        <v>46056</v>
      </c>
      <c r="C30" s="149" t="s">
        <v>9</v>
      </c>
      <c r="D30" s="147" t="s">
        <v>4820</v>
      </c>
      <c r="E30" s="150">
        <v>1671000</v>
      </c>
      <c r="F30" s="139">
        <v>278000</v>
      </c>
      <c r="G30" s="139">
        <v>852000</v>
      </c>
      <c r="H30" s="139"/>
      <c r="I30" s="139"/>
      <c r="J30" s="139">
        <v>160000</v>
      </c>
      <c r="K30" s="139" t="s">
        <v>3724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100000</v>
      </c>
      <c r="K31" s="9" t="s">
        <v>3248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250000</v>
      </c>
      <c r="K32" s="139" t="s">
        <v>2796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160000</v>
      </c>
      <c r="K33" s="119" t="s">
        <v>1805</v>
      </c>
    </row>
    <row r="34" spans="1:11" ht="19" x14ac:dyDescent="0.2">
      <c r="A34" s="144">
        <v>1357000</v>
      </c>
      <c r="B34" s="145"/>
      <c r="C34" s="149" t="s">
        <v>10</v>
      </c>
      <c r="D34" s="147" t="s">
        <v>28</v>
      </c>
      <c r="E34" s="150">
        <v>765000</v>
      </c>
      <c r="F34" s="139">
        <v>116000</v>
      </c>
      <c r="G34" s="139">
        <v>476000</v>
      </c>
      <c r="H34" s="139"/>
      <c r="I34" s="139"/>
      <c r="J34" s="139"/>
      <c r="K34" s="139"/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/>
      <c r="K35" s="9"/>
    </row>
    <row r="36" spans="1:11" ht="19" x14ac:dyDescent="0.2">
      <c r="A36" s="144">
        <v>3010000</v>
      </c>
      <c r="B36" s="145">
        <v>46057</v>
      </c>
      <c r="C36" s="149" t="s">
        <v>9</v>
      </c>
      <c r="D36" s="147" t="s">
        <v>3941</v>
      </c>
      <c r="E36" s="150">
        <v>1545000</v>
      </c>
      <c r="F36" s="139">
        <v>358000</v>
      </c>
      <c r="G36" s="139">
        <v>1107000</v>
      </c>
      <c r="H36" s="139"/>
      <c r="I36" s="139"/>
      <c r="J36" s="139">
        <v>50000</v>
      </c>
      <c r="K36" s="139" t="s">
        <v>4885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>
        <v>78000</v>
      </c>
      <c r="K37" s="9" t="s">
        <v>4821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>
        <v>78000</v>
      </c>
      <c r="K38" s="139" t="s">
        <v>4822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>
        <v>85000</v>
      </c>
      <c r="K39" s="9" t="s">
        <v>4823</v>
      </c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>
        <v>85000</v>
      </c>
      <c r="K40" s="139" t="s">
        <v>4824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85000</v>
      </c>
      <c r="K41" s="9" t="s">
        <v>4825</v>
      </c>
    </row>
    <row r="42" spans="1:11" ht="19" x14ac:dyDescent="0.2">
      <c r="A42" s="144">
        <v>1386000</v>
      </c>
      <c r="B42" s="145"/>
      <c r="C42" s="149" t="s">
        <v>10</v>
      </c>
      <c r="D42" s="147" t="s">
        <v>4443</v>
      </c>
      <c r="E42" s="150">
        <v>586000</v>
      </c>
      <c r="F42" s="139">
        <v>288000</v>
      </c>
      <c r="G42" s="139">
        <v>512000</v>
      </c>
      <c r="H42" s="139"/>
      <c r="I42" s="139"/>
      <c r="J42" s="139"/>
      <c r="K42" s="139"/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/>
      <c r="K43" s="9"/>
    </row>
    <row r="44" spans="1:11" ht="19" x14ac:dyDescent="0.2">
      <c r="A44" s="144">
        <v>3101000</v>
      </c>
      <c r="B44" s="145">
        <v>46058</v>
      </c>
      <c r="C44" s="149" t="s">
        <v>9</v>
      </c>
      <c r="D44" s="147" t="s">
        <v>4820</v>
      </c>
      <c r="E44" s="150">
        <v>1682000</v>
      </c>
      <c r="F44" s="139">
        <v>287000</v>
      </c>
      <c r="G44" s="139">
        <v>1132000</v>
      </c>
      <c r="H44" s="139"/>
      <c r="I44" s="139"/>
      <c r="J44" s="139">
        <v>120000</v>
      </c>
      <c r="K44" s="139" t="s">
        <v>4826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/>
      <c r="K45" s="119"/>
    </row>
    <row r="46" spans="1:11" ht="19" x14ac:dyDescent="0.2">
      <c r="A46" s="144">
        <v>1176000</v>
      </c>
      <c r="B46" s="145"/>
      <c r="C46" s="149" t="s">
        <v>10</v>
      </c>
      <c r="D46" s="147" t="s">
        <v>4443</v>
      </c>
      <c r="E46" s="150">
        <v>730000</v>
      </c>
      <c r="F46" s="139">
        <v>103000</v>
      </c>
      <c r="G46" s="139">
        <v>343000</v>
      </c>
      <c r="H46" s="139"/>
      <c r="I46" s="139"/>
      <c r="J46" s="139"/>
      <c r="K46" s="139"/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10000</v>
      </c>
      <c r="K47" s="119" t="s">
        <v>4827</v>
      </c>
    </row>
    <row r="48" spans="1:11" ht="19" x14ac:dyDescent="0.2">
      <c r="A48" s="144">
        <v>3687000</v>
      </c>
      <c r="B48" s="145">
        <v>46059</v>
      </c>
      <c r="C48" s="149" t="s">
        <v>9</v>
      </c>
      <c r="D48" s="147" t="s">
        <v>4625</v>
      </c>
      <c r="E48" s="150">
        <v>1842000</v>
      </c>
      <c r="F48" s="139">
        <v>587000</v>
      </c>
      <c r="G48" s="139">
        <v>1258000</v>
      </c>
      <c r="H48" s="139"/>
      <c r="I48" s="152"/>
      <c r="J48" s="139">
        <v>25000</v>
      </c>
      <c r="K48" s="139" t="s">
        <v>4546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43000</v>
      </c>
      <c r="K49" s="119" t="s">
        <v>4621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22000</v>
      </c>
      <c r="K50" s="139" t="s">
        <v>4663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36000</v>
      </c>
      <c r="K51" s="119" t="s">
        <v>4620</v>
      </c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>
        <v>24000</v>
      </c>
      <c r="K52" s="139" t="s">
        <v>4761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24000</v>
      </c>
      <c r="K53" s="119" t="s">
        <v>4539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66000</v>
      </c>
      <c r="K54" s="139" t="s">
        <v>1491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88000</v>
      </c>
      <c r="K55" s="119" t="s">
        <v>4828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65000</v>
      </c>
      <c r="K56" s="139" t="s">
        <v>4829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82000</v>
      </c>
      <c r="K57" s="119" t="s">
        <v>2256</v>
      </c>
    </row>
    <row r="58" spans="1:11" ht="19" x14ac:dyDescent="0.2">
      <c r="A58" s="144">
        <v>1382000</v>
      </c>
      <c r="B58" s="145"/>
      <c r="C58" s="149" t="s">
        <v>10</v>
      </c>
      <c r="D58" s="147" t="s">
        <v>4830</v>
      </c>
      <c r="E58" s="150">
        <v>844000</v>
      </c>
      <c r="F58" s="139">
        <v>211000</v>
      </c>
      <c r="G58" s="139">
        <v>327000</v>
      </c>
      <c r="H58" s="139"/>
      <c r="I58" s="139"/>
      <c r="J58" s="139"/>
      <c r="K58" s="139"/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90000</v>
      </c>
      <c r="K59" s="119" t="s">
        <v>2740</v>
      </c>
    </row>
    <row r="60" spans="1:11" ht="19" x14ac:dyDescent="0.2">
      <c r="A60" s="144">
        <v>3334000</v>
      </c>
      <c r="B60" s="145">
        <v>46060</v>
      </c>
      <c r="C60" s="149" t="s">
        <v>9</v>
      </c>
      <c r="D60" s="147" t="s">
        <v>28</v>
      </c>
      <c r="E60" s="150">
        <v>1867000</v>
      </c>
      <c r="F60" s="139">
        <v>229000</v>
      </c>
      <c r="G60" s="139">
        <v>1238000</v>
      </c>
      <c r="H60" s="300"/>
      <c r="I60" s="139"/>
      <c r="J60" s="139">
        <v>100000</v>
      </c>
      <c r="K60" s="139" t="s">
        <v>3248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7000</v>
      </c>
      <c r="K61" s="119" t="s">
        <v>1580</v>
      </c>
    </row>
    <row r="62" spans="1:11" ht="19" x14ac:dyDescent="0.2">
      <c r="A62" s="144">
        <v>1670000</v>
      </c>
      <c r="B62" s="145"/>
      <c r="C62" s="149" t="s">
        <v>10</v>
      </c>
      <c r="D62" s="147" t="s">
        <v>4443</v>
      </c>
      <c r="E62" s="150">
        <v>1142000</v>
      </c>
      <c r="F62" s="139">
        <v>247000</v>
      </c>
      <c r="G62" s="139">
        <v>281000</v>
      </c>
      <c r="H62" s="157"/>
      <c r="I62" s="139"/>
      <c r="J62" s="139">
        <v>50000</v>
      </c>
      <c r="K62" s="139" t="s">
        <v>123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15000</v>
      </c>
      <c r="K63" s="119" t="s">
        <v>4831</v>
      </c>
    </row>
    <row r="64" spans="1:11" ht="19" x14ac:dyDescent="0.2">
      <c r="A64" s="144">
        <v>2021000</v>
      </c>
      <c r="B64" s="145">
        <v>46061</v>
      </c>
      <c r="C64" s="149" t="s">
        <v>9</v>
      </c>
      <c r="D64" s="147" t="s">
        <v>28</v>
      </c>
      <c r="E64" s="150">
        <v>964000</v>
      </c>
      <c r="F64" s="150">
        <v>274000</v>
      </c>
      <c r="G64" s="139">
        <v>783000</v>
      </c>
      <c r="H64" s="139"/>
      <c r="I64" s="139"/>
      <c r="J64" s="139"/>
      <c r="K64" s="139"/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/>
      <c r="K65" s="119"/>
    </row>
    <row r="66" spans="1:11" ht="19" x14ac:dyDescent="0.2">
      <c r="A66" s="144">
        <v>1031000</v>
      </c>
      <c r="B66" s="145"/>
      <c r="C66" s="149" t="s">
        <v>10</v>
      </c>
      <c r="D66" s="147" t="s">
        <v>4443</v>
      </c>
      <c r="E66" s="150">
        <v>488000</v>
      </c>
      <c r="F66" s="139">
        <v>257000</v>
      </c>
      <c r="G66" s="139">
        <v>286000</v>
      </c>
      <c r="H66" s="152"/>
      <c r="I66" s="152"/>
      <c r="J66" s="139"/>
      <c r="K66" s="139"/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/>
      <c r="K67" s="119"/>
    </row>
    <row r="68" spans="1:11" ht="19" x14ac:dyDescent="0.2">
      <c r="A68" s="144">
        <v>2826000</v>
      </c>
      <c r="B68" s="145">
        <v>46062</v>
      </c>
      <c r="C68" s="149" t="s">
        <v>9</v>
      </c>
      <c r="D68" s="147" t="s">
        <v>3941</v>
      </c>
      <c r="E68" s="150">
        <v>1408000</v>
      </c>
      <c r="F68" s="139">
        <v>424000</v>
      </c>
      <c r="G68" s="139">
        <v>994000</v>
      </c>
      <c r="H68" s="139"/>
      <c r="I68" s="139"/>
      <c r="J68" s="139">
        <v>14000</v>
      </c>
      <c r="K68" s="139" t="s">
        <v>4355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95000</v>
      </c>
      <c r="K69" s="119" t="s">
        <v>4332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48000</v>
      </c>
      <c r="K70" s="139" t="s">
        <v>4832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160000</v>
      </c>
      <c r="K71" s="9" t="s">
        <v>3724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250000</v>
      </c>
      <c r="K72" s="139" t="s">
        <v>2796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160000</v>
      </c>
      <c r="K73" s="9" t="s">
        <v>1805</v>
      </c>
    </row>
    <row r="74" spans="1:11" ht="19" x14ac:dyDescent="0.2">
      <c r="A74" s="148">
        <v>1858000</v>
      </c>
      <c r="B74" s="145"/>
      <c r="C74" s="151" t="s">
        <v>10</v>
      </c>
      <c r="D74" s="147" t="s">
        <v>4833</v>
      </c>
      <c r="E74" s="150">
        <v>1293000</v>
      </c>
      <c r="F74" s="139">
        <v>148000</v>
      </c>
      <c r="G74" s="139">
        <v>417000</v>
      </c>
      <c r="H74" s="139"/>
      <c r="I74" s="139"/>
      <c r="J74" s="139"/>
      <c r="K74" s="139"/>
    </row>
    <row r="75" spans="1:11" ht="19" x14ac:dyDescent="0.2">
      <c r="A75" s="143"/>
      <c r="B75" s="153"/>
      <c r="C75" s="163"/>
      <c r="D75" s="155"/>
      <c r="E75" s="164"/>
      <c r="F75" s="119"/>
      <c r="G75" s="119"/>
      <c r="H75" s="119"/>
      <c r="I75" s="119"/>
      <c r="J75" s="119"/>
      <c r="K75" s="119"/>
    </row>
    <row r="76" spans="1:11" ht="19" x14ac:dyDescent="0.2">
      <c r="A76" s="144">
        <v>3511000</v>
      </c>
      <c r="B76" s="145">
        <v>46063</v>
      </c>
      <c r="C76" s="149" t="s">
        <v>9</v>
      </c>
      <c r="D76" s="147" t="s">
        <v>3941</v>
      </c>
      <c r="E76" s="150">
        <v>1672000</v>
      </c>
      <c r="F76" s="139">
        <v>607000</v>
      </c>
      <c r="G76" s="139">
        <v>1232000</v>
      </c>
      <c r="H76" s="152"/>
      <c r="I76" s="152"/>
      <c r="J76" s="139">
        <v>55000</v>
      </c>
      <c r="K76" s="139" t="s">
        <v>1195</v>
      </c>
    </row>
    <row r="77" spans="1:11" ht="19" x14ac:dyDescent="0.2">
      <c r="A77" s="143"/>
      <c r="B77" s="153"/>
      <c r="C77" s="171"/>
      <c r="D77" s="155"/>
      <c r="E77" s="164"/>
      <c r="F77" s="119"/>
      <c r="G77" s="119"/>
      <c r="H77" s="9"/>
      <c r="I77" s="9"/>
      <c r="J77" s="119"/>
      <c r="K77" s="9"/>
    </row>
    <row r="78" spans="1:11" ht="19" x14ac:dyDescent="0.2">
      <c r="A78" s="144">
        <v>1600000</v>
      </c>
      <c r="B78" s="145"/>
      <c r="C78" s="149" t="s">
        <v>10</v>
      </c>
      <c r="D78" s="147" t="s">
        <v>4833</v>
      </c>
      <c r="E78" s="150">
        <v>1070000</v>
      </c>
      <c r="F78" s="139">
        <v>80000</v>
      </c>
      <c r="G78" s="139">
        <v>450000</v>
      </c>
      <c r="H78" s="139"/>
      <c r="I78" s="139"/>
      <c r="J78" s="139"/>
      <c r="K78" s="139"/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/>
      <c r="K79" s="119"/>
    </row>
    <row r="80" spans="1:11" ht="19" x14ac:dyDescent="0.2">
      <c r="A80" s="144">
        <v>3691000</v>
      </c>
      <c r="B80" s="145">
        <v>46064</v>
      </c>
      <c r="C80" s="149" t="s">
        <v>9</v>
      </c>
      <c r="D80" s="147" t="s">
        <v>3941</v>
      </c>
      <c r="E80" s="150">
        <v>2359000</v>
      </c>
      <c r="F80" s="139">
        <v>280000</v>
      </c>
      <c r="G80" s="139">
        <v>1052000</v>
      </c>
      <c r="H80" s="139"/>
      <c r="I80" s="139"/>
      <c r="J80" s="139">
        <v>45000</v>
      </c>
      <c r="K80" s="139" t="s">
        <v>1195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9000</v>
      </c>
      <c r="K81" s="119" t="s">
        <v>2475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76000</v>
      </c>
      <c r="K82" s="139" t="s">
        <v>4515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9"/>
      <c r="I83" s="9"/>
      <c r="J83" s="119">
        <v>72000</v>
      </c>
      <c r="K83" s="9" t="s">
        <v>2825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36000</v>
      </c>
      <c r="K84" s="139" t="s">
        <v>3339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27000</v>
      </c>
      <c r="K85" s="119" t="s">
        <v>4546</v>
      </c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>
        <v>22000</v>
      </c>
      <c r="K86" s="139" t="s">
        <v>4686</v>
      </c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>
        <v>22000</v>
      </c>
      <c r="K87" s="119" t="s">
        <v>4834</v>
      </c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>
        <v>47000</v>
      </c>
      <c r="K88" s="162" t="s">
        <v>4835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23000</v>
      </c>
      <c r="K89" s="119" t="s">
        <v>4663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52"/>
      <c r="I90" s="152"/>
      <c r="J90" s="139">
        <v>21000</v>
      </c>
      <c r="K90" s="139" t="s">
        <v>4836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50000</v>
      </c>
      <c r="K91" s="119" t="s">
        <v>4837</v>
      </c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>
        <v>20000</v>
      </c>
      <c r="K92" s="139" t="s">
        <v>4665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/>
      <c r="K93" s="9"/>
    </row>
    <row r="94" spans="1:11" ht="19" x14ac:dyDescent="0.2">
      <c r="A94" s="144">
        <v>1474000</v>
      </c>
      <c r="B94" s="145"/>
      <c r="C94" s="149" t="s">
        <v>10</v>
      </c>
      <c r="D94" s="147" t="s">
        <v>4443</v>
      </c>
      <c r="E94" s="150">
        <v>1115000</v>
      </c>
      <c r="F94" s="139">
        <v>88000</v>
      </c>
      <c r="G94" s="139">
        <v>271000</v>
      </c>
      <c r="H94" s="139">
        <v>7400000</v>
      </c>
      <c r="I94" s="139" t="s">
        <v>4838</v>
      </c>
      <c r="J94" s="162">
        <v>160000</v>
      </c>
      <c r="K94" s="162" t="s">
        <v>4839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>
        <v>105000</v>
      </c>
      <c r="K95" s="119" t="s">
        <v>4738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180000</v>
      </c>
      <c r="K96" s="139" t="s">
        <v>4840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/>
      <c r="K97" s="9"/>
    </row>
    <row r="98" spans="1:11" ht="19" x14ac:dyDescent="0.2">
      <c r="A98" s="144">
        <v>3570000</v>
      </c>
      <c r="B98" s="145">
        <v>46065</v>
      </c>
      <c r="C98" s="159" t="s">
        <v>9</v>
      </c>
      <c r="D98" s="147" t="s">
        <v>4820</v>
      </c>
      <c r="E98" s="150">
        <v>2256000</v>
      </c>
      <c r="F98" s="139">
        <v>244000</v>
      </c>
      <c r="G98" s="139">
        <v>1070000</v>
      </c>
      <c r="H98" s="139"/>
      <c r="I98" s="139"/>
      <c r="J98" s="139">
        <v>136000</v>
      </c>
      <c r="K98" s="139" t="s">
        <v>4841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137000</v>
      </c>
      <c r="K99" s="119" t="s">
        <v>4842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136000</v>
      </c>
      <c r="K100" s="139" t="s">
        <v>4843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/>
      <c r="K101" s="119"/>
    </row>
    <row r="102" spans="1:11" ht="19" x14ac:dyDescent="0.2">
      <c r="A102" s="144">
        <v>2003000</v>
      </c>
      <c r="B102" s="145"/>
      <c r="C102" s="149" t="s">
        <v>10</v>
      </c>
      <c r="D102" s="147" t="s">
        <v>4443</v>
      </c>
      <c r="E102" s="150">
        <v>1183000</v>
      </c>
      <c r="F102" s="139">
        <v>276000</v>
      </c>
      <c r="G102" s="139">
        <v>544000</v>
      </c>
      <c r="H102" s="139"/>
      <c r="I102" s="139"/>
      <c r="J102" s="139"/>
      <c r="K102" s="139"/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/>
      <c r="K103" s="119"/>
    </row>
    <row r="104" spans="1:11" ht="19" x14ac:dyDescent="0.2">
      <c r="A104" s="144">
        <v>3638000</v>
      </c>
      <c r="B104" s="145">
        <v>46066</v>
      </c>
      <c r="C104" s="149" t="s">
        <v>9</v>
      </c>
      <c r="D104" s="147" t="s">
        <v>4625</v>
      </c>
      <c r="E104" s="150">
        <v>1831000</v>
      </c>
      <c r="F104" s="139">
        <v>394000</v>
      </c>
      <c r="G104" s="139">
        <v>1413000</v>
      </c>
      <c r="H104" s="139"/>
      <c r="I104" s="139"/>
      <c r="J104" s="139">
        <v>24000</v>
      </c>
      <c r="K104" s="139" t="s">
        <v>1279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88000</v>
      </c>
      <c r="K105" s="119" t="s">
        <v>1303</v>
      </c>
    </row>
    <row r="106" spans="1:11" ht="19" x14ac:dyDescent="0.2">
      <c r="A106" s="144"/>
      <c r="B106" s="145"/>
      <c r="C106" s="149"/>
      <c r="D106" s="147"/>
      <c r="E106" s="150"/>
      <c r="F106" s="139"/>
      <c r="G106" s="139"/>
      <c r="H106" s="139"/>
      <c r="I106" s="139"/>
      <c r="J106" s="139">
        <v>132000</v>
      </c>
      <c r="K106" s="139" t="s">
        <v>4844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100000</v>
      </c>
      <c r="K107" s="119" t="s">
        <v>3248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78000</v>
      </c>
      <c r="K108" s="139" t="s">
        <v>4845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78000</v>
      </c>
      <c r="K109" s="119" t="s">
        <v>4846</v>
      </c>
    </row>
    <row r="110" spans="1:11" ht="19" x14ac:dyDescent="0.2">
      <c r="A110" s="144"/>
      <c r="B110" s="145"/>
      <c r="C110" s="149"/>
      <c r="D110" s="147"/>
      <c r="E110" s="150"/>
      <c r="F110" s="139"/>
      <c r="G110" s="139"/>
      <c r="H110" s="139"/>
      <c r="I110" s="139"/>
      <c r="J110" s="139">
        <v>78000</v>
      </c>
      <c r="K110" s="139" t="s">
        <v>4847</v>
      </c>
    </row>
    <row r="111" spans="1:11" ht="19" x14ac:dyDescent="0.2">
      <c r="A111" s="143">
        <v>1281000</v>
      </c>
      <c r="B111" s="153"/>
      <c r="C111" s="171" t="s">
        <v>10</v>
      </c>
      <c r="D111" s="155" t="s">
        <v>4830</v>
      </c>
      <c r="E111" s="164">
        <v>624000</v>
      </c>
      <c r="F111" s="119">
        <v>132000</v>
      </c>
      <c r="G111" s="119">
        <v>525000</v>
      </c>
      <c r="H111" s="119"/>
      <c r="I111" s="119"/>
      <c r="J111" s="119"/>
      <c r="K111" s="119"/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/>
      <c r="K112" s="139"/>
    </row>
    <row r="113" spans="1:11" ht="19" x14ac:dyDescent="0.2">
      <c r="A113" s="143">
        <v>4031000</v>
      </c>
      <c r="B113" s="153">
        <v>46067</v>
      </c>
      <c r="C113" s="171" t="s">
        <v>9</v>
      </c>
      <c r="D113" s="155" t="s">
        <v>28</v>
      </c>
      <c r="E113" s="164">
        <v>2115000</v>
      </c>
      <c r="F113" s="119">
        <v>842000</v>
      </c>
      <c r="G113" s="119">
        <v>1074000</v>
      </c>
      <c r="H113" s="119"/>
      <c r="I113" s="175"/>
      <c r="J113" s="119">
        <v>27000</v>
      </c>
      <c r="K113" s="119" t="s">
        <v>4546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47000</v>
      </c>
      <c r="K114" s="139" t="s">
        <v>4621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20000</v>
      </c>
      <c r="K115" s="119" t="s">
        <v>4848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36000</v>
      </c>
      <c r="K116" s="162" t="s">
        <v>4623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36000</v>
      </c>
      <c r="K117" s="174" t="s">
        <v>4777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26000</v>
      </c>
      <c r="K118" s="139" t="s">
        <v>4849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22000</v>
      </c>
      <c r="K119" s="119" t="s">
        <v>4664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40000</v>
      </c>
      <c r="K120" s="139" t="s">
        <v>4485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160000</v>
      </c>
      <c r="K121" s="119" t="s">
        <v>1597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105000</v>
      </c>
      <c r="K122" s="139" t="s">
        <v>1566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240000</v>
      </c>
      <c r="K123" s="174" t="s">
        <v>3659</v>
      </c>
    </row>
    <row r="124" spans="1:11" ht="19" x14ac:dyDescent="0.2">
      <c r="A124" s="144">
        <v>1751000</v>
      </c>
      <c r="B124" s="145"/>
      <c r="C124" s="151" t="s">
        <v>10</v>
      </c>
      <c r="D124" s="147" t="s">
        <v>4443</v>
      </c>
      <c r="E124" s="150">
        <v>1146000</v>
      </c>
      <c r="F124" s="139">
        <v>260000</v>
      </c>
      <c r="G124" s="139">
        <v>345000</v>
      </c>
      <c r="H124" s="139"/>
      <c r="I124" s="139"/>
      <c r="J124" s="162">
        <v>250000</v>
      </c>
      <c r="K124" s="162" t="s">
        <v>2796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160000</v>
      </c>
      <c r="K125" s="106" t="s">
        <v>4103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>
        <v>20000</v>
      </c>
      <c r="K126" s="162" t="s">
        <v>4850</v>
      </c>
    </row>
    <row r="127" spans="1:11" ht="19" x14ac:dyDescent="0.2">
      <c r="A127" s="143"/>
      <c r="B127" s="153"/>
      <c r="C127" s="163"/>
      <c r="D127" s="155"/>
      <c r="E127" s="164"/>
      <c r="F127" s="301"/>
      <c r="G127" s="119"/>
      <c r="H127" s="119"/>
      <c r="I127" s="119"/>
      <c r="J127" s="174"/>
      <c r="K127" s="174"/>
    </row>
    <row r="128" spans="1:11" ht="19" x14ac:dyDescent="0.2">
      <c r="A128" s="148">
        <v>1928000</v>
      </c>
      <c r="B128" s="145">
        <v>46068</v>
      </c>
      <c r="C128" s="159" t="s">
        <v>1228</v>
      </c>
      <c r="D128" s="147" t="s">
        <v>28</v>
      </c>
      <c r="E128" s="150">
        <v>1200000</v>
      </c>
      <c r="F128" s="139">
        <v>30000</v>
      </c>
      <c r="G128" s="139">
        <v>698000</v>
      </c>
      <c r="H128" s="139"/>
      <c r="I128" s="139"/>
      <c r="J128" s="139">
        <v>50000</v>
      </c>
      <c r="K128" s="139" t="s">
        <v>123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/>
      <c r="K129" s="174"/>
    </row>
    <row r="130" spans="1:11" ht="19" x14ac:dyDescent="0.2">
      <c r="A130" s="144">
        <v>2089000</v>
      </c>
      <c r="B130" s="145"/>
      <c r="C130" s="151" t="s">
        <v>10</v>
      </c>
      <c r="D130" s="147" t="s">
        <v>4443</v>
      </c>
      <c r="E130" s="139">
        <v>838000</v>
      </c>
      <c r="F130" s="139">
        <v>257000</v>
      </c>
      <c r="G130" s="139">
        <v>994000</v>
      </c>
      <c r="H130" s="139"/>
      <c r="I130" s="139"/>
      <c r="J130" s="139">
        <v>60000</v>
      </c>
      <c r="K130" s="139" t="s">
        <v>4851</v>
      </c>
    </row>
    <row r="131" spans="1:11" ht="19" x14ac:dyDescent="0.2">
      <c r="A131" s="143"/>
      <c r="B131" s="153"/>
      <c r="C131" s="163"/>
      <c r="D131" s="155"/>
      <c r="E131" s="164"/>
      <c r="F131" s="119"/>
      <c r="G131" s="119"/>
      <c r="H131" s="119"/>
      <c r="I131" s="119"/>
      <c r="J131" s="119"/>
      <c r="K131" s="119"/>
    </row>
    <row r="132" spans="1:11" ht="32" x14ac:dyDescent="0.2">
      <c r="A132" s="144">
        <v>3242000</v>
      </c>
      <c r="B132" s="145">
        <v>46069</v>
      </c>
      <c r="C132" s="151" t="s">
        <v>9</v>
      </c>
      <c r="D132" s="147" t="s">
        <v>3941</v>
      </c>
      <c r="E132" s="150">
        <v>1933000</v>
      </c>
      <c r="F132" s="139">
        <v>304000</v>
      </c>
      <c r="G132" s="139">
        <v>1005000</v>
      </c>
      <c r="H132" s="139">
        <v>1476000</v>
      </c>
      <c r="I132" s="161" t="s">
        <v>4852</v>
      </c>
      <c r="J132" s="139">
        <v>44000</v>
      </c>
      <c r="K132" s="139" t="s">
        <v>1493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>
        <v>2700000</v>
      </c>
      <c r="I133" s="119" t="s">
        <v>4509</v>
      </c>
      <c r="J133" s="119">
        <v>47000</v>
      </c>
      <c r="K133" s="119" t="s">
        <v>4853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>
        <v>2200000</v>
      </c>
      <c r="I134" s="139" t="s">
        <v>4628</v>
      </c>
      <c r="J134" s="139">
        <v>64000</v>
      </c>
      <c r="K134" s="139" t="s">
        <v>4854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>
        <v>1050000</v>
      </c>
      <c r="I135" s="119" t="s">
        <v>4855</v>
      </c>
      <c r="J135" s="119">
        <v>18000</v>
      </c>
      <c r="K135" s="119" t="s">
        <v>4856</v>
      </c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/>
      <c r="K136" s="139"/>
    </row>
    <row r="137" spans="1:11" ht="19" x14ac:dyDescent="0.2">
      <c r="A137" s="143">
        <v>1834000</v>
      </c>
      <c r="B137" s="153"/>
      <c r="C137" s="163" t="s">
        <v>10</v>
      </c>
      <c r="D137" s="155" t="s">
        <v>4833</v>
      </c>
      <c r="E137" s="164">
        <v>1275000</v>
      </c>
      <c r="F137" s="119">
        <v>116000</v>
      </c>
      <c r="G137" s="119">
        <v>443000</v>
      </c>
      <c r="H137" s="119"/>
      <c r="I137" s="119"/>
      <c r="J137" s="174"/>
      <c r="K137" s="174"/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/>
      <c r="K138" s="162"/>
    </row>
    <row r="139" spans="1:11" ht="19" x14ac:dyDescent="0.2">
      <c r="A139" s="143">
        <v>3141000</v>
      </c>
      <c r="B139" s="32">
        <v>46070</v>
      </c>
      <c r="C139" s="35" t="s">
        <v>9</v>
      </c>
      <c r="D139" s="13" t="s">
        <v>3941</v>
      </c>
      <c r="E139" s="15">
        <v>1773000</v>
      </c>
      <c r="F139" s="9">
        <v>380000</v>
      </c>
      <c r="G139" s="9">
        <v>988000</v>
      </c>
      <c r="H139" s="9"/>
      <c r="I139" s="9"/>
      <c r="J139" s="174">
        <v>420000</v>
      </c>
      <c r="K139" s="174" t="s">
        <v>2866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117000</v>
      </c>
      <c r="K140" s="162" t="s">
        <v>4857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35000</v>
      </c>
      <c r="K141" s="174" t="s">
        <v>4858</v>
      </c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>
        <v>20000</v>
      </c>
      <c r="K142" s="139" t="s">
        <v>3662</v>
      </c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>
        <v>7000</v>
      </c>
      <c r="K143" s="119" t="s">
        <v>1580</v>
      </c>
    </row>
    <row r="144" spans="1:11" ht="19" x14ac:dyDescent="0.2">
      <c r="A144" s="144">
        <v>1297000</v>
      </c>
      <c r="B144" s="145"/>
      <c r="C144" s="159" t="s">
        <v>10</v>
      </c>
      <c r="D144" s="147" t="s">
        <v>4833</v>
      </c>
      <c r="E144" s="150">
        <v>836000</v>
      </c>
      <c r="F144" s="139">
        <v>205000</v>
      </c>
      <c r="G144" s="139">
        <v>256000</v>
      </c>
      <c r="H144" s="139"/>
      <c r="I144" s="139"/>
      <c r="J144" s="139">
        <v>11000</v>
      </c>
      <c r="K144" s="139" t="s">
        <v>1305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185000</v>
      </c>
      <c r="K145" s="119" t="s">
        <v>3825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140000</v>
      </c>
      <c r="K146" s="162" t="s">
        <v>1771</v>
      </c>
    </row>
    <row r="147" spans="1:11" ht="19" x14ac:dyDescent="0.2">
      <c r="A147" s="143">
        <v>3163000</v>
      </c>
      <c r="B147" s="153">
        <v>46071</v>
      </c>
      <c r="C147" s="163" t="s">
        <v>9</v>
      </c>
      <c r="D147" s="155" t="s">
        <v>3941</v>
      </c>
      <c r="E147" s="164">
        <v>1712000</v>
      </c>
      <c r="F147" s="119">
        <v>335000</v>
      </c>
      <c r="G147" s="119">
        <v>1116000</v>
      </c>
      <c r="H147" s="119"/>
      <c r="I147" s="119"/>
      <c r="J147" s="119">
        <v>98000</v>
      </c>
      <c r="K147" s="119" t="s">
        <v>4859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11000</v>
      </c>
      <c r="K148" s="139" t="s">
        <v>1351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44000</v>
      </c>
      <c r="K149" s="119" t="s">
        <v>4860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33000</v>
      </c>
      <c r="K150" s="139" t="s">
        <v>3628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228000</v>
      </c>
      <c r="K151" s="119" t="s">
        <v>1559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240000</v>
      </c>
      <c r="K152" s="139" t="s">
        <v>4679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25000</v>
      </c>
      <c r="K153" s="119" t="s">
        <v>2512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33000</v>
      </c>
      <c r="K154" s="139" t="s">
        <v>3463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750000</v>
      </c>
      <c r="K155" s="119" t="s">
        <v>3050</v>
      </c>
    </row>
    <row r="156" spans="1:11" ht="19" x14ac:dyDescent="0.2">
      <c r="A156" s="144">
        <v>1418000</v>
      </c>
      <c r="B156" s="145"/>
      <c r="C156" s="149" t="s">
        <v>10</v>
      </c>
      <c r="D156" s="160" t="s">
        <v>4443</v>
      </c>
      <c r="E156" s="150">
        <v>1067000</v>
      </c>
      <c r="F156" s="139">
        <v>102000</v>
      </c>
      <c r="G156" s="139">
        <v>249000</v>
      </c>
      <c r="H156" s="139"/>
      <c r="I156" s="139"/>
      <c r="J156" s="139"/>
      <c r="K156" s="139"/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/>
      <c r="K157" s="119"/>
    </row>
    <row r="158" spans="1:11" ht="19" x14ac:dyDescent="0.2">
      <c r="A158" s="144">
        <v>919000</v>
      </c>
      <c r="B158" s="145">
        <v>46072</v>
      </c>
      <c r="C158" s="151" t="s">
        <v>9</v>
      </c>
      <c r="D158" s="147" t="s">
        <v>4861</v>
      </c>
      <c r="E158" s="150">
        <v>481000</v>
      </c>
      <c r="F158" s="139">
        <v>109000</v>
      </c>
      <c r="G158" s="139">
        <v>329000</v>
      </c>
      <c r="H158" s="139"/>
      <c r="I158" s="139"/>
      <c r="J158" s="139"/>
      <c r="K158" s="139"/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/>
      <c r="K159" s="119"/>
    </row>
    <row r="160" spans="1:11" ht="19" x14ac:dyDescent="0.2">
      <c r="A160" s="144">
        <v>1667000</v>
      </c>
      <c r="B160" s="145"/>
      <c r="C160" s="146" t="s">
        <v>10</v>
      </c>
      <c r="D160" s="147" t="s">
        <v>4443</v>
      </c>
      <c r="E160" s="150">
        <v>1116000</v>
      </c>
      <c r="F160" s="139">
        <v>164000</v>
      </c>
      <c r="G160" s="139">
        <v>387000</v>
      </c>
      <c r="H160" s="139"/>
      <c r="I160" s="165"/>
      <c r="J160" s="139">
        <v>120000</v>
      </c>
      <c r="K160" s="139" t="s">
        <v>1854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105000</v>
      </c>
      <c r="K161" s="9" t="s">
        <v>1566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>
        <v>240000</v>
      </c>
      <c r="K162" s="139" t="s">
        <v>3659</v>
      </c>
    </row>
    <row r="163" spans="1:11" ht="19" x14ac:dyDescent="0.2">
      <c r="A163" s="143">
        <v>793000</v>
      </c>
      <c r="B163" s="32">
        <v>46073</v>
      </c>
      <c r="C163" s="49" t="s">
        <v>9</v>
      </c>
      <c r="D163" s="13" t="s">
        <v>3941</v>
      </c>
      <c r="E163" s="15">
        <v>364000</v>
      </c>
      <c r="F163" s="9">
        <v>188000</v>
      </c>
      <c r="G163" s="9">
        <v>241000</v>
      </c>
      <c r="H163" s="9"/>
      <c r="I163" s="77"/>
      <c r="J163" s="9">
        <v>100000</v>
      </c>
      <c r="K163" s="9" t="s">
        <v>3248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/>
      <c r="K164" s="139"/>
    </row>
    <row r="165" spans="1:11" ht="19" x14ac:dyDescent="0.2">
      <c r="A165" s="143">
        <v>2287000</v>
      </c>
      <c r="B165" s="32"/>
      <c r="C165" s="49" t="s">
        <v>10</v>
      </c>
      <c r="D165" s="13" t="s">
        <v>4443</v>
      </c>
      <c r="E165" s="15">
        <v>1413000</v>
      </c>
      <c r="F165" s="9">
        <v>525000</v>
      </c>
      <c r="G165" s="9">
        <v>349000</v>
      </c>
      <c r="H165" s="9"/>
      <c r="I165" s="77"/>
      <c r="J165" s="9"/>
      <c r="K165" s="9"/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/>
      <c r="K166" s="165"/>
    </row>
    <row r="167" spans="1:11" ht="19" x14ac:dyDescent="0.2">
      <c r="A167" s="143">
        <v>1040000</v>
      </c>
      <c r="B167" s="32">
        <v>46074</v>
      </c>
      <c r="C167" s="49" t="s">
        <v>9</v>
      </c>
      <c r="D167" s="13" t="s">
        <v>4861</v>
      </c>
      <c r="E167" s="15">
        <v>648000</v>
      </c>
      <c r="F167" s="9">
        <v>81000</v>
      </c>
      <c r="G167" s="9">
        <v>311000</v>
      </c>
      <c r="H167" s="9"/>
      <c r="I167" s="77"/>
      <c r="J167" s="9">
        <v>44000</v>
      </c>
      <c r="K167" s="77" t="s">
        <v>1493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24000</v>
      </c>
      <c r="K168" s="139" t="s">
        <v>1279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30000</v>
      </c>
      <c r="K169" s="9" t="s">
        <v>4862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120000</v>
      </c>
      <c r="K170" s="139" t="s">
        <v>4863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84000</v>
      </c>
      <c r="K171" s="9" t="s">
        <v>4864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130000</v>
      </c>
      <c r="K172" s="139" t="s">
        <v>1630</v>
      </c>
    </row>
    <row r="173" spans="1:11" ht="19" x14ac:dyDescent="0.2">
      <c r="A173" s="143"/>
      <c r="B173" s="32"/>
      <c r="C173" s="49"/>
      <c r="D173" s="13"/>
      <c r="E173" s="15"/>
      <c r="F173" s="9"/>
      <c r="G173" s="9"/>
      <c r="H173" s="9"/>
      <c r="I173" s="77"/>
      <c r="J173" s="9">
        <v>150000</v>
      </c>
      <c r="K173" s="9" t="s">
        <v>3050</v>
      </c>
    </row>
    <row r="174" spans="1:11" ht="19" x14ac:dyDescent="0.2">
      <c r="A174" s="144">
        <v>3001000</v>
      </c>
      <c r="B174" s="145"/>
      <c r="C174" s="149" t="s">
        <v>10</v>
      </c>
      <c r="D174" s="147" t="s">
        <v>4443</v>
      </c>
      <c r="E174" s="150">
        <v>1543000</v>
      </c>
      <c r="F174" s="139">
        <v>308000</v>
      </c>
      <c r="G174" s="139">
        <v>1150000</v>
      </c>
      <c r="H174" s="139"/>
      <c r="I174" s="165"/>
      <c r="J174" s="139">
        <v>50000</v>
      </c>
      <c r="K174" s="139" t="s">
        <v>123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250000</v>
      </c>
      <c r="K175" s="9" t="s">
        <v>2796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160000</v>
      </c>
      <c r="K176" s="139" t="s">
        <v>1805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/>
      <c r="K177" s="9"/>
    </row>
    <row r="178" spans="1:11" ht="19" x14ac:dyDescent="0.2">
      <c r="A178" s="144">
        <v>747000</v>
      </c>
      <c r="B178" s="145">
        <v>46075</v>
      </c>
      <c r="C178" s="149" t="s">
        <v>9</v>
      </c>
      <c r="D178" s="147" t="s">
        <v>4861</v>
      </c>
      <c r="E178" s="150">
        <v>405000</v>
      </c>
      <c r="F178" s="139">
        <v>86000</v>
      </c>
      <c r="G178" s="139">
        <v>256000</v>
      </c>
      <c r="H178" s="139"/>
      <c r="I178" s="165"/>
      <c r="J178" s="139"/>
      <c r="K178" s="139"/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/>
      <c r="K179" s="9"/>
    </row>
    <row r="180" spans="1:11" ht="19" x14ac:dyDescent="0.2">
      <c r="A180" s="144">
        <v>2082000</v>
      </c>
      <c r="B180" s="145"/>
      <c r="C180" s="149" t="s">
        <v>10</v>
      </c>
      <c r="D180" s="147" t="s">
        <v>4443</v>
      </c>
      <c r="E180" s="150">
        <v>1384000</v>
      </c>
      <c r="F180" s="139">
        <v>86000</v>
      </c>
      <c r="G180" s="139">
        <v>612000</v>
      </c>
      <c r="H180" s="139">
        <v>400000</v>
      </c>
      <c r="I180" s="165" t="s">
        <v>4865</v>
      </c>
      <c r="J180" s="139"/>
      <c r="K180" s="139"/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/>
      <c r="K181" s="9"/>
    </row>
    <row r="182" spans="1:11" ht="19" x14ac:dyDescent="0.2">
      <c r="A182" s="144">
        <v>1493000</v>
      </c>
      <c r="B182" s="145">
        <v>46076</v>
      </c>
      <c r="C182" s="149" t="s">
        <v>9</v>
      </c>
      <c r="D182" s="147" t="s">
        <v>3941</v>
      </c>
      <c r="E182" s="150">
        <v>667000</v>
      </c>
      <c r="F182" s="139">
        <v>360000</v>
      </c>
      <c r="G182" s="139">
        <v>466000</v>
      </c>
      <c r="H182" s="139"/>
      <c r="I182" s="165"/>
      <c r="J182" s="139">
        <v>76000</v>
      </c>
      <c r="K182" s="139" t="s">
        <v>3539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>
        <v>108000</v>
      </c>
      <c r="K183" s="119" t="s">
        <v>2015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38000</v>
      </c>
      <c r="K184" s="139" t="s">
        <v>3171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>
        <v>19000</v>
      </c>
      <c r="K185" s="119" t="s">
        <v>4519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65"/>
      <c r="J186" s="139">
        <v>234000</v>
      </c>
      <c r="K186" s="139" t="s">
        <v>4866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>
        <v>156000</v>
      </c>
      <c r="K187" s="119" t="s">
        <v>4867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62000</v>
      </c>
      <c r="K188" s="139" t="s">
        <v>4868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>
        <v>76000</v>
      </c>
      <c r="K189" s="119" t="s">
        <v>4515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>
        <v>36000</v>
      </c>
      <c r="K190" s="139" t="s">
        <v>2250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/>
      <c r="J191" s="119">
        <v>63000</v>
      </c>
      <c r="K191" s="119" t="s">
        <v>4420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66000</v>
      </c>
      <c r="K192" s="139" t="s">
        <v>4869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68000</v>
      </c>
      <c r="K193" s="119" t="s">
        <v>4870</v>
      </c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/>
      <c r="J194" s="139">
        <v>137000</v>
      </c>
      <c r="K194" s="139" t="s">
        <v>4681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>
        <v>68000</v>
      </c>
      <c r="K195" s="119" t="s">
        <v>4871</v>
      </c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/>
      <c r="I196" s="165"/>
      <c r="J196" s="139">
        <v>44000</v>
      </c>
      <c r="K196" s="139" t="s">
        <v>1493</v>
      </c>
    </row>
    <row r="197" spans="1:11" ht="19" x14ac:dyDescent="0.2">
      <c r="A197" s="143">
        <v>1574000</v>
      </c>
      <c r="B197" s="153"/>
      <c r="C197" s="171" t="s">
        <v>10</v>
      </c>
      <c r="D197" s="155" t="s">
        <v>4861</v>
      </c>
      <c r="E197" s="164">
        <v>1104000</v>
      </c>
      <c r="F197" s="119">
        <v>94000</v>
      </c>
      <c r="G197" s="119">
        <v>376000</v>
      </c>
      <c r="H197" s="119"/>
      <c r="I197" s="168"/>
      <c r="J197" s="119">
        <v>112000</v>
      </c>
      <c r="K197" s="119" t="s">
        <v>4872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65"/>
      <c r="J198" s="139"/>
      <c r="K198" s="139"/>
    </row>
    <row r="199" spans="1:11" ht="19" x14ac:dyDescent="0.2">
      <c r="A199" s="143">
        <v>1543000</v>
      </c>
      <c r="B199" s="153">
        <v>46077</v>
      </c>
      <c r="C199" s="171" t="s">
        <v>9</v>
      </c>
      <c r="D199" s="155" t="s">
        <v>3941</v>
      </c>
      <c r="E199" s="164">
        <v>886000</v>
      </c>
      <c r="F199" s="119">
        <v>102000</v>
      </c>
      <c r="G199" s="119">
        <v>555000</v>
      </c>
      <c r="H199" s="119"/>
      <c r="I199" s="168"/>
      <c r="J199" s="119">
        <v>25000</v>
      </c>
      <c r="K199" s="119" t="s">
        <v>4551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>
        <v>30000</v>
      </c>
      <c r="K200" s="139" t="s">
        <v>4546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/>
      <c r="J201" s="119">
        <v>20000</v>
      </c>
      <c r="K201" s="119" t="s">
        <v>4873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/>
      <c r="J202" s="139">
        <v>20000</v>
      </c>
      <c r="K202" s="139" t="s">
        <v>4705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22000</v>
      </c>
      <c r="K203" s="119" t="s">
        <v>4761</v>
      </c>
    </row>
    <row r="204" spans="1:11" ht="19" x14ac:dyDescent="0.2">
      <c r="A204" s="144">
        <v>1455000</v>
      </c>
      <c r="B204" s="145"/>
      <c r="C204" s="149" t="s">
        <v>10</v>
      </c>
      <c r="D204" s="147" t="s">
        <v>4861</v>
      </c>
      <c r="E204" s="150">
        <v>872000</v>
      </c>
      <c r="F204" s="139">
        <v>170000</v>
      </c>
      <c r="G204" s="139">
        <v>413000</v>
      </c>
      <c r="H204" s="139"/>
      <c r="I204" s="165"/>
      <c r="J204" s="139"/>
      <c r="K204" s="139"/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68"/>
      <c r="J205" s="119"/>
      <c r="K205" s="119"/>
    </row>
    <row r="206" spans="1:11" ht="19" x14ac:dyDescent="0.2">
      <c r="A206" s="144">
        <v>1260000</v>
      </c>
      <c r="B206" s="145">
        <v>46078</v>
      </c>
      <c r="C206" s="149" t="s">
        <v>9</v>
      </c>
      <c r="D206" s="147" t="s">
        <v>3941</v>
      </c>
      <c r="E206" s="150">
        <v>710000</v>
      </c>
      <c r="F206" s="139">
        <v>138000</v>
      </c>
      <c r="G206" s="139">
        <v>412000</v>
      </c>
      <c r="H206" s="139"/>
      <c r="I206" s="165"/>
      <c r="J206" s="139">
        <v>75000</v>
      </c>
      <c r="K206" s="139" t="s">
        <v>4466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4000</v>
      </c>
      <c r="K207" s="119" t="s">
        <v>2813</v>
      </c>
    </row>
    <row r="208" spans="1:11" ht="19" x14ac:dyDescent="0.2">
      <c r="A208" s="144">
        <v>1715000</v>
      </c>
      <c r="B208" s="145"/>
      <c r="C208" s="149" t="s">
        <v>10</v>
      </c>
      <c r="D208" s="147" t="s">
        <v>4443</v>
      </c>
      <c r="E208" s="150">
        <v>1256000</v>
      </c>
      <c r="F208" s="139">
        <v>126000</v>
      </c>
      <c r="G208" s="139">
        <v>333000</v>
      </c>
      <c r="H208" s="139"/>
      <c r="I208" s="165"/>
      <c r="J208" s="139"/>
      <c r="K208" s="139"/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/>
      <c r="K209" s="119"/>
    </row>
    <row r="210" spans="1:11" ht="19" x14ac:dyDescent="0.2">
      <c r="A210" s="144">
        <v>1252000</v>
      </c>
      <c r="B210" s="145">
        <v>46079</v>
      </c>
      <c r="C210" s="149" t="s">
        <v>9</v>
      </c>
      <c r="D210" s="147" t="s">
        <v>3941</v>
      </c>
      <c r="E210" s="150">
        <v>702000</v>
      </c>
      <c r="F210" s="139">
        <v>98000</v>
      </c>
      <c r="G210" s="139">
        <v>452000</v>
      </c>
      <c r="H210" s="139"/>
      <c r="I210" s="165"/>
      <c r="J210" s="139">
        <v>113000</v>
      </c>
      <c r="K210" s="139" t="s">
        <v>4874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>
        <v>78000</v>
      </c>
      <c r="K211" s="119" t="s">
        <v>4795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65"/>
      <c r="J212" s="139">
        <v>78000</v>
      </c>
      <c r="K212" s="139" t="s">
        <v>4796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>
        <v>78000</v>
      </c>
      <c r="K213" s="119" t="s">
        <v>4875</v>
      </c>
    </row>
    <row r="214" spans="1:11" ht="19" x14ac:dyDescent="0.2">
      <c r="A214" s="144"/>
      <c r="B214" s="145"/>
      <c r="C214" s="149"/>
      <c r="D214" s="147"/>
      <c r="E214" s="150"/>
      <c r="F214" s="139"/>
      <c r="G214" s="139"/>
      <c r="H214" s="139"/>
      <c r="I214" s="165"/>
      <c r="J214" s="139">
        <v>78000</v>
      </c>
      <c r="K214" s="139" t="s">
        <v>4876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>
        <v>78000</v>
      </c>
      <c r="K215" s="119" t="s">
        <v>4877</v>
      </c>
    </row>
    <row r="216" spans="1:11" ht="19" x14ac:dyDescent="0.2">
      <c r="A216" s="144"/>
      <c r="B216" s="145"/>
      <c r="C216" s="149"/>
      <c r="D216" s="147"/>
      <c r="E216" s="150"/>
      <c r="F216" s="139"/>
      <c r="G216" s="139"/>
      <c r="H216" s="139"/>
      <c r="I216" s="165"/>
      <c r="J216" s="139">
        <v>78000</v>
      </c>
      <c r="K216" s="139" t="s">
        <v>4878</v>
      </c>
    </row>
    <row r="217" spans="1:11" ht="19" x14ac:dyDescent="0.2">
      <c r="A217" s="143">
        <v>2402000</v>
      </c>
      <c r="B217" s="153"/>
      <c r="C217" s="171" t="s">
        <v>10</v>
      </c>
      <c r="D217" s="155" t="s">
        <v>4830</v>
      </c>
      <c r="E217" s="164">
        <v>1445000</v>
      </c>
      <c r="F217" s="119">
        <v>394000</v>
      </c>
      <c r="G217" s="119">
        <v>563000</v>
      </c>
      <c r="H217" s="119"/>
      <c r="I217" s="168"/>
      <c r="J217" s="119">
        <v>50000</v>
      </c>
      <c r="K217" s="119" t="s">
        <v>123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/>
      <c r="J218" s="139"/>
      <c r="K218" s="139"/>
    </row>
    <row r="219" spans="1:11" ht="19" x14ac:dyDescent="0.2">
      <c r="A219" s="143">
        <v>1509000</v>
      </c>
      <c r="B219" s="153">
        <v>46080</v>
      </c>
      <c r="C219" s="171" t="s">
        <v>9</v>
      </c>
      <c r="D219" s="155" t="s">
        <v>3941</v>
      </c>
      <c r="E219" s="164">
        <v>814000</v>
      </c>
      <c r="F219" s="119">
        <v>245000</v>
      </c>
      <c r="G219" s="119">
        <v>450000</v>
      </c>
      <c r="H219" s="119"/>
      <c r="I219" s="168"/>
      <c r="J219" s="119">
        <v>78000</v>
      </c>
      <c r="K219" s="119" t="s">
        <v>4879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65"/>
      <c r="J220" s="139">
        <v>185000</v>
      </c>
      <c r="K220" s="139" t="s">
        <v>3139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/>
      <c r="J221" s="119">
        <v>100000</v>
      </c>
      <c r="K221" s="119" t="s">
        <v>3248</v>
      </c>
    </row>
    <row r="222" spans="1:11" ht="19" x14ac:dyDescent="0.2">
      <c r="A222" s="144">
        <v>2063000</v>
      </c>
      <c r="B222" s="145"/>
      <c r="C222" s="149" t="s">
        <v>10</v>
      </c>
      <c r="D222" s="147" t="s">
        <v>4443</v>
      </c>
      <c r="E222" s="150">
        <v>1278000</v>
      </c>
      <c r="F222" s="139">
        <v>100000</v>
      </c>
      <c r="G222" s="139">
        <v>685000</v>
      </c>
      <c r="H222" s="139"/>
      <c r="I222" s="165"/>
      <c r="J222" s="139"/>
      <c r="K222" s="139"/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>
        <v>1300000</v>
      </c>
      <c r="I223" s="168" t="s">
        <v>4811</v>
      </c>
      <c r="J223" s="119"/>
      <c r="K223" s="119"/>
    </row>
    <row r="224" spans="1:11" ht="19" x14ac:dyDescent="0.2">
      <c r="A224" s="144">
        <v>1122000</v>
      </c>
      <c r="B224" s="145">
        <v>46081</v>
      </c>
      <c r="C224" s="149" t="s">
        <v>9</v>
      </c>
      <c r="D224" s="147" t="s">
        <v>4861</v>
      </c>
      <c r="E224" s="150">
        <v>688000</v>
      </c>
      <c r="F224" s="139">
        <v>130000</v>
      </c>
      <c r="G224" s="139">
        <v>304000</v>
      </c>
      <c r="H224" s="139">
        <v>2074000</v>
      </c>
      <c r="I224" s="165" t="s">
        <v>4721</v>
      </c>
      <c r="J224" s="139">
        <v>36000</v>
      </c>
      <c r="K224" s="139" t="s">
        <v>4880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>
        <v>1530000</v>
      </c>
      <c r="I225" s="168" t="s">
        <v>4881</v>
      </c>
      <c r="J225" s="119"/>
      <c r="K225" s="119"/>
    </row>
    <row r="226" spans="1:11" ht="19" x14ac:dyDescent="0.2">
      <c r="A226" s="144">
        <v>3071000</v>
      </c>
      <c r="B226" s="145"/>
      <c r="C226" s="149" t="s">
        <v>10</v>
      </c>
      <c r="D226" s="147" t="s">
        <v>4443</v>
      </c>
      <c r="E226" s="150">
        <v>2028000</v>
      </c>
      <c r="F226" s="139">
        <v>221000</v>
      </c>
      <c r="G226" s="139">
        <v>822000</v>
      </c>
      <c r="H226" s="139">
        <v>1962000</v>
      </c>
      <c r="I226" s="165" t="s">
        <v>4548</v>
      </c>
      <c r="J226" s="139"/>
      <c r="K226" s="139"/>
    </row>
    <row r="227" spans="1:11" ht="32" x14ac:dyDescent="0.2">
      <c r="A227" s="143"/>
      <c r="B227" s="153"/>
      <c r="C227" s="171"/>
      <c r="D227" s="155"/>
      <c r="E227" s="164"/>
      <c r="F227" s="119"/>
      <c r="G227" s="119"/>
      <c r="H227" s="119">
        <v>5520000</v>
      </c>
      <c r="I227" s="258" t="s">
        <v>4723</v>
      </c>
      <c r="J227" s="119"/>
      <c r="K227" s="119"/>
    </row>
    <row r="228" spans="1:11" ht="19" x14ac:dyDescent="0.2">
      <c r="A228" s="144"/>
      <c r="B228" s="145"/>
      <c r="C228" s="149"/>
      <c r="D228" s="147"/>
      <c r="E228" s="150"/>
      <c r="F228" s="139"/>
      <c r="G228" s="139"/>
      <c r="H228" s="139"/>
      <c r="I228" s="165"/>
      <c r="J228" s="139"/>
      <c r="K228" s="139"/>
    </row>
    <row r="229" spans="1:11" ht="19" x14ac:dyDescent="0.2">
      <c r="A229" s="143"/>
      <c r="B229" s="153"/>
      <c r="C229" s="171"/>
      <c r="D229" s="155"/>
      <c r="E229" s="164"/>
      <c r="F229" s="119"/>
      <c r="G229" s="119"/>
      <c r="H229" s="119"/>
      <c r="I229" s="168"/>
      <c r="J229" s="119"/>
      <c r="K229" s="119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6167-0CA2-2749-AB8C-C403BADE09EB}">
  <dimension ref="A3:K224"/>
  <sheetViews>
    <sheetView workbookViewId="0">
      <selection activeCell="K13" sqref="K13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9.33203125" bestFit="1" customWidth="1"/>
    <col min="5" max="5" width="20.33203125" bestFit="1" customWidth="1"/>
    <col min="6" max="6" width="27.6640625" customWidth="1"/>
    <col min="7" max="8" width="20.33203125" bestFit="1" customWidth="1"/>
    <col min="9" max="9" width="34.1640625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17314500</v>
      </c>
      <c r="K4" s="72">
        <f>J4/10820</f>
        <v>1600.2310536044363</v>
      </c>
    </row>
    <row r="5" spans="1:11" ht="24" x14ac:dyDescent="0.3">
      <c r="B5" s="99" t="s">
        <v>4954</v>
      </c>
      <c r="H5" s="73"/>
      <c r="I5" s="71" t="s">
        <v>2315</v>
      </c>
      <c r="J5" s="71">
        <v>17314500</v>
      </c>
      <c r="K5" s="72">
        <f>J5/10820</f>
        <v>1600.2310536044363</v>
      </c>
    </row>
    <row r="6" spans="1:11" ht="24" x14ac:dyDescent="0.3">
      <c r="B6" s="99"/>
      <c r="H6" s="73"/>
      <c r="I6" s="71" t="s">
        <v>178</v>
      </c>
      <c r="J6" s="71">
        <v>16017936</v>
      </c>
      <c r="K6" s="72" t="s">
        <v>4960</v>
      </c>
    </row>
    <row r="7" spans="1:11" ht="26" x14ac:dyDescent="0.3">
      <c r="B7" s="100" t="s">
        <v>4959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SUM(A11:A563)</f>
        <v>120368000</v>
      </c>
      <c r="B10" s="65"/>
      <c r="C10" s="66" t="s">
        <v>13</v>
      </c>
      <c r="D10" s="67"/>
      <c r="E10" s="68">
        <f>SUM(E11:E563)</f>
        <v>70427000</v>
      </c>
      <c r="F10" s="69">
        <f>SUM(F11:F563)</f>
        <v>13064000</v>
      </c>
      <c r="G10" s="69">
        <f>SUM(G11:G550)</f>
        <v>36877000</v>
      </c>
      <c r="H10" s="69">
        <f>SUM(H11:H563)</f>
        <v>27980000</v>
      </c>
      <c r="I10" s="69"/>
      <c r="J10" s="69">
        <f>SUM(J11:J563)</f>
        <v>19086000</v>
      </c>
      <c r="K10" s="69"/>
    </row>
    <row r="11" spans="1:11" ht="19" x14ac:dyDescent="0.2">
      <c r="A11" s="142">
        <v>1105000</v>
      </c>
      <c r="B11" s="32">
        <v>46082</v>
      </c>
      <c r="C11" s="49" t="s">
        <v>9</v>
      </c>
      <c r="D11" s="13" t="s">
        <v>4861</v>
      </c>
      <c r="E11" s="15">
        <v>438000</v>
      </c>
      <c r="F11" s="9">
        <v>418000</v>
      </c>
      <c r="G11" s="9">
        <v>249000</v>
      </c>
      <c r="H11" s="9">
        <v>880000</v>
      </c>
      <c r="I11" s="9" t="s">
        <v>4724</v>
      </c>
      <c r="J11" s="119"/>
      <c r="K11" s="9"/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296"/>
      <c r="J12" s="139"/>
      <c r="K12" s="139"/>
    </row>
    <row r="13" spans="1:11" ht="32" x14ac:dyDescent="0.2">
      <c r="A13" s="143">
        <v>1767000</v>
      </c>
      <c r="B13" s="153"/>
      <c r="C13" s="163" t="s">
        <v>10</v>
      </c>
      <c r="D13" s="155" t="s">
        <v>4443</v>
      </c>
      <c r="E13" s="164">
        <v>1054000</v>
      </c>
      <c r="F13" s="119">
        <v>104000</v>
      </c>
      <c r="G13" s="119">
        <v>609000</v>
      </c>
      <c r="H13" s="175"/>
      <c r="I13" s="174"/>
      <c r="J13" s="175">
        <v>6000000</v>
      </c>
      <c r="K13" s="232" t="s">
        <v>4958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/>
      <c r="K14" s="139"/>
    </row>
    <row r="15" spans="1:11" ht="19" x14ac:dyDescent="0.2">
      <c r="A15" s="143">
        <v>1181000</v>
      </c>
      <c r="B15" s="153">
        <v>46083</v>
      </c>
      <c r="C15" s="163" t="s">
        <v>9</v>
      </c>
      <c r="D15" s="155" t="s">
        <v>3941</v>
      </c>
      <c r="E15" s="164">
        <v>677000</v>
      </c>
      <c r="F15" s="119">
        <v>149000</v>
      </c>
      <c r="G15" s="119">
        <v>355000</v>
      </c>
      <c r="H15" s="119"/>
      <c r="I15" s="174"/>
      <c r="J15" s="119">
        <v>187000</v>
      </c>
      <c r="K15" s="119" t="s">
        <v>2732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45000</v>
      </c>
      <c r="K16" s="139" t="s">
        <v>1195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36000</v>
      </c>
      <c r="K17" s="119" t="s">
        <v>4065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20000</v>
      </c>
      <c r="K18" s="139" t="s">
        <v>4627</v>
      </c>
    </row>
    <row r="19" spans="1:11" ht="19" x14ac:dyDescent="0.2">
      <c r="A19" s="143"/>
      <c r="B19" s="153"/>
      <c r="C19" s="163"/>
      <c r="D19" s="155"/>
      <c r="E19" s="164"/>
      <c r="F19" s="119"/>
      <c r="G19" s="119"/>
      <c r="H19" s="119"/>
      <c r="I19" s="119"/>
      <c r="J19" s="9">
        <v>30000</v>
      </c>
      <c r="K19" s="9" t="s">
        <v>4546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>
        <v>30000</v>
      </c>
      <c r="K20" s="139" t="s">
        <v>4547</v>
      </c>
    </row>
    <row r="21" spans="1:11" ht="19" x14ac:dyDescent="0.2">
      <c r="A21" s="143"/>
      <c r="B21" s="32"/>
      <c r="C21" s="49"/>
      <c r="D21" s="13"/>
      <c r="E21" s="15"/>
      <c r="F21" s="9"/>
      <c r="G21" s="9"/>
      <c r="H21" s="9"/>
      <c r="I21" s="9"/>
      <c r="J21" s="174">
        <v>20000</v>
      </c>
      <c r="K21" s="106" t="s">
        <v>4761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>
        <v>23000</v>
      </c>
      <c r="K22" s="162" t="s">
        <v>4665</v>
      </c>
    </row>
    <row r="23" spans="1:11" ht="19" x14ac:dyDescent="0.2">
      <c r="A23" s="142"/>
      <c r="B23" s="32"/>
      <c r="C23" s="49"/>
      <c r="D23" s="13"/>
      <c r="E23" s="15"/>
      <c r="F23" s="9"/>
      <c r="G23" s="9"/>
      <c r="H23" s="9"/>
      <c r="I23" s="9"/>
      <c r="J23" s="174">
        <v>36000</v>
      </c>
      <c r="K23" s="106" t="s">
        <v>4750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20000</v>
      </c>
      <c r="K24" s="162" t="s">
        <v>4663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76000</v>
      </c>
      <c r="K25" s="119" t="s">
        <v>4886</v>
      </c>
    </row>
    <row r="26" spans="1:11" ht="19" x14ac:dyDescent="0.2">
      <c r="A26" s="148">
        <v>2531000</v>
      </c>
      <c r="B26" s="145"/>
      <c r="C26" s="149" t="s">
        <v>10</v>
      </c>
      <c r="D26" s="147" t="s">
        <v>4861</v>
      </c>
      <c r="E26" s="150">
        <v>1987000</v>
      </c>
      <c r="F26" s="139">
        <v>96000</v>
      </c>
      <c r="G26" s="139">
        <v>448000</v>
      </c>
      <c r="H26" s="139"/>
      <c r="I26" s="139"/>
      <c r="J26" s="139">
        <v>160000</v>
      </c>
      <c r="K26" s="139" t="s">
        <v>1805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250000</v>
      </c>
      <c r="K27" s="106" t="s">
        <v>2796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20000</v>
      </c>
      <c r="K28" s="139" t="s">
        <v>4836</v>
      </c>
    </row>
    <row r="29" spans="1:11" ht="19" x14ac:dyDescent="0.2">
      <c r="A29" s="143">
        <v>1207000</v>
      </c>
      <c r="B29" s="32">
        <v>46084</v>
      </c>
      <c r="C29" s="49" t="s">
        <v>9</v>
      </c>
      <c r="D29" s="13" t="s">
        <v>3941</v>
      </c>
      <c r="E29" s="15">
        <v>771000</v>
      </c>
      <c r="F29" s="174">
        <v>239000</v>
      </c>
      <c r="G29" s="174">
        <v>197000</v>
      </c>
      <c r="H29" s="9"/>
      <c r="I29" s="9"/>
      <c r="J29" s="119">
        <v>39000</v>
      </c>
      <c r="K29" s="9" t="s">
        <v>4887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25000</v>
      </c>
      <c r="K30" s="139" t="s">
        <v>4888</v>
      </c>
    </row>
    <row r="31" spans="1:11" ht="19" x14ac:dyDescent="0.2">
      <c r="A31" s="143"/>
      <c r="B31" s="32"/>
      <c r="C31" s="49"/>
      <c r="D31" s="13"/>
      <c r="E31" s="15"/>
      <c r="F31" s="9"/>
      <c r="G31" s="9"/>
      <c r="H31" s="9"/>
      <c r="I31" s="119"/>
      <c r="J31" s="9">
        <v>20000</v>
      </c>
      <c r="K31" s="9" t="s">
        <v>2250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>
        <v>44000</v>
      </c>
      <c r="K32" s="139" t="s">
        <v>4889</v>
      </c>
    </row>
    <row r="33" spans="1:11" ht="19" x14ac:dyDescent="0.2">
      <c r="A33" s="143"/>
      <c r="B33" s="153"/>
      <c r="C33" s="171"/>
      <c r="D33" s="155"/>
      <c r="E33" s="164"/>
      <c r="F33" s="119"/>
      <c r="G33" s="119"/>
      <c r="H33" s="119"/>
      <c r="I33" s="119"/>
      <c r="J33" s="119">
        <v>77000</v>
      </c>
      <c r="K33" s="119" t="s">
        <v>4890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49000</v>
      </c>
      <c r="K34" s="139" t="s">
        <v>4891</v>
      </c>
    </row>
    <row r="35" spans="1:11" ht="19" x14ac:dyDescent="0.2">
      <c r="A35" s="143"/>
      <c r="B35" s="32"/>
      <c r="C35" s="49"/>
      <c r="D35" s="13"/>
      <c r="E35" s="15"/>
      <c r="F35" s="9"/>
      <c r="G35" s="9"/>
      <c r="H35" s="9"/>
      <c r="I35" s="119"/>
      <c r="J35" s="9">
        <v>30000</v>
      </c>
      <c r="K35" s="9" t="s">
        <v>4892</v>
      </c>
    </row>
    <row r="36" spans="1:11" ht="19" x14ac:dyDescent="0.2">
      <c r="A36" s="144">
        <v>2247000</v>
      </c>
      <c r="B36" s="145"/>
      <c r="C36" s="149" t="s">
        <v>10</v>
      </c>
      <c r="D36" s="147" t="s">
        <v>4861</v>
      </c>
      <c r="E36" s="150">
        <v>1302000</v>
      </c>
      <c r="F36" s="139">
        <v>162000</v>
      </c>
      <c r="G36" s="139">
        <v>783000</v>
      </c>
      <c r="H36" s="139"/>
      <c r="I36" s="139"/>
      <c r="J36" s="139">
        <v>29000</v>
      </c>
      <c r="K36" s="139" t="s">
        <v>4817</v>
      </c>
    </row>
    <row r="37" spans="1:11" ht="19" x14ac:dyDescent="0.2">
      <c r="A37" s="143"/>
      <c r="B37" s="32"/>
      <c r="C37" s="49"/>
      <c r="D37" s="13"/>
      <c r="E37" s="15"/>
      <c r="F37" s="9"/>
      <c r="G37" s="9"/>
      <c r="H37" s="9"/>
      <c r="I37" s="119"/>
      <c r="J37" s="9"/>
      <c r="K37" s="9"/>
    </row>
    <row r="38" spans="1:11" ht="19" x14ac:dyDescent="0.2">
      <c r="A38" s="144">
        <v>961000</v>
      </c>
      <c r="B38" s="145">
        <v>46085</v>
      </c>
      <c r="C38" s="149" t="s">
        <v>9</v>
      </c>
      <c r="D38" s="147" t="s">
        <v>3941</v>
      </c>
      <c r="E38" s="150">
        <v>595000</v>
      </c>
      <c r="F38" s="139">
        <v>69000</v>
      </c>
      <c r="G38" s="139">
        <v>297000</v>
      </c>
      <c r="H38" s="139"/>
      <c r="I38" s="139"/>
      <c r="J38" s="139">
        <v>300000</v>
      </c>
      <c r="K38" s="139" t="s">
        <v>4893</v>
      </c>
    </row>
    <row r="39" spans="1:11" ht="19" x14ac:dyDescent="0.2">
      <c r="A39" s="143"/>
      <c r="B39" s="32"/>
      <c r="C39" s="49"/>
      <c r="D39" s="13"/>
      <c r="E39" s="15"/>
      <c r="F39" s="9"/>
      <c r="G39" s="9"/>
      <c r="H39" s="9"/>
      <c r="I39" s="119"/>
      <c r="J39" s="9"/>
      <c r="K39" s="9"/>
    </row>
    <row r="40" spans="1:11" ht="19" x14ac:dyDescent="0.2">
      <c r="A40" s="144">
        <v>1829000</v>
      </c>
      <c r="B40" s="145"/>
      <c r="C40" s="149" t="s">
        <v>10</v>
      </c>
      <c r="D40" s="147" t="s">
        <v>4443</v>
      </c>
      <c r="E40" s="150">
        <v>1108000</v>
      </c>
      <c r="F40" s="139">
        <v>129000</v>
      </c>
      <c r="G40" s="139">
        <v>592000</v>
      </c>
      <c r="H40" s="139"/>
      <c r="I40" s="139"/>
      <c r="J40" s="139">
        <v>240000</v>
      </c>
      <c r="K40" s="139" t="s">
        <v>3659</v>
      </c>
    </row>
    <row r="41" spans="1:11" ht="19" x14ac:dyDescent="0.2">
      <c r="A41" s="143"/>
      <c r="B41" s="32"/>
      <c r="C41" s="49"/>
      <c r="D41" s="13"/>
      <c r="E41" s="15"/>
      <c r="F41" s="9"/>
      <c r="G41" s="9"/>
      <c r="H41" s="9"/>
      <c r="I41" s="119"/>
      <c r="J41" s="9">
        <v>320000</v>
      </c>
      <c r="K41" s="9" t="s">
        <v>4894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210000</v>
      </c>
      <c r="K42" s="139" t="s">
        <v>4152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/>
      <c r="K43" s="9"/>
    </row>
    <row r="44" spans="1:11" ht="19" x14ac:dyDescent="0.2">
      <c r="A44" s="144">
        <v>1018000</v>
      </c>
      <c r="B44" s="145">
        <v>46086</v>
      </c>
      <c r="C44" s="149" t="s">
        <v>9</v>
      </c>
      <c r="D44" s="147" t="s">
        <v>3941</v>
      </c>
      <c r="E44" s="150">
        <v>535000</v>
      </c>
      <c r="F44" s="139">
        <v>207000</v>
      </c>
      <c r="G44" s="139">
        <v>276000</v>
      </c>
      <c r="H44" s="139"/>
      <c r="I44" s="139"/>
      <c r="J44" s="139">
        <v>90000</v>
      </c>
      <c r="K44" s="139" t="s">
        <v>4825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90000</v>
      </c>
      <c r="K45" s="119" t="s">
        <v>4895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90000</v>
      </c>
      <c r="K46" s="139" t="s">
        <v>3560</v>
      </c>
    </row>
    <row r="47" spans="1:11" ht="19" x14ac:dyDescent="0.2">
      <c r="A47" s="143">
        <v>2154000</v>
      </c>
      <c r="B47" s="153"/>
      <c r="C47" s="171" t="s">
        <v>10</v>
      </c>
      <c r="D47" s="155" t="s">
        <v>4830</v>
      </c>
      <c r="E47" s="164">
        <v>1285000</v>
      </c>
      <c r="F47" s="119">
        <v>94000</v>
      </c>
      <c r="G47" s="119">
        <v>775000</v>
      </c>
      <c r="H47" s="119"/>
      <c r="I47" s="119"/>
      <c r="J47" s="119"/>
      <c r="K47" s="119"/>
    </row>
    <row r="48" spans="1:11" ht="19" x14ac:dyDescent="0.2">
      <c r="A48" s="144"/>
      <c r="B48" s="145"/>
      <c r="C48" s="149"/>
      <c r="D48" s="147"/>
      <c r="E48" s="150"/>
      <c r="F48" s="139"/>
      <c r="G48" s="139"/>
      <c r="H48" s="139"/>
      <c r="I48" s="152"/>
      <c r="J48" s="139"/>
      <c r="K48" s="139"/>
    </row>
    <row r="49" spans="1:11" ht="19" x14ac:dyDescent="0.2">
      <c r="A49" s="143">
        <v>1414000</v>
      </c>
      <c r="B49" s="153">
        <v>46087</v>
      </c>
      <c r="C49" s="171" t="s">
        <v>9</v>
      </c>
      <c r="D49" s="155" t="s">
        <v>3941</v>
      </c>
      <c r="E49" s="164">
        <v>895000</v>
      </c>
      <c r="F49" s="119">
        <v>138000</v>
      </c>
      <c r="G49" s="119">
        <v>381000</v>
      </c>
      <c r="H49" s="119"/>
      <c r="I49" s="119"/>
      <c r="J49" s="119"/>
      <c r="K49" s="119"/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/>
      <c r="K50" s="139"/>
    </row>
    <row r="51" spans="1:11" ht="19" x14ac:dyDescent="0.2">
      <c r="A51" s="143">
        <v>2405000</v>
      </c>
      <c r="B51" s="153"/>
      <c r="C51" s="171" t="s">
        <v>10</v>
      </c>
      <c r="D51" s="155" t="s">
        <v>4443</v>
      </c>
      <c r="E51" s="164">
        <v>1167000</v>
      </c>
      <c r="F51" s="119">
        <v>290000</v>
      </c>
      <c r="G51" s="119">
        <v>948000</v>
      </c>
      <c r="H51" s="119"/>
      <c r="I51" s="119"/>
      <c r="J51" s="119"/>
      <c r="K51" s="119"/>
    </row>
    <row r="52" spans="1:11" ht="19" x14ac:dyDescent="0.2">
      <c r="A52" s="144"/>
      <c r="B52" s="145"/>
      <c r="C52" s="149"/>
      <c r="D52" s="147"/>
      <c r="E52" s="150"/>
      <c r="F52" s="139"/>
      <c r="G52" s="139"/>
      <c r="H52" s="139"/>
      <c r="I52" s="139"/>
      <c r="J52" s="139"/>
      <c r="K52" s="139"/>
    </row>
    <row r="53" spans="1:11" ht="19" x14ac:dyDescent="0.2">
      <c r="A53" s="143">
        <v>1034000</v>
      </c>
      <c r="B53" s="153">
        <v>46088</v>
      </c>
      <c r="C53" s="171" t="s">
        <v>9</v>
      </c>
      <c r="D53" s="155" t="s">
        <v>3941</v>
      </c>
      <c r="E53" s="164">
        <v>579000</v>
      </c>
      <c r="F53" s="119">
        <v>132000</v>
      </c>
      <c r="G53" s="119">
        <v>323000</v>
      </c>
      <c r="H53" s="119"/>
      <c r="I53" s="119"/>
      <c r="J53" s="119"/>
      <c r="K53" s="119"/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/>
      <c r="K54" s="139"/>
    </row>
    <row r="55" spans="1:11" ht="19" x14ac:dyDescent="0.2">
      <c r="A55" s="143">
        <v>3065000</v>
      </c>
      <c r="B55" s="153"/>
      <c r="C55" s="171" t="s">
        <v>10</v>
      </c>
      <c r="D55" s="155" t="s">
        <v>4443</v>
      </c>
      <c r="E55" s="164">
        <v>1883000</v>
      </c>
      <c r="F55" s="119">
        <v>250000</v>
      </c>
      <c r="G55" s="119">
        <v>932000</v>
      </c>
      <c r="H55" s="119"/>
      <c r="I55" s="119"/>
      <c r="J55" s="119">
        <v>34000</v>
      </c>
      <c r="K55" s="119" t="s">
        <v>4896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44000</v>
      </c>
      <c r="K56" s="139" t="s">
        <v>1493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50000</v>
      </c>
      <c r="K57" s="119" t="s">
        <v>123</v>
      </c>
    </row>
    <row r="58" spans="1:11" ht="19" x14ac:dyDescent="0.2">
      <c r="A58" s="144">
        <v>1018000</v>
      </c>
      <c r="B58" s="145">
        <v>46089</v>
      </c>
      <c r="C58" s="149" t="s">
        <v>9</v>
      </c>
      <c r="D58" s="147" t="s">
        <v>4861</v>
      </c>
      <c r="E58" s="150">
        <v>558000</v>
      </c>
      <c r="F58" s="139">
        <v>167000</v>
      </c>
      <c r="G58" s="139">
        <v>293000</v>
      </c>
      <c r="H58" s="139"/>
      <c r="I58" s="139"/>
      <c r="J58" s="139"/>
      <c r="K58" s="139"/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/>
      <c r="K59" s="119"/>
    </row>
    <row r="60" spans="1:11" ht="19" x14ac:dyDescent="0.2">
      <c r="A60" s="144">
        <v>3148000</v>
      </c>
      <c r="B60" s="145"/>
      <c r="C60" s="149" t="s">
        <v>10</v>
      </c>
      <c r="D60" s="147" t="s">
        <v>4443</v>
      </c>
      <c r="E60" s="150">
        <v>1522000</v>
      </c>
      <c r="F60" s="139">
        <v>582000</v>
      </c>
      <c r="G60" s="139">
        <v>1044000</v>
      </c>
      <c r="H60" s="300"/>
      <c r="I60" s="139"/>
      <c r="J60" s="139">
        <v>56000</v>
      </c>
      <c r="K60" s="139" t="s">
        <v>4897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>
        <v>9000</v>
      </c>
      <c r="K61" s="119" t="s">
        <v>4898</v>
      </c>
    </row>
    <row r="62" spans="1:11" ht="19" x14ac:dyDescent="0.2">
      <c r="A62" s="144"/>
      <c r="B62" s="145"/>
      <c r="C62" s="149"/>
      <c r="D62" s="147"/>
      <c r="E62" s="150"/>
      <c r="F62" s="139"/>
      <c r="G62" s="139"/>
      <c r="H62" s="157"/>
      <c r="I62" s="139"/>
      <c r="J62" s="139">
        <v>32000</v>
      </c>
      <c r="K62" s="139" t="s">
        <v>4899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/>
      <c r="K63" s="119"/>
    </row>
    <row r="64" spans="1:11" ht="19" x14ac:dyDescent="0.2">
      <c r="A64" s="144">
        <v>1798000</v>
      </c>
      <c r="B64" s="145">
        <v>46090</v>
      </c>
      <c r="C64" s="149" t="s">
        <v>9</v>
      </c>
      <c r="D64" s="147" t="s">
        <v>3941</v>
      </c>
      <c r="E64" s="150">
        <v>940000</v>
      </c>
      <c r="F64" s="150">
        <v>108000</v>
      </c>
      <c r="G64" s="139">
        <v>750000</v>
      </c>
      <c r="H64" s="139"/>
      <c r="I64" s="139"/>
      <c r="J64" s="139">
        <v>100000</v>
      </c>
      <c r="K64" s="139" t="s">
        <v>3248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30000</v>
      </c>
      <c r="K65" s="119" t="s">
        <v>3601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44000</v>
      </c>
      <c r="K66" s="139" t="s">
        <v>1449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34000</v>
      </c>
      <c r="K67" s="119" t="s">
        <v>4900</v>
      </c>
    </row>
    <row r="68" spans="1:11" ht="19" x14ac:dyDescent="0.2">
      <c r="A68" s="144">
        <v>1918000</v>
      </c>
      <c r="B68" s="145"/>
      <c r="C68" s="149" t="s">
        <v>10</v>
      </c>
      <c r="D68" s="147" t="s">
        <v>4443</v>
      </c>
      <c r="E68" s="150">
        <v>1059000</v>
      </c>
      <c r="F68" s="139">
        <v>62000</v>
      </c>
      <c r="G68" s="139">
        <v>797000</v>
      </c>
      <c r="H68" s="139"/>
      <c r="I68" s="139"/>
      <c r="J68" s="139">
        <v>47000</v>
      </c>
      <c r="K68" s="139" t="s">
        <v>4901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/>
      <c r="K69" s="119"/>
    </row>
    <row r="70" spans="1:11" ht="19" x14ac:dyDescent="0.2">
      <c r="A70" s="144">
        <v>1407000</v>
      </c>
      <c r="B70" s="145">
        <v>46091</v>
      </c>
      <c r="C70" s="149" t="s">
        <v>9</v>
      </c>
      <c r="D70" s="147" t="s">
        <v>4861</v>
      </c>
      <c r="E70" s="150">
        <v>786000</v>
      </c>
      <c r="F70" s="139">
        <v>145000</v>
      </c>
      <c r="G70" s="139">
        <v>476000</v>
      </c>
      <c r="H70" s="139"/>
      <c r="I70" s="139"/>
      <c r="J70" s="139">
        <v>35000</v>
      </c>
      <c r="K70" s="139" t="s">
        <v>1657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130000</v>
      </c>
      <c r="K71" s="9" t="s">
        <v>3959</v>
      </c>
    </row>
    <row r="72" spans="1:11" ht="19" x14ac:dyDescent="0.2">
      <c r="A72" s="144"/>
      <c r="B72" s="145"/>
      <c r="C72" s="149"/>
      <c r="D72" s="147"/>
      <c r="E72" s="150"/>
      <c r="F72" s="139"/>
      <c r="G72" s="139"/>
      <c r="H72" s="139"/>
      <c r="I72" s="139"/>
      <c r="J72" s="139">
        <v>81000</v>
      </c>
      <c r="K72" s="139" t="s">
        <v>1738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14000</v>
      </c>
      <c r="K73" s="9" t="s">
        <v>4902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28000</v>
      </c>
      <c r="K74" s="139" t="s">
        <v>4903</v>
      </c>
    </row>
    <row r="75" spans="1:11" ht="19" x14ac:dyDescent="0.2">
      <c r="A75" s="143">
        <v>2105000</v>
      </c>
      <c r="B75" s="153"/>
      <c r="C75" s="163" t="s">
        <v>10</v>
      </c>
      <c r="D75" s="155" t="s">
        <v>4443</v>
      </c>
      <c r="E75" s="164">
        <v>1492000</v>
      </c>
      <c r="F75" s="119">
        <v>294000</v>
      </c>
      <c r="G75" s="119">
        <v>319000</v>
      </c>
      <c r="H75" s="119"/>
      <c r="I75" s="119"/>
      <c r="J75" s="119">
        <v>7000</v>
      </c>
      <c r="K75" s="119" t="s">
        <v>4904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/>
      <c r="K76" s="139"/>
    </row>
    <row r="77" spans="1:11" ht="19" x14ac:dyDescent="0.2">
      <c r="A77" s="143">
        <v>1490000</v>
      </c>
      <c r="B77" s="153">
        <v>46092</v>
      </c>
      <c r="C77" s="171" t="s">
        <v>9</v>
      </c>
      <c r="D77" s="155" t="s">
        <v>3941</v>
      </c>
      <c r="E77" s="164">
        <v>693000</v>
      </c>
      <c r="F77" s="119">
        <v>291000</v>
      </c>
      <c r="G77" s="119">
        <v>506000</v>
      </c>
      <c r="H77" s="9"/>
      <c r="I77" s="9"/>
      <c r="J77" s="119">
        <v>20000</v>
      </c>
      <c r="K77" s="9" t="s">
        <v>3662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>
        <v>39000</v>
      </c>
      <c r="K78" s="139" t="s">
        <v>4905</v>
      </c>
    </row>
    <row r="79" spans="1:11" ht="19" x14ac:dyDescent="0.2">
      <c r="A79" s="143"/>
      <c r="B79" s="153"/>
      <c r="C79" s="171"/>
      <c r="D79" s="155"/>
      <c r="E79" s="164"/>
      <c r="F79" s="119"/>
      <c r="G79" s="119"/>
      <c r="H79" s="119"/>
      <c r="I79" s="119"/>
      <c r="J79" s="119">
        <v>76000</v>
      </c>
      <c r="K79" s="119" t="s">
        <v>4906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26000</v>
      </c>
      <c r="K80" s="139" t="s">
        <v>4546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33000</v>
      </c>
      <c r="K81" s="119" t="s">
        <v>4537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22000</v>
      </c>
      <c r="K82" s="139" t="s">
        <v>4836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9"/>
      <c r="I83" s="9"/>
      <c r="J83" s="119">
        <v>23000</v>
      </c>
      <c r="K83" s="9" t="s">
        <v>4665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25000</v>
      </c>
      <c r="K84" s="139" t="s">
        <v>4761</v>
      </c>
    </row>
    <row r="85" spans="1:11" ht="19" x14ac:dyDescent="0.2">
      <c r="A85" s="143"/>
      <c r="B85" s="153"/>
      <c r="C85" s="171"/>
      <c r="D85" s="155"/>
      <c r="E85" s="164"/>
      <c r="F85" s="119"/>
      <c r="G85" s="119"/>
      <c r="H85" s="174"/>
      <c r="I85" s="106"/>
      <c r="J85" s="119">
        <v>20000</v>
      </c>
      <c r="K85" s="119" t="s">
        <v>4627</v>
      </c>
    </row>
    <row r="86" spans="1:11" ht="19" x14ac:dyDescent="0.2">
      <c r="A86" s="144">
        <v>2149000</v>
      </c>
      <c r="B86" s="145"/>
      <c r="C86" s="149" t="s">
        <v>10</v>
      </c>
      <c r="D86" s="147" t="s">
        <v>4443</v>
      </c>
      <c r="E86" s="150">
        <v>1349000</v>
      </c>
      <c r="F86" s="139">
        <v>52000</v>
      </c>
      <c r="G86" s="139">
        <v>748000</v>
      </c>
      <c r="H86" s="162">
        <v>7290000</v>
      </c>
      <c r="I86" s="162" t="s">
        <v>4952</v>
      </c>
      <c r="J86" s="139"/>
      <c r="K86" s="139"/>
    </row>
    <row r="87" spans="1:11" ht="19" x14ac:dyDescent="0.2">
      <c r="A87" s="143"/>
      <c r="B87" s="153"/>
      <c r="C87" s="171"/>
      <c r="D87" s="155"/>
      <c r="E87" s="164"/>
      <c r="F87" s="119"/>
      <c r="G87" s="119"/>
      <c r="H87" s="119"/>
      <c r="I87" s="174"/>
      <c r="J87" s="119"/>
      <c r="K87" s="119"/>
    </row>
    <row r="88" spans="1:11" ht="19" x14ac:dyDescent="0.2">
      <c r="A88" s="144">
        <v>1292000</v>
      </c>
      <c r="B88" s="145">
        <v>46093</v>
      </c>
      <c r="C88" s="149" t="s">
        <v>9</v>
      </c>
      <c r="D88" s="147" t="s">
        <v>4861</v>
      </c>
      <c r="E88" s="150">
        <v>615000</v>
      </c>
      <c r="F88" s="139">
        <v>194000</v>
      </c>
      <c r="G88" s="139">
        <v>483000</v>
      </c>
      <c r="H88" s="162"/>
      <c r="I88" s="162"/>
      <c r="J88" s="162">
        <v>44000</v>
      </c>
      <c r="K88" s="162" t="s">
        <v>1493</v>
      </c>
    </row>
    <row r="89" spans="1:11" ht="19" x14ac:dyDescent="0.2">
      <c r="A89" s="143"/>
      <c r="B89" s="153"/>
      <c r="C89" s="171"/>
      <c r="D89" s="155"/>
      <c r="E89" s="164"/>
      <c r="F89" s="119"/>
      <c r="G89" s="119"/>
      <c r="H89" s="106"/>
      <c r="I89" s="106"/>
      <c r="J89" s="119">
        <v>46000</v>
      </c>
      <c r="K89" s="119" t="s">
        <v>4907</v>
      </c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39"/>
      <c r="I90" s="139"/>
      <c r="J90" s="139">
        <v>8000</v>
      </c>
      <c r="K90" s="139" t="s">
        <v>4908</v>
      </c>
    </row>
    <row r="91" spans="1:11" ht="19" x14ac:dyDescent="0.2">
      <c r="A91" s="143"/>
      <c r="B91" s="153"/>
      <c r="C91" s="171"/>
      <c r="D91" s="155"/>
      <c r="E91" s="164"/>
      <c r="F91" s="119"/>
      <c r="G91" s="119"/>
      <c r="H91" s="175"/>
      <c r="I91" s="175"/>
      <c r="J91" s="119">
        <v>44000</v>
      </c>
      <c r="K91" s="119" t="s">
        <v>4909</v>
      </c>
    </row>
    <row r="92" spans="1:11" ht="19" x14ac:dyDescent="0.2">
      <c r="A92" s="144">
        <v>2853000</v>
      </c>
      <c r="B92" s="145"/>
      <c r="C92" s="149" t="s">
        <v>10</v>
      </c>
      <c r="D92" s="147" t="s">
        <v>4443</v>
      </c>
      <c r="E92" s="150">
        <v>2175000</v>
      </c>
      <c r="F92" s="139">
        <v>69000</v>
      </c>
      <c r="G92" s="139">
        <v>609000</v>
      </c>
      <c r="H92" s="139"/>
      <c r="I92" s="139"/>
      <c r="J92" s="139">
        <v>50000</v>
      </c>
      <c r="K92" s="139" t="s">
        <v>123</v>
      </c>
    </row>
    <row r="93" spans="1:11" ht="19" x14ac:dyDescent="0.2">
      <c r="A93" s="143"/>
      <c r="B93" s="153"/>
      <c r="C93" s="49"/>
      <c r="D93" s="13"/>
      <c r="E93" s="15"/>
      <c r="F93" s="9"/>
      <c r="G93" s="9"/>
      <c r="H93" s="119"/>
      <c r="I93" s="9"/>
      <c r="J93" s="119"/>
      <c r="K93" s="9"/>
    </row>
    <row r="94" spans="1:11" ht="19" x14ac:dyDescent="0.2">
      <c r="A94" s="144">
        <v>1346000</v>
      </c>
      <c r="B94" s="145">
        <v>46094</v>
      </c>
      <c r="C94" s="149" t="s">
        <v>9</v>
      </c>
      <c r="D94" s="147" t="s">
        <v>3941</v>
      </c>
      <c r="E94" s="150">
        <v>931000</v>
      </c>
      <c r="F94" s="139">
        <v>63000</v>
      </c>
      <c r="G94" s="139">
        <v>352000</v>
      </c>
      <c r="H94" s="139"/>
      <c r="I94" s="139"/>
      <c r="J94" s="162">
        <v>8000</v>
      </c>
      <c r="K94" s="162" t="s">
        <v>1526</v>
      </c>
    </row>
    <row r="95" spans="1:11" ht="19" x14ac:dyDescent="0.2">
      <c r="A95" s="143"/>
      <c r="B95" s="32"/>
      <c r="C95" s="49"/>
      <c r="D95" s="13"/>
      <c r="E95" s="15"/>
      <c r="F95" s="9"/>
      <c r="G95" s="9"/>
      <c r="H95" s="9"/>
      <c r="I95" s="9"/>
      <c r="J95" s="119"/>
      <c r="K95" s="119"/>
    </row>
    <row r="96" spans="1:11" ht="19" x14ac:dyDescent="0.2">
      <c r="A96" s="144">
        <v>2521000</v>
      </c>
      <c r="B96" s="145"/>
      <c r="C96" s="149" t="s">
        <v>10</v>
      </c>
      <c r="D96" s="147" t="s">
        <v>4830</v>
      </c>
      <c r="E96" s="150">
        <v>1611000</v>
      </c>
      <c r="F96" s="139">
        <v>79000</v>
      </c>
      <c r="G96" s="139">
        <v>831000</v>
      </c>
      <c r="H96" s="139"/>
      <c r="I96" s="139"/>
      <c r="J96" s="139">
        <v>250000</v>
      </c>
      <c r="K96" s="139" t="s">
        <v>2796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160000</v>
      </c>
      <c r="K97" s="9" t="s">
        <v>1805</v>
      </c>
    </row>
    <row r="98" spans="1:11" ht="19" x14ac:dyDescent="0.2">
      <c r="A98" s="144">
        <v>1193000</v>
      </c>
      <c r="B98" s="145">
        <v>46095</v>
      </c>
      <c r="C98" s="159" t="s">
        <v>9</v>
      </c>
      <c r="D98" s="147" t="s">
        <v>3941</v>
      </c>
      <c r="E98" s="150">
        <v>549000</v>
      </c>
      <c r="F98" s="139">
        <v>180000</v>
      </c>
      <c r="G98" s="139">
        <v>464000</v>
      </c>
      <c r="H98" s="139"/>
      <c r="I98" s="139"/>
      <c r="J98" s="139">
        <v>16000</v>
      </c>
      <c r="K98" s="139" t="s">
        <v>1582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6000</v>
      </c>
      <c r="K99" s="119" t="s">
        <v>1580</v>
      </c>
    </row>
    <row r="100" spans="1:11" ht="19" x14ac:dyDescent="0.2">
      <c r="A100" s="144">
        <v>2178000</v>
      </c>
      <c r="B100" s="145"/>
      <c r="C100" s="149" t="s">
        <v>10</v>
      </c>
      <c r="D100" s="147" t="s">
        <v>4861</v>
      </c>
      <c r="E100" s="150">
        <v>1223000</v>
      </c>
      <c r="F100" s="139">
        <v>283000</v>
      </c>
      <c r="G100" s="139">
        <v>672000</v>
      </c>
      <c r="H100" s="139"/>
      <c r="I100" s="139"/>
      <c r="J100" s="139">
        <v>42000</v>
      </c>
      <c r="K100" s="139" t="s">
        <v>4910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56000</v>
      </c>
      <c r="K101" s="119" t="s">
        <v>4911</v>
      </c>
    </row>
    <row r="102" spans="1:11" ht="19" x14ac:dyDescent="0.2">
      <c r="A102" s="144">
        <v>1040000</v>
      </c>
      <c r="B102" s="145">
        <v>46096</v>
      </c>
      <c r="C102" s="149" t="s">
        <v>9</v>
      </c>
      <c r="D102" s="147" t="s">
        <v>3941</v>
      </c>
      <c r="E102" s="150">
        <v>602000</v>
      </c>
      <c r="F102" s="139">
        <v>76000</v>
      </c>
      <c r="G102" s="139">
        <v>362000</v>
      </c>
      <c r="H102" s="139"/>
      <c r="I102" s="139"/>
      <c r="J102" s="139">
        <v>240000</v>
      </c>
      <c r="K102" s="139" t="s">
        <v>3659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105000</v>
      </c>
      <c r="K103" s="119" t="s">
        <v>1566</v>
      </c>
    </row>
    <row r="104" spans="1:11" ht="32" x14ac:dyDescent="0.2">
      <c r="A104" s="144">
        <v>2659000</v>
      </c>
      <c r="B104" s="145"/>
      <c r="C104" s="149" t="s">
        <v>10</v>
      </c>
      <c r="D104" s="147" t="s">
        <v>4861</v>
      </c>
      <c r="E104" s="150">
        <v>1729000</v>
      </c>
      <c r="F104" s="139">
        <v>136000</v>
      </c>
      <c r="G104" s="139">
        <v>794000</v>
      </c>
      <c r="H104" s="139">
        <v>930000</v>
      </c>
      <c r="I104" s="161" t="s">
        <v>4674</v>
      </c>
      <c r="J104" s="139">
        <v>160000</v>
      </c>
      <c r="K104" s="139" t="s">
        <v>1597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>
        <v>2545000</v>
      </c>
      <c r="I105" s="119" t="s">
        <v>4912</v>
      </c>
      <c r="J105" s="119">
        <v>50000</v>
      </c>
      <c r="K105" s="119" t="s">
        <v>123</v>
      </c>
    </row>
    <row r="106" spans="1:11" ht="19" x14ac:dyDescent="0.2">
      <c r="A106" s="144">
        <v>1303000</v>
      </c>
      <c r="B106" s="145">
        <v>46097</v>
      </c>
      <c r="C106" s="149" t="s">
        <v>9</v>
      </c>
      <c r="D106" s="147" t="s">
        <v>3941</v>
      </c>
      <c r="E106" s="150">
        <v>610000</v>
      </c>
      <c r="F106" s="139">
        <v>199000</v>
      </c>
      <c r="G106" s="139">
        <v>494000</v>
      </c>
      <c r="H106" s="139">
        <v>2245000</v>
      </c>
      <c r="I106" s="139" t="s">
        <v>4913</v>
      </c>
      <c r="J106" s="139">
        <v>75000</v>
      </c>
      <c r="K106" s="139" t="s">
        <v>4914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88000</v>
      </c>
      <c r="K107" s="119" t="s">
        <v>1641</v>
      </c>
    </row>
    <row r="108" spans="1:11" ht="19" x14ac:dyDescent="0.2">
      <c r="A108" s="148">
        <v>2755000</v>
      </c>
      <c r="B108" s="145"/>
      <c r="C108" s="149" t="s">
        <v>10</v>
      </c>
      <c r="D108" s="160" t="s">
        <v>4443</v>
      </c>
      <c r="E108" s="150">
        <v>1449000</v>
      </c>
      <c r="F108" s="139">
        <v>427000</v>
      </c>
      <c r="G108" s="139">
        <v>879000</v>
      </c>
      <c r="H108" s="139"/>
      <c r="I108" s="139"/>
      <c r="J108" s="139">
        <v>14000</v>
      </c>
      <c r="K108" s="139" t="s">
        <v>4915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220000</v>
      </c>
      <c r="K109" s="119" t="s">
        <v>4916</v>
      </c>
    </row>
    <row r="110" spans="1:11" ht="19" x14ac:dyDescent="0.2">
      <c r="A110" s="144">
        <v>1697000</v>
      </c>
      <c r="B110" s="145">
        <v>46098</v>
      </c>
      <c r="C110" s="149" t="s">
        <v>9</v>
      </c>
      <c r="D110" s="147" t="s">
        <v>4861</v>
      </c>
      <c r="E110" s="150">
        <v>1214000</v>
      </c>
      <c r="F110" s="139">
        <v>169000</v>
      </c>
      <c r="G110" s="139">
        <v>314000</v>
      </c>
      <c r="H110" s="139"/>
      <c r="I110" s="139"/>
      <c r="J110" s="139">
        <v>65000</v>
      </c>
      <c r="K110" s="139" t="s">
        <v>3827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37000</v>
      </c>
      <c r="K111" s="119" t="s">
        <v>4955</v>
      </c>
    </row>
    <row r="112" spans="1:11" ht="19" x14ac:dyDescent="0.2">
      <c r="A112" s="144">
        <v>2380000</v>
      </c>
      <c r="B112" s="145"/>
      <c r="C112" s="149" t="s">
        <v>10</v>
      </c>
      <c r="D112" s="147" t="s">
        <v>4443</v>
      </c>
      <c r="E112" s="150">
        <v>1506000</v>
      </c>
      <c r="F112" s="139">
        <v>350000</v>
      </c>
      <c r="G112" s="139">
        <v>524000</v>
      </c>
      <c r="H112" s="139"/>
      <c r="I112" s="139"/>
      <c r="J112" s="139">
        <v>250000</v>
      </c>
      <c r="K112" s="139" t="s">
        <v>2796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160000</v>
      </c>
      <c r="K113" s="119" t="s">
        <v>1805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50000</v>
      </c>
      <c r="K114" s="139" t="s">
        <v>3635</v>
      </c>
    </row>
    <row r="115" spans="1:11" ht="19" x14ac:dyDescent="0.2">
      <c r="A115" s="143">
        <v>1504000</v>
      </c>
      <c r="B115" s="153">
        <v>46099</v>
      </c>
      <c r="C115" s="171" t="s">
        <v>9</v>
      </c>
      <c r="D115" s="155" t="s">
        <v>3941</v>
      </c>
      <c r="E115" s="164">
        <v>920000</v>
      </c>
      <c r="F115" s="119">
        <v>182000</v>
      </c>
      <c r="G115" s="119">
        <v>402000</v>
      </c>
      <c r="H115" s="119"/>
      <c r="I115" s="119"/>
      <c r="J115" s="119">
        <v>36000</v>
      </c>
      <c r="K115" s="119" t="s">
        <v>1857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88000</v>
      </c>
      <c r="K116" s="162" t="s">
        <v>1738</v>
      </c>
    </row>
    <row r="117" spans="1:11" ht="19" x14ac:dyDescent="0.2">
      <c r="A117" s="143">
        <v>2550000</v>
      </c>
      <c r="B117" s="153"/>
      <c r="C117" s="171" t="s">
        <v>10</v>
      </c>
      <c r="D117" s="155" t="s">
        <v>4443</v>
      </c>
      <c r="E117" s="164">
        <v>1352000</v>
      </c>
      <c r="F117" s="119">
        <v>319000</v>
      </c>
      <c r="G117" s="119">
        <v>879000</v>
      </c>
      <c r="H117" s="119"/>
      <c r="I117" s="175"/>
      <c r="J117" s="174">
        <v>48000</v>
      </c>
      <c r="K117" s="174" t="s">
        <v>4917</v>
      </c>
    </row>
    <row r="118" spans="1:11" ht="19" x14ac:dyDescent="0.2">
      <c r="A118" s="144"/>
      <c r="B118" s="145"/>
      <c r="C118" s="149"/>
      <c r="D118" s="147"/>
      <c r="E118" s="150"/>
      <c r="F118" s="139"/>
      <c r="G118" s="139"/>
      <c r="H118" s="139"/>
      <c r="I118" s="139"/>
      <c r="J118" s="139">
        <v>42000</v>
      </c>
      <c r="K118" s="139" t="s">
        <v>4918</v>
      </c>
    </row>
    <row r="119" spans="1:11" ht="19" x14ac:dyDescent="0.2">
      <c r="A119" s="143"/>
      <c r="B119" s="153"/>
      <c r="C119" s="171"/>
      <c r="D119" s="155"/>
      <c r="E119" s="164"/>
      <c r="F119" s="119"/>
      <c r="G119" s="119"/>
      <c r="H119" s="119"/>
      <c r="I119" s="119"/>
      <c r="J119" s="119">
        <v>23000</v>
      </c>
      <c r="K119" s="119" t="s">
        <v>4919</v>
      </c>
    </row>
    <row r="120" spans="1:11" ht="19" x14ac:dyDescent="0.2">
      <c r="A120" s="144"/>
      <c r="B120" s="145"/>
      <c r="C120" s="149"/>
      <c r="D120" s="147"/>
      <c r="E120" s="150"/>
      <c r="F120" s="139"/>
      <c r="G120" s="139"/>
      <c r="H120" s="139"/>
      <c r="I120" s="139"/>
      <c r="J120" s="139">
        <v>76000</v>
      </c>
      <c r="K120" s="139" t="s">
        <v>4515</v>
      </c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/>
      <c r="I121" s="119"/>
      <c r="J121" s="119">
        <v>45000</v>
      </c>
      <c r="K121" s="119" t="s">
        <v>1195</v>
      </c>
    </row>
    <row r="122" spans="1:11" ht="19" x14ac:dyDescent="0.2">
      <c r="A122" s="144"/>
      <c r="B122" s="145"/>
      <c r="C122" s="149"/>
      <c r="D122" s="147"/>
      <c r="E122" s="150"/>
      <c r="F122" s="139"/>
      <c r="G122" s="139"/>
      <c r="H122" s="139"/>
      <c r="I122" s="139"/>
      <c r="J122" s="139">
        <v>98000</v>
      </c>
      <c r="K122" s="139" t="s">
        <v>4744</v>
      </c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>
        <v>10000</v>
      </c>
      <c r="K123" s="174" t="s">
        <v>4920</v>
      </c>
    </row>
    <row r="124" spans="1:11" ht="19" x14ac:dyDescent="0.2">
      <c r="A124" s="144"/>
      <c r="B124" s="145"/>
      <c r="C124" s="151"/>
      <c r="D124" s="147"/>
      <c r="E124" s="150"/>
      <c r="F124" s="139"/>
      <c r="G124" s="139"/>
      <c r="H124" s="139"/>
      <c r="I124" s="139"/>
      <c r="J124" s="162">
        <v>100000</v>
      </c>
      <c r="K124" s="162" t="s">
        <v>3248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>
        <v>220000</v>
      </c>
      <c r="K125" s="106" t="s">
        <v>3825</v>
      </c>
    </row>
    <row r="126" spans="1:11" ht="19" x14ac:dyDescent="0.2">
      <c r="A126" s="144"/>
      <c r="B126" s="145"/>
      <c r="C126" s="149"/>
      <c r="D126" s="147"/>
      <c r="E126" s="150"/>
      <c r="F126" s="139"/>
      <c r="G126" s="139"/>
      <c r="H126" s="139"/>
      <c r="I126" s="139"/>
      <c r="J126" s="162"/>
      <c r="K126" s="162"/>
    </row>
    <row r="127" spans="1:11" ht="19" x14ac:dyDescent="0.2">
      <c r="A127" s="143">
        <v>1024000</v>
      </c>
      <c r="B127" s="153">
        <v>46100</v>
      </c>
      <c r="C127" s="163" t="s">
        <v>9</v>
      </c>
      <c r="D127" s="155" t="s">
        <v>4861</v>
      </c>
      <c r="E127" s="164">
        <v>589000</v>
      </c>
      <c r="F127" s="301">
        <v>159000</v>
      </c>
      <c r="G127" s="119">
        <v>276000</v>
      </c>
      <c r="H127" s="119"/>
      <c r="I127" s="119"/>
      <c r="J127" s="174">
        <v>90000</v>
      </c>
      <c r="K127" s="174" t="s">
        <v>4921</v>
      </c>
    </row>
    <row r="128" spans="1:11" ht="19" x14ac:dyDescent="0.2">
      <c r="A128" s="148"/>
      <c r="B128" s="145"/>
      <c r="C128" s="159"/>
      <c r="D128" s="147"/>
      <c r="E128" s="150"/>
      <c r="F128" s="139"/>
      <c r="G128" s="139"/>
      <c r="H128" s="139"/>
      <c r="I128" s="139"/>
      <c r="J128" s="139">
        <v>47000</v>
      </c>
      <c r="K128" s="139" t="s">
        <v>1449</v>
      </c>
    </row>
    <row r="129" spans="1:11" ht="19" x14ac:dyDescent="0.2">
      <c r="A129" s="143">
        <v>2451000</v>
      </c>
      <c r="B129" s="153"/>
      <c r="C129" s="163" t="s">
        <v>10</v>
      </c>
      <c r="D129" s="155" t="s">
        <v>4443</v>
      </c>
      <c r="E129" s="164">
        <v>1433000</v>
      </c>
      <c r="F129" s="119">
        <v>188000</v>
      </c>
      <c r="G129" s="119">
        <v>830000</v>
      </c>
      <c r="H129" s="119"/>
      <c r="I129" s="119"/>
      <c r="J129" s="174">
        <v>11000</v>
      </c>
      <c r="K129" s="174" t="s">
        <v>4922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/>
      <c r="K130" s="139"/>
    </row>
    <row r="131" spans="1:11" ht="19" x14ac:dyDescent="0.2">
      <c r="A131" s="143">
        <v>2152000</v>
      </c>
      <c r="B131" s="153">
        <v>46101</v>
      </c>
      <c r="C131" s="163" t="s">
        <v>9</v>
      </c>
      <c r="D131" s="155" t="s">
        <v>3941</v>
      </c>
      <c r="E131" s="164">
        <v>992000</v>
      </c>
      <c r="F131" s="119">
        <v>513000</v>
      </c>
      <c r="G131" s="119">
        <v>647000</v>
      </c>
      <c r="H131" s="119"/>
      <c r="I131" s="119"/>
      <c r="J131" s="119">
        <v>68000</v>
      </c>
      <c r="K131" s="119" t="s">
        <v>1641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73000</v>
      </c>
      <c r="K132" s="139" t="s">
        <v>4923</v>
      </c>
    </row>
    <row r="133" spans="1:11" ht="19" x14ac:dyDescent="0.2">
      <c r="A133" s="143">
        <v>1568000</v>
      </c>
      <c r="B133" s="153"/>
      <c r="C133" s="163" t="s">
        <v>10</v>
      </c>
      <c r="D133" s="155" t="s">
        <v>4443</v>
      </c>
      <c r="E133" s="164">
        <v>883000</v>
      </c>
      <c r="F133" s="119">
        <v>139000</v>
      </c>
      <c r="G133" s="119">
        <v>546000</v>
      </c>
      <c r="H133" s="119"/>
      <c r="I133" s="119"/>
      <c r="J133" s="119">
        <v>150000</v>
      </c>
      <c r="K133" s="119" t="s">
        <v>4953</v>
      </c>
    </row>
    <row r="134" spans="1:11" ht="19" x14ac:dyDescent="0.2">
      <c r="A134" s="144"/>
      <c r="B134" s="145"/>
      <c r="C134" s="151"/>
      <c r="D134" s="147"/>
      <c r="E134" s="150"/>
      <c r="F134" s="139"/>
      <c r="G134" s="139"/>
      <c r="H134" s="139"/>
      <c r="I134" s="139"/>
      <c r="J134" s="139"/>
      <c r="K134" s="139"/>
    </row>
    <row r="135" spans="1:11" ht="19" x14ac:dyDescent="0.2">
      <c r="A135" s="143">
        <v>1832000</v>
      </c>
      <c r="B135" s="153">
        <v>46102</v>
      </c>
      <c r="C135" s="163" t="s">
        <v>9</v>
      </c>
      <c r="D135" s="155" t="s">
        <v>3941</v>
      </c>
      <c r="E135" s="164">
        <v>1038000</v>
      </c>
      <c r="F135" s="119">
        <v>269000</v>
      </c>
      <c r="G135" s="119">
        <v>525000</v>
      </c>
      <c r="H135" s="119"/>
      <c r="I135" s="119"/>
      <c r="J135" s="119"/>
      <c r="K135" s="119"/>
    </row>
    <row r="136" spans="1:11" ht="19" x14ac:dyDescent="0.2">
      <c r="A136" s="144"/>
      <c r="B136" s="145"/>
      <c r="C136" s="151"/>
      <c r="D136" s="147"/>
      <c r="E136" s="150"/>
      <c r="F136" s="139"/>
      <c r="G136" s="139"/>
      <c r="H136" s="139"/>
      <c r="I136" s="139"/>
      <c r="J136" s="139"/>
      <c r="K136" s="139"/>
    </row>
    <row r="137" spans="1:11" ht="19" x14ac:dyDescent="0.2">
      <c r="A137" s="143">
        <v>1674000</v>
      </c>
      <c r="B137" s="153"/>
      <c r="C137" s="163" t="s">
        <v>10</v>
      </c>
      <c r="D137" s="155" t="s">
        <v>4861</v>
      </c>
      <c r="E137" s="164">
        <v>808000</v>
      </c>
      <c r="F137" s="119">
        <v>362000</v>
      </c>
      <c r="G137" s="119">
        <v>504000</v>
      </c>
      <c r="H137" s="119"/>
      <c r="I137" s="119"/>
      <c r="J137" s="174"/>
      <c r="K137" s="174"/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/>
      <c r="K138" s="162"/>
    </row>
    <row r="139" spans="1:11" ht="19" x14ac:dyDescent="0.2">
      <c r="A139" s="143">
        <v>2054000</v>
      </c>
      <c r="B139" s="32">
        <v>46103</v>
      </c>
      <c r="C139" s="35" t="s">
        <v>9</v>
      </c>
      <c r="D139" s="13" t="s">
        <v>3941</v>
      </c>
      <c r="E139" s="15">
        <v>1240000</v>
      </c>
      <c r="F139" s="9">
        <v>220000</v>
      </c>
      <c r="G139" s="9">
        <v>594000</v>
      </c>
      <c r="H139" s="9"/>
      <c r="I139" s="9"/>
      <c r="J139" s="174"/>
      <c r="K139" s="174"/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/>
      <c r="K140" s="162"/>
    </row>
    <row r="141" spans="1:11" ht="19" x14ac:dyDescent="0.2">
      <c r="A141" s="143">
        <v>953000</v>
      </c>
      <c r="B141" s="153"/>
      <c r="C141" s="163" t="s">
        <v>10</v>
      </c>
      <c r="D141" s="155" t="s">
        <v>4861</v>
      </c>
      <c r="E141" s="164">
        <v>782000</v>
      </c>
      <c r="F141" s="119">
        <v>0</v>
      </c>
      <c r="G141" s="119">
        <v>171000</v>
      </c>
      <c r="H141" s="175"/>
      <c r="I141" s="175"/>
      <c r="J141" s="174"/>
      <c r="K141" s="174"/>
    </row>
    <row r="142" spans="1:11" ht="19" x14ac:dyDescent="0.2">
      <c r="A142" s="144"/>
      <c r="B142" s="145"/>
      <c r="C142" s="151"/>
      <c r="D142" s="147"/>
      <c r="E142" s="150"/>
      <c r="F142" s="139"/>
      <c r="G142" s="139"/>
      <c r="H142" s="139"/>
      <c r="I142" s="139"/>
      <c r="J142" s="139"/>
      <c r="K142" s="139"/>
    </row>
    <row r="143" spans="1:11" ht="19" x14ac:dyDescent="0.2">
      <c r="A143" s="143">
        <v>3000000</v>
      </c>
      <c r="B143" s="153">
        <v>46104</v>
      </c>
      <c r="C143" s="163" t="s">
        <v>9</v>
      </c>
      <c r="D143" s="155" t="s">
        <v>3941</v>
      </c>
      <c r="E143" s="164">
        <v>1827000</v>
      </c>
      <c r="F143" s="119">
        <v>264000</v>
      </c>
      <c r="G143" s="119">
        <v>909000</v>
      </c>
      <c r="H143" s="119"/>
      <c r="I143" s="119"/>
      <c r="J143" s="119">
        <v>71000</v>
      </c>
      <c r="K143" s="119" t="s">
        <v>4924</v>
      </c>
    </row>
    <row r="144" spans="1:11" ht="19" x14ac:dyDescent="0.2">
      <c r="A144" s="144"/>
      <c r="B144" s="145"/>
      <c r="C144" s="159"/>
      <c r="D144" s="147"/>
      <c r="E144" s="150"/>
      <c r="F144" s="139"/>
      <c r="G144" s="139"/>
      <c r="H144" s="139"/>
      <c r="I144" s="139"/>
      <c r="J144" s="139">
        <v>15000</v>
      </c>
      <c r="K144" s="139" t="s">
        <v>4925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13000</v>
      </c>
      <c r="K145" s="119" t="s">
        <v>3237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180000</v>
      </c>
      <c r="K146" s="162" t="s">
        <v>4926</v>
      </c>
    </row>
    <row r="147" spans="1:11" ht="19" x14ac:dyDescent="0.2">
      <c r="A147" s="143"/>
      <c r="B147" s="153"/>
      <c r="C147" s="163"/>
      <c r="D147" s="155"/>
      <c r="E147" s="164"/>
      <c r="F147" s="119"/>
      <c r="G147" s="119"/>
      <c r="H147" s="119"/>
      <c r="I147" s="119"/>
      <c r="J147" s="119">
        <v>180000</v>
      </c>
      <c r="K147" s="119" t="s">
        <v>4927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165000</v>
      </c>
      <c r="K148" s="139" t="s">
        <v>4928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123000</v>
      </c>
      <c r="K149" s="119" t="s">
        <v>4929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40000</v>
      </c>
      <c r="K150" s="139" t="s">
        <v>4930</v>
      </c>
    </row>
    <row r="151" spans="1:11" ht="19" x14ac:dyDescent="0.2">
      <c r="A151" s="142">
        <v>1542000</v>
      </c>
      <c r="B151" s="153"/>
      <c r="C151" s="163" t="s">
        <v>10</v>
      </c>
      <c r="D151" s="172" t="s">
        <v>4443</v>
      </c>
      <c r="E151" s="164">
        <v>817000</v>
      </c>
      <c r="F151" s="119">
        <v>60000</v>
      </c>
      <c r="G151" s="119">
        <v>665000</v>
      </c>
      <c r="H151" s="119"/>
      <c r="I151" s="119"/>
      <c r="J151" s="119"/>
      <c r="K151" s="119"/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/>
      <c r="K152" s="139"/>
    </row>
    <row r="153" spans="1:11" ht="19" x14ac:dyDescent="0.2">
      <c r="A153" s="143">
        <v>2420000</v>
      </c>
      <c r="B153" s="153">
        <v>46105</v>
      </c>
      <c r="C153" s="163" t="s">
        <v>9</v>
      </c>
      <c r="D153" s="155" t="s">
        <v>4861</v>
      </c>
      <c r="E153" s="164">
        <v>1389000</v>
      </c>
      <c r="F153" s="119">
        <v>146000</v>
      </c>
      <c r="G153" s="119">
        <v>885000</v>
      </c>
      <c r="H153" s="119"/>
      <c r="I153" s="119"/>
      <c r="J153" s="119">
        <v>120000</v>
      </c>
      <c r="K153" s="119" t="s">
        <v>3801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/>
      <c r="K154" s="139"/>
    </row>
    <row r="155" spans="1:11" ht="19" x14ac:dyDescent="0.2">
      <c r="A155" s="143">
        <v>1742000</v>
      </c>
      <c r="B155" s="153"/>
      <c r="C155" s="154" t="s">
        <v>10</v>
      </c>
      <c r="D155" s="155" t="s">
        <v>4443</v>
      </c>
      <c r="E155" s="164">
        <v>677000</v>
      </c>
      <c r="F155" s="119">
        <v>136000</v>
      </c>
      <c r="G155" s="119">
        <v>929000</v>
      </c>
      <c r="H155" s="119"/>
      <c r="I155" s="119"/>
      <c r="J155" s="119"/>
      <c r="K155" s="119"/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/>
      <c r="K156" s="139"/>
    </row>
    <row r="157" spans="1:11" ht="19" x14ac:dyDescent="0.2">
      <c r="A157" s="143">
        <v>2652000</v>
      </c>
      <c r="B157" s="153">
        <v>46106</v>
      </c>
      <c r="C157" s="171" t="s">
        <v>9</v>
      </c>
      <c r="D157" s="155" t="s">
        <v>3941</v>
      </c>
      <c r="E157" s="164">
        <v>995000</v>
      </c>
      <c r="F157" s="119">
        <v>512000</v>
      </c>
      <c r="G157" s="119">
        <v>1145000</v>
      </c>
      <c r="H157" s="119"/>
      <c r="I157" s="119"/>
      <c r="J157" s="119">
        <v>109000</v>
      </c>
      <c r="K157" s="119" t="s">
        <v>4656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88000</v>
      </c>
      <c r="K158" s="139" t="s">
        <v>1641</v>
      </c>
    </row>
    <row r="159" spans="1:11" ht="19" x14ac:dyDescent="0.2">
      <c r="A159" s="143"/>
      <c r="B159" s="153"/>
      <c r="C159" s="154"/>
      <c r="D159" s="155"/>
      <c r="E159" s="164"/>
      <c r="F159" s="119"/>
      <c r="G159" s="119"/>
      <c r="H159" s="119"/>
      <c r="I159" s="168"/>
      <c r="J159" s="119">
        <v>51000</v>
      </c>
      <c r="K159" s="119" t="s">
        <v>4931</v>
      </c>
    </row>
    <row r="160" spans="1:11" ht="19" x14ac:dyDescent="0.2">
      <c r="A160" s="144">
        <v>1659000</v>
      </c>
      <c r="B160" s="145"/>
      <c r="C160" s="146" t="s">
        <v>10</v>
      </c>
      <c r="D160" s="147" t="s">
        <v>4443</v>
      </c>
      <c r="E160" s="150">
        <v>1188000</v>
      </c>
      <c r="F160" s="139">
        <v>210000</v>
      </c>
      <c r="G160" s="139">
        <v>261000</v>
      </c>
      <c r="H160" s="139"/>
      <c r="I160" s="165"/>
      <c r="J160" s="139">
        <v>47000</v>
      </c>
      <c r="K160" s="139" t="s">
        <v>1449</v>
      </c>
    </row>
    <row r="161" spans="1:11" ht="19" x14ac:dyDescent="0.2">
      <c r="A161" s="143"/>
      <c r="B161" s="32"/>
      <c r="C161" s="3"/>
      <c r="D161" s="13"/>
      <c r="E161" s="15"/>
      <c r="F161" s="9"/>
      <c r="G161" s="9"/>
      <c r="H161" s="9"/>
      <c r="I161" s="77"/>
      <c r="J161" s="9">
        <v>250000</v>
      </c>
      <c r="K161" s="9" t="s">
        <v>2796</v>
      </c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>
        <v>283000</v>
      </c>
      <c r="I162" s="165" t="s">
        <v>4932</v>
      </c>
      <c r="J162" s="139">
        <v>50000</v>
      </c>
      <c r="K162" s="139" t="s">
        <v>3635</v>
      </c>
    </row>
    <row r="163" spans="1:11" ht="19" x14ac:dyDescent="0.2">
      <c r="A163" s="143">
        <v>2428000</v>
      </c>
      <c r="B163" s="32">
        <v>46107</v>
      </c>
      <c r="C163" s="49" t="s">
        <v>9</v>
      </c>
      <c r="D163" s="13" t="s">
        <v>4861</v>
      </c>
      <c r="E163" s="15">
        <v>1024000</v>
      </c>
      <c r="F163" s="9">
        <v>509000</v>
      </c>
      <c r="G163" s="9">
        <v>895000</v>
      </c>
      <c r="H163" s="9"/>
      <c r="I163" s="77"/>
      <c r="J163" s="9">
        <v>30000</v>
      </c>
      <c r="K163" s="9" t="s">
        <v>4547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36000</v>
      </c>
      <c r="K164" s="139" t="s">
        <v>4933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30000</v>
      </c>
      <c r="K165" s="9" t="s">
        <v>4663</v>
      </c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>
        <v>20000</v>
      </c>
      <c r="K166" s="165" t="s">
        <v>4537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32000</v>
      </c>
      <c r="K167" s="77" t="s">
        <v>4934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33000</v>
      </c>
      <c r="K168" s="139" t="s">
        <v>4533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40000</v>
      </c>
      <c r="K169" s="9" t="s">
        <v>4935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26000</v>
      </c>
      <c r="K170" s="139" t="s">
        <v>4936</v>
      </c>
    </row>
    <row r="171" spans="1:11" ht="19" x14ac:dyDescent="0.2">
      <c r="A171" s="143">
        <v>2164000</v>
      </c>
      <c r="B171" s="32"/>
      <c r="C171" s="49" t="s">
        <v>10</v>
      </c>
      <c r="D171" s="13" t="s">
        <v>4443</v>
      </c>
      <c r="E171" s="15">
        <v>1443000</v>
      </c>
      <c r="F171" s="9">
        <v>266000</v>
      </c>
      <c r="G171" s="9">
        <v>455000</v>
      </c>
      <c r="H171" s="9"/>
      <c r="I171" s="77"/>
      <c r="J171" s="9">
        <v>19000</v>
      </c>
      <c r="K171" s="9" t="s">
        <v>3237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/>
      <c r="K172" s="139"/>
    </row>
    <row r="173" spans="1:11" ht="19" x14ac:dyDescent="0.2">
      <c r="A173" s="143">
        <v>3245000</v>
      </c>
      <c r="B173" s="32">
        <v>46108</v>
      </c>
      <c r="C173" s="49" t="s">
        <v>9</v>
      </c>
      <c r="D173" s="13" t="s">
        <v>3941</v>
      </c>
      <c r="E173" s="15">
        <v>2094000</v>
      </c>
      <c r="F173" s="9">
        <v>146000</v>
      </c>
      <c r="G173" s="9">
        <v>1005000</v>
      </c>
      <c r="H173" s="9"/>
      <c r="I173" s="77"/>
      <c r="J173" s="9">
        <v>38000</v>
      </c>
      <c r="K173" s="9" t="s">
        <v>3771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>
        <v>25000</v>
      </c>
      <c r="K174" s="139" t="s">
        <v>4937</v>
      </c>
    </row>
    <row r="175" spans="1:11" ht="19" x14ac:dyDescent="0.2">
      <c r="A175" s="143"/>
      <c r="B175" s="32"/>
      <c r="C175" s="49"/>
      <c r="D175" s="13"/>
      <c r="E175" s="15"/>
      <c r="F175" s="9"/>
      <c r="G175" s="9"/>
      <c r="H175" s="9"/>
      <c r="I175" s="77"/>
      <c r="J175" s="9">
        <v>10000</v>
      </c>
      <c r="K175" s="9" t="s">
        <v>2854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263000</v>
      </c>
      <c r="K176" s="139" t="s">
        <v>4938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16000</v>
      </c>
      <c r="K177" s="9" t="s">
        <v>4939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71000</v>
      </c>
      <c r="K178" s="139" t="s">
        <v>4940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98000</v>
      </c>
      <c r="K179" s="9" t="s">
        <v>4657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149000</v>
      </c>
      <c r="K180" s="139" t="s">
        <v>3556</v>
      </c>
    </row>
    <row r="181" spans="1:11" ht="19" x14ac:dyDescent="0.2">
      <c r="A181" s="143"/>
      <c r="B181" s="32"/>
      <c r="C181" s="49"/>
      <c r="D181" s="13"/>
      <c r="E181" s="15"/>
      <c r="F181" s="9"/>
      <c r="G181" s="9"/>
      <c r="H181" s="9"/>
      <c r="I181" s="77"/>
      <c r="J181" s="9">
        <v>52000</v>
      </c>
      <c r="K181" s="9" t="s">
        <v>1645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>
        <v>87000</v>
      </c>
      <c r="K182" s="139" t="s">
        <v>3960</v>
      </c>
    </row>
    <row r="183" spans="1:11" ht="19" x14ac:dyDescent="0.2">
      <c r="A183" s="143"/>
      <c r="B183" s="153"/>
      <c r="C183" s="171"/>
      <c r="D183" s="155"/>
      <c r="E183" s="164"/>
      <c r="F183" s="119"/>
      <c r="G183" s="119"/>
      <c r="H183" s="119"/>
      <c r="I183" s="168"/>
      <c r="J183" s="119">
        <v>75000</v>
      </c>
      <c r="K183" s="119" t="s">
        <v>2825</v>
      </c>
    </row>
    <row r="184" spans="1:11" ht="19" x14ac:dyDescent="0.2">
      <c r="A184" s="144">
        <v>1766000</v>
      </c>
      <c r="B184" s="145"/>
      <c r="C184" s="149" t="s">
        <v>10</v>
      </c>
      <c r="D184" s="147" t="s">
        <v>4830</v>
      </c>
      <c r="E184" s="150">
        <v>1409000</v>
      </c>
      <c r="F184" s="139">
        <v>212000</v>
      </c>
      <c r="G184" s="139">
        <v>145000</v>
      </c>
      <c r="H184" s="139"/>
      <c r="I184" s="165"/>
      <c r="J184" s="139">
        <v>160000</v>
      </c>
      <c r="K184" s="139" t="s">
        <v>1597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>
        <v>105000</v>
      </c>
      <c r="K185" s="119" t="s">
        <v>1566</v>
      </c>
    </row>
    <row r="186" spans="1:11" ht="19" x14ac:dyDescent="0.2">
      <c r="A186" s="144"/>
      <c r="B186" s="145"/>
      <c r="C186" s="149"/>
      <c r="D186" s="147"/>
      <c r="E186" s="150"/>
      <c r="F186" s="139"/>
      <c r="G186" s="139"/>
      <c r="H186" s="139"/>
      <c r="I186" s="165"/>
      <c r="J186" s="139">
        <v>240000</v>
      </c>
      <c r="K186" s="139" t="s">
        <v>3659</v>
      </c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>
        <v>57000</v>
      </c>
      <c r="K187" s="119" t="s">
        <v>4941</v>
      </c>
    </row>
    <row r="188" spans="1:11" ht="19" x14ac:dyDescent="0.2">
      <c r="A188" s="144"/>
      <c r="B188" s="145"/>
      <c r="C188" s="149"/>
      <c r="D188" s="147"/>
      <c r="E188" s="150"/>
      <c r="F188" s="139"/>
      <c r="G188" s="139"/>
      <c r="H188" s="139"/>
      <c r="I188" s="165"/>
      <c r="J188" s="139">
        <v>18000</v>
      </c>
      <c r="K188" s="139" t="s">
        <v>3601</v>
      </c>
    </row>
    <row r="189" spans="1:11" ht="19" x14ac:dyDescent="0.2">
      <c r="A189" s="143">
        <v>2590000</v>
      </c>
      <c r="B189" s="153">
        <v>46109</v>
      </c>
      <c r="C189" s="171" t="s">
        <v>9</v>
      </c>
      <c r="D189" s="155" t="s">
        <v>3941</v>
      </c>
      <c r="E189" s="164">
        <v>1493000</v>
      </c>
      <c r="F189" s="119">
        <v>433000</v>
      </c>
      <c r="G189" s="119">
        <v>664000</v>
      </c>
      <c r="H189" s="119"/>
      <c r="I189" s="168"/>
      <c r="J189" s="119"/>
      <c r="K189" s="119"/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/>
      <c r="K190" s="139"/>
    </row>
    <row r="191" spans="1:11" ht="19" x14ac:dyDescent="0.2">
      <c r="A191" s="143">
        <v>1707000</v>
      </c>
      <c r="B191" s="153"/>
      <c r="C191" s="171" t="s">
        <v>10</v>
      </c>
      <c r="D191" s="155" t="s">
        <v>4861</v>
      </c>
      <c r="E191" s="164">
        <v>1013000</v>
      </c>
      <c r="F191" s="119">
        <v>235000</v>
      </c>
      <c r="G191" s="119">
        <v>459000</v>
      </c>
      <c r="H191" s="119"/>
      <c r="I191" s="168"/>
      <c r="J191" s="119">
        <v>50000</v>
      </c>
      <c r="K191" s="119" t="s">
        <v>123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/>
      <c r="K192" s="139"/>
    </row>
    <row r="193" spans="1:11" ht="19" x14ac:dyDescent="0.2">
      <c r="A193" s="143">
        <v>2617000</v>
      </c>
      <c r="B193" s="153">
        <v>46110</v>
      </c>
      <c r="C193" s="171" t="s">
        <v>9</v>
      </c>
      <c r="D193" s="155" t="s">
        <v>3941</v>
      </c>
      <c r="E193" s="164">
        <v>1562000</v>
      </c>
      <c r="F193" s="119">
        <v>326000</v>
      </c>
      <c r="G193" s="119">
        <v>729000</v>
      </c>
      <c r="H193" s="119"/>
      <c r="I193" s="168"/>
      <c r="J193" s="119"/>
      <c r="K193" s="119"/>
    </row>
    <row r="194" spans="1:11" ht="19" x14ac:dyDescent="0.2">
      <c r="A194" s="144"/>
      <c r="B194" s="145"/>
      <c r="C194" s="149"/>
      <c r="D194" s="147"/>
      <c r="E194" s="150"/>
      <c r="F194" s="139"/>
      <c r="G194" s="139"/>
      <c r="H194" s="139"/>
      <c r="I194" s="165"/>
      <c r="J194" s="139"/>
      <c r="K194" s="139"/>
    </row>
    <row r="195" spans="1:11" ht="19" x14ac:dyDescent="0.2">
      <c r="A195" s="143">
        <v>1299000</v>
      </c>
      <c r="B195" s="153"/>
      <c r="C195" s="171" t="s">
        <v>10</v>
      </c>
      <c r="D195" s="155" t="s">
        <v>4861</v>
      </c>
      <c r="E195" s="164">
        <v>826000</v>
      </c>
      <c r="F195" s="119">
        <v>82000</v>
      </c>
      <c r="G195" s="119">
        <v>391000</v>
      </c>
      <c r="H195" s="119"/>
      <c r="I195" s="168"/>
      <c r="J195" s="119"/>
      <c r="K195" s="119"/>
    </row>
    <row r="196" spans="1:11" ht="19" x14ac:dyDescent="0.2">
      <c r="A196" s="144"/>
      <c r="B196" s="145"/>
      <c r="C196" s="149"/>
      <c r="D196" s="147"/>
      <c r="E196" s="150"/>
      <c r="F196" s="139"/>
      <c r="G196" s="139"/>
      <c r="H196" s="139"/>
      <c r="I196" s="165"/>
      <c r="J196" s="139"/>
      <c r="K196" s="139"/>
    </row>
    <row r="197" spans="1:11" ht="19" x14ac:dyDescent="0.2">
      <c r="A197" s="143">
        <v>3084000</v>
      </c>
      <c r="B197" s="153">
        <v>46111</v>
      </c>
      <c r="C197" s="171" t="s">
        <v>9</v>
      </c>
      <c r="D197" s="155" t="s">
        <v>3941</v>
      </c>
      <c r="E197" s="164">
        <v>1721000</v>
      </c>
      <c r="F197" s="119">
        <v>316000</v>
      </c>
      <c r="G197" s="119">
        <v>1047000</v>
      </c>
      <c r="H197" s="119"/>
      <c r="I197" s="168"/>
      <c r="J197" s="119">
        <v>390000</v>
      </c>
      <c r="K197" s="119" t="s">
        <v>4371</v>
      </c>
    </row>
    <row r="198" spans="1:11" ht="19" x14ac:dyDescent="0.2">
      <c r="A198" s="144"/>
      <c r="B198" s="145"/>
      <c r="C198" s="149"/>
      <c r="D198" s="147"/>
      <c r="E198" s="150"/>
      <c r="F198" s="139"/>
      <c r="G198" s="139"/>
      <c r="H198" s="139"/>
      <c r="I198" s="165"/>
      <c r="J198" s="139"/>
      <c r="K198" s="139"/>
    </row>
    <row r="199" spans="1:11" ht="19" x14ac:dyDescent="0.2">
      <c r="A199" s="143">
        <v>1330000</v>
      </c>
      <c r="B199" s="153"/>
      <c r="C199" s="171" t="s">
        <v>10</v>
      </c>
      <c r="D199" s="155" t="s">
        <v>4443</v>
      </c>
      <c r="E199" s="164">
        <v>796000</v>
      </c>
      <c r="F199" s="119">
        <v>194000</v>
      </c>
      <c r="G199" s="119">
        <v>340000</v>
      </c>
      <c r="H199" s="119"/>
      <c r="I199" s="168"/>
      <c r="J199" s="119">
        <v>550000</v>
      </c>
      <c r="K199" s="119" t="s">
        <v>4956</v>
      </c>
    </row>
    <row r="200" spans="1:11" ht="19" x14ac:dyDescent="0.2">
      <c r="A200" s="144"/>
      <c r="B200" s="145"/>
      <c r="C200" s="149"/>
      <c r="D200" s="147"/>
      <c r="E200" s="150"/>
      <c r="F200" s="139"/>
      <c r="G200" s="139"/>
      <c r="H200" s="139"/>
      <c r="I200" s="165"/>
      <c r="J200" s="139"/>
      <c r="K200" s="139"/>
    </row>
    <row r="201" spans="1:11" ht="19" x14ac:dyDescent="0.2">
      <c r="A201" s="143">
        <v>3030000</v>
      </c>
      <c r="B201" s="153">
        <v>46112</v>
      </c>
      <c r="C201" s="171" t="s">
        <v>9</v>
      </c>
      <c r="D201" s="155" t="s">
        <v>4861</v>
      </c>
      <c r="E201" s="164">
        <v>1816000</v>
      </c>
      <c r="F201" s="119">
        <v>191000</v>
      </c>
      <c r="G201" s="119">
        <v>1023000</v>
      </c>
      <c r="H201" s="119"/>
      <c r="I201" s="168"/>
      <c r="J201" s="119">
        <v>41000</v>
      </c>
      <c r="K201" s="119" t="s">
        <v>4934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/>
      <c r="J202" s="139">
        <v>26000</v>
      </c>
      <c r="K202" s="139" t="s">
        <v>4942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40000</v>
      </c>
      <c r="K203" s="119" t="s">
        <v>4685</v>
      </c>
    </row>
    <row r="204" spans="1:11" ht="19" x14ac:dyDescent="0.2">
      <c r="A204" s="144">
        <v>2163000</v>
      </c>
      <c r="B204" s="145"/>
      <c r="C204" s="149" t="s">
        <v>10</v>
      </c>
      <c r="D204" s="147" t="s">
        <v>4443</v>
      </c>
      <c r="E204" s="150">
        <v>1411000</v>
      </c>
      <c r="F204" s="139">
        <v>72000</v>
      </c>
      <c r="G204" s="139">
        <v>680000</v>
      </c>
      <c r="H204" s="139">
        <v>2300000</v>
      </c>
      <c r="I204" s="165" t="s">
        <v>4943</v>
      </c>
      <c r="J204" s="139">
        <v>30000</v>
      </c>
      <c r="K204" s="139" t="s">
        <v>4933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>
        <v>2562000</v>
      </c>
      <c r="I205" s="168" t="s">
        <v>4722</v>
      </c>
      <c r="J205" s="119">
        <v>40000</v>
      </c>
      <c r="K205" s="119" t="s">
        <v>4944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>
        <v>2100000</v>
      </c>
      <c r="I206" s="165" t="s">
        <v>4945</v>
      </c>
      <c r="J206" s="139">
        <v>40000</v>
      </c>
      <c r="K206" s="139" t="s">
        <v>4777</v>
      </c>
    </row>
    <row r="207" spans="1:11" ht="32" x14ac:dyDescent="0.2">
      <c r="A207" s="143"/>
      <c r="B207" s="153"/>
      <c r="C207" s="171"/>
      <c r="D207" s="155"/>
      <c r="E207" s="164"/>
      <c r="F207" s="119"/>
      <c r="G207" s="119"/>
      <c r="H207" s="119">
        <v>5545000</v>
      </c>
      <c r="I207" s="258" t="s">
        <v>4723</v>
      </c>
      <c r="J207" s="119">
        <v>40000</v>
      </c>
      <c r="K207" s="119" t="s">
        <v>4620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>
        <v>1300000</v>
      </c>
      <c r="I208" s="165" t="s">
        <v>785</v>
      </c>
      <c r="J208" s="139">
        <v>30000</v>
      </c>
      <c r="K208" s="139" t="s">
        <v>4946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>
        <v>129000</v>
      </c>
      <c r="K209" s="119" t="s">
        <v>4947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65"/>
      <c r="J210" s="139">
        <v>49000</v>
      </c>
      <c r="K210" s="139" t="s">
        <v>4948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>
        <v>108000</v>
      </c>
      <c r="K211" s="119" t="s">
        <v>1641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65"/>
      <c r="J212" s="139">
        <v>72000</v>
      </c>
      <c r="K212" s="139" t="s">
        <v>1491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>
        <v>84000</v>
      </c>
      <c r="K213" s="119" t="s">
        <v>4949</v>
      </c>
    </row>
    <row r="214" spans="1:11" ht="19" x14ac:dyDescent="0.2">
      <c r="A214" s="144"/>
      <c r="B214" s="145"/>
      <c r="C214" s="149"/>
      <c r="D214" s="147"/>
      <c r="E214" s="150"/>
      <c r="F214" s="139"/>
      <c r="G214" s="139"/>
      <c r="H214" s="139"/>
      <c r="I214" s="165"/>
      <c r="J214" s="139">
        <v>75000</v>
      </c>
      <c r="K214" s="139" t="s">
        <v>4589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>
        <v>228000</v>
      </c>
      <c r="K215" s="119" t="s">
        <v>2667</v>
      </c>
    </row>
    <row r="216" spans="1:11" ht="19" x14ac:dyDescent="0.2">
      <c r="A216" s="144"/>
      <c r="B216" s="145"/>
      <c r="C216" s="149"/>
      <c r="D216" s="147"/>
      <c r="E216" s="150"/>
      <c r="F216" s="139"/>
      <c r="G216" s="139"/>
      <c r="H216" s="139"/>
      <c r="I216" s="165"/>
      <c r="J216" s="139">
        <v>24000</v>
      </c>
      <c r="K216" s="139" t="s">
        <v>3445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68"/>
      <c r="J217" s="119">
        <v>120000</v>
      </c>
      <c r="K217" s="119" t="s">
        <v>2199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/>
      <c r="J218" s="139">
        <v>24000</v>
      </c>
      <c r="K218" s="139" t="s">
        <v>4950</v>
      </c>
    </row>
    <row r="219" spans="1:11" ht="19" x14ac:dyDescent="0.2">
      <c r="A219" s="143"/>
      <c r="B219" s="153"/>
      <c r="C219" s="171"/>
      <c r="D219" s="155"/>
      <c r="E219" s="164"/>
      <c r="F219" s="119"/>
      <c r="G219" s="119"/>
      <c r="H219" s="119"/>
      <c r="I219" s="168"/>
      <c r="J219" s="119">
        <v>25000</v>
      </c>
      <c r="K219" s="119" t="s">
        <v>4951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65"/>
      <c r="J220" s="139">
        <v>160000</v>
      </c>
      <c r="K220" s="139" t="s">
        <v>1597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/>
      <c r="J221" s="119">
        <v>105000</v>
      </c>
      <c r="K221" s="119" t="s">
        <v>1566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/>
      <c r="J222" s="139">
        <v>190000</v>
      </c>
      <c r="K222" s="139" t="s">
        <v>1245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68"/>
      <c r="J223" s="119">
        <v>50000</v>
      </c>
      <c r="K223" s="119" t="s">
        <v>16</v>
      </c>
    </row>
    <row r="224" spans="1:11" ht="19" x14ac:dyDescent="0.2">
      <c r="A224" s="144"/>
      <c r="B224" s="145"/>
      <c r="C224" s="149"/>
      <c r="D224" s="147"/>
      <c r="E224" s="150"/>
      <c r="F224" s="139"/>
      <c r="G224" s="139"/>
      <c r="H224" s="139"/>
      <c r="I224" s="165"/>
      <c r="J224" s="139"/>
      <c r="K224" s="139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2AF3-1360-224D-92AD-AEA44AAC0570}">
  <dimension ref="A3:K240"/>
  <sheetViews>
    <sheetView tabSelected="1" workbookViewId="0">
      <selection activeCell="J13" sqref="J13"/>
    </sheetView>
  </sheetViews>
  <sheetFormatPr baseColWidth="10" defaultRowHeight="15" x14ac:dyDescent="0.2"/>
  <cols>
    <col min="1" max="1" width="21.83203125" bestFit="1" customWidth="1"/>
    <col min="3" max="3" width="13.33203125" bestFit="1" customWidth="1"/>
    <col min="4" max="4" width="11.83203125" bestFit="1" customWidth="1"/>
    <col min="5" max="5" width="20.33203125" bestFit="1" customWidth="1"/>
    <col min="6" max="6" width="24.5" customWidth="1"/>
    <col min="7" max="8" width="20.33203125" bestFit="1" customWidth="1"/>
    <col min="9" max="9" width="34" customWidth="1"/>
    <col min="10" max="10" width="20.33203125" bestFit="1" customWidth="1"/>
    <col min="11" max="11" width="29" bestFit="1" customWidth="1"/>
  </cols>
  <sheetData>
    <row r="3" spans="1:11" ht="21" x14ac:dyDescent="0.2">
      <c r="H3" s="73"/>
      <c r="I3" s="71" t="s">
        <v>174</v>
      </c>
      <c r="J3" s="71">
        <f>M10/A10</f>
        <v>0</v>
      </c>
    </row>
    <row r="4" spans="1:11" ht="21" x14ac:dyDescent="0.2">
      <c r="F4" s="212" t="s">
        <v>1802</v>
      </c>
      <c r="G4" s="282"/>
      <c r="H4" s="213"/>
      <c r="I4" s="71" t="s">
        <v>2314</v>
      </c>
      <c r="J4" s="71">
        <v>20727000</v>
      </c>
      <c r="K4" s="72">
        <f>J4/10820</f>
        <v>1915.619223659889</v>
      </c>
    </row>
    <row r="5" spans="1:11" ht="24" x14ac:dyDescent="0.3">
      <c r="B5" s="99" t="s">
        <v>5036</v>
      </c>
      <c r="H5" s="73"/>
      <c r="I5" s="71" t="s">
        <v>2315</v>
      </c>
      <c r="J5" s="71">
        <v>20727000</v>
      </c>
      <c r="K5" s="72">
        <f>J5/10820</f>
        <v>1915.619223659889</v>
      </c>
    </row>
    <row r="6" spans="1:11" ht="24" x14ac:dyDescent="0.3">
      <c r="B6" s="99"/>
      <c r="H6" s="73"/>
      <c r="I6" s="71" t="s">
        <v>178</v>
      </c>
      <c r="J6" s="71">
        <v>10011484</v>
      </c>
      <c r="K6" s="72" t="s">
        <v>5035</v>
      </c>
    </row>
    <row r="7" spans="1:11" ht="26" x14ac:dyDescent="0.3">
      <c r="B7" s="100" t="s">
        <v>5037</v>
      </c>
    </row>
    <row r="9" spans="1:11" ht="19" x14ac:dyDescent="0.2">
      <c r="A9" s="141" t="s">
        <v>0</v>
      </c>
      <c r="B9" s="141" t="s">
        <v>6</v>
      </c>
      <c r="C9" s="111" t="s">
        <v>5</v>
      </c>
      <c r="D9" s="112" t="s">
        <v>7</v>
      </c>
      <c r="E9" s="113" t="s">
        <v>4</v>
      </c>
      <c r="F9" s="114" t="s">
        <v>2</v>
      </c>
      <c r="G9" s="114" t="s">
        <v>2901</v>
      </c>
      <c r="H9" s="114" t="s">
        <v>8</v>
      </c>
      <c r="I9" s="114" t="s">
        <v>11</v>
      </c>
      <c r="J9" s="114" t="s">
        <v>3</v>
      </c>
      <c r="K9" s="114" t="s">
        <v>12</v>
      </c>
    </row>
    <row r="10" spans="1:11" ht="21" x14ac:dyDescent="0.2">
      <c r="A10" s="69">
        <f>SUM(A11:A574)</f>
        <v>134691000</v>
      </c>
      <c r="B10" s="65"/>
      <c r="C10" s="66" t="s">
        <v>13</v>
      </c>
      <c r="D10" s="67"/>
      <c r="E10" s="68">
        <f>SUM(E11:E574)</f>
        <v>79639000</v>
      </c>
      <c r="F10" s="69">
        <f>SUM(F11:F574)</f>
        <v>16295000</v>
      </c>
      <c r="G10" s="69">
        <f>SUM(G11:G561)</f>
        <v>38757000</v>
      </c>
      <c r="H10" s="69">
        <f>SUM(H11:H574)</f>
        <v>26734000</v>
      </c>
      <c r="I10" s="69"/>
      <c r="J10" s="69">
        <f>SUM(J11:J574)</f>
        <v>25227000</v>
      </c>
      <c r="K10" s="69"/>
    </row>
    <row r="11" spans="1:11" ht="19" x14ac:dyDescent="0.2">
      <c r="A11" s="142">
        <v>2616000</v>
      </c>
      <c r="B11" s="32">
        <v>46113</v>
      </c>
      <c r="C11" s="49" t="s">
        <v>9</v>
      </c>
      <c r="D11" s="13" t="s">
        <v>3941</v>
      </c>
      <c r="E11" s="15">
        <v>1486000</v>
      </c>
      <c r="F11" s="9">
        <v>317000</v>
      </c>
      <c r="G11" s="9">
        <v>813000</v>
      </c>
      <c r="H11" s="9">
        <v>880000</v>
      </c>
      <c r="I11" s="9" t="s">
        <v>4724</v>
      </c>
      <c r="J11" s="119">
        <v>140000</v>
      </c>
      <c r="K11" s="9" t="s">
        <v>3728</v>
      </c>
    </row>
    <row r="12" spans="1:11" ht="19" x14ac:dyDescent="0.2">
      <c r="A12" s="144"/>
      <c r="B12" s="145"/>
      <c r="C12" s="151"/>
      <c r="D12" s="147"/>
      <c r="E12" s="150"/>
      <c r="F12" s="139"/>
      <c r="G12" s="139"/>
      <c r="H12" s="152"/>
      <c r="I12" s="296"/>
      <c r="J12" s="139">
        <v>20000</v>
      </c>
      <c r="K12" s="139" t="s">
        <v>3662</v>
      </c>
    </row>
    <row r="13" spans="1:11" ht="19" x14ac:dyDescent="0.2">
      <c r="A13" s="143"/>
      <c r="B13" s="153"/>
      <c r="C13" s="163"/>
      <c r="D13" s="155"/>
      <c r="E13" s="164"/>
      <c r="F13" s="119"/>
      <c r="G13" s="119"/>
      <c r="H13" s="175"/>
      <c r="I13" s="174"/>
      <c r="J13" s="119">
        <v>6000</v>
      </c>
      <c r="K13" s="119" t="s">
        <v>1580</v>
      </c>
    </row>
    <row r="14" spans="1:11" ht="19" x14ac:dyDescent="0.2">
      <c r="A14" s="144"/>
      <c r="B14" s="145"/>
      <c r="C14" s="151"/>
      <c r="D14" s="147"/>
      <c r="E14" s="150"/>
      <c r="F14" s="139"/>
      <c r="G14" s="139"/>
      <c r="H14" s="152"/>
      <c r="I14" s="162"/>
      <c r="J14" s="139">
        <v>33000</v>
      </c>
      <c r="K14" s="139" t="s">
        <v>1524</v>
      </c>
    </row>
    <row r="15" spans="1:11" ht="19" x14ac:dyDescent="0.2">
      <c r="A15" s="143">
        <v>1505000</v>
      </c>
      <c r="B15" s="153"/>
      <c r="C15" s="163" t="s">
        <v>10</v>
      </c>
      <c r="D15" s="155" t="s">
        <v>4443</v>
      </c>
      <c r="E15" s="164">
        <v>1117000</v>
      </c>
      <c r="F15" s="119">
        <v>0</v>
      </c>
      <c r="G15" s="119">
        <v>388000</v>
      </c>
      <c r="H15" s="119"/>
      <c r="I15" s="174"/>
      <c r="J15" s="119">
        <v>11000</v>
      </c>
      <c r="K15" s="119" t="s">
        <v>1305</v>
      </c>
    </row>
    <row r="16" spans="1:11" ht="19" x14ac:dyDescent="0.2">
      <c r="A16" s="144"/>
      <c r="B16" s="145"/>
      <c r="C16" s="151"/>
      <c r="D16" s="147"/>
      <c r="E16" s="150"/>
      <c r="F16" s="139"/>
      <c r="G16" s="139"/>
      <c r="H16" s="139"/>
      <c r="I16" s="162"/>
      <c r="J16" s="139">
        <v>250000</v>
      </c>
      <c r="K16" s="139" t="s">
        <v>2796</v>
      </c>
    </row>
    <row r="17" spans="1:11" ht="19" x14ac:dyDescent="0.2">
      <c r="A17" s="143"/>
      <c r="B17" s="153"/>
      <c r="C17" s="163"/>
      <c r="D17" s="155"/>
      <c r="E17" s="164"/>
      <c r="F17" s="119"/>
      <c r="G17" s="119"/>
      <c r="H17" s="119"/>
      <c r="I17" s="174"/>
      <c r="J17" s="119">
        <v>50000</v>
      </c>
      <c r="K17" s="119" t="s">
        <v>3635</v>
      </c>
    </row>
    <row r="18" spans="1:11" ht="19" x14ac:dyDescent="0.2">
      <c r="A18" s="144"/>
      <c r="B18" s="145"/>
      <c r="C18" s="151"/>
      <c r="D18" s="147"/>
      <c r="E18" s="150"/>
      <c r="F18" s="139"/>
      <c r="G18" s="139"/>
      <c r="H18" s="139"/>
      <c r="I18" s="162"/>
      <c r="J18" s="139">
        <v>160000</v>
      </c>
      <c r="K18" s="139" t="s">
        <v>1805</v>
      </c>
    </row>
    <row r="19" spans="1:11" ht="19" x14ac:dyDescent="0.2">
      <c r="A19" s="143">
        <v>3038000</v>
      </c>
      <c r="B19" s="153">
        <v>46114</v>
      </c>
      <c r="C19" s="163" t="s">
        <v>9</v>
      </c>
      <c r="D19" s="155" t="s">
        <v>4861</v>
      </c>
      <c r="E19" s="164">
        <v>1573000</v>
      </c>
      <c r="F19" s="119">
        <v>348000</v>
      </c>
      <c r="G19" s="119">
        <v>1117000</v>
      </c>
      <c r="H19" s="119"/>
      <c r="I19" s="119"/>
      <c r="J19" s="9">
        <v>550000</v>
      </c>
      <c r="K19" s="9" t="s">
        <v>4961</v>
      </c>
    </row>
    <row r="20" spans="1:11" ht="19" x14ac:dyDescent="0.2">
      <c r="A20" s="144"/>
      <c r="B20" s="145"/>
      <c r="C20" s="149"/>
      <c r="D20" s="147"/>
      <c r="E20" s="150"/>
      <c r="F20" s="139"/>
      <c r="G20" s="139"/>
      <c r="H20" s="139"/>
      <c r="I20" s="139"/>
      <c r="J20" s="139"/>
      <c r="K20" s="139"/>
    </row>
    <row r="21" spans="1:11" ht="19" x14ac:dyDescent="0.2">
      <c r="A21" s="143">
        <v>1273000</v>
      </c>
      <c r="B21" s="32"/>
      <c r="C21" s="49" t="s">
        <v>10</v>
      </c>
      <c r="D21" s="13" t="s">
        <v>4443</v>
      </c>
      <c r="E21" s="15">
        <v>797000</v>
      </c>
      <c r="F21" s="9">
        <v>127000</v>
      </c>
      <c r="G21" s="9">
        <v>349000</v>
      </c>
      <c r="H21" s="9"/>
      <c r="I21" s="9"/>
      <c r="J21" s="174">
        <v>16000</v>
      </c>
      <c r="K21" s="106" t="s">
        <v>4962</v>
      </c>
    </row>
    <row r="22" spans="1:11" ht="19" x14ac:dyDescent="0.2">
      <c r="A22" s="144"/>
      <c r="B22" s="145"/>
      <c r="C22" s="149"/>
      <c r="D22" s="147"/>
      <c r="E22" s="150"/>
      <c r="F22" s="139"/>
      <c r="G22" s="139"/>
      <c r="H22" s="139"/>
      <c r="I22" s="139"/>
      <c r="J22" s="162"/>
      <c r="K22" s="162"/>
    </row>
    <row r="23" spans="1:11" ht="19" x14ac:dyDescent="0.2">
      <c r="A23" s="142">
        <v>3004000</v>
      </c>
      <c r="B23" s="32">
        <v>46115</v>
      </c>
      <c r="C23" s="49" t="s">
        <v>9</v>
      </c>
      <c r="D23" s="13" t="s">
        <v>3941</v>
      </c>
      <c r="E23" s="15">
        <v>1717000</v>
      </c>
      <c r="F23" s="9">
        <v>221000</v>
      </c>
      <c r="G23" s="9">
        <v>1066000</v>
      </c>
      <c r="H23" s="9"/>
      <c r="I23" s="9"/>
      <c r="J23" s="174">
        <v>187000</v>
      </c>
      <c r="K23" s="106" t="s">
        <v>2732</v>
      </c>
    </row>
    <row r="24" spans="1:11" ht="19" x14ac:dyDescent="0.2">
      <c r="A24" s="148"/>
      <c r="B24" s="145"/>
      <c r="C24" s="149"/>
      <c r="D24" s="147"/>
      <c r="E24" s="150"/>
      <c r="F24" s="139"/>
      <c r="G24" s="139"/>
      <c r="H24" s="139"/>
      <c r="I24" s="139"/>
      <c r="J24" s="162">
        <v>120000</v>
      </c>
      <c r="K24" s="162" t="s">
        <v>2726</v>
      </c>
    </row>
    <row r="25" spans="1:11" ht="19" x14ac:dyDescent="0.2">
      <c r="A25" s="142"/>
      <c r="B25" s="153"/>
      <c r="C25" s="171"/>
      <c r="D25" s="155"/>
      <c r="E25" s="164"/>
      <c r="F25" s="119"/>
      <c r="G25" s="119"/>
      <c r="H25" s="119"/>
      <c r="I25" s="119"/>
      <c r="J25" s="119">
        <v>10000</v>
      </c>
      <c r="K25" s="119" t="s">
        <v>4963</v>
      </c>
    </row>
    <row r="26" spans="1:11" ht="19" x14ac:dyDescent="0.2">
      <c r="A26" s="148"/>
      <c r="B26" s="145"/>
      <c r="C26" s="149"/>
      <c r="D26" s="147"/>
      <c r="E26" s="150"/>
      <c r="F26" s="139"/>
      <c r="G26" s="139"/>
      <c r="H26" s="139"/>
      <c r="I26" s="139"/>
      <c r="J26" s="139">
        <v>105000</v>
      </c>
      <c r="K26" s="139" t="s">
        <v>4772</v>
      </c>
    </row>
    <row r="27" spans="1:11" ht="19" x14ac:dyDescent="0.2">
      <c r="A27" s="143"/>
      <c r="B27" s="32"/>
      <c r="C27" s="49"/>
      <c r="D27" s="13"/>
      <c r="E27" s="15"/>
      <c r="F27" s="9"/>
      <c r="G27" s="9"/>
      <c r="H27" s="9"/>
      <c r="I27" s="9"/>
      <c r="J27" s="119">
        <v>11000</v>
      </c>
      <c r="K27" s="106" t="s">
        <v>4964</v>
      </c>
    </row>
    <row r="28" spans="1:11" ht="19" x14ac:dyDescent="0.2">
      <c r="A28" s="144"/>
      <c r="B28" s="145"/>
      <c r="C28" s="149"/>
      <c r="D28" s="147"/>
      <c r="E28" s="150"/>
      <c r="F28" s="139"/>
      <c r="G28" s="139"/>
      <c r="H28" s="139"/>
      <c r="I28" s="139"/>
      <c r="J28" s="139">
        <v>116000</v>
      </c>
      <c r="K28" s="139" t="s">
        <v>4965</v>
      </c>
    </row>
    <row r="29" spans="1:11" ht="19" x14ac:dyDescent="0.2">
      <c r="A29" s="143"/>
      <c r="B29" s="32"/>
      <c r="C29" s="49"/>
      <c r="D29" s="13"/>
      <c r="E29" s="15"/>
      <c r="F29" s="174"/>
      <c r="G29" s="174"/>
      <c r="H29" s="9"/>
      <c r="I29" s="9"/>
      <c r="J29" s="119">
        <v>162000</v>
      </c>
      <c r="K29" s="9" t="s">
        <v>3914</v>
      </c>
    </row>
    <row r="30" spans="1:11" ht="19" x14ac:dyDescent="0.2">
      <c r="A30" s="144"/>
      <c r="B30" s="145"/>
      <c r="C30" s="149"/>
      <c r="D30" s="147"/>
      <c r="E30" s="150"/>
      <c r="F30" s="139"/>
      <c r="G30" s="139"/>
      <c r="H30" s="139"/>
      <c r="I30" s="139"/>
      <c r="J30" s="139">
        <v>64000</v>
      </c>
      <c r="K30" s="139" t="s">
        <v>2846</v>
      </c>
    </row>
    <row r="31" spans="1:11" ht="19" x14ac:dyDescent="0.2">
      <c r="A31" s="143">
        <v>1772000</v>
      </c>
      <c r="B31" s="32"/>
      <c r="C31" s="49" t="s">
        <v>10</v>
      </c>
      <c r="D31" s="13" t="s">
        <v>4861</v>
      </c>
      <c r="E31" s="15">
        <v>1184000</v>
      </c>
      <c r="F31" s="9">
        <v>355000</v>
      </c>
      <c r="G31" s="9">
        <v>233000</v>
      </c>
      <c r="H31" s="9"/>
      <c r="I31" s="119"/>
      <c r="J31" s="9">
        <v>15000</v>
      </c>
      <c r="K31" s="9" t="s">
        <v>1233</v>
      </c>
    </row>
    <row r="32" spans="1:11" ht="19" x14ac:dyDescent="0.2">
      <c r="A32" s="144"/>
      <c r="B32" s="145"/>
      <c r="C32" s="149"/>
      <c r="D32" s="147"/>
      <c r="E32" s="150"/>
      <c r="F32" s="139"/>
      <c r="G32" s="139"/>
      <c r="H32" s="139"/>
      <c r="I32" s="139"/>
      <c r="J32" s="139"/>
      <c r="K32" s="139"/>
    </row>
    <row r="33" spans="1:11" ht="19" x14ac:dyDescent="0.2">
      <c r="A33" s="143">
        <v>2447000</v>
      </c>
      <c r="B33" s="153">
        <v>46116</v>
      </c>
      <c r="C33" s="171" t="s">
        <v>9</v>
      </c>
      <c r="D33" s="155" t="s">
        <v>3941</v>
      </c>
      <c r="E33" s="164">
        <v>1222000</v>
      </c>
      <c r="F33" s="119">
        <v>402000</v>
      </c>
      <c r="G33" s="119">
        <v>823000</v>
      </c>
      <c r="H33" s="119"/>
      <c r="I33" s="119"/>
      <c r="J33" s="119">
        <v>100000</v>
      </c>
      <c r="K33" s="119" t="s">
        <v>3248</v>
      </c>
    </row>
    <row r="34" spans="1:11" ht="19" x14ac:dyDescent="0.2">
      <c r="A34" s="144"/>
      <c r="B34" s="145"/>
      <c r="C34" s="149"/>
      <c r="D34" s="147"/>
      <c r="E34" s="150"/>
      <c r="F34" s="139"/>
      <c r="G34" s="139"/>
      <c r="H34" s="139"/>
      <c r="I34" s="139"/>
      <c r="J34" s="139">
        <v>27000</v>
      </c>
      <c r="K34" s="139" t="s">
        <v>3601</v>
      </c>
    </row>
    <row r="35" spans="1:11" ht="19" x14ac:dyDescent="0.2">
      <c r="A35" s="143">
        <v>1548000</v>
      </c>
      <c r="B35" s="32"/>
      <c r="C35" s="49" t="s">
        <v>10</v>
      </c>
      <c r="D35" s="13" t="s">
        <v>4861</v>
      </c>
      <c r="E35" s="15">
        <v>800000</v>
      </c>
      <c r="F35" s="9">
        <v>253000</v>
      </c>
      <c r="G35" s="9">
        <v>495000</v>
      </c>
      <c r="H35" s="9"/>
      <c r="I35" s="119"/>
      <c r="J35" s="9">
        <v>50000</v>
      </c>
      <c r="K35" s="9" t="s">
        <v>123</v>
      </c>
    </row>
    <row r="36" spans="1:11" ht="19" x14ac:dyDescent="0.2">
      <c r="A36" s="144"/>
      <c r="B36" s="145"/>
      <c r="C36" s="149"/>
      <c r="D36" s="147"/>
      <c r="E36" s="150"/>
      <c r="F36" s="139"/>
      <c r="G36" s="139"/>
      <c r="H36" s="139"/>
      <c r="I36" s="139"/>
      <c r="J36" s="139"/>
      <c r="K36" s="139"/>
    </row>
    <row r="37" spans="1:11" ht="32" x14ac:dyDescent="0.2">
      <c r="A37" s="143">
        <v>2355000</v>
      </c>
      <c r="B37" s="32">
        <v>46117</v>
      </c>
      <c r="C37" s="49" t="s">
        <v>9</v>
      </c>
      <c r="D37" s="13" t="s">
        <v>3941</v>
      </c>
      <c r="E37" s="15">
        <v>1264000</v>
      </c>
      <c r="F37" s="9">
        <v>367000</v>
      </c>
      <c r="G37" s="9">
        <v>724000</v>
      </c>
      <c r="H37" s="9"/>
      <c r="I37" s="119"/>
      <c r="J37" s="60">
        <v>10000000</v>
      </c>
      <c r="K37" s="59" t="s">
        <v>5034</v>
      </c>
    </row>
    <row r="38" spans="1:11" ht="19" x14ac:dyDescent="0.2">
      <c r="A38" s="144"/>
      <c r="B38" s="145"/>
      <c r="C38" s="149"/>
      <c r="D38" s="147"/>
      <c r="E38" s="150"/>
      <c r="F38" s="139"/>
      <c r="G38" s="139"/>
      <c r="H38" s="139"/>
      <c r="I38" s="139"/>
      <c r="J38" s="139"/>
      <c r="K38" s="139"/>
    </row>
    <row r="39" spans="1:11" ht="19" x14ac:dyDescent="0.2">
      <c r="A39" s="143">
        <v>1415000</v>
      </c>
      <c r="B39" s="32"/>
      <c r="C39" s="49" t="s">
        <v>10</v>
      </c>
      <c r="D39" s="13" t="s">
        <v>4861</v>
      </c>
      <c r="E39" s="15">
        <v>1028000</v>
      </c>
      <c r="F39" s="9">
        <v>138000</v>
      </c>
      <c r="G39" s="9">
        <v>249000</v>
      </c>
      <c r="H39" s="9"/>
      <c r="I39" s="119"/>
      <c r="J39" s="9"/>
      <c r="K39" s="9"/>
    </row>
    <row r="40" spans="1:11" ht="19" x14ac:dyDescent="0.2">
      <c r="A40" s="144"/>
      <c r="B40" s="145"/>
      <c r="C40" s="149"/>
      <c r="D40" s="147"/>
      <c r="E40" s="150"/>
      <c r="F40" s="139"/>
      <c r="G40" s="139"/>
      <c r="H40" s="139"/>
      <c r="I40" s="139"/>
      <c r="J40" s="139"/>
      <c r="K40" s="139"/>
    </row>
    <row r="41" spans="1:11" ht="19" x14ac:dyDescent="0.2">
      <c r="A41" s="143">
        <v>2141000</v>
      </c>
      <c r="B41" s="32">
        <v>46118</v>
      </c>
      <c r="C41" s="49" t="s">
        <v>9</v>
      </c>
      <c r="D41" s="13" t="s">
        <v>3941</v>
      </c>
      <c r="E41" s="15">
        <v>1077000</v>
      </c>
      <c r="F41" s="9">
        <v>106000</v>
      </c>
      <c r="G41" s="9">
        <v>958000</v>
      </c>
      <c r="H41" s="9"/>
      <c r="I41" s="119"/>
      <c r="J41" s="9">
        <v>44000</v>
      </c>
      <c r="K41" s="9" t="s">
        <v>1493</v>
      </c>
    </row>
    <row r="42" spans="1:11" ht="19" x14ac:dyDescent="0.2">
      <c r="A42" s="144"/>
      <c r="B42" s="145"/>
      <c r="C42" s="149"/>
      <c r="D42" s="147"/>
      <c r="E42" s="150"/>
      <c r="F42" s="139"/>
      <c r="G42" s="139"/>
      <c r="H42" s="139"/>
      <c r="I42" s="139"/>
      <c r="J42" s="139">
        <v>94000</v>
      </c>
      <c r="K42" s="139" t="s">
        <v>4966</v>
      </c>
    </row>
    <row r="43" spans="1:11" ht="19" x14ac:dyDescent="0.2">
      <c r="A43" s="143"/>
      <c r="B43" s="32"/>
      <c r="C43" s="49"/>
      <c r="D43" s="13"/>
      <c r="E43" s="15"/>
      <c r="F43" s="9"/>
      <c r="G43" s="9"/>
      <c r="H43" s="9"/>
      <c r="I43" s="119"/>
      <c r="J43" s="9">
        <v>118000</v>
      </c>
      <c r="K43" s="9" t="s">
        <v>4967</v>
      </c>
    </row>
    <row r="44" spans="1:11" ht="19" x14ac:dyDescent="0.2">
      <c r="A44" s="144"/>
      <c r="B44" s="145"/>
      <c r="C44" s="149"/>
      <c r="D44" s="147"/>
      <c r="E44" s="150"/>
      <c r="F44" s="139"/>
      <c r="G44" s="139"/>
      <c r="H44" s="139"/>
      <c r="I44" s="139"/>
      <c r="J44" s="139">
        <v>18000</v>
      </c>
      <c r="K44" s="139" t="s">
        <v>2475</v>
      </c>
    </row>
    <row r="45" spans="1:11" ht="19" x14ac:dyDescent="0.2">
      <c r="A45" s="143"/>
      <c r="B45" s="153"/>
      <c r="C45" s="171"/>
      <c r="D45" s="155"/>
      <c r="E45" s="164"/>
      <c r="F45" s="119"/>
      <c r="G45" s="119"/>
      <c r="H45" s="119"/>
      <c r="I45" s="119"/>
      <c r="J45" s="119">
        <v>10000</v>
      </c>
      <c r="K45" s="119" t="s">
        <v>4968</v>
      </c>
    </row>
    <row r="46" spans="1:11" ht="19" x14ac:dyDescent="0.2">
      <c r="A46" s="144"/>
      <c r="B46" s="145"/>
      <c r="C46" s="149"/>
      <c r="D46" s="147"/>
      <c r="E46" s="150"/>
      <c r="F46" s="139"/>
      <c r="G46" s="139"/>
      <c r="H46" s="139"/>
      <c r="I46" s="139"/>
      <c r="J46" s="139">
        <v>100000</v>
      </c>
      <c r="K46" s="139" t="s">
        <v>3828</v>
      </c>
    </row>
    <row r="47" spans="1:11" ht="19" x14ac:dyDescent="0.2">
      <c r="A47" s="143"/>
      <c r="B47" s="153"/>
      <c r="C47" s="171"/>
      <c r="D47" s="155"/>
      <c r="E47" s="164"/>
      <c r="F47" s="119"/>
      <c r="G47" s="119"/>
      <c r="H47" s="119"/>
      <c r="I47" s="119"/>
      <c r="J47" s="119">
        <v>20000</v>
      </c>
      <c r="K47" s="119" t="s">
        <v>3322</v>
      </c>
    </row>
    <row r="48" spans="1:11" ht="19" x14ac:dyDescent="0.2">
      <c r="A48" s="144">
        <v>1200000</v>
      </c>
      <c r="B48" s="145"/>
      <c r="C48" s="149" t="s">
        <v>10</v>
      </c>
      <c r="D48" s="147" t="s">
        <v>4443</v>
      </c>
      <c r="E48" s="150">
        <v>896000</v>
      </c>
      <c r="F48" s="139">
        <v>120000</v>
      </c>
      <c r="G48" s="139">
        <v>184000</v>
      </c>
      <c r="H48" s="139"/>
      <c r="I48" s="152"/>
      <c r="J48" s="139">
        <v>750000</v>
      </c>
      <c r="K48" s="139" t="s">
        <v>3748</v>
      </c>
    </row>
    <row r="49" spans="1:11" ht="19" x14ac:dyDescent="0.2">
      <c r="A49" s="143"/>
      <c r="B49" s="153"/>
      <c r="C49" s="171"/>
      <c r="D49" s="155"/>
      <c r="E49" s="164"/>
      <c r="F49" s="119"/>
      <c r="G49" s="119"/>
      <c r="H49" s="119"/>
      <c r="I49" s="119"/>
      <c r="J49" s="119">
        <v>250000</v>
      </c>
      <c r="K49" s="119" t="s">
        <v>2796</v>
      </c>
    </row>
    <row r="50" spans="1:11" ht="19" x14ac:dyDescent="0.2">
      <c r="A50" s="144"/>
      <c r="B50" s="145"/>
      <c r="C50" s="149"/>
      <c r="D50" s="147"/>
      <c r="E50" s="150"/>
      <c r="F50" s="139"/>
      <c r="G50" s="139"/>
      <c r="H50" s="139"/>
      <c r="I50" s="139"/>
      <c r="J50" s="139">
        <v>50000</v>
      </c>
      <c r="K50" s="139" t="s">
        <v>3635</v>
      </c>
    </row>
    <row r="51" spans="1:11" ht="19" x14ac:dyDescent="0.2">
      <c r="A51" s="143"/>
      <c r="B51" s="153"/>
      <c r="C51" s="171"/>
      <c r="D51" s="155"/>
      <c r="E51" s="164"/>
      <c r="F51" s="119"/>
      <c r="G51" s="119"/>
      <c r="H51" s="119"/>
      <c r="I51" s="119"/>
      <c r="J51" s="119">
        <v>160000</v>
      </c>
      <c r="K51" s="119" t="s">
        <v>1805</v>
      </c>
    </row>
    <row r="52" spans="1:11" ht="19" x14ac:dyDescent="0.2">
      <c r="A52" s="144">
        <v>3785000</v>
      </c>
      <c r="B52" s="145">
        <v>46119</v>
      </c>
      <c r="C52" s="149" t="s">
        <v>9</v>
      </c>
      <c r="D52" s="147" t="s">
        <v>4861</v>
      </c>
      <c r="E52" s="150">
        <v>2084000</v>
      </c>
      <c r="F52" s="139">
        <v>351000</v>
      </c>
      <c r="G52" s="139">
        <v>1350000</v>
      </c>
      <c r="H52" s="139"/>
      <c r="I52" s="139"/>
      <c r="J52" s="139">
        <v>150000</v>
      </c>
      <c r="K52" s="139" t="s">
        <v>3588</v>
      </c>
    </row>
    <row r="53" spans="1:11" ht="19" x14ac:dyDescent="0.2">
      <c r="A53" s="143"/>
      <c r="B53" s="153"/>
      <c r="C53" s="171"/>
      <c r="D53" s="155"/>
      <c r="E53" s="164"/>
      <c r="F53" s="119"/>
      <c r="G53" s="119"/>
      <c r="H53" s="119"/>
      <c r="I53" s="119"/>
      <c r="J53" s="119">
        <v>150000</v>
      </c>
      <c r="K53" s="119" t="s">
        <v>4969</v>
      </c>
    </row>
    <row r="54" spans="1:11" ht="19" x14ac:dyDescent="0.2">
      <c r="A54" s="144"/>
      <c r="B54" s="145"/>
      <c r="C54" s="149"/>
      <c r="D54" s="147"/>
      <c r="E54" s="150"/>
      <c r="F54" s="139"/>
      <c r="G54" s="139"/>
      <c r="H54" s="139"/>
      <c r="I54" s="139"/>
      <c r="J54" s="139">
        <v>150000</v>
      </c>
      <c r="K54" s="139" t="s">
        <v>3711</v>
      </c>
    </row>
    <row r="55" spans="1:11" ht="19" x14ac:dyDescent="0.2">
      <c r="A55" s="143"/>
      <c r="B55" s="153"/>
      <c r="C55" s="171"/>
      <c r="D55" s="155"/>
      <c r="E55" s="164"/>
      <c r="F55" s="119"/>
      <c r="G55" s="119"/>
      <c r="H55" s="119"/>
      <c r="I55" s="119"/>
      <c r="J55" s="119">
        <v>150000</v>
      </c>
      <c r="K55" s="119" t="s">
        <v>4970</v>
      </c>
    </row>
    <row r="56" spans="1:11" ht="19" x14ac:dyDescent="0.2">
      <c r="A56" s="144"/>
      <c r="B56" s="145"/>
      <c r="C56" s="149"/>
      <c r="D56" s="147"/>
      <c r="E56" s="150"/>
      <c r="F56" s="139"/>
      <c r="G56" s="139"/>
      <c r="H56" s="139"/>
      <c r="I56" s="139"/>
      <c r="J56" s="139">
        <v>150000</v>
      </c>
      <c r="K56" s="139" t="s">
        <v>4971</v>
      </c>
    </row>
    <row r="57" spans="1:11" ht="19" x14ac:dyDescent="0.2">
      <c r="A57" s="143"/>
      <c r="B57" s="153"/>
      <c r="C57" s="171"/>
      <c r="D57" s="155"/>
      <c r="E57" s="164"/>
      <c r="F57" s="119"/>
      <c r="G57" s="119"/>
      <c r="H57" s="119"/>
      <c r="I57" s="119"/>
      <c r="J57" s="119">
        <v>150000</v>
      </c>
      <c r="K57" s="119" t="s">
        <v>3835</v>
      </c>
    </row>
    <row r="58" spans="1:11" ht="19" x14ac:dyDescent="0.2">
      <c r="A58" s="144"/>
      <c r="B58" s="145"/>
      <c r="C58" s="149"/>
      <c r="D58" s="147"/>
      <c r="E58" s="150"/>
      <c r="F58" s="139"/>
      <c r="G58" s="139"/>
      <c r="H58" s="139"/>
      <c r="I58" s="139"/>
      <c r="J58" s="139">
        <v>27000</v>
      </c>
      <c r="K58" s="139" t="s">
        <v>1728</v>
      </c>
    </row>
    <row r="59" spans="1:11" ht="19" x14ac:dyDescent="0.2">
      <c r="A59" s="143"/>
      <c r="B59" s="153"/>
      <c r="C59" s="171"/>
      <c r="D59" s="155"/>
      <c r="E59" s="164"/>
      <c r="F59" s="119"/>
      <c r="G59" s="119"/>
      <c r="H59" s="173"/>
      <c r="I59" s="119"/>
      <c r="J59" s="119">
        <v>34000</v>
      </c>
      <c r="K59" s="119" t="s">
        <v>3677</v>
      </c>
    </row>
    <row r="60" spans="1:11" ht="19" x14ac:dyDescent="0.2">
      <c r="A60" s="144">
        <v>1216000</v>
      </c>
      <c r="B60" s="145"/>
      <c r="C60" s="149" t="s">
        <v>10</v>
      </c>
      <c r="D60" s="147" t="s">
        <v>4443</v>
      </c>
      <c r="E60" s="150">
        <v>664000</v>
      </c>
      <c r="F60" s="139">
        <v>90000</v>
      </c>
      <c r="G60" s="139">
        <v>462000</v>
      </c>
      <c r="H60" s="300">
        <v>7350000</v>
      </c>
      <c r="I60" s="139" t="s">
        <v>2898</v>
      </c>
      <c r="J60" s="139">
        <v>12000</v>
      </c>
      <c r="K60" s="139" t="s">
        <v>4972</v>
      </c>
    </row>
    <row r="61" spans="1:11" ht="19" x14ac:dyDescent="0.2">
      <c r="A61" s="143"/>
      <c r="B61" s="153"/>
      <c r="C61" s="171"/>
      <c r="D61" s="155"/>
      <c r="E61" s="164"/>
      <c r="F61" s="119"/>
      <c r="G61" s="119"/>
      <c r="H61" s="173"/>
      <c r="I61" s="119"/>
      <c r="J61" s="119"/>
      <c r="K61" s="119"/>
    </row>
    <row r="62" spans="1:11" ht="19" x14ac:dyDescent="0.2">
      <c r="A62" s="144">
        <v>3616000</v>
      </c>
      <c r="B62" s="145">
        <v>46120</v>
      </c>
      <c r="C62" s="149" t="s">
        <v>9</v>
      </c>
      <c r="D62" s="147" t="s">
        <v>3941</v>
      </c>
      <c r="E62" s="150">
        <v>2090000</v>
      </c>
      <c r="F62" s="139">
        <v>344000</v>
      </c>
      <c r="G62" s="139">
        <v>1182000</v>
      </c>
      <c r="H62" s="157"/>
      <c r="I62" s="139"/>
      <c r="J62" s="139">
        <v>71000</v>
      </c>
      <c r="K62" s="139" t="s">
        <v>1491</v>
      </c>
    </row>
    <row r="63" spans="1:11" ht="19" x14ac:dyDescent="0.2">
      <c r="A63" s="143"/>
      <c r="B63" s="153"/>
      <c r="C63" s="171"/>
      <c r="D63" s="155"/>
      <c r="E63" s="164"/>
      <c r="F63" s="119"/>
      <c r="G63" s="119"/>
      <c r="H63" s="119"/>
      <c r="I63" s="119"/>
      <c r="J63" s="119">
        <v>7000</v>
      </c>
      <c r="K63" s="119" t="s">
        <v>4973</v>
      </c>
    </row>
    <row r="64" spans="1:11" ht="19" x14ac:dyDescent="0.2">
      <c r="A64" s="144"/>
      <c r="B64" s="145"/>
      <c r="C64" s="149"/>
      <c r="D64" s="147"/>
      <c r="E64" s="150"/>
      <c r="F64" s="150"/>
      <c r="G64" s="139"/>
      <c r="H64" s="139"/>
      <c r="I64" s="139"/>
      <c r="J64" s="139">
        <v>30000</v>
      </c>
      <c r="K64" s="139" t="s">
        <v>4933</v>
      </c>
    </row>
    <row r="65" spans="1:11" ht="19" x14ac:dyDescent="0.2">
      <c r="A65" s="143"/>
      <c r="B65" s="153"/>
      <c r="C65" s="171"/>
      <c r="D65" s="155"/>
      <c r="E65" s="164"/>
      <c r="F65" s="119"/>
      <c r="G65" s="119"/>
      <c r="H65" s="119"/>
      <c r="I65" s="119"/>
      <c r="J65" s="119">
        <v>45000</v>
      </c>
      <c r="K65" s="119" t="s">
        <v>4574</v>
      </c>
    </row>
    <row r="66" spans="1:11" ht="19" x14ac:dyDescent="0.2">
      <c r="A66" s="144"/>
      <c r="B66" s="145"/>
      <c r="C66" s="149"/>
      <c r="D66" s="147"/>
      <c r="E66" s="150"/>
      <c r="F66" s="139"/>
      <c r="G66" s="139"/>
      <c r="H66" s="152"/>
      <c r="I66" s="152"/>
      <c r="J66" s="139">
        <v>40000</v>
      </c>
      <c r="K66" s="139" t="s">
        <v>4685</v>
      </c>
    </row>
    <row r="67" spans="1:11" ht="19" x14ac:dyDescent="0.2">
      <c r="A67" s="143"/>
      <c r="B67" s="153"/>
      <c r="C67" s="171"/>
      <c r="D67" s="155"/>
      <c r="E67" s="164"/>
      <c r="F67" s="119"/>
      <c r="G67" s="119"/>
      <c r="H67" s="119"/>
      <c r="I67" s="119"/>
      <c r="J67" s="119">
        <v>50000</v>
      </c>
      <c r="K67" s="119" t="s">
        <v>4974</v>
      </c>
    </row>
    <row r="68" spans="1:11" ht="19" x14ac:dyDescent="0.2">
      <c r="A68" s="144"/>
      <c r="B68" s="145"/>
      <c r="C68" s="149"/>
      <c r="D68" s="147"/>
      <c r="E68" s="150"/>
      <c r="F68" s="139"/>
      <c r="G68" s="139"/>
      <c r="H68" s="139"/>
      <c r="I68" s="139"/>
      <c r="J68" s="139">
        <v>29000</v>
      </c>
      <c r="K68" s="139" t="s">
        <v>4751</v>
      </c>
    </row>
    <row r="69" spans="1:11" ht="19" x14ac:dyDescent="0.2">
      <c r="A69" s="206"/>
      <c r="B69" s="153"/>
      <c r="C69" s="171"/>
      <c r="D69" s="155"/>
      <c r="E69" s="210"/>
      <c r="F69" s="211"/>
      <c r="G69" s="211"/>
      <c r="H69" s="211"/>
      <c r="I69" s="119"/>
      <c r="J69" s="211">
        <v>37000</v>
      </c>
      <c r="K69" s="119" t="s">
        <v>4777</v>
      </c>
    </row>
    <row r="70" spans="1:11" ht="19" x14ac:dyDescent="0.2">
      <c r="A70" s="144"/>
      <c r="B70" s="145"/>
      <c r="C70" s="149"/>
      <c r="D70" s="147"/>
      <c r="E70" s="150"/>
      <c r="F70" s="139"/>
      <c r="G70" s="139"/>
      <c r="H70" s="139"/>
      <c r="I70" s="139"/>
      <c r="J70" s="139">
        <v>156000</v>
      </c>
      <c r="K70" s="139" t="s">
        <v>4975</v>
      </c>
    </row>
    <row r="71" spans="1:11" ht="19" x14ac:dyDescent="0.2">
      <c r="A71" s="143"/>
      <c r="B71" s="32"/>
      <c r="C71" s="49"/>
      <c r="D71" s="13"/>
      <c r="E71" s="15"/>
      <c r="F71" s="9"/>
      <c r="G71" s="9"/>
      <c r="H71" s="9"/>
      <c r="I71" s="9"/>
      <c r="J71" s="9">
        <v>78000</v>
      </c>
      <c r="K71" s="9" t="s">
        <v>4976</v>
      </c>
    </row>
    <row r="72" spans="1:11" ht="19" x14ac:dyDescent="0.2">
      <c r="A72" s="144">
        <v>1556000</v>
      </c>
      <c r="B72" s="145"/>
      <c r="C72" s="149" t="s">
        <v>10</v>
      </c>
      <c r="D72" s="147" t="s">
        <v>4443</v>
      </c>
      <c r="E72" s="150">
        <v>974000</v>
      </c>
      <c r="F72" s="139">
        <v>299000</v>
      </c>
      <c r="G72" s="139">
        <v>283000</v>
      </c>
      <c r="H72" s="139"/>
      <c r="I72" s="139"/>
      <c r="J72" s="139">
        <v>180000</v>
      </c>
      <c r="K72" s="139" t="s">
        <v>2496</v>
      </c>
    </row>
    <row r="73" spans="1:11" ht="19" x14ac:dyDescent="0.2">
      <c r="A73" s="143"/>
      <c r="B73" s="32"/>
      <c r="C73" s="49"/>
      <c r="D73" s="155"/>
      <c r="E73" s="15"/>
      <c r="F73" s="9"/>
      <c r="G73" s="9"/>
      <c r="H73" s="9"/>
      <c r="I73" s="9"/>
      <c r="J73" s="9">
        <v>105000</v>
      </c>
      <c r="K73" s="9" t="s">
        <v>4738</v>
      </c>
    </row>
    <row r="74" spans="1:11" ht="19" x14ac:dyDescent="0.2">
      <c r="A74" s="148"/>
      <c r="B74" s="145"/>
      <c r="C74" s="151"/>
      <c r="D74" s="147"/>
      <c r="E74" s="150"/>
      <c r="F74" s="139"/>
      <c r="G74" s="139"/>
      <c r="H74" s="139"/>
      <c r="I74" s="139"/>
      <c r="J74" s="139">
        <v>160000</v>
      </c>
      <c r="K74" s="139" t="s">
        <v>1597</v>
      </c>
    </row>
    <row r="75" spans="1:11" ht="19" x14ac:dyDescent="0.2">
      <c r="A75" s="143">
        <v>3045000</v>
      </c>
      <c r="B75" s="153">
        <v>46121</v>
      </c>
      <c r="C75" s="163" t="s">
        <v>9</v>
      </c>
      <c r="D75" s="155" t="s">
        <v>4861</v>
      </c>
      <c r="E75" s="164">
        <v>1875000</v>
      </c>
      <c r="F75" s="119">
        <v>182000</v>
      </c>
      <c r="G75" s="119">
        <v>988000</v>
      </c>
      <c r="H75" s="119"/>
      <c r="I75" s="119"/>
      <c r="J75" s="119">
        <v>11000</v>
      </c>
      <c r="K75" s="119" t="s">
        <v>4016</v>
      </c>
    </row>
    <row r="76" spans="1:11" ht="19" x14ac:dyDescent="0.2">
      <c r="A76" s="144"/>
      <c r="B76" s="145"/>
      <c r="C76" s="149"/>
      <c r="D76" s="147"/>
      <c r="E76" s="150"/>
      <c r="F76" s="139"/>
      <c r="G76" s="139"/>
      <c r="H76" s="152"/>
      <c r="I76" s="152"/>
      <c r="J76" s="139">
        <v>300000</v>
      </c>
      <c r="K76" s="139" t="s">
        <v>4346</v>
      </c>
    </row>
    <row r="77" spans="1:11" ht="19" x14ac:dyDescent="0.2">
      <c r="A77" s="143">
        <v>1313000</v>
      </c>
      <c r="B77" s="153"/>
      <c r="C77" s="171" t="s">
        <v>10</v>
      </c>
      <c r="D77" s="155" t="s">
        <v>4443</v>
      </c>
      <c r="E77" s="164">
        <v>801000</v>
      </c>
      <c r="F77" s="119">
        <v>233000</v>
      </c>
      <c r="G77" s="119">
        <v>279000</v>
      </c>
      <c r="H77" s="9"/>
      <c r="I77" s="9"/>
      <c r="J77" s="119">
        <v>28000</v>
      </c>
      <c r="K77" s="9" t="s">
        <v>3934</v>
      </c>
    </row>
    <row r="78" spans="1:11" ht="19" x14ac:dyDescent="0.2">
      <c r="A78" s="144"/>
      <c r="B78" s="145"/>
      <c r="C78" s="149"/>
      <c r="D78" s="147"/>
      <c r="E78" s="150"/>
      <c r="F78" s="139"/>
      <c r="G78" s="139"/>
      <c r="H78" s="139"/>
      <c r="I78" s="139"/>
      <c r="J78" s="139"/>
      <c r="K78" s="139"/>
    </row>
    <row r="79" spans="1:11" ht="19" x14ac:dyDescent="0.2">
      <c r="A79" s="143">
        <v>3005000</v>
      </c>
      <c r="B79" s="153">
        <v>46122</v>
      </c>
      <c r="C79" s="171" t="s">
        <v>9</v>
      </c>
      <c r="D79" s="155" t="s">
        <v>3941</v>
      </c>
      <c r="E79" s="164">
        <v>1792000</v>
      </c>
      <c r="F79" s="119">
        <v>439000</v>
      </c>
      <c r="G79" s="119">
        <v>774000</v>
      </c>
      <c r="H79" s="119"/>
      <c r="I79" s="119"/>
      <c r="J79" s="119">
        <v>100000</v>
      </c>
      <c r="K79" s="119" t="s">
        <v>3248</v>
      </c>
    </row>
    <row r="80" spans="1:11" ht="19" x14ac:dyDescent="0.2">
      <c r="A80" s="144"/>
      <c r="B80" s="145"/>
      <c r="C80" s="149"/>
      <c r="D80" s="147"/>
      <c r="E80" s="150"/>
      <c r="F80" s="139"/>
      <c r="G80" s="139"/>
      <c r="H80" s="139"/>
      <c r="I80" s="139"/>
      <c r="J80" s="139">
        <v>50000</v>
      </c>
      <c r="K80" s="139" t="s">
        <v>123</v>
      </c>
    </row>
    <row r="81" spans="1:11" ht="19" x14ac:dyDescent="0.2">
      <c r="A81" s="143"/>
      <c r="B81" s="153"/>
      <c r="C81" s="171"/>
      <c r="D81" s="155"/>
      <c r="E81" s="164"/>
      <c r="F81" s="119"/>
      <c r="G81" s="119"/>
      <c r="H81" s="119"/>
      <c r="I81" s="119"/>
      <c r="J81" s="119">
        <v>88000</v>
      </c>
      <c r="K81" s="119" t="s">
        <v>1641</v>
      </c>
    </row>
    <row r="82" spans="1:11" ht="19" x14ac:dyDescent="0.2">
      <c r="A82" s="144"/>
      <c r="B82" s="145"/>
      <c r="C82" s="149"/>
      <c r="D82" s="147"/>
      <c r="E82" s="150"/>
      <c r="F82" s="139"/>
      <c r="G82" s="139"/>
      <c r="H82" s="152"/>
      <c r="I82" s="152"/>
      <c r="J82" s="139">
        <v>5000</v>
      </c>
      <c r="K82" s="139" t="s">
        <v>3229</v>
      </c>
    </row>
    <row r="83" spans="1:11" ht="19" x14ac:dyDescent="0.2">
      <c r="A83" s="143"/>
      <c r="B83" s="153"/>
      <c r="C83" s="171"/>
      <c r="D83" s="155"/>
      <c r="E83" s="164"/>
      <c r="F83" s="119"/>
      <c r="G83" s="119"/>
      <c r="H83" s="9"/>
      <c r="I83" s="9"/>
      <c r="J83" s="119">
        <v>34000</v>
      </c>
      <c r="K83" s="9" t="s">
        <v>3628</v>
      </c>
    </row>
    <row r="84" spans="1:11" ht="19" x14ac:dyDescent="0.2">
      <c r="A84" s="144"/>
      <c r="B84" s="145"/>
      <c r="C84" s="149"/>
      <c r="D84" s="147"/>
      <c r="E84" s="150"/>
      <c r="F84" s="139"/>
      <c r="G84" s="139"/>
      <c r="H84" s="162"/>
      <c r="I84" s="162"/>
      <c r="J84" s="139">
        <v>29000</v>
      </c>
      <c r="K84" s="139" t="s">
        <v>4977</v>
      </c>
    </row>
    <row r="85" spans="1:11" ht="19" x14ac:dyDescent="0.2">
      <c r="A85" s="143">
        <v>1740000</v>
      </c>
      <c r="B85" s="153"/>
      <c r="C85" s="171" t="s">
        <v>10</v>
      </c>
      <c r="D85" s="155" t="s">
        <v>4443</v>
      </c>
      <c r="E85" s="164">
        <v>1008000</v>
      </c>
      <c r="F85" s="119">
        <v>321000</v>
      </c>
      <c r="G85" s="119">
        <v>411000</v>
      </c>
      <c r="H85" s="174"/>
      <c r="I85" s="106"/>
      <c r="J85" s="119"/>
      <c r="K85" s="119"/>
    </row>
    <row r="86" spans="1:11" ht="19" x14ac:dyDescent="0.2">
      <c r="A86" s="144"/>
      <c r="B86" s="145"/>
      <c r="C86" s="149"/>
      <c r="D86" s="147"/>
      <c r="E86" s="150"/>
      <c r="F86" s="139"/>
      <c r="G86" s="139"/>
      <c r="H86" s="162"/>
      <c r="I86" s="162"/>
      <c r="J86" s="139"/>
      <c r="K86" s="139"/>
    </row>
    <row r="87" spans="1:11" ht="19" x14ac:dyDescent="0.2">
      <c r="A87" s="143">
        <v>2763000</v>
      </c>
      <c r="B87" s="153">
        <v>46123</v>
      </c>
      <c r="C87" s="171" t="s">
        <v>9</v>
      </c>
      <c r="D87" s="155" t="s">
        <v>4861</v>
      </c>
      <c r="E87" s="164">
        <v>1750000</v>
      </c>
      <c r="F87" s="119">
        <v>279000</v>
      </c>
      <c r="G87" s="119">
        <v>734000</v>
      </c>
      <c r="H87" s="119"/>
      <c r="I87" s="174"/>
      <c r="J87" s="119"/>
      <c r="K87" s="119"/>
    </row>
    <row r="88" spans="1:11" ht="19" x14ac:dyDescent="0.2">
      <c r="A88" s="144"/>
      <c r="B88" s="145"/>
      <c r="C88" s="149"/>
      <c r="D88" s="147"/>
      <c r="E88" s="150"/>
      <c r="F88" s="139"/>
      <c r="G88" s="139"/>
      <c r="H88" s="162"/>
      <c r="I88" s="162"/>
      <c r="J88" s="162"/>
      <c r="K88" s="162"/>
    </row>
    <row r="89" spans="1:11" ht="19" x14ac:dyDescent="0.2">
      <c r="A89" s="143">
        <v>1570000</v>
      </c>
      <c r="B89" s="153"/>
      <c r="C89" s="171" t="s">
        <v>10</v>
      </c>
      <c r="D89" s="155" t="s">
        <v>4443</v>
      </c>
      <c r="E89" s="164">
        <v>577000</v>
      </c>
      <c r="F89" s="119">
        <v>552000</v>
      </c>
      <c r="G89" s="119">
        <v>441000</v>
      </c>
      <c r="H89" s="106"/>
      <c r="I89" s="106"/>
      <c r="J89" s="119"/>
      <c r="K89" s="119"/>
    </row>
    <row r="90" spans="1:11" ht="19" x14ac:dyDescent="0.2">
      <c r="A90" s="144"/>
      <c r="B90" s="145"/>
      <c r="C90" s="149"/>
      <c r="D90" s="147"/>
      <c r="E90" s="150"/>
      <c r="F90" s="139"/>
      <c r="G90" s="139"/>
      <c r="H90" s="139"/>
      <c r="I90" s="139"/>
      <c r="J90" s="139"/>
      <c r="K90" s="139"/>
    </row>
    <row r="91" spans="1:11" ht="19" x14ac:dyDescent="0.2">
      <c r="A91" s="143">
        <v>2729000</v>
      </c>
      <c r="B91" s="153">
        <v>46124</v>
      </c>
      <c r="C91" s="171" t="s">
        <v>9</v>
      </c>
      <c r="D91" s="155" t="s">
        <v>4861</v>
      </c>
      <c r="E91" s="164">
        <v>1371000</v>
      </c>
      <c r="F91" s="119">
        <v>322000</v>
      </c>
      <c r="G91" s="119">
        <v>1036000</v>
      </c>
      <c r="H91" s="175"/>
      <c r="I91" s="175"/>
      <c r="J91" s="119"/>
      <c r="K91" s="119"/>
    </row>
    <row r="92" spans="1:11" ht="19" x14ac:dyDescent="0.2">
      <c r="A92" s="144"/>
      <c r="B92" s="145"/>
      <c r="C92" s="149"/>
      <c r="D92" s="147"/>
      <c r="E92" s="150"/>
      <c r="F92" s="139"/>
      <c r="G92" s="139"/>
      <c r="H92" s="139"/>
      <c r="I92" s="139"/>
      <c r="J92" s="139"/>
      <c r="K92" s="139"/>
    </row>
    <row r="93" spans="1:11" ht="19" x14ac:dyDescent="0.2">
      <c r="A93" s="143">
        <v>1265000</v>
      </c>
      <c r="B93" s="153"/>
      <c r="C93" s="49" t="s">
        <v>10</v>
      </c>
      <c r="D93" s="13" t="s">
        <v>4443</v>
      </c>
      <c r="E93" s="15">
        <v>712000</v>
      </c>
      <c r="F93" s="9">
        <v>190000</v>
      </c>
      <c r="G93" s="9">
        <v>363000</v>
      </c>
      <c r="H93" s="119"/>
      <c r="I93" s="9"/>
      <c r="J93" s="119"/>
      <c r="K93" s="9"/>
    </row>
    <row r="94" spans="1:11" ht="19" x14ac:dyDescent="0.2">
      <c r="A94" s="144"/>
      <c r="B94" s="145"/>
      <c r="C94" s="149"/>
      <c r="D94" s="147"/>
      <c r="E94" s="150"/>
      <c r="F94" s="139"/>
      <c r="G94" s="139"/>
      <c r="H94" s="139"/>
      <c r="I94" s="139"/>
      <c r="J94" s="162"/>
      <c r="K94" s="162"/>
    </row>
    <row r="95" spans="1:11" ht="19" x14ac:dyDescent="0.2">
      <c r="A95" s="143">
        <v>3109000</v>
      </c>
      <c r="B95" s="32">
        <v>46125</v>
      </c>
      <c r="C95" s="49" t="s">
        <v>9</v>
      </c>
      <c r="D95" s="13" t="s">
        <v>3941</v>
      </c>
      <c r="E95" s="15">
        <v>1737000</v>
      </c>
      <c r="F95" s="9">
        <v>375000</v>
      </c>
      <c r="G95" s="9">
        <v>997000</v>
      </c>
      <c r="H95" s="9"/>
      <c r="I95" s="9"/>
      <c r="J95" s="119">
        <v>22000</v>
      </c>
      <c r="K95" s="119" t="s">
        <v>3601</v>
      </c>
    </row>
    <row r="96" spans="1:11" ht="19" x14ac:dyDescent="0.2">
      <c r="A96" s="144"/>
      <c r="B96" s="145"/>
      <c r="C96" s="149"/>
      <c r="D96" s="147"/>
      <c r="E96" s="150"/>
      <c r="F96" s="139"/>
      <c r="G96" s="139"/>
      <c r="H96" s="139"/>
      <c r="I96" s="139"/>
      <c r="J96" s="139">
        <v>36000</v>
      </c>
      <c r="K96" s="139" t="s">
        <v>4933</v>
      </c>
    </row>
    <row r="97" spans="1:11" ht="19" x14ac:dyDescent="0.2">
      <c r="A97" s="143"/>
      <c r="B97" s="32"/>
      <c r="C97" s="49"/>
      <c r="D97" s="13"/>
      <c r="E97" s="15"/>
      <c r="F97" s="9"/>
      <c r="G97" s="9"/>
      <c r="H97" s="60"/>
      <c r="I97" s="175"/>
      <c r="J97" s="9">
        <v>36000</v>
      </c>
      <c r="K97" s="9" t="s">
        <v>4978</v>
      </c>
    </row>
    <row r="98" spans="1:11" ht="19" x14ac:dyDescent="0.2">
      <c r="A98" s="144"/>
      <c r="B98" s="145"/>
      <c r="C98" s="159"/>
      <c r="D98" s="147"/>
      <c r="E98" s="150"/>
      <c r="F98" s="139"/>
      <c r="G98" s="139"/>
      <c r="H98" s="139"/>
      <c r="I98" s="139"/>
      <c r="J98" s="139">
        <v>31000</v>
      </c>
      <c r="K98" s="139" t="s">
        <v>4537</v>
      </c>
    </row>
    <row r="99" spans="1:11" ht="19" x14ac:dyDescent="0.2">
      <c r="A99" s="143"/>
      <c r="B99" s="153"/>
      <c r="C99" s="171"/>
      <c r="D99" s="155"/>
      <c r="E99" s="164"/>
      <c r="F99" s="164"/>
      <c r="G99" s="119"/>
      <c r="H99" s="119"/>
      <c r="I99" s="119"/>
      <c r="J99" s="119">
        <v>30000</v>
      </c>
      <c r="K99" s="119" t="s">
        <v>4538</v>
      </c>
    </row>
    <row r="100" spans="1:11" ht="19" x14ac:dyDescent="0.2">
      <c r="A100" s="144"/>
      <c r="B100" s="145"/>
      <c r="C100" s="149"/>
      <c r="D100" s="147"/>
      <c r="E100" s="150"/>
      <c r="F100" s="139"/>
      <c r="G100" s="139"/>
      <c r="H100" s="139"/>
      <c r="I100" s="139"/>
      <c r="J100" s="139">
        <v>20000</v>
      </c>
      <c r="K100" s="139" t="s">
        <v>4979</v>
      </c>
    </row>
    <row r="101" spans="1:11" ht="19" x14ac:dyDescent="0.2">
      <c r="A101" s="143"/>
      <c r="B101" s="153"/>
      <c r="C101" s="171"/>
      <c r="D101" s="155"/>
      <c r="E101" s="15"/>
      <c r="F101" s="119"/>
      <c r="G101" s="119"/>
      <c r="H101" s="119"/>
      <c r="I101" s="119"/>
      <c r="J101" s="119">
        <v>33000</v>
      </c>
      <c r="K101" s="119" t="s">
        <v>4533</v>
      </c>
    </row>
    <row r="102" spans="1:11" ht="19" x14ac:dyDescent="0.2">
      <c r="A102" s="144"/>
      <c r="B102" s="145"/>
      <c r="C102" s="149"/>
      <c r="D102" s="147"/>
      <c r="E102" s="150"/>
      <c r="F102" s="139"/>
      <c r="G102" s="139"/>
      <c r="H102" s="139"/>
      <c r="I102" s="139"/>
      <c r="J102" s="139">
        <v>30000</v>
      </c>
      <c r="K102" s="139" t="s">
        <v>4980</v>
      </c>
    </row>
    <row r="103" spans="1:11" ht="19" x14ac:dyDescent="0.2">
      <c r="A103" s="143"/>
      <c r="B103" s="153"/>
      <c r="C103" s="171"/>
      <c r="D103" s="155"/>
      <c r="E103" s="164"/>
      <c r="F103" s="119"/>
      <c r="G103" s="119"/>
      <c r="H103" s="119"/>
      <c r="I103" s="119"/>
      <c r="J103" s="119">
        <v>35000</v>
      </c>
      <c r="K103" s="119" t="s">
        <v>4777</v>
      </c>
    </row>
    <row r="104" spans="1:11" ht="19" x14ac:dyDescent="0.2">
      <c r="A104" s="144"/>
      <c r="B104" s="145"/>
      <c r="C104" s="149"/>
      <c r="D104" s="147"/>
      <c r="E104" s="150"/>
      <c r="F104" s="139"/>
      <c r="G104" s="139"/>
      <c r="H104" s="139"/>
      <c r="I104" s="139"/>
      <c r="J104" s="139">
        <v>20000</v>
      </c>
      <c r="K104" s="139" t="s">
        <v>4981</v>
      </c>
    </row>
    <row r="105" spans="1:11" ht="19" x14ac:dyDescent="0.2">
      <c r="A105" s="143"/>
      <c r="B105" s="153"/>
      <c r="C105" s="171"/>
      <c r="D105" s="155"/>
      <c r="E105" s="164"/>
      <c r="F105" s="119"/>
      <c r="G105" s="119"/>
      <c r="H105" s="119"/>
      <c r="I105" s="119"/>
      <c r="J105" s="119">
        <v>8000</v>
      </c>
      <c r="K105" s="119" t="s">
        <v>4261</v>
      </c>
    </row>
    <row r="106" spans="1:11" ht="19" x14ac:dyDescent="0.2">
      <c r="A106" s="144">
        <v>2102000</v>
      </c>
      <c r="B106" s="145"/>
      <c r="C106" s="149" t="s">
        <v>10</v>
      </c>
      <c r="D106" s="147" t="s">
        <v>4861</v>
      </c>
      <c r="E106" s="150">
        <v>1243000</v>
      </c>
      <c r="F106" s="139">
        <v>194000</v>
      </c>
      <c r="G106" s="139">
        <v>665000</v>
      </c>
      <c r="H106" s="139"/>
      <c r="I106" s="139"/>
      <c r="J106" s="139">
        <v>74000</v>
      </c>
      <c r="K106" s="139" t="s">
        <v>4982</v>
      </c>
    </row>
    <row r="107" spans="1:11" ht="19" x14ac:dyDescent="0.2">
      <c r="A107" s="143"/>
      <c r="B107" s="153"/>
      <c r="C107" s="171"/>
      <c r="D107" s="155"/>
      <c r="E107" s="164"/>
      <c r="F107" s="119"/>
      <c r="G107" s="119"/>
      <c r="H107" s="119"/>
      <c r="I107" s="119"/>
      <c r="J107" s="119">
        <v>127000</v>
      </c>
      <c r="K107" s="119" t="s">
        <v>4983</v>
      </c>
    </row>
    <row r="108" spans="1:11" ht="19" x14ac:dyDescent="0.2">
      <c r="A108" s="148"/>
      <c r="B108" s="145"/>
      <c r="C108" s="149"/>
      <c r="D108" s="160"/>
      <c r="E108" s="150"/>
      <c r="F108" s="139"/>
      <c r="G108" s="139"/>
      <c r="H108" s="139"/>
      <c r="I108" s="139"/>
      <c r="J108" s="139">
        <v>55000</v>
      </c>
      <c r="K108" s="139" t="s">
        <v>4984</v>
      </c>
    </row>
    <row r="109" spans="1:11" ht="19" x14ac:dyDescent="0.2">
      <c r="A109" s="293"/>
      <c r="B109" s="153"/>
      <c r="C109" s="171"/>
      <c r="D109" s="155"/>
      <c r="E109" s="164"/>
      <c r="F109" s="119"/>
      <c r="G109" s="119"/>
      <c r="H109" s="119"/>
      <c r="I109" s="119"/>
      <c r="J109" s="119">
        <v>20000</v>
      </c>
      <c r="K109" s="119" t="s">
        <v>4118</v>
      </c>
    </row>
    <row r="110" spans="1:11" ht="19" x14ac:dyDescent="0.2">
      <c r="A110" s="144">
        <v>3054000</v>
      </c>
      <c r="B110" s="145">
        <v>46126</v>
      </c>
      <c r="C110" s="149" t="s">
        <v>9</v>
      </c>
      <c r="D110" s="147" t="s">
        <v>3941</v>
      </c>
      <c r="E110" s="150">
        <v>1808000</v>
      </c>
      <c r="F110" s="139">
        <v>250000</v>
      </c>
      <c r="G110" s="139">
        <v>996000</v>
      </c>
      <c r="H110" s="139"/>
      <c r="I110" s="139"/>
      <c r="J110" s="139">
        <v>28000</v>
      </c>
      <c r="K110" s="139" t="s">
        <v>4985</v>
      </c>
    </row>
    <row r="111" spans="1:11" ht="19" x14ac:dyDescent="0.2">
      <c r="A111" s="143"/>
      <c r="B111" s="153"/>
      <c r="C111" s="171"/>
      <c r="D111" s="155"/>
      <c r="E111" s="164"/>
      <c r="F111" s="119"/>
      <c r="G111" s="119"/>
      <c r="H111" s="119"/>
      <c r="I111" s="119"/>
      <c r="J111" s="119">
        <v>50000</v>
      </c>
      <c r="K111" s="119" t="s">
        <v>1500</v>
      </c>
    </row>
    <row r="112" spans="1:11" ht="19" x14ac:dyDescent="0.2">
      <c r="A112" s="144"/>
      <c r="B112" s="145"/>
      <c r="C112" s="149"/>
      <c r="D112" s="147"/>
      <c r="E112" s="150"/>
      <c r="F112" s="139"/>
      <c r="G112" s="139"/>
      <c r="H112" s="139"/>
      <c r="I112" s="139"/>
      <c r="J112" s="139">
        <v>9000</v>
      </c>
      <c r="K112" s="139" t="s">
        <v>4986</v>
      </c>
    </row>
    <row r="113" spans="1:11" ht="19" x14ac:dyDescent="0.2">
      <c r="A113" s="143"/>
      <c r="B113" s="153"/>
      <c r="C113" s="171"/>
      <c r="D113" s="155"/>
      <c r="E113" s="164"/>
      <c r="F113" s="119"/>
      <c r="G113" s="119"/>
      <c r="H113" s="119"/>
      <c r="I113" s="175"/>
      <c r="J113" s="119">
        <v>70000</v>
      </c>
      <c r="K113" s="119" t="s">
        <v>1491</v>
      </c>
    </row>
    <row r="114" spans="1:11" ht="19" x14ac:dyDescent="0.2">
      <c r="A114" s="144"/>
      <c r="B114" s="145"/>
      <c r="C114" s="149"/>
      <c r="D114" s="147"/>
      <c r="E114" s="150"/>
      <c r="F114" s="139"/>
      <c r="G114" s="139"/>
      <c r="H114" s="139"/>
      <c r="I114" s="139"/>
      <c r="J114" s="139">
        <v>91000</v>
      </c>
      <c r="K114" s="139" t="s">
        <v>4144</v>
      </c>
    </row>
    <row r="115" spans="1:11" ht="19" x14ac:dyDescent="0.2">
      <c r="A115" s="143"/>
      <c r="B115" s="153"/>
      <c r="C115" s="171"/>
      <c r="D115" s="155"/>
      <c r="E115" s="164"/>
      <c r="F115" s="119"/>
      <c r="G115" s="119"/>
      <c r="H115" s="119"/>
      <c r="I115" s="119"/>
      <c r="J115" s="119">
        <v>250000</v>
      </c>
      <c r="K115" s="119" t="s">
        <v>2796</v>
      </c>
    </row>
    <row r="116" spans="1:11" ht="19" x14ac:dyDescent="0.2">
      <c r="A116" s="144"/>
      <c r="B116" s="145"/>
      <c r="C116" s="149"/>
      <c r="D116" s="147"/>
      <c r="E116" s="150"/>
      <c r="F116" s="139"/>
      <c r="G116" s="139"/>
      <c r="H116" s="139"/>
      <c r="I116" s="139"/>
      <c r="J116" s="162">
        <v>50000</v>
      </c>
      <c r="K116" s="162" t="s">
        <v>3635</v>
      </c>
    </row>
    <row r="117" spans="1:11" ht="19" x14ac:dyDescent="0.2">
      <c r="A117" s="143"/>
      <c r="B117" s="153"/>
      <c r="C117" s="171"/>
      <c r="D117" s="155"/>
      <c r="E117" s="164"/>
      <c r="F117" s="119"/>
      <c r="G117" s="119"/>
      <c r="H117" s="119"/>
      <c r="I117" s="175"/>
      <c r="J117" s="174">
        <v>160000</v>
      </c>
      <c r="K117" s="174" t="s">
        <v>1805</v>
      </c>
    </row>
    <row r="118" spans="1:11" ht="19" x14ac:dyDescent="0.2">
      <c r="A118" s="144">
        <v>1868000</v>
      </c>
      <c r="B118" s="145"/>
      <c r="C118" s="149" t="s">
        <v>10</v>
      </c>
      <c r="D118" s="147" t="s">
        <v>4861</v>
      </c>
      <c r="E118" s="150">
        <v>1232000</v>
      </c>
      <c r="F118" s="139">
        <v>30000</v>
      </c>
      <c r="G118" s="139">
        <v>606000</v>
      </c>
      <c r="H118" s="139"/>
      <c r="I118" s="139"/>
      <c r="J118" s="139">
        <v>150000</v>
      </c>
      <c r="K118" s="139" t="s">
        <v>3444</v>
      </c>
    </row>
    <row r="119" spans="1:11" ht="32" x14ac:dyDescent="0.2">
      <c r="A119" s="143"/>
      <c r="B119" s="153"/>
      <c r="C119" s="171"/>
      <c r="D119" s="155"/>
      <c r="E119" s="164"/>
      <c r="F119" s="119"/>
      <c r="G119" s="119"/>
      <c r="H119" s="119">
        <v>1230000</v>
      </c>
      <c r="I119" s="176" t="s">
        <v>4987</v>
      </c>
      <c r="J119" s="119"/>
      <c r="K119" s="119"/>
    </row>
    <row r="120" spans="1:11" ht="19" x14ac:dyDescent="0.2">
      <c r="A120" s="144">
        <v>3033000</v>
      </c>
      <c r="B120" s="145">
        <v>46127</v>
      </c>
      <c r="C120" s="149" t="s">
        <v>9</v>
      </c>
      <c r="D120" s="147" t="s">
        <v>3941</v>
      </c>
      <c r="E120" s="150">
        <v>1953000</v>
      </c>
      <c r="F120" s="139">
        <v>377000</v>
      </c>
      <c r="G120" s="139">
        <v>703000</v>
      </c>
      <c r="H120" s="139">
        <v>1962000</v>
      </c>
      <c r="I120" s="139" t="s">
        <v>4676</v>
      </c>
      <c r="J120" s="139"/>
      <c r="K120" s="139"/>
    </row>
    <row r="121" spans="1:11" ht="19" x14ac:dyDescent="0.2">
      <c r="A121" s="143"/>
      <c r="B121" s="153"/>
      <c r="C121" s="171"/>
      <c r="D121" s="155"/>
      <c r="E121" s="164"/>
      <c r="F121" s="119"/>
      <c r="G121" s="119"/>
      <c r="H121" s="119">
        <v>2285000</v>
      </c>
      <c r="I121" s="119" t="s">
        <v>4913</v>
      </c>
      <c r="J121" s="119"/>
      <c r="K121" s="119"/>
    </row>
    <row r="122" spans="1:11" ht="19" x14ac:dyDescent="0.2">
      <c r="A122" s="144">
        <v>1645000</v>
      </c>
      <c r="B122" s="145"/>
      <c r="C122" s="149" t="s">
        <v>10</v>
      </c>
      <c r="D122" s="147" t="s">
        <v>4443</v>
      </c>
      <c r="E122" s="150">
        <v>900000</v>
      </c>
      <c r="F122" s="139">
        <v>375000</v>
      </c>
      <c r="G122" s="139">
        <v>370000</v>
      </c>
      <c r="H122" s="139"/>
      <c r="I122" s="139"/>
      <c r="J122" s="139"/>
      <c r="K122" s="139"/>
    </row>
    <row r="123" spans="1:11" ht="19" x14ac:dyDescent="0.2">
      <c r="A123" s="143"/>
      <c r="B123" s="153"/>
      <c r="C123" s="163"/>
      <c r="D123" s="155"/>
      <c r="E123" s="164"/>
      <c r="F123" s="119"/>
      <c r="G123" s="119"/>
      <c r="H123" s="119"/>
      <c r="I123" s="119"/>
      <c r="J123" s="174"/>
      <c r="K123" s="174"/>
    </row>
    <row r="124" spans="1:11" ht="19" x14ac:dyDescent="0.2">
      <c r="A124" s="144">
        <v>3046000</v>
      </c>
      <c r="B124" s="145">
        <v>46128</v>
      </c>
      <c r="C124" s="151" t="s">
        <v>9</v>
      </c>
      <c r="D124" s="147" t="s">
        <v>3941</v>
      </c>
      <c r="E124" s="150">
        <v>1597000</v>
      </c>
      <c r="F124" s="139">
        <v>273000</v>
      </c>
      <c r="G124" s="139">
        <v>1176000</v>
      </c>
      <c r="H124" s="139"/>
      <c r="I124" s="139"/>
      <c r="J124" s="162">
        <v>100000</v>
      </c>
      <c r="K124" s="162" t="s">
        <v>3248</v>
      </c>
    </row>
    <row r="125" spans="1:11" ht="19" x14ac:dyDescent="0.2">
      <c r="A125" s="143"/>
      <c r="B125" s="32"/>
      <c r="C125" s="171"/>
      <c r="D125" s="155"/>
      <c r="E125" s="15"/>
      <c r="F125" s="9"/>
      <c r="G125" s="9"/>
      <c r="H125" s="9"/>
      <c r="I125" s="9"/>
      <c r="J125" s="174"/>
      <c r="K125" s="106"/>
    </row>
    <row r="126" spans="1:11" ht="19" x14ac:dyDescent="0.2">
      <c r="A126" s="144">
        <v>1432000</v>
      </c>
      <c r="B126" s="145"/>
      <c r="C126" s="149" t="s">
        <v>10</v>
      </c>
      <c r="D126" s="147" t="s">
        <v>4443</v>
      </c>
      <c r="E126" s="150">
        <v>1013000</v>
      </c>
      <c r="F126" s="139">
        <v>203000</v>
      </c>
      <c r="G126" s="139">
        <v>216000</v>
      </c>
      <c r="H126" s="139"/>
      <c r="I126" s="139"/>
      <c r="J126" s="162"/>
      <c r="K126" s="162"/>
    </row>
    <row r="127" spans="1:11" ht="19" x14ac:dyDescent="0.2">
      <c r="A127" s="143"/>
      <c r="B127" s="153"/>
      <c r="C127" s="163"/>
      <c r="D127" s="155"/>
      <c r="E127" s="164"/>
      <c r="F127" s="301"/>
      <c r="G127" s="119"/>
      <c r="H127" s="119"/>
      <c r="I127" s="119"/>
      <c r="J127" s="174"/>
      <c r="K127" s="174"/>
    </row>
    <row r="128" spans="1:11" ht="19" x14ac:dyDescent="0.2">
      <c r="A128" s="148">
        <v>3638000</v>
      </c>
      <c r="B128" s="145">
        <v>46129</v>
      </c>
      <c r="C128" s="159" t="s">
        <v>9</v>
      </c>
      <c r="D128" s="147" t="s">
        <v>3941</v>
      </c>
      <c r="E128" s="150">
        <v>2429000</v>
      </c>
      <c r="F128" s="139">
        <v>456000</v>
      </c>
      <c r="G128" s="139">
        <v>753000</v>
      </c>
      <c r="H128" s="139"/>
      <c r="I128" s="139"/>
      <c r="J128" s="139">
        <v>74000</v>
      </c>
      <c r="K128" s="139" t="s">
        <v>1641</v>
      </c>
    </row>
    <row r="129" spans="1:11" ht="19" x14ac:dyDescent="0.2">
      <c r="A129" s="143"/>
      <c r="B129" s="153"/>
      <c r="C129" s="163"/>
      <c r="D129" s="155"/>
      <c r="E129" s="164"/>
      <c r="F129" s="119"/>
      <c r="G129" s="119"/>
      <c r="H129" s="119"/>
      <c r="I129" s="119"/>
      <c r="J129" s="174">
        <v>55000</v>
      </c>
      <c r="K129" s="174" t="s">
        <v>4988</v>
      </c>
    </row>
    <row r="130" spans="1:11" ht="19" x14ac:dyDescent="0.2">
      <c r="A130" s="144"/>
      <c r="B130" s="145"/>
      <c r="C130" s="151"/>
      <c r="D130" s="147"/>
      <c r="E130" s="139"/>
      <c r="F130" s="139"/>
      <c r="G130" s="139"/>
      <c r="H130" s="139"/>
      <c r="I130" s="139"/>
      <c r="J130" s="139">
        <v>95000</v>
      </c>
      <c r="K130" s="139" t="s">
        <v>4989</v>
      </c>
    </row>
    <row r="131" spans="1:11" ht="19" x14ac:dyDescent="0.2">
      <c r="A131" s="143">
        <v>2157000</v>
      </c>
      <c r="B131" s="153"/>
      <c r="C131" s="163" t="s">
        <v>10</v>
      </c>
      <c r="D131" s="155" t="s">
        <v>4443</v>
      </c>
      <c r="E131" s="164">
        <v>1330000</v>
      </c>
      <c r="F131" s="119">
        <v>154000</v>
      </c>
      <c r="G131" s="119">
        <v>673000</v>
      </c>
      <c r="H131" s="119"/>
      <c r="I131" s="119"/>
      <c r="J131" s="119">
        <v>50000</v>
      </c>
      <c r="K131" s="119" t="s">
        <v>123</v>
      </c>
    </row>
    <row r="132" spans="1:11" ht="19" x14ac:dyDescent="0.2">
      <c r="A132" s="144"/>
      <c r="B132" s="145"/>
      <c r="C132" s="151"/>
      <c r="D132" s="147"/>
      <c r="E132" s="150"/>
      <c r="F132" s="139"/>
      <c r="G132" s="139"/>
      <c r="H132" s="139"/>
      <c r="I132" s="139"/>
      <c r="J132" s="139">
        <v>65000</v>
      </c>
      <c r="K132" s="139" t="s">
        <v>4990</v>
      </c>
    </row>
    <row r="133" spans="1:11" ht="19" x14ac:dyDescent="0.2">
      <c r="A133" s="143"/>
      <c r="B133" s="153"/>
      <c r="C133" s="163"/>
      <c r="D133" s="155"/>
      <c r="E133" s="164"/>
      <c r="F133" s="119"/>
      <c r="G133" s="119"/>
      <c r="H133" s="119"/>
      <c r="I133" s="119"/>
      <c r="J133" s="119">
        <v>230000</v>
      </c>
      <c r="K133" s="119" t="s">
        <v>3825</v>
      </c>
    </row>
    <row r="134" spans="1:11" ht="19" x14ac:dyDescent="0.2">
      <c r="A134" s="144">
        <v>2764000</v>
      </c>
      <c r="B134" s="145">
        <v>46130</v>
      </c>
      <c r="C134" s="151" t="s">
        <v>9</v>
      </c>
      <c r="D134" s="147" t="s">
        <v>4861</v>
      </c>
      <c r="E134" s="150">
        <v>1406000</v>
      </c>
      <c r="F134" s="139">
        <v>342000</v>
      </c>
      <c r="G134" s="139">
        <v>1016000</v>
      </c>
      <c r="H134" s="139"/>
      <c r="I134" s="139"/>
      <c r="J134" s="139">
        <v>160000</v>
      </c>
      <c r="K134" s="139" t="s">
        <v>4991</v>
      </c>
    </row>
    <row r="135" spans="1:11" ht="19" x14ac:dyDescent="0.2">
      <c r="A135" s="143"/>
      <c r="B135" s="153"/>
      <c r="C135" s="163"/>
      <c r="D135" s="155"/>
      <c r="E135" s="164"/>
      <c r="F135" s="119"/>
      <c r="G135" s="119"/>
      <c r="H135" s="119"/>
      <c r="I135" s="119"/>
      <c r="J135" s="119">
        <v>105000</v>
      </c>
      <c r="K135" s="119" t="s">
        <v>617</v>
      </c>
    </row>
    <row r="136" spans="1:11" ht="19" x14ac:dyDescent="0.2">
      <c r="A136" s="144">
        <v>2189000</v>
      </c>
      <c r="B136" s="145"/>
      <c r="C136" s="151" t="s">
        <v>10</v>
      </c>
      <c r="D136" s="147" t="s">
        <v>4443</v>
      </c>
      <c r="E136" s="150">
        <v>1519000</v>
      </c>
      <c r="F136" s="139">
        <v>331000</v>
      </c>
      <c r="G136" s="139">
        <v>339000</v>
      </c>
      <c r="H136" s="139"/>
      <c r="I136" s="139"/>
      <c r="J136" s="139">
        <v>276000</v>
      </c>
      <c r="K136" s="139" t="s">
        <v>4992</v>
      </c>
    </row>
    <row r="137" spans="1:11" ht="19" x14ac:dyDescent="0.2">
      <c r="A137" s="143"/>
      <c r="B137" s="153"/>
      <c r="C137" s="163"/>
      <c r="D137" s="155"/>
      <c r="E137" s="164"/>
      <c r="F137" s="119"/>
      <c r="G137" s="119"/>
      <c r="H137" s="119"/>
      <c r="I137" s="119"/>
      <c r="J137" s="174">
        <v>94000</v>
      </c>
      <c r="K137" s="174" t="s">
        <v>4993</v>
      </c>
    </row>
    <row r="138" spans="1:11" ht="19" x14ac:dyDescent="0.2">
      <c r="A138" s="144"/>
      <c r="B138" s="145"/>
      <c r="C138" s="151"/>
      <c r="D138" s="147"/>
      <c r="E138" s="150"/>
      <c r="F138" s="139"/>
      <c r="G138" s="139"/>
      <c r="H138" s="139"/>
      <c r="I138" s="139"/>
      <c r="J138" s="162">
        <v>11000</v>
      </c>
      <c r="K138" s="162" t="s">
        <v>4994</v>
      </c>
    </row>
    <row r="139" spans="1:11" ht="19" x14ac:dyDescent="0.2">
      <c r="A139" s="143">
        <v>2229000</v>
      </c>
      <c r="B139" s="32">
        <v>46131</v>
      </c>
      <c r="C139" s="35" t="s">
        <v>9</v>
      </c>
      <c r="D139" s="13" t="s">
        <v>3941</v>
      </c>
      <c r="E139" s="15">
        <v>1515000</v>
      </c>
      <c r="F139" s="9">
        <v>252000</v>
      </c>
      <c r="G139" s="9">
        <v>462000</v>
      </c>
      <c r="H139" s="9"/>
      <c r="I139" s="9"/>
      <c r="J139" s="174">
        <v>90000</v>
      </c>
      <c r="K139" s="174" t="s">
        <v>4995</v>
      </c>
    </row>
    <row r="140" spans="1:11" ht="19" x14ac:dyDescent="0.2">
      <c r="A140" s="144"/>
      <c r="B140" s="145"/>
      <c r="C140" s="151"/>
      <c r="D140" s="147"/>
      <c r="E140" s="150"/>
      <c r="F140" s="139"/>
      <c r="G140" s="139"/>
      <c r="H140" s="139"/>
      <c r="I140" s="152"/>
      <c r="J140" s="162">
        <v>150000</v>
      </c>
      <c r="K140" s="162" t="s">
        <v>1445</v>
      </c>
    </row>
    <row r="141" spans="1:11" ht="19" x14ac:dyDescent="0.2">
      <c r="A141" s="143"/>
      <c r="B141" s="153"/>
      <c r="C141" s="163"/>
      <c r="D141" s="155"/>
      <c r="E141" s="164"/>
      <c r="F141" s="119"/>
      <c r="G141" s="119"/>
      <c r="H141" s="175"/>
      <c r="I141" s="175"/>
      <c r="J141" s="174">
        <v>34000</v>
      </c>
      <c r="K141" s="174" t="s">
        <v>4996</v>
      </c>
    </row>
    <row r="142" spans="1:11" ht="19" x14ac:dyDescent="0.2">
      <c r="A142" s="144">
        <v>1891000</v>
      </c>
      <c r="B142" s="145"/>
      <c r="C142" s="151" t="s">
        <v>10</v>
      </c>
      <c r="D142" s="147" t="s">
        <v>3386</v>
      </c>
      <c r="E142" s="150">
        <v>898000</v>
      </c>
      <c r="F142" s="139">
        <v>94000</v>
      </c>
      <c r="G142" s="139">
        <v>899000</v>
      </c>
      <c r="H142" s="139"/>
      <c r="I142" s="139"/>
      <c r="J142" s="139">
        <v>30000</v>
      </c>
      <c r="K142" s="139" t="s">
        <v>4997</v>
      </c>
    </row>
    <row r="143" spans="1:11" ht="19" x14ac:dyDescent="0.2">
      <c r="A143" s="143"/>
      <c r="B143" s="153"/>
      <c r="C143" s="163"/>
      <c r="D143" s="155"/>
      <c r="E143" s="164"/>
      <c r="F143" s="119"/>
      <c r="G143" s="119"/>
      <c r="H143" s="119"/>
      <c r="I143" s="119"/>
      <c r="J143" s="119">
        <v>30000</v>
      </c>
      <c r="K143" s="119" t="s">
        <v>4998</v>
      </c>
    </row>
    <row r="144" spans="1:11" ht="19" x14ac:dyDescent="0.2">
      <c r="A144" s="144">
        <v>2648000</v>
      </c>
      <c r="B144" s="145">
        <v>46132</v>
      </c>
      <c r="C144" s="159" t="s">
        <v>9</v>
      </c>
      <c r="D144" s="147" t="s">
        <v>4443</v>
      </c>
      <c r="E144" s="150">
        <v>1544000</v>
      </c>
      <c r="F144" s="139">
        <v>336000</v>
      </c>
      <c r="G144" s="139">
        <v>768000</v>
      </c>
      <c r="H144" s="139"/>
      <c r="I144" s="139"/>
      <c r="J144" s="139">
        <v>40000</v>
      </c>
      <c r="K144" s="139" t="s">
        <v>4999</v>
      </c>
    </row>
    <row r="145" spans="1:11" ht="19" x14ac:dyDescent="0.2">
      <c r="A145" s="143"/>
      <c r="B145" s="153"/>
      <c r="C145" s="163"/>
      <c r="D145" s="155"/>
      <c r="E145" s="164"/>
      <c r="F145" s="119"/>
      <c r="G145" s="119"/>
      <c r="H145" s="119"/>
      <c r="I145" s="119"/>
      <c r="J145" s="119">
        <v>10000</v>
      </c>
      <c r="K145" s="119" t="s">
        <v>642</v>
      </c>
    </row>
    <row r="146" spans="1:11" ht="19" x14ac:dyDescent="0.2">
      <c r="A146" s="144"/>
      <c r="B146" s="145"/>
      <c r="C146" s="151"/>
      <c r="D146" s="160"/>
      <c r="E146" s="150"/>
      <c r="F146" s="139"/>
      <c r="G146" s="139"/>
      <c r="H146" s="139"/>
      <c r="I146" s="139"/>
      <c r="J146" s="162">
        <v>45000</v>
      </c>
      <c r="K146" s="162" t="s">
        <v>5000</v>
      </c>
    </row>
    <row r="147" spans="1:11" ht="19" x14ac:dyDescent="0.2">
      <c r="A147" s="143">
        <v>1468000</v>
      </c>
      <c r="B147" s="153"/>
      <c r="C147" s="163" t="s">
        <v>10</v>
      </c>
      <c r="D147" s="155" t="s">
        <v>4308</v>
      </c>
      <c r="E147" s="164">
        <v>995000</v>
      </c>
      <c r="F147" s="119">
        <v>266000</v>
      </c>
      <c r="G147" s="119">
        <v>207000</v>
      </c>
      <c r="H147" s="119"/>
      <c r="I147" s="119"/>
      <c r="J147" s="119">
        <v>41000</v>
      </c>
      <c r="K147" s="119" t="s">
        <v>998</v>
      </c>
    </row>
    <row r="148" spans="1:11" ht="19" x14ac:dyDescent="0.2">
      <c r="A148" s="148"/>
      <c r="B148" s="145"/>
      <c r="C148" s="151"/>
      <c r="D148" s="147"/>
      <c r="E148" s="150"/>
      <c r="F148" s="139"/>
      <c r="G148" s="139"/>
      <c r="H148" s="139"/>
      <c r="I148" s="139"/>
      <c r="J148" s="139">
        <v>26000</v>
      </c>
      <c r="K148" s="139" t="s">
        <v>5001</v>
      </c>
    </row>
    <row r="149" spans="1:11" ht="19" x14ac:dyDescent="0.2">
      <c r="A149" s="142"/>
      <c r="B149" s="153"/>
      <c r="C149" s="163"/>
      <c r="D149" s="172"/>
      <c r="E149" s="164"/>
      <c r="F149" s="119"/>
      <c r="G149" s="119"/>
      <c r="H149" s="119"/>
      <c r="I149" s="119"/>
      <c r="J149" s="119">
        <v>119000</v>
      </c>
      <c r="K149" s="119" t="s">
        <v>5002</v>
      </c>
    </row>
    <row r="150" spans="1:11" ht="19" x14ac:dyDescent="0.2">
      <c r="A150" s="148"/>
      <c r="B150" s="145"/>
      <c r="C150" s="151"/>
      <c r="D150" s="160"/>
      <c r="E150" s="150"/>
      <c r="F150" s="139"/>
      <c r="G150" s="139"/>
      <c r="H150" s="139"/>
      <c r="I150" s="139"/>
      <c r="J150" s="139">
        <v>38000</v>
      </c>
      <c r="K150" s="139" t="s">
        <v>2401</v>
      </c>
    </row>
    <row r="151" spans="1:11" ht="19" x14ac:dyDescent="0.2">
      <c r="A151" s="142"/>
      <c r="B151" s="153"/>
      <c r="C151" s="163"/>
      <c r="D151" s="172"/>
      <c r="E151" s="164"/>
      <c r="F151" s="119"/>
      <c r="G151" s="119"/>
      <c r="H151" s="119"/>
      <c r="I151" s="119"/>
      <c r="J151" s="119">
        <v>250000</v>
      </c>
      <c r="K151" s="119" t="s">
        <v>5003</v>
      </c>
    </row>
    <row r="152" spans="1:11" ht="19" x14ac:dyDescent="0.2">
      <c r="A152" s="148"/>
      <c r="B152" s="145"/>
      <c r="C152" s="151"/>
      <c r="D152" s="160"/>
      <c r="E152" s="150"/>
      <c r="F152" s="139"/>
      <c r="G152" s="139"/>
      <c r="H152" s="139"/>
      <c r="I152" s="139"/>
      <c r="J152" s="139">
        <v>50000</v>
      </c>
      <c r="K152" s="139" t="s">
        <v>3895</v>
      </c>
    </row>
    <row r="153" spans="1:11" ht="19" x14ac:dyDescent="0.2">
      <c r="A153" s="143"/>
      <c r="B153" s="153"/>
      <c r="C153" s="163"/>
      <c r="D153" s="155"/>
      <c r="E153" s="164"/>
      <c r="F153" s="119"/>
      <c r="G153" s="119"/>
      <c r="H153" s="119"/>
      <c r="I153" s="119"/>
      <c r="J153" s="119">
        <v>160000</v>
      </c>
      <c r="K153" s="119" t="s">
        <v>3906</v>
      </c>
    </row>
    <row r="154" spans="1:11" ht="19" x14ac:dyDescent="0.2">
      <c r="A154" s="144"/>
      <c r="B154" s="145"/>
      <c r="C154" s="151"/>
      <c r="D154" s="147"/>
      <c r="E154" s="150"/>
      <c r="F154" s="139"/>
      <c r="G154" s="139"/>
      <c r="H154" s="139"/>
      <c r="I154" s="139"/>
      <c r="J154" s="139">
        <v>31000</v>
      </c>
      <c r="K154" s="139" t="s">
        <v>5004</v>
      </c>
    </row>
    <row r="155" spans="1:11" ht="19" x14ac:dyDescent="0.2">
      <c r="A155" s="143"/>
      <c r="B155" s="153"/>
      <c r="C155" s="154"/>
      <c r="D155" s="155"/>
      <c r="E155" s="164"/>
      <c r="F155" s="119"/>
      <c r="G155" s="119"/>
      <c r="H155" s="119"/>
      <c r="I155" s="119"/>
      <c r="J155" s="119">
        <v>95000</v>
      </c>
      <c r="K155" s="119" t="s">
        <v>5005</v>
      </c>
    </row>
    <row r="156" spans="1:11" ht="19" x14ac:dyDescent="0.2">
      <c r="A156" s="144"/>
      <c r="B156" s="145"/>
      <c r="C156" s="149"/>
      <c r="D156" s="160"/>
      <c r="E156" s="150"/>
      <c r="F156" s="139"/>
      <c r="G156" s="139"/>
      <c r="H156" s="139"/>
      <c r="I156" s="139"/>
      <c r="J156" s="139">
        <v>15000</v>
      </c>
      <c r="K156" s="139" t="s">
        <v>5006</v>
      </c>
    </row>
    <row r="157" spans="1:11" ht="19" x14ac:dyDescent="0.2">
      <c r="A157" s="143"/>
      <c r="B157" s="153"/>
      <c r="C157" s="171"/>
      <c r="D157" s="155"/>
      <c r="E157" s="164"/>
      <c r="F157" s="119"/>
      <c r="G157" s="119"/>
      <c r="H157" s="119"/>
      <c r="I157" s="119"/>
      <c r="J157" s="119">
        <v>14000</v>
      </c>
      <c r="K157" s="119" t="s">
        <v>5007</v>
      </c>
    </row>
    <row r="158" spans="1:11" ht="19" x14ac:dyDescent="0.2">
      <c r="A158" s="144"/>
      <c r="B158" s="145"/>
      <c r="C158" s="151"/>
      <c r="D158" s="147"/>
      <c r="E158" s="150"/>
      <c r="F158" s="139"/>
      <c r="G158" s="139"/>
      <c r="H158" s="139"/>
      <c r="I158" s="139"/>
      <c r="J158" s="139">
        <v>52000</v>
      </c>
      <c r="K158" s="139" t="s">
        <v>5008</v>
      </c>
    </row>
    <row r="159" spans="1:11" ht="19" x14ac:dyDescent="0.2">
      <c r="A159" s="143">
        <v>3174000</v>
      </c>
      <c r="B159" s="153">
        <v>46133</v>
      </c>
      <c r="C159" s="154" t="s">
        <v>9</v>
      </c>
      <c r="D159" s="155" t="s">
        <v>3941</v>
      </c>
      <c r="E159" s="164">
        <v>2058000</v>
      </c>
      <c r="F159" s="119">
        <v>621000</v>
      </c>
      <c r="G159" s="119">
        <v>495000</v>
      </c>
      <c r="H159" s="119"/>
      <c r="I159" s="168"/>
      <c r="J159" s="119"/>
      <c r="K159" s="119"/>
    </row>
    <row r="160" spans="1:11" ht="19" x14ac:dyDescent="0.2">
      <c r="A160" s="144"/>
      <c r="B160" s="145"/>
      <c r="C160" s="146"/>
      <c r="D160" s="147"/>
      <c r="E160" s="150"/>
      <c r="F160" s="139"/>
      <c r="G160" s="139"/>
      <c r="H160" s="139"/>
      <c r="I160" s="165"/>
      <c r="J160" s="139"/>
      <c r="K160" s="139"/>
    </row>
    <row r="161" spans="1:11" ht="19" x14ac:dyDescent="0.2">
      <c r="A161" s="143">
        <v>2409000</v>
      </c>
      <c r="B161" s="32"/>
      <c r="C161" s="3" t="s">
        <v>10</v>
      </c>
      <c r="D161" s="13" t="s">
        <v>4443</v>
      </c>
      <c r="E161" s="15">
        <v>1100000</v>
      </c>
      <c r="F161" s="9">
        <v>699000</v>
      </c>
      <c r="G161" s="9">
        <v>610000</v>
      </c>
      <c r="H161" s="9"/>
      <c r="I161" s="77"/>
      <c r="J161" s="9"/>
      <c r="K161" s="9"/>
    </row>
    <row r="162" spans="1:11" ht="19" x14ac:dyDescent="0.2">
      <c r="A162" s="144"/>
      <c r="B162" s="145"/>
      <c r="C162" s="149"/>
      <c r="D162" s="147"/>
      <c r="E162" s="150"/>
      <c r="F162" s="139"/>
      <c r="G162" s="139"/>
      <c r="H162" s="139"/>
      <c r="I162" s="165"/>
      <c r="J162" s="139"/>
      <c r="K162" s="139"/>
    </row>
    <row r="163" spans="1:11" ht="19" x14ac:dyDescent="0.2">
      <c r="A163" s="143">
        <v>3510000</v>
      </c>
      <c r="B163" s="32">
        <v>46134</v>
      </c>
      <c r="C163" s="49" t="s">
        <v>9</v>
      </c>
      <c r="D163" s="13" t="s">
        <v>3941</v>
      </c>
      <c r="E163" s="15">
        <v>2199000</v>
      </c>
      <c r="F163" s="9">
        <v>319000</v>
      </c>
      <c r="G163" s="9">
        <v>992000</v>
      </c>
      <c r="H163" s="9"/>
      <c r="I163" s="77"/>
      <c r="J163" s="9">
        <v>100000</v>
      </c>
      <c r="K163" s="9" t="s">
        <v>3828</v>
      </c>
    </row>
    <row r="164" spans="1:11" ht="19" x14ac:dyDescent="0.2">
      <c r="A164" s="144"/>
      <c r="B164" s="145"/>
      <c r="C164" s="149"/>
      <c r="D164" s="147"/>
      <c r="E164" s="150"/>
      <c r="F164" s="139"/>
      <c r="G164" s="139"/>
      <c r="H164" s="139"/>
      <c r="I164" s="165"/>
      <c r="J164" s="139">
        <v>30000</v>
      </c>
      <c r="K164" s="139" t="s">
        <v>4933</v>
      </c>
    </row>
    <row r="165" spans="1:11" ht="19" x14ac:dyDescent="0.2">
      <c r="A165" s="143"/>
      <c r="B165" s="32"/>
      <c r="C165" s="49"/>
      <c r="D165" s="13"/>
      <c r="E165" s="15"/>
      <c r="F165" s="9"/>
      <c r="G165" s="9"/>
      <c r="H165" s="9"/>
      <c r="I165" s="77"/>
      <c r="J165" s="9">
        <v>30000</v>
      </c>
      <c r="K165" s="9" t="s">
        <v>5009</v>
      </c>
    </row>
    <row r="166" spans="1:11" ht="19" x14ac:dyDescent="0.2">
      <c r="A166" s="144"/>
      <c r="B166" s="145"/>
      <c r="C166" s="149"/>
      <c r="D166" s="147"/>
      <c r="E166" s="150"/>
      <c r="F166" s="139"/>
      <c r="G166" s="139"/>
      <c r="H166" s="139"/>
      <c r="I166" s="165"/>
      <c r="J166" s="139">
        <v>30000</v>
      </c>
      <c r="K166" s="165" t="s">
        <v>5010</v>
      </c>
    </row>
    <row r="167" spans="1:11" ht="19" x14ac:dyDescent="0.2">
      <c r="A167" s="143"/>
      <c r="B167" s="32"/>
      <c r="C167" s="49"/>
      <c r="D167" s="13"/>
      <c r="E167" s="15"/>
      <c r="F167" s="9"/>
      <c r="G167" s="9"/>
      <c r="H167" s="9"/>
      <c r="I167" s="77"/>
      <c r="J167" s="9">
        <v>50000</v>
      </c>
      <c r="K167" s="77" t="s">
        <v>4621</v>
      </c>
    </row>
    <row r="168" spans="1:11" ht="19" x14ac:dyDescent="0.2">
      <c r="A168" s="144"/>
      <c r="B168" s="145"/>
      <c r="C168" s="149"/>
      <c r="D168" s="147"/>
      <c r="E168" s="150"/>
      <c r="F168" s="139"/>
      <c r="G168" s="139"/>
      <c r="H168" s="139"/>
      <c r="I168" s="165"/>
      <c r="J168" s="139">
        <v>50000</v>
      </c>
      <c r="K168" s="139" t="s">
        <v>5011</v>
      </c>
    </row>
    <row r="169" spans="1:11" ht="19" x14ac:dyDescent="0.2">
      <c r="A169" s="143"/>
      <c r="B169" s="32"/>
      <c r="C169" s="49"/>
      <c r="D169" s="13"/>
      <c r="E169" s="15"/>
      <c r="F169" s="9"/>
      <c r="G169" s="9"/>
      <c r="H169" s="9"/>
      <c r="I169" s="77"/>
      <c r="J169" s="9">
        <v>20000</v>
      </c>
      <c r="K169" s="9" t="s">
        <v>5012</v>
      </c>
    </row>
    <row r="170" spans="1:11" ht="19" x14ac:dyDescent="0.2">
      <c r="A170" s="144"/>
      <c r="B170" s="145"/>
      <c r="C170" s="149"/>
      <c r="D170" s="147"/>
      <c r="E170" s="150"/>
      <c r="F170" s="139"/>
      <c r="G170" s="139"/>
      <c r="H170" s="139"/>
      <c r="I170" s="165"/>
      <c r="J170" s="139">
        <v>40000</v>
      </c>
      <c r="K170" s="139" t="s">
        <v>4620</v>
      </c>
    </row>
    <row r="171" spans="1:11" ht="19" x14ac:dyDescent="0.2">
      <c r="A171" s="143"/>
      <c r="B171" s="32"/>
      <c r="C171" s="49"/>
      <c r="D171" s="13"/>
      <c r="E171" s="15"/>
      <c r="F171" s="9"/>
      <c r="G171" s="9"/>
      <c r="H171" s="9"/>
      <c r="I171" s="77"/>
      <c r="J171" s="9">
        <v>100000</v>
      </c>
      <c r="K171" s="9" t="s">
        <v>3248</v>
      </c>
    </row>
    <row r="172" spans="1:11" ht="19" x14ac:dyDescent="0.2">
      <c r="A172" s="144"/>
      <c r="B172" s="145"/>
      <c r="C172" s="149"/>
      <c r="D172" s="147"/>
      <c r="E172" s="150"/>
      <c r="F172" s="139"/>
      <c r="G172" s="139"/>
      <c r="H172" s="139"/>
      <c r="I172" s="165"/>
      <c r="J172" s="139">
        <v>150000</v>
      </c>
      <c r="K172" s="139" t="s">
        <v>5013</v>
      </c>
    </row>
    <row r="173" spans="1:11" ht="19" x14ac:dyDescent="0.2">
      <c r="A173" s="143">
        <v>2163000</v>
      </c>
      <c r="B173" s="32"/>
      <c r="C173" s="49" t="s">
        <v>10</v>
      </c>
      <c r="D173" s="13" t="s">
        <v>4443</v>
      </c>
      <c r="E173" s="15">
        <v>1611000</v>
      </c>
      <c r="F173" s="9">
        <v>189000</v>
      </c>
      <c r="G173" s="9">
        <v>363000</v>
      </c>
      <c r="H173" s="9"/>
      <c r="I173" s="77"/>
      <c r="J173" s="9">
        <v>150000</v>
      </c>
      <c r="K173" s="9" t="s">
        <v>5014</v>
      </c>
    </row>
    <row r="174" spans="1:11" ht="19" x14ac:dyDescent="0.2">
      <c r="A174" s="144"/>
      <c r="B174" s="145"/>
      <c r="C174" s="149"/>
      <c r="D174" s="147"/>
      <c r="E174" s="150"/>
      <c r="F174" s="139"/>
      <c r="G174" s="139"/>
      <c r="H174" s="139"/>
      <c r="I174" s="165"/>
      <c r="J174" s="139"/>
      <c r="K174" s="139"/>
    </row>
    <row r="175" spans="1:11" ht="19" x14ac:dyDescent="0.2">
      <c r="A175" s="143">
        <v>2743000</v>
      </c>
      <c r="B175" s="32">
        <v>46135</v>
      </c>
      <c r="C175" s="49" t="s">
        <v>9</v>
      </c>
      <c r="D175" s="13" t="s">
        <v>3941</v>
      </c>
      <c r="E175" s="15">
        <v>1507000</v>
      </c>
      <c r="F175" s="9">
        <v>344000</v>
      </c>
      <c r="G175" s="9">
        <v>892000</v>
      </c>
      <c r="H175" s="9"/>
      <c r="I175" s="77"/>
      <c r="J175" s="9">
        <v>24000</v>
      </c>
      <c r="K175" s="9" t="s">
        <v>1279</v>
      </c>
    </row>
    <row r="176" spans="1:11" ht="19" x14ac:dyDescent="0.2">
      <c r="A176" s="144"/>
      <c r="B176" s="145"/>
      <c r="C176" s="149"/>
      <c r="D176" s="147"/>
      <c r="E176" s="150"/>
      <c r="F176" s="139"/>
      <c r="G176" s="139"/>
      <c r="H176" s="139"/>
      <c r="I176" s="165"/>
      <c r="J176" s="139">
        <v>44000</v>
      </c>
      <c r="K176" s="139" t="s">
        <v>1493</v>
      </c>
    </row>
    <row r="177" spans="1:11" ht="19" x14ac:dyDescent="0.2">
      <c r="A177" s="143"/>
      <c r="B177" s="32"/>
      <c r="C177" s="49"/>
      <c r="D177" s="13"/>
      <c r="E177" s="15"/>
      <c r="F177" s="9"/>
      <c r="G177" s="9"/>
      <c r="H177" s="9"/>
      <c r="I177" s="77"/>
      <c r="J177" s="9">
        <v>47000</v>
      </c>
      <c r="K177" s="9" t="s">
        <v>1449</v>
      </c>
    </row>
    <row r="178" spans="1:11" ht="19" x14ac:dyDescent="0.2">
      <c r="A178" s="144"/>
      <c r="B178" s="145"/>
      <c r="C178" s="149"/>
      <c r="D178" s="147"/>
      <c r="E178" s="150"/>
      <c r="F178" s="139"/>
      <c r="G178" s="139"/>
      <c r="H178" s="139"/>
      <c r="I178" s="165"/>
      <c r="J178" s="139">
        <v>107000</v>
      </c>
      <c r="K178" s="139" t="s">
        <v>5015</v>
      </c>
    </row>
    <row r="179" spans="1:11" ht="19" x14ac:dyDescent="0.2">
      <c r="A179" s="143"/>
      <c r="B179" s="32"/>
      <c r="C179" s="49"/>
      <c r="D179" s="13"/>
      <c r="E179" s="15"/>
      <c r="F179" s="9"/>
      <c r="G179" s="9"/>
      <c r="H179" s="9"/>
      <c r="I179" s="77"/>
      <c r="J179" s="9">
        <v>84000</v>
      </c>
      <c r="K179" s="9" t="s">
        <v>5016</v>
      </c>
    </row>
    <row r="180" spans="1:11" ht="19" x14ac:dyDescent="0.2">
      <c r="A180" s="144"/>
      <c r="B180" s="145"/>
      <c r="C180" s="149"/>
      <c r="D180" s="147"/>
      <c r="E180" s="150"/>
      <c r="F180" s="139"/>
      <c r="G180" s="139"/>
      <c r="H180" s="139"/>
      <c r="I180" s="165"/>
      <c r="J180" s="139">
        <v>34000</v>
      </c>
      <c r="K180" s="139" t="s">
        <v>3628</v>
      </c>
    </row>
    <row r="181" spans="1:11" ht="19" x14ac:dyDescent="0.2">
      <c r="A181" s="143">
        <v>1061000</v>
      </c>
      <c r="B181" s="32"/>
      <c r="C181" s="49" t="s">
        <v>10</v>
      </c>
      <c r="D181" s="13" t="s">
        <v>4443</v>
      </c>
      <c r="E181" s="15">
        <v>554000</v>
      </c>
      <c r="F181" s="9">
        <v>237000</v>
      </c>
      <c r="G181" s="9">
        <v>270000</v>
      </c>
      <c r="H181" s="9"/>
      <c r="I181" s="77"/>
      <c r="J181" s="9">
        <v>7000</v>
      </c>
      <c r="K181" s="9" t="s">
        <v>5017</v>
      </c>
    </row>
    <row r="182" spans="1:11" ht="19" x14ac:dyDescent="0.2">
      <c r="A182" s="144"/>
      <c r="B182" s="145"/>
      <c r="C182" s="149"/>
      <c r="D182" s="147"/>
      <c r="E182" s="150"/>
      <c r="F182" s="139"/>
      <c r="G182" s="139"/>
      <c r="H182" s="139"/>
      <c r="I182" s="165"/>
      <c r="J182" s="139"/>
      <c r="K182" s="139"/>
    </row>
    <row r="183" spans="1:11" ht="19" x14ac:dyDescent="0.2">
      <c r="A183" s="143">
        <v>2576000</v>
      </c>
      <c r="B183" s="153">
        <v>46136</v>
      </c>
      <c r="C183" s="171" t="s">
        <v>9</v>
      </c>
      <c r="D183" s="155" t="s">
        <v>3941</v>
      </c>
      <c r="E183" s="164">
        <v>1368000</v>
      </c>
      <c r="F183" s="119">
        <v>358000</v>
      </c>
      <c r="G183" s="119">
        <v>850000</v>
      </c>
      <c r="H183" s="119"/>
      <c r="I183" s="168"/>
      <c r="J183" s="119">
        <v>45000</v>
      </c>
      <c r="K183" s="119" t="s">
        <v>5018</v>
      </c>
    </row>
    <row r="184" spans="1:11" ht="19" x14ac:dyDescent="0.2">
      <c r="A184" s="144"/>
      <c r="B184" s="145"/>
      <c r="C184" s="149"/>
      <c r="D184" s="147"/>
      <c r="E184" s="150"/>
      <c r="F184" s="139"/>
      <c r="G184" s="139"/>
      <c r="H184" s="139"/>
      <c r="I184" s="165"/>
      <c r="J184" s="139">
        <v>25000</v>
      </c>
      <c r="K184" s="139" t="s">
        <v>5019</v>
      </c>
    </row>
    <row r="185" spans="1:11" ht="19" x14ac:dyDescent="0.2">
      <c r="A185" s="143"/>
      <c r="B185" s="153"/>
      <c r="C185" s="171"/>
      <c r="D185" s="155"/>
      <c r="E185" s="164"/>
      <c r="F185" s="119"/>
      <c r="G185" s="119"/>
      <c r="H185" s="119"/>
      <c r="I185" s="168"/>
      <c r="J185" s="119">
        <v>50000</v>
      </c>
      <c r="K185" s="119" t="s">
        <v>1533</v>
      </c>
    </row>
    <row r="186" spans="1:11" ht="19" x14ac:dyDescent="0.2">
      <c r="A186" s="144">
        <v>1583000</v>
      </c>
      <c r="B186" s="145"/>
      <c r="C186" s="149" t="s">
        <v>10</v>
      </c>
      <c r="D186" s="147" t="s">
        <v>4443</v>
      </c>
      <c r="E186" s="150">
        <v>864000</v>
      </c>
      <c r="F186" s="139">
        <v>244000</v>
      </c>
      <c r="G186" s="139">
        <v>475000</v>
      </c>
      <c r="H186" s="139"/>
      <c r="I186" s="165"/>
      <c r="J186" s="139"/>
      <c r="K186" s="139"/>
    </row>
    <row r="187" spans="1:11" ht="19" x14ac:dyDescent="0.2">
      <c r="A187" s="143"/>
      <c r="B187" s="153"/>
      <c r="C187" s="171"/>
      <c r="D187" s="155"/>
      <c r="E187" s="164"/>
      <c r="F187" s="119"/>
      <c r="G187" s="119"/>
      <c r="H187" s="119"/>
      <c r="I187" s="168"/>
      <c r="J187" s="119"/>
      <c r="K187" s="119"/>
    </row>
    <row r="188" spans="1:11" ht="19" x14ac:dyDescent="0.2">
      <c r="A188" s="144">
        <v>3053000</v>
      </c>
      <c r="B188" s="145">
        <v>46137</v>
      </c>
      <c r="C188" s="149" t="s">
        <v>9</v>
      </c>
      <c r="D188" s="147" t="s">
        <v>3941</v>
      </c>
      <c r="E188" s="150">
        <v>1681000</v>
      </c>
      <c r="F188" s="139">
        <v>361000</v>
      </c>
      <c r="G188" s="139">
        <v>1011000</v>
      </c>
      <c r="H188" s="139"/>
      <c r="I188" s="165"/>
      <c r="J188" s="139">
        <v>54000</v>
      </c>
      <c r="K188" s="139" t="s">
        <v>5020</v>
      </c>
    </row>
    <row r="189" spans="1:11" ht="19" x14ac:dyDescent="0.2">
      <c r="A189" s="143"/>
      <c r="B189" s="153"/>
      <c r="C189" s="171"/>
      <c r="D189" s="155"/>
      <c r="E189" s="164"/>
      <c r="F189" s="119"/>
      <c r="G189" s="119"/>
      <c r="H189" s="119"/>
      <c r="I189" s="168"/>
      <c r="J189" s="119">
        <v>89000</v>
      </c>
      <c r="K189" s="119" t="s">
        <v>3735</v>
      </c>
    </row>
    <row r="190" spans="1:11" ht="19" x14ac:dyDescent="0.2">
      <c r="A190" s="144"/>
      <c r="B190" s="145"/>
      <c r="C190" s="149"/>
      <c r="D190" s="147"/>
      <c r="E190" s="150"/>
      <c r="F190" s="139"/>
      <c r="G190" s="139"/>
      <c r="H190" s="139"/>
      <c r="I190" s="165"/>
      <c r="J190" s="139">
        <v>30000</v>
      </c>
      <c r="K190" s="139" t="s">
        <v>2986</v>
      </c>
    </row>
    <row r="191" spans="1:11" ht="19" x14ac:dyDescent="0.2">
      <c r="A191" s="143"/>
      <c r="B191" s="153"/>
      <c r="C191" s="171"/>
      <c r="D191" s="155"/>
      <c r="E191" s="164"/>
      <c r="F191" s="119"/>
      <c r="G191" s="119"/>
      <c r="H191" s="119"/>
      <c r="I191" s="168"/>
      <c r="J191" s="119">
        <v>190000</v>
      </c>
      <c r="K191" s="119" t="s">
        <v>5021</v>
      </c>
    </row>
    <row r="192" spans="1:11" ht="19" x14ac:dyDescent="0.2">
      <c r="A192" s="144"/>
      <c r="B192" s="145"/>
      <c r="C192" s="149"/>
      <c r="D192" s="147"/>
      <c r="E192" s="150"/>
      <c r="F192" s="139"/>
      <c r="G192" s="139"/>
      <c r="H192" s="139"/>
      <c r="I192" s="165"/>
      <c r="J192" s="139">
        <v>160000</v>
      </c>
      <c r="K192" s="139" t="s">
        <v>1597</v>
      </c>
    </row>
    <row r="193" spans="1:11" ht="19" x14ac:dyDescent="0.2">
      <c r="A193" s="143"/>
      <c r="B193" s="153"/>
      <c r="C193" s="171"/>
      <c r="D193" s="155"/>
      <c r="E193" s="164"/>
      <c r="F193" s="119"/>
      <c r="G193" s="119"/>
      <c r="H193" s="119"/>
      <c r="I193" s="168"/>
      <c r="J193" s="119">
        <v>105000</v>
      </c>
      <c r="K193" s="119" t="s">
        <v>1566</v>
      </c>
    </row>
    <row r="194" spans="1:11" ht="19" x14ac:dyDescent="0.2">
      <c r="A194" s="144">
        <v>1769000</v>
      </c>
      <c r="B194" s="145"/>
      <c r="C194" s="149" t="s">
        <v>10</v>
      </c>
      <c r="D194" s="147" t="s">
        <v>4443</v>
      </c>
      <c r="E194" s="150">
        <v>881000</v>
      </c>
      <c r="F194" s="139">
        <v>336000</v>
      </c>
      <c r="G194" s="139">
        <v>552000</v>
      </c>
      <c r="H194" s="139"/>
      <c r="I194" s="165"/>
      <c r="J194" s="139">
        <v>360000</v>
      </c>
      <c r="K194" s="139" t="s">
        <v>1508</v>
      </c>
    </row>
    <row r="195" spans="1:11" ht="19" x14ac:dyDescent="0.2">
      <c r="A195" s="143"/>
      <c r="B195" s="153"/>
      <c r="C195" s="171"/>
      <c r="D195" s="155"/>
      <c r="E195" s="164"/>
      <c r="F195" s="119"/>
      <c r="G195" s="119"/>
      <c r="H195" s="119"/>
      <c r="I195" s="168"/>
      <c r="J195" s="119"/>
      <c r="K195" s="119"/>
    </row>
    <row r="196" spans="1:11" ht="19" x14ac:dyDescent="0.2">
      <c r="A196" s="144">
        <v>2423000</v>
      </c>
      <c r="B196" s="145">
        <v>46138</v>
      </c>
      <c r="C196" s="149" t="s">
        <v>9</v>
      </c>
      <c r="D196" s="147" t="s">
        <v>3941</v>
      </c>
      <c r="E196" s="150">
        <v>1360000</v>
      </c>
      <c r="F196" s="139">
        <v>264000</v>
      </c>
      <c r="G196" s="139">
        <v>799000</v>
      </c>
      <c r="H196" s="139"/>
      <c r="I196" s="165"/>
      <c r="J196" s="139"/>
      <c r="K196" s="139"/>
    </row>
    <row r="197" spans="1:11" ht="19" x14ac:dyDescent="0.2">
      <c r="A197" s="143"/>
      <c r="B197" s="153"/>
      <c r="C197" s="171"/>
      <c r="D197" s="155"/>
      <c r="E197" s="164"/>
      <c r="F197" s="119"/>
      <c r="G197" s="119"/>
      <c r="H197" s="119"/>
      <c r="I197" s="168"/>
      <c r="J197" s="119"/>
      <c r="K197" s="119"/>
    </row>
    <row r="198" spans="1:11" ht="19" x14ac:dyDescent="0.2">
      <c r="A198" s="144">
        <v>1880000</v>
      </c>
      <c r="B198" s="145"/>
      <c r="C198" s="149" t="s">
        <v>10</v>
      </c>
      <c r="D198" s="147" t="s">
        <v>4443</v>
      </c>
      <c r="E198" s="150">
        <v>1174000</v>
      </c>
      <c r="F198" s="139">
        <v>120000</v>
      </c>
      <c r="G198" s="139">
        <v>586000</v>
      </c>
      <c r="H198" s="139"/>
      <c r="I198" s="165"/>
      <c r="J198" s="139"/>
      <c r="K198" s="139"/>
    </row>
    <row r="199" spans="1:11" ht="19" x14ac:dyDescent="0.2">
      <c r="A199" s="143"/>
      <c r="B199" s="153"/>
      <c r="C199" s="171"/>
      <c r="D199" s="155"/>
      <c r="E199" s="164"/>
      <c r="F199" s="119"/>
      <c r="G199" s="119"/>
      <c r="H199" s="119"/>
      <c r="I199" s="168"/>
      <c r="J199" s="119"/>
      <c r="K199" s="119"/>
    </row>
    <row r="200" spans="1:11" ht="19" x14ac:dyDescent="0.2">
      <c r="A200" s="144">
        <v>3039000</v>
      </c>
      <c r="B200" s="145">
        <v>46139</v>
      </c>
      <c r="C200" s="149" t="s">
        <v>9</v>
      </c>
      <c r="D200" s="147" t="s">
        <v>3941</v>
      </c>
      <c r="E200" s="150">
        <v>1923000</v>
      </c>
      <c r="F200" s="139">
        <v>247000</v>
      </c>
      <c r="G200" s="139">
        <v>869000</v>
      </c>
      <c r="H200" s="139"/>
      <c r="I200" s="165"/>
      <c r="J200" s="139">
        <v>45000</v>
      </c>
      <c r="K200" s="139" t="s">
        <v>5022</v>
      </c>
    </row>
    <row r="201" spans="1:11" ht="19" x14ac:dyDescent="0.2">
      <c r="A201" s="143"/>
      <c r="B201" s="153"/>
      <c r="C201" s="171"/>
      <c r="D201" s="155"/>
      <c r="E201" s="164"/>
      <c r="F201" s="119"/>
      <c r="G201" s="119"/>
      <c r="H201" s="119"/>
      <c r="I201" s="168"/>
      <c r="J201" s="119">
        <v>59000</v>
      </c>
      <c r="K201" s="119" t="s">
        <v>5023</v>
      </c>
    </row>
    <row r="202" spans="1:11" ht="19" x14ac:dyDescent="0.2">
      <c r="A202" s="144"/>
      <c r="B202" s="145"/>
      <c r="C202" s="149"/>
      <c r="D202" s="147"/>
      <c r="E202" s="150"/>
      <c r="F202" s="139"/>
      <c r="G202" s="139"/>
      <c r="H202" s="139"/>
      <c r="I202" s="165"/>
      <c r="J202" s="139">
        <v>47000</v>
      </c>
      <c r="K202" s="139" t="s">
        <v>1449</v>
      </c>
    </row>
    <row r="203" spans="1:11" ht="19" x14ac:dyDescent="0.2">
      <c r="A203" s="143"/>
      <c r="B203" s="153"/>
      <c r="C203" s="171"/>
      <c r="D203" s="155"/>
      <c r="E203" s="164"/>
      <c r="F203" s="119"/>
      <c r="G203" s="119"/>
      <c r="H203" s="119"/>
      <c r="I203" s="168"/>
      <c r="J203" s="119">
        <v>9000</v>
      </c>
      <c r="K203" s="119" t="s">
        <v>5024</v>
      </c>
    </row>
    <row r="204" spans="1:11" ht="19" x14ac:dyDescent="0.2">
      <c r="A204" s="144"/>
      <c r="B204" s="145"/>
      <c r="C204" s="149"/>
      <c r="D204" s="147"/>
      <c r="E204" s="150"/>
      <c r="F204" s="139"/>
      <c r="G204" s="139"/>
      <c r="H204" s="139"/>
      <c r="I204" s="165"/>
      <c r="J204" s="139">
        <v>76000</v>
      </c>
      <c r="K204" s="139" t="s">
        <v>3808</v>
      </c>
    </row>
    <row r="205" spans="1:11" ht="19" x14ac:dyDescent="0.2">
      <c r="A205" s="143"/>
      <c r="B205" s="153"/>
      <c r="C205" s="171"/>
      <c r="D205" s="155"/>
      <c r="E205" s="164"/>
      <c r="F205" s="119"/>
      <c r="G205" s="119"/>
      <c r="H205" s="119"/>
      <c r="I205" s="168"/>
      <c r="J205" s="119">
        <v>26000</v>
      </c>
      <c r="K205" s="119" t="s">
        <v>5025</v>
      </c>
    </row>
    <row r="206" spans="1:11" ht="19" x14ac:dyDescent="0.2">
      <c r="A206" s="144"/>
      <c r="B206" s="145"/>
      <c r="C206" s="149"/>
      <c r="D206" s="147"/>
      <c r="E206" s="150"/>
      <c r="F206" s="139"/>
      <c r="G206" s="139"/>
      <c r="H206" s="139"/>
      <c r="I206" s="165"/>
      <c r="J206" s="139">
        <v>28000</v>
      </c>
      <c r="K206" s="139" t="s">
        <v>4985</v>
      </c>
    </row>
    <row r="207" spans="1:11" ht="19" x14ac:dyDescent="0.2">
      <c r="A207" s="143"/>
      <c r="B207" s="153"/>
      <c r="C207" s="171"/>
      <c r="D207" s="155"/>
      <c r="E207" s="164"/>
      <c r="F207" s="119"/>
      <c r="G207" s="119"/>
      <c r="H207" s="119"/>
      <c r="I207" s="168"/>
      <c r="J207" s="119">
        <v>10000</v>
      </c>
      <c r="K207" s="119" t="s">
        <v>1352</v>
      </c>
    </row>
    <row r="208" spans="1:11" ht="19" x14ac:dyDescent="0.2">
      <c r="A208" s="144"/>
      <c r="B208" s="145"/>
      <c r="C208" s="149"/>
      <c r="D208" s="147"/>
      <c r="E208" s="150"/>
      <c r="F208" s="139"/>
      <c r="G208" s="139"/>
      <c r="H208" s="139"/>
      <c r="I208" s="165"/>
      <c r="J208" s="139">
        <v>50000</v>
      </c>
      <c r="K208" s="139" t="s">
        <v>1195</v>
      </c>
    </row>
    <row r="209" spans="1:11" ht="19" x14ac:dyDescent="0.2">
      <c r="A209" s="143"/>
      <c r="B209" s="153"/>
      <c r="C209" s="171"/>
      <c r="D209" s="155"/>
      <c r="E209" s="164"/>
      <c r="F209" s="119"/>
      <c r="G209" s="119"/>
      <c r="H209" s="119"/>
      <c r="I209" s="168"/>
      <c r="J209" s="119">
        <v>50000</v>
      </c>
      <c r="K209" s="119" t="s">
        <v>123</v>
      </c>
    </row>
    <row r="210" spans="1:11" ht="19" x14ac:dyDescent="0.2">
      <c r="A210" s="144"/>
      <c r="B210" s="145"/>
      <c r="C210" s="149"/>
      <c r="D210" s="147"/>
      <c r="E210" s="150"/>
      <c r="F210" s="139"/>
      <c r="G210" s="139"/>
      <c r="H210" s="139"/>
      <c r="I210" s="165"/>
      <c r="J210" s="139">
        <v>100000</v>
      </c>
      <c r="K210" s="139" t="s">
        <v>3248</v>
      </c>
    </row>
    <row r="211" spans="1:11" ht="19" x14ac:dyDescent="0.2">
      <c r="A211" s="143"/>
      <c r="B211" s="153"/>
      <c r="C211" s="171"/>
      <c r="D211" s="155"/>
      <c r="E211" s="164"/>
      <c r="F211" s="119"/>
      <c r="G211" s="119"/>
      <c r="H211" s="119"/>
      <c r="I211" s="168"/>
      <c r="J211" s="119">
        <v>250000</v>
      </c>
      <c r="K211" s="119" t="s">
        <v>3807</v>
      </c>
    </row>
    <row r="212" spans="1:11" ht="19" x14ac:dyDescent="0.2">
      <c r="A212" s="144"/>
      <c r="B212" s="145"/>
      <c r="C212" s="149"/>
      <c r="D212" s="147"/>
      <c r="E212" s="150"/>
      <c r="F212" s="139"/>
      <c r="G212" s="139"/>
      <c r="H212" s="139"/>
      <c r="I212" s="165"/>
      <c r="J212" s="139">
        <v>50000</v>
      </c>
      <c r="K212" s="139" t="s">
        <v>3635</v>
      </c>
    </row>
    <row r="213" spans="1:11" ht="19" x14ac:dyDescent="0.2">
      <c r="A213" s="143"/>
      <c r="B213" s="153"/>
      <c r="C213" s="171"/>
      <c r="D213" s="155"/>
      <c r="E213" s="164"/>
      <c r="F213" s="119"/>
      <c r="G213" s="119"/>
      <c r="H213" s="119"/>
      <c r="I213" s="168"/>
      <c r="J213" s="119">
        <v>160000</v>
      </c>
      <c r="K213" s="119" t="s">
        <v>1805</v>
      </c>
    </row>
    <row r="214" spans="1:11" ht="19" x14ac:dyDescent="0.2">
      <c r="A214" s="144"/>
      <c r="B214" s="145"/>
      <c r="C214" s="149"/>
      <c r="D214" s="147"/>
      <c r="E214" s="150"/>
      <c r="F214" s="139"/>
      <c r="G214" s="139"/>
      <c r="H214" s="139"/>
      <c r="I214" s="165"/>
      <c r="J214" s="139">
        <v>150000</v>
      </c>
      <c r="K214" s="139" t="s">
        <v>4764</v>
      </c>
    </row>
    <row r="215" spans="1:11" ht="19" x14ac:dyDescent="0.2">
      <c r="A215" s="143"/>
      <c r="B215" s="153"/>
      <c r="C215" s="171"/>
      <c r="D215" s="155"/>
      <c r="E215" s="164"/>
      <c r="F215" s="119"/>
      <c r="G215" s="119"/>
      <c r="H215" s="119"/>
      <c r="I215" s="168"/>
      <c r="J215" s="119">
        <v>150000</v>
      </c>
      <c r="K215" s="119" t="s">
        <v>1724</v>
      </c>
    </row>
    <row r="216" spans="1:11" ht="19" x14ac:dyDescent="0.2">
      <c r="A216" s="144">
        <v>1664000</v>
      </c>
      <c r="B216" s="145"/>
      <c r="C216" s="149" t="s">
        <v>10</v>
      </c>
      <c r="D216" s="147" t="s">
        <v>4443</v>
      </c>
      <c r="E216" s="150">
        <v>1230000</v>
      </c>
      <c r="F216" s="139">
        <v>84000</v>
      </c>
      <c r="G216" s="139">
        <v>350000</v>
      </c>
      <c r="H216" s="139"/>
      <c r="I216" s="165"/>
      <c r="J216" s="139">
        <v>150000</v>
      </c>
      <c r="K216" s="139" t="s">
        <v>5026</v>
      </c>
    </row>
    <row r="217" spans="1:11" ht="19" x14ac:dyDescent="0.2">
      <c r="A217" s="143"/>
      <c r="B217" s="153"/>
      <c r="C217" s="171"/>
      <c r="D217" s="155"/>
      <c r="E217" s="164"/>
      <c r="F217" s="119"/>
      <c r="G217" s="119"/>
      <c r="H217" s="119"/>
      <c r="I217" s="168"/>
      <c r="J217" s="119">
        <v>44000</v>
      </c>
      <c r="K217" s="119" t="s">
        <v>1493</v>
      </c>
    </row>
    <row r="218" spans="1:11" ht="19" x14ac:dyDescent="0.2">
      <c r="A218" s="144"/>
      <c r="B218" s="145"/>
      <c r="C218" s="149"/>
      <c r="D218" s="147"/>
      <c r="E218" s="150"/>
      <c r="F218" s="139"/>
      <c r="G218" s="139"/>
      <c r="H218" s="139"/>
      <c r="I218" s="165"/>
      <c r="J218" s="139"/>
      <c r="K218" s="139"/>
    </row>
    <row r="219" spans="1:11" ht="19" x14ac:dyDescent="0.2">
      <c r="A219" s="143">
        <v>2137000</v>
      </c>
      <c r="B219" s="153">
        <v>46140</v>
      </c>
      <c r="C219" s="171" t="s">
        <v>9</v>
      </c>
      <c r="D219" s="155" t="s">
        <v>3941</v>
      </c>
      <c r="E219" s="164">
        <v>1284000</v>
      </c>
      <c r="F219" s="119">
        <v>314000</v>
      </c>
      <c r="G219" s="119">
        <v>539000</v>
      </c>
      <c r="H219" s="119"/>
      <c r="I219" s="168"/>
      <c r="J219" s="119">
        <v>30000</v>
      </c>
      <c r="K219" s="119" t="s">
        <v>4803</v>
      </c>
    </row>
    <row r="220" spans="1:11" ht="19" x14ac:dyDescent="0.2">
      <c r="A220" s="144"/>
      <c r="B220" s="145"/>
      <c r="C220" s="149"/>
      <c r="D220" s="147"/>
      <c r="E220" s="150"/>
      <c r="F220" s="139"/>
      <c r="G220" s="139"/>
      <c r="H220" s="139"/>
      <c r="I220" s="165"/>
      <c r="J220" s="139">
        <v>45000</v>
      </c>
      <c r="K220" s="139" t="s">
        <v>4621</v>
      </c>
    </row>
    <row r="221" spans="1:11" ht="19" x14ac:dyDescent="0.2">
      <c r="A221" s="143"/>
      <c r="B221" s="153"/>
      <c r="C221" s="171"/>
      <c r="D221" s="155"/>
      <c r="E221" s="164"/>
      <c r="F221" s="119"/>
      <c r="G221" s="119"/>
      <c r="H221" s="119"/>
      <c r="I221" s="168"/>
      <c r="J221" s="119">
        <v>30000</v>
      </c>
      <c r="K221" s="119" t="s">
        <v>5027</v>
      </c>
    </row>
    <row r="222" spans="1:11" ht="19" x14ac:dyDescent="0.2">
      <c r="A222" s="144"/>
      <c r="B222" s="145"/>
      <c r="C222" s="149"/>
      <c r="D222" s="147"/>
      <c r="E222" s="150"/>
      <c r="F222" s="139"/>
      <c r="G222" s="139"/>
      <c r="H222" s="139"/>
      <c r="I222" s="165"/>
      <c r="J222" s="139">
        <v>30000</v>
      </c>
      <c r="K222" s="139" t="s">
        <v>5028</v>
      </c>
    </row>
    <row r="223" spans="1:11" ht="19" x14ac:dyDescent="0.2">
      <c r="A223" s="143"/>
      <c r="B223" s="153"/>
      <c r="C223" s="171"/>
      <c r="D223" s="155"/>
      <c r="E223" s="164"/>
      <c r="F223" s="119"/>
      <c r="G223" s="119"/>
      <c r="H223" s="119"/>
      <c r="I223" s="168"/>
      <c r="J223" s="119">
        <v>35000</v>
      </c>
      <c r="K223" s="119" t="s">
        <v>4620</v>
      </c>
    </row>
    <row r="224" spans="1:11" ht="19" x14ac:dyDescent="0.2">
      <c r="A224" s="144"/>
      <c r="B224" s="145"/>
      <c r="C224" s="149"/>
      <c r="D224" s="147"/>
      <c r="E224" s="150"/>
      <c r="F224" s="139"/>
      <c r="G224" s="139"/>
      <c r="H224" s="139"/>
      <c r="I224" s="165"/>
      <c r="J224" s="139">
        <v>45000</v>
      </c>
      <c r="K224" s="139" t="s">
        <v>5011</v>
      </c>
    </row>
    <row r="225" spans="1:11" ht="19" x14ac:dyDescent="0.2">
      <c r="A225" s="143"/>
      <c r="B225" s="153"/>
      <c r="C225" s="171"/>
      <c r="D225" s="155"/>
      <c r="E225" s="164"/>
      <c r="F225" s="119"/>
      <c r="G225" s="119"/>
      <c r="H225" s="119"/>
      <c r="I225" s="168"/>
      <c r="J225" s="119">
        <v>22000</v>
      </c>
      <c r="K225" s="119" t="s">
        <v>4664</v>
      </c>
    </row>
    <row r="226" spans="1:11" ht="19" x14ac:dyDescent="0.2">
      <c r="A226" s="144"/>
      <c r="B226" s="145"/>
      <c r="C226" s="149"/>
      <c r="D226" s="147"/>
      <c r="E226" s="150"/>
      <c r="F226" s="139"/>
      <c r="G226" s="139"/>
      <c r="H226" s="139"/>
      <c r="I226" s="165"/>
      <c r="J226" s="139">
        <v>40000</v>
      </c>
      <c r="K226" s="139" t="s">
        <v>4777</v>
      </c>
    </row>
    <row r="227" spans="1:11" ht="19" x14ac:dyDescent="0.2">
      <c r="A227" s="143">
        <v>1133000</v>
      </c>
      <c r="B227" s="153"/>
      <c r="C227" s="171" t="s">
        <v>10</v>
      </c>
      <c r="D227" s="155" t="s">
        <v>4443</v>
      </c>
      <c r="E227" s="164">
        <v>831000</v>
      </c>
      <c r="F227" s="119">
        <v>143000</v>
      </c>
      <c r="G227" s="119">
        <v>159000</v>
      </c>
      <c r="H227" s="119"/>
      <c r="I227" s="168"/>
      <c r="J227" s="119"/>
      <c r="K227" s="119"/>
    </row>
    <row r="228" spans="1:11" ht="19" x14ac:dyDescent="0.2">
      <c r="A228" s="144"/>
      <c r="B228" s="145"/>
      <c r="C228" s="149"/>
      <c r="D228" s="147"/>
      <c r="E228" s="150"/>
      <c r="F228" s="139"/>
      <c r="G228" s="139"/>
      <c r="H228" s="139"/>
      <c r="I228" s="165"/>
      <c r="J228" s="139"/>
      <c r="K228" s="139"/>
    </row>
    <row r="229" spans="1:11" ht="19" x14ac:dyDescent="0.2">
      <c r="A229" s="143">
        <v>2693000</v>
      </c>
      <c r="B229" s="153">
        <v>46141</v>
      </c>
      <c r="C229" s="171" t="s">
        <v>9</v>
      </c>
      <c r="D229" s="155" t="s">
        <v>3941</v>
      </c>
      <c r="E229" s="164">
        <v>1577000</v>
      </c>
      <c r="F229" s="119">
        <v>188000</v>
      </c>
      <c r="G229" s="119">
        <v>928000</v>
      </c>
      <c r="H229" s="119"/>
      <c r="I229" s="168"/>
      <c r="J229" s="119">
        <v>162000</v>
      </c>
      <c r="K229" s="119" t="s">
        <v>1856</v>
      </c>
    </row>
    <row r="230" spans="1:11" ht="19" x14ac:dyDescent="0.2">
      <c r="A230" s="144"/>
      <c r="B230" s="145"/>
      <c r="C230" s="149"/>
      <c r="D230" s="147"/>
      <c r="E230" s="150"/>
      <c r="F230" s="139"/>
      <c r="G230" s="139"/>
      <c r="H230" s="139"/>
      <c r="I230" s="165"/>
      <c r="J230" s="139">
        <v>50000</v>
      </c>
      <c r="K230" s="139" t="s">
        <v>3036</v>
      </c>
    </row>
    <row r="231" spans="1:11" ht="19" x14ac:dyDescent="0.2">
      <c r="A231" s="143"/>
      <c r="B231" s="153"/>
      <c r="C231" s="171"/>
      <c r="D231" s="155"/>
      <c r="E231" s="164"/>
      <c r="F231" s="119"/>
      <c r="G231" s="119"/>
      <c r="H231" s="119"/>
      <c r="I231" s="168"/>
      <c r="J231" s="119">
        <v>44000</v>
      </c>
      <c r="K231" s="119" t="s">
        <v>1885</v>
      </c>
    </row>
    <row r="232" spans="1:11" ht="19" x14ac:dyDescent="0.2">
      <c r="A232" s="144"/>
      <c r="B232" s="145"/>
      <c r="C232" s="149"/>
      <c r="D232" s="147"/>
      <c r="E232" s="150"/>
      <c r="F232" s="139"/>
      <c r="G232" s="139"/>
      <c r="H232" s="139"/>
      <c r="I232" s="165"/>
      <c r="J232" s="139">
        <v>100000</v>
      </c>
      <c r="K232" s="139" t="s">
        <v>3828</v>
      </c>
    </row>
    <row r="233" spans="1:11" ht="19" x14ac:dyDescent="0.2">
      <c r="A233" s="143"/>
      <c r="B233" s="153"/>
      <c r="C233" s="171"/>
      <c r="D233" s="155"/>
      <c r="E233" s="164"/>
      <c r="F233" s="119"/>
      <c r="G233" s="119"/>
      <c r="H233" s="119"/>
      <c r="I233" s="168"/>
      <c r="J233" s="119">
        <v>78000</v>
      </c>
      <c r="K233" s="119" t="s">
        <v>5029</v>
      </c>
    </row>
    <row r="234" spans="1:11" ht="19" x14ac:dyDescent="0.2">
      <c r="A234" s="144"/>
      <c r="B234" s="145"/>
      <c r="C234" s="149"/>
      <c r="D234" s="147"/>
      <c r="E234" s="150"/>
      <c r="F234" s="139"/>
      <c r="G234" s="139"/>
      <c r="H234" s="139"/>
      <c r="I234" s="165"/>
      <c r="J234" s="139">
        <v>90000</v>
      </c>
      <c r="K234" s="139" t="s">
        <v>5030</v>
      </c>
    </row>
    <row r="235" spans="1:11" ht="19" x14ac:dyDescent="0.2">
      <c r="A235" s="143">
        <v>1213000</v>
      </c>
      <c r="B235" s="153"/>
      <c r="C235" s="171" t="s">
        <v>10</v>
      </c>
      <c r="D235" s="155" t="s">
        <v>4443</v>
      </c>
      <c r="E235" s="164">
        <v>942000</v>
      </c>
      <c r="F235" s="119">
        <v>31000</v>
      </c>
      <c r="G235" s="119">
        <v>240000</v>
      </c>
      <c r="H235" s="119"/>
      <c r="I235" s="168"/>
      <c r="J235" s="119">
        <v>78000</v>
      </c>
      <c r="K235" s="119" t="s">
        <v>5031</v>
      </c>
    </row>
    <row r="236" spans="1:11" ht="19" x14ac:dyDescent="0.2">
      <c r="A236" s="144"/>
      <c r="B236" s="145"/>
      <c r="C236" s="149"/>
      <c r="D236" s="147"/>
      <c r="E236" s="150"/>
      <c r="F236" s="139"/>
      <c r="G236" s="139"/>
      <c r="H236" s="139">
        <v>1300000</v>
      </c>
      <c r="I236" s="165" t="s">
        <v>717</v>
      </c>
      <c r="J236" s="139"/>
      <c r="K236" s="139"/>
    </row>
    <row r="237" spans="1:11" ht="19" x14ac:dyDescent="0.2">
      <c r="A237" s="143">
        <v>3003000</v>
      </c>
      <c r="B237" s="153">
        <v>46142</v>
      </c>
      <c r="C237" s="171" t="s">
        <v>9</v>
      </c>
      <c r="D237" s="155" t="s">
        <v>3941</v>
      </c>
      <c r="E237" s="164">
        <v>1721000</v>
      </c>
      <c r="F237" s="119">
        <v>368000</v>
      </c>
      <c r="G237" s="119">
        <v>914000</v>
      </c>
      <c r="H237" s="119">
        <v>3137000</v>
      </c>
      <c r="I237" s="168" t="s">
        <v>4208</v>
      </c>
      <c r="J237" s="119">
        <v>47000</v>
      </c>
      <c r="K237" s="119" t="s">
        <v>1449</v>
      </c>
    </row>
    <row r="238" spans="1:11" ht="19" x14ac:dyDescent="0.2">
      <c r="A238" s="144"/>
      <c r="B238" s="145"/>
      <c r="C238" s="149"/>
      <c r="D238" s="147"/>
      <c r="E238" s="150"/>
      <c r="F238" s="139"/>
      <c r="G238" s="139"/>
      <c r="H238" s="139">
        <v>2770000</v>
      </c>
      <c r="I238" s="165" t="s">
        <v>5032</v>
      </c>
      <c r="J238" s="139">
        <v>99000</v>
      </c>
      <c r="K238" s="139" t="s">
        <v>5033</v>
      </c>
    </row>
    <row r="239" spans="1:11" ht="19" x14ac:dyDescent="0.2">
      <c r="A239" s="143">
        <v>1275000</v>
      </c>
      <c r="B239" s="153"/>
      <c r="C239" s="171" t="s">
        <v>10</v>
      </c>
      <c r="D239" s="155" t="s">
        <v>4443</v>
      </c>
      <c r="E239" s="164">
        <v>796000</v>
      </c>
      <c r="F239" s="119">
        <v>164000</v>
      </c>
      <c r="G239" s="119">
        <v>315000</v>
      </c>
      <c r="H239" s="119">
        <v>400000</v>
      </c>
      <c r="I239" s="168" t="s">
        <v>3611</v>
      </c>
      <c r="J239" s="119">
        <v>50000</v>
      </c>
      <c r="K239" s="119" t="s">
        <v>123</v>
      </c>
    </row>
    <row r="240" spans="1:11" ht="32" x14ac:dyDescent="0.2">
      <c r="A240" s="144"/>
      <c r="B240" s="145"/>
      <c r="C240" s="149"/>
      <c r="D240" s="147"/>
      <c r="E240" s="150"/>
      <c r="F240" s="139"/>
      <c r="G240" s="139"/>
      <c r="H240" s="139">
        <v>5420000</v>
      </c>
      <c r="I240" s="253" t="s">
        <v>4723</v>
      </c>
      <c r="J240" s="139"/>
      <c r="K240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октябрь 2021</vt:lpstr>
      <vt:lpstr>ноябрь</vt:lpstr>
      <vt:lpstr>декабрь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 2022</vt:lpstr>
      <vt:lpstr>Ноябрь 2022</vt:lpstr>
      <vt:lpstr>Декабрь 2022</vt:lpstr>
      <vt:lpstr>Январь 2023</vt:lpstr>
      <vt:lpstr>Февраль 2023</vt:lpstr>
      <vt:lpstr>Март 2023</vt:lpstr>
      <vt:lpstr>Апрель 2023</vt:lpstr>
      <vt:lpstr>Май 2023</vt:lpstr>
      <vt:lpstr>Июнь 2023</vt:lpstr>
      <vt:lpstr>Июль 2023</vt:lpstr>
      <vt:lpstr>Август 2023</vt:lpstr>
      <vt:lpstr>Сентябрь 2023</vt:lpstr>
      <vt:lpstr>Октябрь 2023</vt:lpstr>
      <vt:lpstr>Ноябрь 2023</vt:lpstr>
      <vt:lpstr>Декабрь 2023</vt:lpstr>
      <vt:lpstr>Январь 2024</vt:lpstr>
      <vt:lpstr>Февраль 2024</vt:lpstr>
      <vt:lpstr>Март 2024</vt:lpstr>
      <vt:lpstr>Апрель 2024</vt:lpstr>
      <vt:lpstr>Май 2024</vt:lpstr>
      <vt:lpstr>Июнь 2024</vt:lpstr>
      <vt:lpstr>Июль 2024</vt:lpstr>
      <vt:lpstr>Август 2024</vt:lpstr>
      <vt:lpstr>Сентябрь 2024</vt:lpstr>
      <vt:lpstr>Октябрь 2024</vt:lpstr>
      <vt:lpstr>Ноябрь 2024</vt:lpstr>
      <vt:lpstr>Декабрь 2024</vt:lpstr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  <vt:lpstr>Январь 2026</vt:lpstr>
      <vt:lpstr>Февраль 2026</vt:lpstr>
      <vt:lpstr>Март 2026</vt:lpstr>
      <vt:lpstr>Апрель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Гордейкин</dc:creator>
  <cp:lastModifiedBy>Dmitriy Korolyov</cp:lastModifiedBy>
  <cp:lastPrinted>2024-04-15T19:06:10Z</cp:lastPrinted>
  <dcterms:created xsi:type="dcterms:W3CDTF">2015-06-05T18:19:34Z</dcterms:created>
  <dcterms:modified xsi:type="dcterms:W3CDTF">2026-05-14T08:57:45Z</dcterms:modified>
</cp:coreProperties>
</file>